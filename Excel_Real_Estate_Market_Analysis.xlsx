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Patience Danjuma\Downloads\"/>
    </mc:Choice>
  </mc:AlternateContent>
  <xr:revisionPtr revIDLastSave="0" documentId="13_ncr:1_{568FE5A2-440D-4502-9C95-661607A8898C}" xr6:coauthVersionLast="47" xr6:coauthVersionMax="47" xr10:uidLastSave="{00000000-0000-0000-0000-000000000000}"/>
  <bookViews>
    <workbookView xWindow="28692" yWindow="-108" windowWidth="29016" windowHeight="15696" xr2:uid="{0306496C-AB62-4287-A959-56378C5D6E91}"/>
  </bookViews>
  <sheets>
    <sheet name="Dashboard" sheetId="12" r:id="rId1"/>
    <sheet name="KPI_Calculations" sheetId="35" r:id="rId2"/>
    <sheet name="Raw_Data" sheetId="1" r:id="rId3"/>
    <sheet name="AveragePriceByYear" sheetId="2" r:id="rId4"/>
    <sheet name="NumberOfPropertySalesByYear" sheetId="4" r:id="rId5"/>
    <sheet name="NumberOfPropertySalesByTown" sheetId="23" r:id="rId6"/>
    <sheet name="AveragePropertyPriceByTown" sheetId="5" r:id="rId7"/>
    <sheet name="AveragePropertyPricePerSqFt" sheetId="19" r:id="rId8"/>
    <sheet name="PropertySalesDistribution" sheetId="6" r:id="rId9"/>
    <sheet name="PriceForcastModel" sheetId="22" r:id="rId10"/>
  </sheets>
  <definedNames>
    <definedName name="NativeTimeline_Sale_Date">#N/A</definedName>
    <definedName name="Slicer_Property_Type">#N/A</definedName>
    <definedName name="Slicer_Tow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001" i="1" l="1"/>
  <c r="C5001" i="1"/>
  <c r="B5001" i="1"/>
  <c r="J5000" i="1"/>
  <c r="C5000" i="1"/>
  <c r="B5000" i="1"/>
  <c r="J4999" i="1"/>
  <c r="C4999" i="1"/>
  <c r="B4999" i="1"/>
  <c r="J4998" i="1"/>
  <c r="C4998" i="1"/>
  <c r="B4998" i="1"/>
  <c r="J4997" i="1"/>
  <c r="C4997" i="1"/>
  <c r="B4997" i="1"/>
  <c r="J4996" i="1"/>
  <c r="C4996" i="1"/>
  <c r="B4996" i="1"/>
  <c r="J4995" i="1"/>
  <c r="C4995" i="1"/>
  <c r="B4995" i="1"/>
  <c r="J4994" i="1"/>
  <c r="C4994" i="1"/>
  <c r="B4994" i="1"/>
  <c r="J4993" i="1"/>
  <c r="C4993" i="1"/>
  <c r="B4993" i="1"/>
  <c r="J4992" i="1"/>
  <c r="C4992" i="1"/>
  <c r="B4992" i="1"/>
  <c r="J4991" i="1"/>
  <c r="C4991" i="1"/>
  <c r="B4991" i="1"/>
  <c r="J4990" i="1"/>
  <c r="C4990" i="1"/>
  <c r="B4990" i="1"/>
  <c r="J4989" i="1"/>
  <c r="C4989" i="1"/>
  <c r="B4989" i="1"/>
  <c r="J4988" i="1"/>
  <c r="C4988" i="1"/>
  <c r="B4988" i="1"/>
  <c r="J4987" i="1"/>
  <c r="C4987" i="1"/>
  <c r="B4987" i="1"/>
  <c r="J4986" i="1"/>
  <c r="C4986" i="1"/>
  <c r="B4986" i="1"/>
  <c r="J4985" i="1"/>
  <c r="C4985" i="1"/>
  <c r="B4985" i="1"/>
  <c r="J4984" i="1"/>
  <c r="C4984" i="1"/>
  <c r="B4984" i="1"/>
  <c r="J4983" i="1"/>
  <c r="C4983" i="1"/>
  <c r="B4983" i="1"/>
  <c r="J4982" i="1"/>
  <c r="C4982" i="1"/>
  <c r="B4982" i="1"/>
  <c r="J4981" i="1"/>
  <c r="C4981" i="1"/>
  <c r="B4981" i="1"/>
  <c r="J4980" i="1"/>
  <c r="C4980" i="1"/>
  <c r="B4980" i="1"/>
  <c r="J4979" i="1"/>
  <c r="C4979" i="1"/>
  <c r="B4979" i="1"/>
  <c r="J4978" i="1"/>
  <c r="C4978" i="1"/>
  <c r="B4978" i="1"/>
  <c r="J4977" i="1"/>
  <c r="C4977" i="1"/>
  <c r="B4977" i="1"/>
  <c r="J4976" i="1"/>
  <c r="C4976" i="1"/>
  <c r="B4976" i="1"/>
  <c r="J4975" i="1"/>
  <c r="C4975" i="1"/>
  <c r="B4975" i="1"/>
  <c r="J4974" i="1"/>
  <c r="C4974" i="1"/>
  <c r="B4974" i="1"/>
  <c r="J4973" i="1"/>
  <c r="C4973" i="1"/>
  <c r="B4973" i="1"/>
  <c r="J4972" i="1"/>
  <c r="C4972" i="1"/>
  <c r="B4972" i="1"/>
  <c r="J4971" i="1"/>
  <c r="C4971" i="1"/>
  <c r="B4971" i="1"/>
  <c r="J4970" i="1"/>
  <c r="C4970" i="1"/>
  <c r="B4970" i="1"/>
  <c r="J4969" i="1"/>
  <c r="C4969" i="1"/>
  <c r="B4969" i="1"/>
  <c r="J4968" i="1"/>
  <c r="C4968" i="1"/>
  <c r="B4968" i="1"/>
  <c r="J4967" i="1"/>
  <c r="C4967" i="1"/>
  <c r="B4967" i="1"/>
  <c r="J4966" i="1"/>
  <c r="C4966" i="1"/>
  <c r="B4966" i="1"/>
  <c r="J4965" i="1"/>
  <c r="C4965" i="1"/>
  <c r="B4965" i="1"/>
  <c r="J4964" i="1"/>
  <c r="C4964" i="1"/>
  <c r="B4964" i="1"/>
  <c r="J4963" i="1"/>
  <c r="C4963" i="1"/>
  <c r="B4963" i="1"/>
  <c r="J4962" i="1"/>
  <c r="C4962" i="1"/>
  <c r="B4962" i="1"/>
  <c r="J4961" i="1"/>
  <c r="C4961" i="1"/>
  <c r="B4961" i="1"/>
  <c r="J4960" i="1"/>
  <c r="C4960" i="1"/>
  <c r="B4960" i="1"/>
  <c r="J4959" i="1"/>
  <c r="C4959" i="1"/>
  <c r="B4959" i="1"/>
  <c r="J4958" i="1"/>
  <c r="C4958" i="1"/>
  <c r="B4958" i="1"/>
  <c r="J4957" i="1"/>
  <c r="C4957" i="1"/>
  <c r="B4957" i="1"/>
  <c r="J4956" i="1"/>
  <c r="C4956" i="1"/>
  <c r="B4956" i="1"/>
  <c r="J4955" i="1"/>
  <c r="C4955" i="1"/>
  <c r="B4955" i="1"/>
  <c r="J4954" i="1"/>
  <c r="C4954" i="1"/>
  <c r="B4954" i="1"/>
  <c r="J4953" i="1"/>
  <c r="C4953" i="1"/>
  <c r="B4953" i="1"/>
  <c r="J4952" i="1"/>
  <c r="C4952" i="1"/>
  <c r="B4952" i="1"/>
  <c r="J4951" i="1"/>
  <c r="C4951" i="1"/>
  <c r="B4951" i="1"/>
  <c r="J4950" i="1"/>
  <c r="C4950" i="1"/>
  <c r="B4950" i="1"/>
  <c r="J4949" i="1"/>
  <c r="C4949" i="1"/>
  <c r="B4949" i="1"/>
  <c r="J4948" i="1"/>
  <c r="C4948" i="1"/>
  <c r="B4948" i="1"/>
  <c r="J4947" i="1"/>
  <c r="C4947" i="1"/>
  <c r="B4947" i="1"/>
  <c r="J4946" i="1"/>
  <c r="C4946" i="1"/>
  <c r="B4946" i="1"/>
  <c r="J4945" i="1"/>
  <c r="C4945" i="1"/>
  <c r="B4945" i="1"/>
  <c r="J4944" i="1"/>
  <c r="C4944" i="1"/>
  <c r="B4944" i="1"/>
  <c r="J4943" i="1"/>
  <c r="C4943" i="1"/>
  <c r="B4943" i="1"/>
  <c r="J4942" i="1"/>
  <c r="C4942" i="1"/>
  <c r="B4942" i="1"/>
  <c r="J4941" i="1"/>
  <c r="C4941" i="1"/>
  <c r="B4941" i="1"/>
  <c r="J4940" i="1"/>
  <c r="C4940" i="1"/>
  <c r="B4940" i="1"/>
  <c r="J4939" i="1"/>
  <c r="C4939" i="1"/>
  <c r="B4939" i="1"/>
  <c r="J4938" i="1"/>
  <c r="C4938" i="1"/>
  <c r="B4938" i="1"/>
  <c r="J4937" i="1"/>
  <c r="C4937" i="1"/>
  <c r="B4937" i="1"/>
  <c r="J4936" i="1"/>
  <c r="C4936" i="1"/>
  <c r="B4936" i="1"/>
  <c r="J4935" i="1"/>
  <c r="C4935" i="1"/>
  <c r="B4935" i="1"/>
  <c r="J4934" i="1"/>
  <c r="C4934" i="1"/>
  <c r="B4934" i="1"/>
  <c r="J4933" i="1"/>
  <c r="C4933" i="1"/>
  <c r="B4933" i="1"/>
  <c r="J4932" i="1"/>
  <c r="C4932" i="1"/>
  <c r="B4932" i="1"/>
  <c r="J4931" i="1"/>
  <c r="C4931" i="1"/>
  <c r="B4931" i="1"/>
  <c r="J4930" i="1"/>
  <c r="C4930" i="1"/>
  <c r="B4930" i="1"/>
  <c r="J4929" i="1"/>
  <c r="C4929" i="1"/>
  <c r="B4929" i="1"/>
  <c r="J4928" i="1"/>
  <c r="C4928" i="1"/>
  <c r="B4928" i="1"/>
  <c r="J4927" i="1"/>
  <c r="C4927" i="1"/>
  <c r="B4927" i="1"/>
  <c r="J4926" i="1"/>
  <c r="C4926" i="1"/>
  <c r="B4926" i="1"/>
  <c r="J4925" i="1"/>
  <c r="C4925" i="1"/>
  <c r="B4925" i="1"/>
  <c r="J4924" i="1"/>
  <c r="C4924" i="1"/>
  <c r="B4924" i="1"/>
  <c r="J4923" i="1"/>
  <c r="C4923" i="1"/>
  <c r="B4923" i="1"/>
  <c r="J4922" i="1"/>
  <c r="C4922" i="1"/>
  <c r="B4922" i="1"/>
  <c r="J4921" i="1"/>
  <c r="C4921" i="1"/>
  <c r="B4921" i="1"/>
  <c r="J4920" i="1"/>
  <c r="C4920" i="1"/>
  <c r="B4920" i="1"/>
  <c r="J4919" i="1"/>
  <c r="C4919" i="1"/>
  <c r="B4919" i="1"/>
  <c r="J4918" i="1"/>
  <c r="C4918" i="1"/>
  <c r="B4918" i="1"/>
  <c r="J4917" i="1"/>
  <c r="C4917" i="1"/>
  <c r="B4917" i="1"/>
  <c r="J4916" i="1"/>
  <c r="C4916" i="1"/>
  <c r="B4916" i="1"/>
  <c r="J4915" i="1"/>
  <c r="C4915" i="1"/>
  <c r="B4915" i="1"/>
  <c r="J4914" i="1"/>
  <c r="C4914" i="1"/>
  <c r="B4914" i="1"/>
  <c r="J4913" i="1"/>
  <c r="C4913" i="1"/>
  <c r="B4913" i="1"/>
  <c r="J4912" i="1"/>
  <c r="C4912" i="1"/>
  <c r="B4912" i="1"/>
  <c r="J4911" i="1"/>
  <c r="C4911" i="1"/>
  <c r="B4911" i="1"/>
  <c r="J4910" i="1"/>
  <c r="C4910" i="1"/>
  <c r="B4910" i="1"/>
  <c r="J4909" i="1"/>
  <c r="C4909" i="1"/>
  <c r="B4909" i="1"/>
  <c r="J4908" i="1"/>
  <c r="C4908" i="1"/>
  <c r="B4908" i="1"/>
  <c r="J4907" i="1"/>
  <c r="C4907" i="1"/>
  <c r="B4907" i="1"/>
  <c r="J4906" i="1"/>
  <c r="C4906" i="1"/>
  <c r="B4906" i="1"/>
  <c r="J4905" i="1"/>
  <c r="C4905" i="1"/>
  <c r="B4905" i="1"/>
  <c r="J4904" i="1"/>
  <c r="C4904" i="1"/>
  <c r="B4904" i="1"/>
  <c r="J4903" i="1"/>
  <c r="C4903" i="1"/>
  <c r="B4903" i="1"/>
  <c r="J4902" i="1"/>
  <c r="C4902" i="1"/>
  <c r="B4902" i="1"/>
  <c r="J4901" i="1"/>
  <c r="C4901" i="1"/>
  <c r="B4901" i="1"/>
  <c r="J4900" i="1"/>
  <c r="C4900" i="1"/>
  <c r="B4900" i="1"/>
  <c r="J4899" i="1"/>
  <c r="C4899" i="1"/>
  <c r="B4899" i="1"/>
  <c r="J4898" i="1"/>
  <c r="C4898" i="1"/>
  <c r="B4898" i="1"/>
  <c r="J4897" i="1"/>
  <c r="C4897" i="1"/>
  <c r="B4897" i="1"/>
  <c r="J4896" i="1"/>
  <c r="C4896" i="1"/>
  <c r="B4896" i="1"/>
  <c r="J4895" i="1"/>
  <c r="C4895" i="1"/>
  <c r="B4895" i="1"/>
  <c r="J4894" i="1"/>
  <c r="C4894" i="1"/>
  <c r="B4894" i="1"/>
  <c r="J4893" i="1"/>
  <c r="C4893" i="1"/>
  <c r="B4893" i="1"/>
  <c r="J4892" i="1"/>
  <c r="C4892" i="1"/>
  <c r="B4892" i="1"/>
  <c r="J4891" i="1"/>
  <c r="C4891" i="1"/>
  <c r="B4891" i="1"/>
  <c r="J4890" i="1"/>
  <c r="C4890" i="1"/>
  <c r="B4890" i="1"/>
  <c r="J4889" i="1"/>
  <c r="C4889" i="1"/>
  <c r="B4889" i="1"/>
  <c r="J4888" i="1"/>
  <c r="C4888" i="1"/>
  <c r="B4888" i="1"/>
  <c r="J4887" i="1"/>
  <c r="C4887" i="1"/>
  <c r="B4887" i="1"/>
  <c r="J4886" i="1"/>
  <c r="C4886" i="1"/>
  <c r="B4886" i="1"/>
  <c r="J4885" i="1"/>
  <c r="C4885" i="1"/>
  <c r="B4885" i="1"/>
  <c r="J4884" i="1"/>
  <c r="C4884" i="1"/>
  <c r="B4884" i="1"/>
  <c r="J4883" i="1"/>
  <c r="C4883" i="1"/>
  <c r="B4883" i="1"/>
  <c r="J4882" i="1"/>
  <c r="C4882" i="1"/>
  <c r="B4882" i="1"/>
  <c r="J4881" i="1"/>
  <c r="C4881" i="1"/>
  <c r="B4881" i="1"/>
  <c r="J4880" i="1"/>
  <c r="C4880" i="1"/>
  <c r="B4880" i="1"/>
  <c r="J4879" i="1"/>
  <c r="C4879" i="1"/>
  <c r="B4879" i="1"/>
  <c r="J4878" i="1"/>
  <c r="C4878" i="1"/>
  <c r="B4878" i="1"/>
  <c r="J4877" i="1"/>
  <c r="C4877" i="1"/>
  <c r="B4877" i="1"/>
  <c r="J4876" i="1"/>
  <c r="C4876" i="1"/>
  <c r="B4876" i="1"/>
  <c r="J4875" i="1"/>
  <c r="C4875" i="1"/>
  <c r="B4875" i="1"/>
  <c r="J4874" i="1"/>
  <c r="C4874" i="1"/>
  <c r="B4874" i="1"/>
  <c r="J4873" i="1"/>
  <c r="C4873" i="1"/>
  <c r="B4873" i="1"/>
  <c r="J4872" i="1"/>
  <c r="C4872" i="1"/>
  <c r="B4872" i="1"/>
  <c r="J4871" i="1"/>
  <c r="C4871" i="1"/>
  <c r="B4871" i="1"/>
  <c r="J4870" i="1"/>
  <c r="C4870" i="1"/>
  <c r="B4870" i="1"/>
  <c r="J4869" i="1"/>
  <c r="C4869" i="1"/>
  <c r="B4869" i="1"/>
  <c r="J4868" i="1"/>
  <c r="C4868" i="1"/>
  <c r="B4868" i="1"/>
  <c r="J4867" i="1"/>
  <c r="C4867" i="1"/>
  <c r="B4867" i="1"/>
  <c r="J4866" i="1"/>
  <c r="C4866" i="1"/>
  <c r="B4866" i="1"/>
  <c r="J4865" i="1"/>
  <c r="C4865" i="1"/>
  <c r="B4865" i="1"/>
  <c r="J4864" i="1"/>
  <c r="C4864" i="1"/>
  <c r="B4864" i="1"/>
  <c r="J4863" i="1"/>
  <c r="C4863" i="1"/>
  <c r="B4863" i="1"/>
  <c r="J4862" i="1"/>
  <c r="C4862" i="1"/>
  <c r="B4862" i="1"/>
  <c r="J4861" i="1"/>
  <c r="C4861" i="1"/>
  <c r="B4861" i="1"/>
  <c r="J4860" i="1"/>
  <c r="C4860" i="1"/>
  <c r="B4860" i="1"/>
  <c r="J4859" i="1"/>
  <c r="C4859" i="1"/>
  <c r="B4859" i="1"/>
  <c r="J4858" i="1"/>
  <c r="C4858" i="1"/>
  <c r="B4858" i="1"/>
  <c r="J4857" i="1"/>
  <c r="C4857" i="1"/>
  <c r="B4857" i="1"/>
  <c r="J4856" i="1"/>
  <c r="C4856" i="1"/>
  <c r="B4856" i="1"/>
  <c r="J4855" i="1"/>
  <c r="C4855" i="1"/>
  <c r="B4855" i="1"/>
  <c r="J4854" i="1"/>
  <c r="C4854" i="1"/>
  <c r="B4854" i="1"/>
  <c r="J4853" i="1"/>
  <c r="C4853" i="1"/>
  <c r="B4853" i="1"/>
  <c r="J4852" i="1"/>
  <c r="C4852" i="1"/>
  <c r="B4852" i="1"/>
  <c r="J4851" i="1"/>
  <c r="C4851" i="1"/>
  <c r="B4851" i="1"/>
  <c r="J4850" i="1"/>
  <c r="C4850" i="1"/>
  <c r="B4850" i="1"/>
  <c r="J4849" i="1"/>
  <c r="C4849" i="1"/>
  <c r="B4849" i="1"/>
  <c r="J4848" i="1"/>
  <c r="C4848" i="1"/>
  <c r="B4848" i="1"/>
  <c r="J4847" i="1"/>
  <c r="C4847" i="1"/>
  <c r="B4847" i="1"/>
  <c r="J4846" i="1"/>
  <c r="C4846" i="1"/>
  <c r="B4846" i="1"/>
  <c r="J4845" i="1"/>
  <c r="C4845" i="1"/>
  <c r="B4845" i="1"/>
  <c r="J4844" i="1"/>
  <c r="C4844" i="1"/>
  <c r="B4844" i="1"/>
  <c r="J4843" i="1"/>
  <c r="C4843" i="1"/>
  <c r="B4843" i="1"/>
  <c r="J4842" i="1"/>
  <c r="C4842" i="1"/>
  <c r="B4842" i="1"/>
  <c r="J4841" i="1"/>
  <c r="C4841" i="1"/>
  <c r="B4841" i="1"/>
  <c r="J4840" i="1"/>
  <c r="C4840" i="1"/>
  <c r="B4840" i="1"/>
  <c r="J4839" i="1"/>
  <c r="C4839" i="1"/>
  <c r="B4839" i="1"/>
  <c r="J4838" i="1"/>
  <c r="C4838" i="1"/>
  <c r="B4838" i="1"/>
  <c r="J4837" i="1"/>
  <c r="C4837" i="1"/>
  <c r="B4837" i="1"/>
  <c r="J4836" i="1"/>
  <c r="C4836" i="1"/>
  <c r="B4836" i="1"/>
  <c r="J4835" i="1"/>
  <c r="C4835" i="1"/>
  <c r="B4835" i="1"/>
  <c r="J4834" i="1"/>
  <c r="C4834" i="1"/>
  <c r="B4834" i="1"/>
  <c r="J4833" i="1"/>
  <c r="C4833" i="1"/>
  <c r="B4833" i="1"/>
  <c r="J4832" i="1"/>
  <c r="C4832" i="1"/>
  <c r="B4832" i="1"/>
  <c r="J4831" i="1"/>
  <c r="C4831" i="1"/>
  <c r="B4831" i="1"/>
  <c r="J4830" i="1"/>
  <c r="C4830" i="1"/>
  <c r="B4830" i="1"/>
  <c r="J4829" i="1"/>
  <c r="C4829" i="1"/>
  <c r="B4829" i="1"/>
  <c r="J4828" i="1"/>
  <c r="C4828" i="1"/>
  <c r="B4828" i="1"/>
  <c r="J4827" i="1"/>
  <c r="C4827" i="1"/>
  <c r="B4827" i="1"/>
  <c r="J4826" i="1"/>
  <c r="C4826" i="1"/>
  <c r="B4826" i="1"/>
  <c r="J4825" i="1"/>
  <c r="C4825" i="1"/>
  <c r="B4825" i="1"/>
  <c r="J4824" i="1"/>
  <c r="C4824" i="1"/>
  <c r="B4824" i="1"/>
  <c r="J4823" i="1"/>
  <c r="C4823" i="1"/>
  <c r="B4823" i="1"/>
  <c r="J4822" i="1"/>
  <c r="C4822" i="1"/>
  <c r="B4822" i="1"/>
  <c r="J4821" i="1"/>
  <c r="C4821" i="1"/>
  <c r="B4821" i="1"/>
  <c r="J4820" i="1"/>
  <c r="C4820" i="1"/>
  <c r="B4820" i="1"/>
  <c r="J4819" i="1"/>
  <c r="C4819" i="1"/>
  <c r="B4819" i="1"/>
  <c r="J4818" i="1"/>
  <c r="C4818" i="1"/>
  <c r="B4818" i="1"/>
  <c r="J4817" i="1"/>
  <c r="C4817" i="1"/>
  <c r="B4817" i="1"/>
  <c r="J4816" i="1"/>
  <c r="C4816" i="1"/>
  <c r="B4816" i="1"/>
  <c r="J4815" i="1"/>
  <c r="C4815" i="1"/>
  <c r="B4815" i="1"/>
  <c r="J4814" i="1"/>
  <c r="C4814" i="1"/>
  <c r="B4814" i="1"/>
  <c r="J4813" i="1"/>
  <c r="C4813" i="1"/>
  <c r="B4813" i="1"/>
  <c r="J4812" i="1"/>
  <c r="C4812" i="1"/>
  <c r="B4812" i="1"/>
  <c r="J4811" i="1"/>
  <c r="C4811" i="1"/>
  <c r="B4811" i="1"/>
  <c r="J4810" i="1"/>
  <c r="C4810" i="1"/>
  <c r="B4810" i="1"/>
  <c r="J4809" i="1"/>
  <c r="C4809" i="1"/>
  <c r="B4809" i="1"/>
  <c r="J4808" i="1"/>
  <c r="C4808" i="1"/>
  <c r="B4808" i="1"/>
  <c r="J4807" i="1"/>
  <c r="C4807" i="1"/>
  <c r="B4807" i="1"/>
  <c r="J4806" i="1"/>
  <c r="C4806" i="1"/>
  <c r="B4806" i="1"/>
  <c r="J4805" i="1"/>
  <c r="C4805" i="1"/>
  <c r="B4805" i="1"/>
  <c r="J4804" i="1"/>
  <c r="C4804" i="1"/>
  <c r="B4804" i="1"/>
  <c r="J4803" i="1"/>
  <c r="C4803" i="1"/>
  <c r="B4803" i="1"/>
  <c r="J4802" i="1"/>
  <c r="C4802" i="1"/>
  <c r="B4802" i="1"/>
  <c r="J4801" i="1"/>
  <c r="C4801" i="1"/>
  <c r="B4801" i="1"/>
  <c r="J4800" i="1"/>
  <c r="C4800" i="1"/>
  <c r="B4800" i="1"/>
  <c r="J4799" i="1"/>
  <c r="C4799" i="1"/>
  <c r="B4799" i="1"/>
  <c r="J4798" i="1"/>
  <c r="C4798" i="1"/>
  <c r="B4798" i="1"/>
  <c r="J4797" i="1"/>
  <c r="C4797" i="1"/>
  <c r="B4797" i="1"/>
  <c r="J4796" i="1"/>
  <c r="C4796" i="1"/>
  <c r="B4796" i="1"/>
  <c r="J4795" i="1"/>
  <c r="C4795" i="1"/>
  <c r="B4795" i="1"/>
  <c r="J4794" i="1"/>
  <c r="C4794" i="1"/>
  <c r="B4794" i="1"/>
  <c r="J4793" i="1"/>
  <c r="C4793" i="1"/>
  <c r="B4793" i="1"/>
  <c r="J4792" i="1"/>
  <c r="C4792" i="1"/>
  <c r="B4792" i="1"/>
  <c r="J4791" i="1"/>
  <c r="C4791" i="1"/>
  <c r="B4791" i="1"/>
  <c r="J4790" i="1"/>
  <c r="C4790" i="1"/>
  <c r="B4790" i="1"/>
  <c r="J4789" i="1"/>
  <c r="C4789" i="1"/>
  <c r="B4789" i="1"/>
  <c r="J4788" i="1"/>
  <c r="C4788" i="1"/>
  <c r="B4788" i="1"/>
  <c r="J4787" i="1"/>
  <c r="C4787" i="1"/>
  <c r="B4787" i="1"/>
  <c r="J4786" i="1"/>
  <c r="C4786" i="1"/>
  <c r="B4786" i="1"/>
  <c r="J4785" i="1"/>
  <c r="C4785" i="1"/>
  <c r="B4785" i="1"/>
  <c r="J4784" i="1"/>
  <c r="C4784" i="1"/>
  <c r="B4784" i="1"/>
  <c r="J4783" i="1"/>
  <c r="C4783" i="1"/>
  <c r="B4783" i="1"/>
  <c r="J4782" i="1"/>
  <c r="C4782" i="1"/>
  <c r="B4782" i="1"/>
  <c r="J4781" i="1"/>
  <c r="C4781" i="1"/>
  <c r="B4781" i="1"/>
  <c r="J4780" i="1"/>
  <c r="C4780" i="1"/>
  <c r="B4780" i="1"/>
  <c r="J4779" i="1"/>
  <c r="C4779" i="1"/>
  <c r="B4779" i="1"/>
  <c r="J4778" i="1"/>
  <c r="C4778" i="1"/>
  <c r="B4778" i="1"/>
  <c r="J4777" i="1"/>
  <c r="C4777" i="1"/>
  <c r="B4777" i="1"/>
  <c r="J4776" i="1"/>
  <c r="C4776" i="1"/>
  <c r="B4776" i="1"/>
  <c r="J4775" i="1"/>
  <c r="C4775" i="1"/>
  <c r="B4775" i="1"/>
  <c r="J4774" i="1"/>
  <c r="C4774" i="1"/>
  <c r="B4774" i="1"/>
  <c r="J4773" i="1"/>
  <c r="C4773" i="1"/>
  <c r="B4773" i="1"/>
  <c r="J4772" i="1"/>
  <c r="C4772" i="1"/>
  <c r="B4772" i="1"/>
  <c r="J4771" i="1"/>
  <c r="C4771" i="1"/>
  <c r="B4771" i="1"/>
  <c r="J4770" i="1"/>
  <c r="C4770" i="1"/>
  <c r="B4770" i="1"/>
  <c r="J4769" i="1"/>
  <c r="C4769" i="1"/>
  <c r="B4769" i="1"/>
  <c r="J4768" i="1"/>
  <c r="C4768" i="1"/>
  <c r="B4768" i="1"/>
  <c r="J4767" i="1"/>
  <c r="C4767" i="1"/>
  <c r="B4767" i="1"/>
  <c r="J4766" i="1"/>
  <c r="C4766" i="1"/>
  <c r="B4766" i="1"/>
  <c r="J4765" i="1"/>
  <c r="C4765" i="1"/>
  <c r="B4765" i="1"/>
  <c r="J4764" i="1"/>
  <c r="C4764" i="1"/>
  <c r="B4764" i="1"/>
  <c r="J4763" i="1"/>
  <c r="C4763" i="1"/>
  <c r="B4763" i="1"/>
  <c r="J4762" i="1"/>
  <c r="C4762" i="1"/>
  <c r="B4762" i="1"/>
  <c r="J4761" i="1"/>
  <c r="C4761" i="1"/>
  <c r="B4761" i="1"/>
  <c r="J4760" i="1"/>
  <c r="C4760" i="1"/>
  <c r="B4760" i="1"/>
  <c r="J4759" i="1"/>
  <c r="C4759" i="1"/>
  <c r="B4759" i="1"/>
  <c r="J4758" i="1"/>
  <c r="C4758" i="1"/>
  <c r="B4758" i="1"/>
  <c r="J4757" i="1"/>
  <c r="C4757" i="1"/>
  <c r="B4757" i="1"/>
  <c r="J4756" i="1"/>
  <c r="C4756" i="1"/>
  <c r="B4756" i="1"/>
  <c r="J4755" i="1"/>
  <c r="C4755" i="1"/>
  <c r="B4755" i="1"/>
  <c r="J4754" i="1"/>
  <c r="C4754" i="1"/>
  <c r="B4754" i="1"/>
  <c r="J4753" i="1"/>
  <c r="C4753" i="1"/>
  <c r="B4753" i="1"/>
  <c r="J4752" i="1"/>
  <c r="C4752" i="1"/>
  <c r="B4752" i="1"/>
  <c r="J4751" i="1"/>
  <c r="C4751" i="1"/>
  <c r="B4751" i="1"/>
  <c r="J4750" i="1"/>
  <c r="C4750" i="1"/>
  <c r="B4750" i="1"/>
  <c r="J4749" i="1"/>
  <c r="C4749" i="1"/>
  <c r="B4749" i="1"/>
  <c r="J4748" i="1"/>
  <c r="C4748" i="1"/>
  <c r="B4748" i="1"/>
  <c r="J4747" i="1"/>
  <c r="C4747" i="1"/>
  <c r="B4747" i="1"/>
  <c r="J4746" i="1"/>
  <c r="C4746" i="1"/>
  <c r="B4746" i="1"/>
  <c r="J4745" i="1"/>
  <c r="C4745" i="1"/>
  <c r="B4745" i="1"/>
  <c r="J4744" i="1"/>
  <c r="C4744" i="1"/>
  <c r="B4744" i="1"/>
  <c r="J4743" i="1"/>
  <c r="C4743" i="1"/>
  <c r="B4743" i="1"/>
  <c r="J4742" i="1"/>
  <c r="C4742" i="1"/>
  <c r="B4742" i="1"/>
  <c r="J4741" i="1"/>
  <c r="C4741" i="1"/>
  <c r="B4741" i="1"/>
  <c r="J4740" i="1"/>
  <c r="C4740" i="1"/>
  <c r="B4740" i="1"/>
  <c r="J4739" i="1"/>
  <c r="C4739" i="1"/>
  <c r="B4739" i="1"/>
  <c r="J4738" i="1"/>
  <c r="C4738" i="1"/>
  <c r="B4738" i="1"/>
  <c r="J4737" i="1"/>
  <c r="C4737" i="1"/>
  <c r="B4737" i="1"/>
  <c r="J4736" i="1"/>
  <c r="C4736" i="1"/>
  <c r="B4736" i="1"/>
  <c r="J4735" i="1"/>
  <c r="C4735" i="1"/>
  <c r="B4735" i="1"/>
  <c r="J4734" i="1"/>
  <c r="C4734" i="1"/>
  <c r="B4734" i="1"/>
  <c r="J4733" i="1"/>
  <c r="C4733" i="1"/>
  <c r="B4733" i="1"/>
  <c r="J4732" i="1"/>
  <c r="C4732" i="1"/>
  <c r="B4732" i="1"/>
  <c r="J4731" i="1"/>
  <c r="C4731" i="1"/>
  <c r="B4731" i="1"/>
  <c r="J4730" i="1"/>
  <c r="C4730" i="1"/>
  <c r="B4730" i="1"/>
  <c r="J4729" i="1"/>
  <c r="C4729" i="1"/>
  <c r="B4729" i="1"/>
  <c r="J4728" i="1"/>
  <c r="C4728" i="1"/>
  <c r="B4728" i="1"/>
  <c r="J4727" i="1"/>
  <c r="C4727" i="1"/>
  <c r="B4727" i="1"/>
  <c r="J4726" i="1"/>
  <c r="C4726" i="1"/>
  <c r="B4726" i="1"/>
  <c r="J4725" i="1"/>
  <c r="C4725" i="1"/>
  <c r="B4725" i="1"/>
  <c r="J4724" i="1"/>
  <c r="C4724" i="1"/>
  <c r="B4724" i="1"/>
  <c r="J4723" i="1"/>
  <c r="C4723" i="1"/>
  <c r="B4723" i="1"/>
  <c r="J4722" i="1"/>
  <c r="C4722" i="1"/>
  <c r="B4722" i="1"/>
  <c r="J4721" i="1"/>
  <c r="C4721" i="1"/>
  <c r="B4721" i="1"/>
  <c r="J4720" i="1"/>
  <c r="C4720" i="1"/>
  <c r="B4720" i="1"/>
  <c r="J4719" i="1"/>
  <c r="C4719" i="1"/>
  <c r="B4719" i="1"/>
  <c r="J4718" i="1"/>
  <c r="C4718" i="1"/>
  <c r="B4718" i="1"/>
  <c r="J4717" i="1"/>
  <c r="C4717" i="1"/>
  <c r="B4717" i="1"/>
  <c r="J4716" i="1"/>
  <c r="C4716" i="1"/>
  <c r="B4716" i="1"/>
  <c r="J4715" i="1"/>
  <c r="C4715" i="1"/>
  <c r="B4715" i="1"/>
  <c r="J4714" i="1"/>
  <c r="C4714" i="1"/>
  <c r="B4714" i="1"/>
  <c r="J4713" i="1"/>
  <c r="C4713" i="1"/>
  <c r="B4713" i="1"/>
  <c r="J4712" i="1"/>
  <c r="C4712" i="1"/>
  <c r="B4712" i="1"/>
  <c r="J4711" i="1"/>
  <c r="C4711" i="1"/>
  <c r="B4711" i="1"/>
  <c r="J4710" i="1"/>
  <c r="C4710" i="1"/>
  <c r="B4710" i="1"/>
  <c r="J4709" i="1"/>
  <c r="C4709" i="1"/>
  <c r="B4709" i="1"/>
  <c r="J4708" i="1"/>
  <c r="C4708" i="1"/>
  <c r="B4708" i="1"/>
  <c r="J4707" i="1"/>
  <c r="C4707" i="1"/>
  <c r="B4707" i="1"/>
  <c r="J4706" i="1"/>
  <c r="C4706" i="1"/>
  <c r="B4706" i="1"/>
  <c r="J4705" i="1"/>
  <c r="C4705" i="1"/>
  <c r="B4705" i="1"/>
  <c r="J4704" i="1"/>
  <c r="C4704" i="1"/>
  <c r="B4704" i="1"/>
  <c r="J4703" i="1"/>
  <c r="C4703" i="1"/>
  <c r="B4703" i="1"/>
  <c r="J4702" i="1"/>
  <c r="C4702" i="1"/>
  <c r="B4702" i="1"/>
  <c r="J4701" i="1"/>
  <c r="C4701" i="1"/>
  <c r="B4701" i="1"/>
  <c r="J4700" i="1"/>
  <c r="C4700" i="1"/>
  <c r="B4700" i="1"/>
  <c r="J4699" i="1"/>
  <c r="C4699" i="1"/>
  <c r="B4699" i="1"/>
  <c r="J4698" i="1"/>
  <c r="C4698" i="1"/>
  <c r="B4698" i="1"/>
  <c r="J4697" i="1"/>
  <c r="C4697" i="1"/>
  <c r="B4697" i="1"/>
  <c r="J4696" i="1"/>
  <c r="C4696" i="1"/>
  <c r="B4696" i="1"/>
  <c r="J4695" i="1"/>
  <c r="C4695" i="1"/>
  <c r="B4695" i="1"/>
  <c r="J4694" i="1"/>
  <c r="C4694" i="1"/>
  <c r="B4694" i="1"/>
  <c r="J4693" i="1"/>
  <c r="C4693" i="1"/>
  <c r="B4693" i="1"/>
  <c r="J4692" i="1"/>
  <c r="C4692" i="1"/>
  <c r="B4692" i="1"/>
  <c r="J4691" i="1"/>
  <c r="C4691" i="1"/>
  <c r="B4691" i="1"/>
  <c r="J4690" i="1"/>
  <c r="C4690" i="1"/>
  <c r="B4690" i="1"/>
  <c r="J4689" i="1"/>
  <c r="C4689" i="1"/>
  <c r="B4689" i="1"/>
  <c r="J4688" i="1"/>
  <c r="C4688" i="1"/>
  <c r="B4688" i="1"/>
  <c r="J4687" i="1"/>
  <c r="C4687" i="1"/>
  <c r="B4687" i="1"/>
  <c r="J4686" i="1"/>
  <c r="C4686" i="1"/>
  <c r="B4686" i="1"/>
  <c r="J4685" i="1"/>
  <c r="C4685" i="1"/>
  <c r="B4685" i="1"/>
  <c r="J4684" i="1"/>
  <c r="C4684" i="1"/>
  <c r="B4684" i="1"/>
  <c r="J4683" i="1"/>
  <c r="C4683" i="1"/>
  <c r="B4683" i="1"/>
  <c r="J4682" i="1"/>
  <c r="C4682" i="1"/>
  <c r="B4682" i="1"/>
  <c r="J4681" i="1"/>
  <c r="C4681" i="1"/>
  <c r="B4681" i="1"/>
  <c r="J4680" i="1"/>
  <c r="C4680" i="1"/>
  <c r="B4680" i="1"/>
  <c r="J4679" i="1"/>
  <c r="C4679" i="1"/>
  <c r="B4679" i="1"/>
  <c r="J4678" i="1"/>
  <c r="C4678" i="1"/>
  <c r="B4678" i="1"/>
  <c r="J4677" i="1"/>
  <c r="C4677" i="1"/>
  <c r="B4677" i="1"/>
  <c r="J4676" i="1"/>
  <c r="C4676" i="1"/>
  <c r="B4676" i="1"/>
  <c r="J4675" i="1"/>
  <c r="C4675" i="1"/>
  <c r="B4675" i="1"/>
  <c r="J4674" i="1"/>
  <c r="C4674" i="1"/>
  <c r="B4674" i="1"/>
  <c r="J4673" i="1"/>
  <c r="C4673" i="1"/>
  <c r="B4673" i="1"/>
  <c r="J4672" i="1"/>
  <c r="C4672" i="1"/>
  <c r="B4672" i="1"/>
  <c r="J4671" i="1"/>
  <c r="C4671" i="1"/>
  <c r="B4671" i="1"/>
  <c r="J4670" i="1"/>
  <c r="C4670" i="1"/>
  <c r="B4670" i="1"/>
  <c r="J4669" i="1"/>
  <c r="C4669" i="1"/>
  <c r="B4669" i="1"/>
  <c r="J4668" i="1"/>
  <c r="C4668" i="1"/>
  <c r="B4668" i="1"/>
  <c r="J4667" i="1"/>
  <c r="C4667" i="1"/>
  <c r="B4667" i="1"/>
  <c r="J4666" i="1"/>
  <c r="C4666" i="1"/>
  <c r="B4666" i="1"/>
  <c r="J4665" i="1"/>
  <c r="C4665" i="1"/>
  <c r="B4665" i="1"/>
  <c r="J4664" i="1"/>
  <c r="C4664" i="1"/>
  <c r="B4664" i="1"/>
  <c r="J4663" i="1"/>
  <c r="C4663" i="1"/>
  <c r="B4663" i="1"/>
  <c r="J4662" i="1"/>
  <c r="C4662" i="1"/>
  <c r="B4662" i="1"/>
  <c r="J4661" i="1"/>
  <c r="C4661" i="1"/>
  <c r="B4661" i="1"/>
  <c r="J4660" i="1"/>
  <c r="C4660" i="1"/>
  <c r="B4660" i="1"/>
  <c r="J4659" i="1"/>
  <c r="C4659" i="1"/>
  <c r="B4659" i="1"/>
  <c r="J4658" i="1"/>
  <c r="C4658" i="1"/>
  <c r="B4658" i="1"/>
  <c r="J4657" i="1"/>
  <c r="C4657" i="1"/>
  <c r="B4657" i="1"/>
  <c r="J4656" i="1"/>
  <c r="C4656" i="1"/>
  <c r="B4656" i="1"/>
  <c r="J4655" i="1"/>
  <c r="C4655" i="1"/>
  <c r="B4655" i="1"/>
  <c r="J4654" i="1"/>
  <c r="C4654" i="1"/>
  <c r="B4654" i="1"/>
  <c r="J4653" i="1"/>
  <c r="C4653" i="1"/>
  <c r="B4653" i="1"/>
  <c r="J4652" i="1"/>
  <c r="C4652" i="1"/>
  <c r="B4652" i="1"/>
  <c r="J4651" i="1"/>
  <c r="C4651" i="1"/>
  <c r="B4651" i="1"/>
  <c r="J4650" i="1"/>
  <c r="C4650" i="1"/>
  <c r="B4650" i="1"/>
  <c r="J4649" i="1"/>
  <c r="C4649" i="1"/>
  <c r="B4649" i="1"/>
  <c r="J4648" i="1"/>
  <c r="C4648" i="1"/>
  <c r="B4648" i="1"/>
  <c r="J4647" i="1"/>
  <c r="C4647" i="1"/>
  <c r="B4647" i="1"/>
  <c r="J4646" i="1"/>
  <c r="C4646" i="1"/>
  <c r="B4646" i="1"/>
  <c r="J4645" i="1"/>
  <c r="C4645" i="1"/>
  <c r="B4645" i="1"/>
  <c r="J4644" i="1"/>
  <c r="C4644" i="1"/>
  <c r="B4644" i="1"/>
  <c r="J4643" i="1"/>
  <c r="C4643" i="1"/>
  <c r="B4643" i="1"/>
  <c r="J4642" i="1"/>
  <c r="C4642" i="1"/>
  <c r="B4642" i="1"/>
  <c r="J4641" i="1"/>
  <c r="C4641" i="1"/>
  <c r="B4641" i="1"/>
  <c r="J4640" i="1"/>
  <c r="C4640" i="1"/>
  <c r="B4640" i="1"/>
  <c r="J4639" i="1"/>
  <c r="C4639" i="1"/>
  <c r="B4639" i="1"/>
  <c r="J4638" i="1"/>
  <c r="C4638" i="1"/>
  <c r="B4638" i="1"/>
  <c r="J4637" i="1"/>
  <c r="C4637" i="1"/>
  <c r="B4637" i="1"/>
  <c r="J4636" i="1"/>
  <c r="C4636" i="1"/>
  <c r="B4636" i="1"/>
  <c r="J4635" i="1"/>
  <c r="C4635" i="1"/>
  <c r="B4635" i="1"/>
  <c r="J4634" i="1"/>
  <c r="C4634" i="1"/>
  <c r="B4634" i="1"/>
  <c r="J4633" i="1"/>
  <c r="C4633" i="1"/>
  <c r="B4633" i="1"/>
  <c r="J4632" i="1"/>
  <c r="C4632" i="1"/>
  <c r="B4632" i="1"/>
  <c r="J4631" i="1"/>
  <c r="C4631" i="1"/>
  <c r="B4631" i="1"/>
  <c r="J4630" i="1"/>
  <c r="C4630" i="1"/>
  <c r="B4630" i="1"/>
  <c r="J4629" i="1"/>
  <c r="C4629" i="1"/>
  <c r="B4629" i="1"/>
  <c r="J4628" i="1"/>
  <c r="C4628" i="1"/>
  <c r="B4628" i="1"/>
  <c r="J4627" i="1"/>
  <c r="C4627" i="1"/>
  <c r="B4627" i="1"/>
  <c r="J4626" i="1"/>
  <c r="C4626" i="1"/>
  <c r="B4626" i="1"/>
  <c r="J4625" i="1"/>
  <c r="C4625" i="1"/>
  <c r="B4625" i="1"/>
  <c r="J4624" i="1"/>
  <c r="C4624" i="1"/>
  <c r="B4624" i="1"/>
  <c r="J4623" i="1"/>
  <c r="C4623" i="1"/>
  <c r="B4623" i="1"/>
  <c r="J4622" i="1"/>
  <c r="C4622" i="1"/>
  <c r="B4622" i="1"/>
  <c r="J4621" i="1"/>
  <c r="C4621" i="1"/>
  <c r="B4621" i="1"/>
  <c r="J4620" i="1"/>
  <c r="C4620" i="1"/>
  <c r="B4620" i="1"/>
  <c r="J4619" i="1"/>
  <c r="C4619" i="1"/>
  <c r="B4619" i="1"/>
  <c r="J4618" i="1"/>
  <c r="C4618" i="1"/>
  <c r="B4618" i="1"/>
  <c r="J4617" i="1"/>
  <c r="C4617" i="1"/>
  <c r="B4617" i="1"/>
  <c r="J4616" i="1"/>
  <c r="C4616" i="1"/>
  <c r="B4616" i="1"/>
  <c r="J4615" i="1"/>
  <c r="C4615" i="1"/>
  <c r="B4615" i="1"/>
  <c r="J4614" i="1"/>
  <c r="C4614" i="1"/>
  <c r="B4614" i="1"/>
  <c r="J4613" i="1"/>
  <c r="C4613" i="1"/>
  <c r="B4613" i="1"/>
  <c r="J4612" i="1"/>
  <c r="C4612" i="1"/>
  <c r="B4612" i="1"/>
  <c r="J4611" i="1"/>
  <c r="C4611" i="1"/>
  <c r="B4611" i="1"/>
  <c r="J4610" i="1"/>
  <c r="C4610" i="1"/>
  <c r="B4610" i="1"/>
  <c r="J4609" i="1"/>
  <c r="C4609" i="1"/>
  <c r="B4609" i="1"/>
  <c r="J4608" i="1"/>
  <c r="C4608" i="1"/>
  <c r="B4608" i="1"/>
  <c r="J4607" i="1"/>
  <c r="C4607" i="1"/>
  <c r="B4607" i="1"/>
  <c r="J4606" i="1"/>
  <c r="C4606" i="1"/>
  <c r="B4606" i="1"/>
  <c r="J4605" i="1"/>
  <c r="C4605" i="1"/>
  <c r="B4605" i="1"/>
  <c r="J4604" i="1"/>
  <c r="C4604" i="1"/>
  <c r="B4604" i="1"/>
  <c r="J4603" i="1"/>
  <c r="C4603" i="1"/>
  <c r="B4603" i="1"/>
  <c r="J4602" i="1"/>
  <c r="C4602" i="1"/>
  <c r="B4602" i="1"/>
  <c r="J4601" i="1"/>
  <c r="C4601" i="1"/>
  <c r="B4601" i="1"/>
  <c r="J4600" i="1"/>
  <c r="C4600" i="1"/>
  <c r="B4600" i="1"/>
  <c r="J4599" i="1"/>
  <c r="C4599" i="1"/>
  <c r="B4599" i="1"/>
  <c r="J4598" i="1"/>
  <c r="C4598" i="1"/>
  <c r="B4598" i="1"/>
  <c r="J4597" i="1"/>
  <c r="C4597" i="1"/>
  <c r="B4597" i="1"/>
  <c r="J4596" i="1"/>
  <c r="C4596" i="1"/>
  <c r="B4596" i="1"/>
  <c r="J4595" i="1"/>
  <c r="C4595" i="1"/>
  <c r="B4595" i="1"/>
  <c r="J4594" i="1"/>
  <c r="C4594" i="1"/>
  <c r="B4594" i="1"/>
  <c r="J4593" i="1"/>
  <c r="C4593" i="1"/>
  <c r="B4593" i="1"/>
  <c r="J4592" i="1"/>
  <c r="C4592" i="1"/>
  <c r="B4592" i="1"/>
  <c r="J4591" i="1"/>
  <c r="C4591" i="1"/>
  <c r="B4591" i="1"/>
  <c r="J4590" i="1"/>
  <c r="C4590" i="1"/>
  <c r="B4590" i="1"/>
  <c r="J4589" i="1"/>
  <c r="C4589" i="1"/>
  <c r="B4589" i="1"/>
  <c r="J4588" i="1"/>
  <c r="C4588" i="1"/>
  <c r="B4588" i="1"/>
  <c r="J4587" i="1"/>
  <c r="C4587" i="1"/>
  <c r="B4587" i="1"/>
  <c r="J4586" i="1"/>
  <c r="C4586" i="1"/>
  <c r="B4586" i="1"/>
  <c r="J4585" i="1"/>
  <c r="C4585" i="1"/>
  <c r="B4585" i="1"/>
  <c r="J4584" i="1"/>
  <c r="C4584" i="1"/>
  <c r="B4584" i="1"/>
  <c r="J4583" i="1"/>
  <c r="C4583" i="1"/>
  <c r="B4583" i="1"/>
  <c r="J4582" i="1"/>
  <c r="C4582" i="1"/>
  <c r="B4582" i="1"/>
  <c r="J4581" i="1"/>
  <c r="C4581" i="1"/>
  <c r="B4581" i="1"/>
  <c r="J4580" i="1"/>
  <c r="C4580" i="1"/>
  <c r="B4580" i="1"/>
  <c r="J4579" i="1"/>
  <c r="C4579" i="1"/>
  <c r="B4579" i="1"/>
  <c r="J4578" i="1"/>
  <c r="C4578" i="1"/>
  <c r="B4578" i="1"/>
  <c r="J4577" i="1"/>
  <c r="C4577" i="1"/>
  <c r="B4577" i="1"/>
  <c r="J4576" i="1"/>
  <c r="C4576" i="1"/>
  <c r="B4576" i="1"/>
  <c r="J4575" i="1"/>
  <c r="C4575" i="1"/>
  <c r="B4575" i="1"/>
  <c r="J4574" i="1"/>
  <c r="C4574" i="1"/>
  <c r="B4574" i="1"/>
  <c r="J4573" i="1"/>
  <c r="C4573" i="1"/>
  <c r="B4573" i="1"/>
  <c r="J4572" i="1"/>
  <c r="C4572" i="1"/>
  <c r="B4572" i="1"/>
  <c r="J4571" i="1"/>
  <c r="C4571" i="1"/>
  <c r="B4571" i="1"/>
  <c r="J4570" i="1"/>
  <c r="C4570" i="1"/>
  <c r="B4570" i="1"/>
  <c r="J4569" i="1"/>
  <c r="C4569" i="1"/>
  <c r="B4569" i="1"/>
  <c r="J4568" i="1"/>
  <c r="C4568" i="1"/>
  <c r="B4568" i="1"/>
  <c r="J4567" i="1"/>
  <c r="C4567" i="1"/>
  <c r="B4567" i="1"/>
  <c r="J4566" i="1"/>
  <c r="C4566" i="1"/>
  <c r="B4566" i="1"/>
  <c r="J4565" i="1"/>
  <c r="C4565" i="1"/>
  <c r="B4565" i="1"/>
  <c r="J4564" i="1"/>
  <c r="C4564" i="1"/>
  <c r="B4564" i="1"/>
  <c r="J4563" i="1"/>
  <c r="C4563" i="1"/>
  <c r="B4563" i="1"/>
  <c r="J4562" i="1"/>
  <c r="C4562" i="1"/>
  <c r="B4562" i="1"/>
  <c r="J4561" i="1"/>
  <c r="C4561" i="1"/>
  <c r="B4561" i="1"/>
  <c r="J4560" i="1"/>
  <c r="C4560" i="1"/>
  <c r="B4560" i="1"/>
  <c r="J4559" i="1"/>
  <c r="C4559" i="1"/>
  <c r="B4559" i="1"/>
  <c r="J4558" i="1"/>
  <c r="C4558" i="1"/>
  <c r="B4558" i="1"/>
  <c r="J4557" i="1"/>
  <c r="C4557" i="1"/>
  <c r="B4557" i="1"/>
  <c r="J4556" i="1"/>
  <c r="C4556" i="1"/>
  <c r="B4556" i="1"/>
  <c r="J4555" i="1"/>
  <c r="C4555" i="1"/>
  <c r="B4555" i="1"/>
  <c r="J4554" i="1"/>
  <c r="C4554" i="1"/>
  <c r="B4554" i="1"/>
  <c r="J4553" i="1"/>
  <c r="C4553" i="1"/>
  <c r="B4553" i="1"/>
  <c r="J4552" i="1"/>
  <c r="C4552" i="1"/>
  <c r="B4552" i="1"/>
  <c r="J4551" i="1"/>
  <c r="C4551" i="1"/>
  <c r="B4551" i="1"/>
  <c r="J4550" i="1"/>
  <c r="C4550" i="1"/>
  <c r="B4550" i="1"/>
  <c r="J4549" i="1"/>
  <c r="C4549" i="1"/>
  <c r="B4549" i="1"/>
  <c r="J4548" i="1"/>
  <c r="C4548" i="1"/>
  <c r="B4548" i="1"/>
  <c r="J4547" i="1"/>
  <c r="C4547" i="1"/>
  <c r="B4547" i="1"/>
  <c r="J4546" i="1"/>
  <c r="C4546" i="1"/>
  <c r="B4546" i="1"/>
  <c r="J4545" i="1"/>
  <c r="C4545" i="1"/>
  <c r="B4545" i="1"/>
  <c r="J4544" i="1"/>
  <c r="C4544" i="1"/>
  <c r="B4544" i="1"/>
  <c r="J4543" i="1"/>
  <c r="C4543" i="1"/>
  <c r="B4543" i="1"/>
  <c r="J4542" i="1"/>
  <c r="C4542" i="1"/>
  <c r="B4542" i="1"/>
  <c r="J4541" i="1"/>
  <c r="C4541" i="1"/>
  <c r="B4541" i="1"/>
  <c r="J4540" i="1"/>
  <c r="C4540" i="1"/>
  <c r="B4540" i="1"/>
  <c r="J4539" i="1"/>
  <c r="C4539" i="1"/>
  <c r="B4539" i="1"/>
  <c r="J4538" i="1"/>
  <c r="C4538" i="1"/>
  <c r="B4538" i="1"/>
  <c r="J4537" i="1"/>
  <c r="C4537" i="1"/>
  <c r="B4537" i="1"/>
  <c r="J4536" i="1"/>
  <c r="C4536" i="1"/>
  <c r="B4536" i="1"/>
  <c r="J4535" i="1"/>
  <c r="C4535" i="1"/>
  <c r="B4535" i="1"/>
  <c r="J4534" i="1"/>
  <c r="C4534" i="1"/>
  <c r="B4534" i="1"/>
  <c r="J4533" i="1"/>
  <c r="C4533" i="1"/>
  <c r="B4533" i="1"/>
  <c r="J4532" i="1"/>
  <c r="C4532" i="1"/>
  <c r="B4532" i="1"/>
  <c r="J4531" i="1"/>
  <c r="C4531" i="1"/>
  <c r="B4531" i="1"/>
  <c r="J4530" i="1"/>
  <c r="C4530" i="1"/>
  <c r="B4530" i="1"/>
  <c r="J4529" i="1"/>
  <c r="C4529" i="1"/>
  <c r="B4529" i="1"/>
  <c r="J4528" i="1"/>
  <c r="C4528" i="1"/>
  <c r="B4528" i="1"/>
  <c r="J4527" i="1"/>
  <c r="C4527" i="1"/>
  <c r="B4527" i="1"/>
  <c r="J4526" i="1"/>
  <c r="C4526" i="1"/>
  <c r="B4526" i="1"/>
  <c r="J4525" i="1"/>
  <c r="C4525" i="1"/>
  <c r="B4525" i="1"/>
  <c r="J4524" i="1"/>
  <c r="C4524" i="1"/>
  <c r="B4524" i="1"/>
  <c r="J4523" i="1"/>
  <c r="C4523" i="1"/>
  <c r="B4523" i="1"/>
  <c r="J4522" i="1"/>
  <c r="C4522" i="1"/>
  <c r="B4522" i="1"/>
  <c r="J4521" i="1"/>
  <c r="C4521" i="1"/>
  <c r="B4521" i="1"/>
  <c r="J4520" i="1"/>
  <c r="C4520" i="1"/>
  <c r="B4520" i="1"/>
  <c r="J4519" i="1"/>
  <c r="C4519" i="1"/>
  <c r="B4519" i="1"/>
  <c r="J4518" i="1"/>
  <c r="C4518" i="1"/>
  <c r="B4518" i="1"/>
  <c r="J4517" i="1"/>
  <c r="C4517" i="1"/>
  <c r="B4517" i="1"/>
  <c r="J4516" i="1"/>
  <c r="C4516" i="1"/>
  <c r="B4516" i="1"/>
  <c r="J4515" i="1"/>
  <c r="C4515" i="1"/>
  <c r="B4515" i="1"/>
  <c r="J4514" i="1"/>
  <c r="C4514" i="1"/>
  <c r="B4514" i="1"/>
  <c r="J4513" i="1"/>
  <c r="C4513" i="1"/>
  <c r="B4513" i="1"/>
  <c r="J4512" i="1"/>
  <c r="C4512" i="1"/>
  <c r="B4512" i="1"/>
  <c r="J4511" i="1"/>
  <c r="C4511" i="1"/>
  <c r="B4511" i="1"/>
  <c r="J4510" i="1"/>
  <c r="C4510" i="1"/>
  <c r="B4510" i="1"/>
  <c r="J4509" i="1"/>
  <c r="C4509" i="1"/>
  <c r="B4509" i="1"/>
  <c r="J4508" i="1"/>
  <c r="C4508" i="1"/>
  <c r="B4508" i="1"/>
  <c r="J4507" i="1"/>
  <c r="C4507" i="1"/>
  <c r="B4507" i="1"/>
  <c r="J4506" i="1"/>
  <c r="C4506" i="1"/>
  <c r="B4506" i="1"/>
  <c r="J4505" i="1"/>
  <c r="C4505" i="1"/>
  <c r="B4505" i="1"/>
  <c r="J4504" i="1"/>
  <c r="C4504" i="1"/>
  <c r="B4504" i="1"/>
  <c r="J4503" i="1"/>
  <c r="C4503" i="1"/>
  <c r="B4503" i="1"/>
  <c r="J4502" i="1"/>
  <c r="C4502" i="1"/>
  <c r="B4502" i="1"/>
  <c r="J4501" i="1"/>
  <c r="C4501" i="1"/>
  <c r="B4501" i="1"/>
  <c r="J4500" i="1"/>
  <c r="C4500" i="1"/>
  <c r="B4500" i="1"/>
  <c r="J4499" i="1"/>
  <c r="C4499" i="1"/>
  <c r="B4499" i="1"/>
  <c r="J4498" i="1"/>
  <c r="C4498" i="1"/>
  <c r="B4498" i="1"/>
  <c r="J4497" i="1"/>
  <c r="C4497" i="1"/>
  <c r="B4497" i="1"/>
  <c r="J4496" i="1"/>
  <c r="C4496" i="1"/>
  <c r="B4496" i="1"/>
  <c r="J4495" i="1"/>
  <c r="C4495" i="1"/>
  <c r="B4495" i="1"/>
  <c r="J4494" i="1"/>
  <c r="C4494" i="1"/>
  <c r="B4494" i="1"/>
  <c r="J4493" i="1"/>
  <c r="C4493" i="1"/>
  <c r="B4493" i="1"/>
  <c r="J4492" i="1"/>
  <c r="C4492" i="1"/>
  <c r="B4492" i="1"/>
  <c r="J4491" i="1"/>
  <c r="C4491" i="1"/>
  <c r="B4491" i="1"/>
  <c r="J4490" i="1"/>
  <c r="C4490" i="1"/>
  <c r="B4490" i="1"/>
  <c r="J4489" i="1"/>
  <c r="C4489" i="1"/>
  <c r="B4489" i="1"/>
  <c r="J4488" i="1"/>
  <c r="C4488" i="1"/>
  <c r="B4488" i="1"/>
  <c r="J4487" i="1"/>
  <c r="C4487" i="1"/>
  <c r="B4487" i="1"/>
  <c r="J4486" i="1"/>
  <c r="C4486" i="1"/>
  <c r="B4486" i="1"/>
  <c r="J4485" i="1"/>
  <c r="C4485" i="1"/>
  <c r="B4485" i="1"/>
  <c r="J4484" i="1"/>
  <c r="C4484" i="1"/>
  <c r="B4484" i="1"/>
  <c r="J4483" i="1"/>
  <c r="C4483" i="1"/>
  <c r="B4483" i="1"/>
  <c r="J4482" i="1"/>
  <c r="C4482" i="1"/>
  <c r="B4482" i="1"/>
  <c r="J4481" i="1"/>
  <c r="C4481" i="1"/>
  <c r="B4481" i="1"/>
  <c r="J4480" i="1"/>
  <c r="C4480" i="1"/>
  <c r="B4480" i="1"/>
  <c r="J4479" i="1"/>
  <c r="C4479" i="1"/>
  <c r="B4479" i="1"/>
  <c r="J4478" i="1"/>
  <c r="C4478" i="1"/>
  <c r="B4478" i="1"/>
  <c r="J4477" i="1"/>
  <c r="C4477" i="1"/>
  <c r="B4477" i="1"/>
  <c r="J4476" i="1"/>
  <c r="C4476" i="1"/>
  <c r="B4476" i="1"/>
  <c r="J4475" i="1"/>
  <c r="C4475" i="1"/>
  <c r="B4475" i="1"/>
  <c r="J4474" i="1"/>
  <c r="C4474" i="1"/>
  <c r="B4474" i="1"/>
  <c r="J4473" i="1"/>
  <c r="C4473" i="1"/>
  <c r="B4473" i="1"/>
  <c r="J4472" i="1"/>
  <c r="C4472" i="1"/>
  <c r="B4472" i="1"/>
  <c r="J4471" i="1"/>
  <c r="C4471" i="1"/>
  <c r="B4471" i="1"/>
  <c r="J4470" i="1"/>
  <c r="C4470" i="1"/>
  <c r="B4470" i="1"/>
  <c r="J4469" i="1"/>
  <c r="C4469" i="1"/>
  <c r="B4469" i="1"/>
  <c r="J4468" i="1"/>
  <c r="C4468" i="1"/>
  <c r="B4468" i="1"/>
  <c r="J4467" i="1"/>
  <c r="C4467" i="1"/>
  <c r="B4467" i="1"/>
  <c r="J4466" i="1"/>
  <c r="C4466" i="1"/>
  <c r="B4466" i="1"/>
  <c r="J4465" i="1"/>
  <c r="C4465" i="1"/>
  <c r="B4465" i="1"/>
  <c r="J4464" i="1"/>
  <c r="C4464" i="1"/>
  <c r="B4464" i="1"/>
  <c r="J4463" i="1"/>
  <c r="C4463" i="1"/>
  <c r="B4463" i="1"/>
  <c r="J4462" i="1"/>
  <c r="C4462" i="1"/>
  <c r="B4462" i="1"/>
  <c r="J4461" i="1"/>
  <c r="C4461" i="1"/>
  <c r="B4461" i="1"/>
  <c r="J4460" i="1"/>
  <c r="C4460" i="1"/>
  <c r="B4460" i="1"/>
  <c r="J4459" i="1"/>
  <c r="C4459" i="1"/>
  <c r="B4459" i="1"/>
  <c r="J4458" i="1"/>
  <c r="C4458" i="1"/>
  <c r="B4458" i="1"/>
  <c r="J4457" i="1"/>
  <c r="C4457" i="1"/>
  <c r="B4457" i="1"/>
  <c r="J4456" i="1"/>
  <c r="C4456" i="1"/>
  <c r="B4456" i="1"/>
  <c r="J4455" i="1"/>
  <c r="C4455" i="1"/>
  <c r="B4455" i="1"/>
  <c r="J4454" i="1"/>
  <c r="C4454" i="1"/>
  <c r="B4454" i="1"/>
  <c r="J4453" i="1"/>
  <c r="C4453" i="1"/>
  <c r="B4453" i="1"/>
  <c r="J4452" i="1"/>
  <c r="C4452" i="1"/>
  <c r="B4452" i="1"/>
  <c r="J4451" i="1"/>
  <c r="C4451" i="1"/>
  <c r="B4451" i="1"/>
  <c r="J4450" i="1"/>
  <c r="C4450" i="1"/>
  <c r="B4450" i="1"/>
  <c r="J4449" i="1"/>
  <c r="C4449" i="1"/>
  <c r="B4449" i="1"/>
  <c r="J4448" i="1"/>
  <c r="C4448" i="1"/>
  <c r="B4448" i="1"/>
  <c r="J4447" i="1"/>
  <c r="C4447" i="1"/>
  <c r="B4447" i="1"/>
  <c r="J4446" i="1"/>
  <c r="C4446" i="1"/>
  <c r="B4446" i="1"/>
  <c r="J4445" i="1"/>
  <c r="C4445" i="1"/>
  <c r="B4445" i="1"/>
  <c r="J4444" i="1"/>
  <c r="C4444" i="1"/>
  <c r="B4444" i="1"/>
  <c r="J4443" i="1"/>
  <c r="C4443" i="1"/>
  <c r="B4443" i="1"/>
  <c r="J4442" i="1"/>
  <c r="C4442" i="1"/>
  <c r="B4442" i="1"/>
  <c r="J4441" i="1"/>
  <c r="C4441" i="1"/>
  <c r="B4441" i="1"/>
  <c r="J4440" i="1"/>
  <c r="C4440" i="1"/>
  <c r="B4440" i="1"/>
  <c r="J4439" i="1"/>
  <c r="C4439" i="1"/>
  <c r="B4439" i="1"/>
  <c r="J4438" i="1"/>
  <c r="C4438" i="1"/>
  <c r="B4438" i="1"/>
  <c r="J4437" i="1"/>
  <c r="C4437" i="1"/>
  <c r="B4437" i="1"/>
  <c r="J4436" i="1"/>
  <c r="C4436" i="1"/>
  <c r="B4436" i="1"/>
  <c r="J4435" i="1"/>
  <c r="C4435" i="1"/>
  <c r="B4435" i="1"/>
  <c r="J4434" i="1"/>
  <c r="C4434" i="1"/>
  <c r="B4434" i="1"/>
  <c r="J4433" i="1"/>
  <c r="C4433" i="1"/>
  <c r="B4433" i="1"/>
  <c r="J4432" i="1"/>
  <c r="C4432" i="1"/>
  <c r="B4432" i="1"/>
  <c r="J4431" i="1"/>
  <c r="C4431" i="1"/>
  <c r="B4431" i="1"/>
  <c r="J4430" i="1"/>
  <c r="C4430" i="1"/>
  <c r="B4430" i="1"/>
  <c r="J4429" i="1"/>
  <c r="C4429" i="1"/>
  <c r="B4429" i="1"/>
  <c r="J4428" i="1"/>
  <c r="C4428" i="1"/>
  <c r="B4428" i="1"/>
  <c r="J4427" i="1"/>
  <c r="C4427" i="1"/>
  <c r="B4427" i="1"/>
  <c r="J4426" i="1"/>
  <c r="C4426" i="1"/>
  <c r="B4426" i="1"/>
  <c r="J4425" i="1"/>
  <c r="C4425" i="1"/>
  <c r="B4425" i="1"/>
  <c r="J4424" i="1"/>
  <c r="C4424" i="1"/>
  <c r="B4424" i="1"/>
  <c r="J4423" i="1"/>
  <c r="C4423" i="1"/>
  <c r="B4423" i="1"/>
  <c r="J4422" i="1"/>
  <c r="C4422" i="1"/>
  <c r="B4422" i="1"/>
  <c r="J4421" i="1"/>
  <c r="C4421" i="1"/>
  <c r="B4421" i="1"/>
  <c r="J4420" i="1"/>
  <c r="C4420" i="1"/>
  <c r="B4420" i="1"/>
  <c r="J4419" i="1"/>
  <c r="C4419" i="1"/>
  <c r="B4419" i="1"/>
  <c r="J4418" i="1"/>
  <c r="C4418" i="1"/>
  <c r="B4418" i="1"/>
  <c r="J4417" i="1"/>
  <c r="C4417" i="1"/>
  <c r="B4417" i="1"/>
  <c r="J4416" i="1"/>
  <c r="C4416" i="1"/>
  <c r="B4416" i="1"/>
  <c r="J4415" i="1"/>
  <c r="C4415" i="1"/>
  <c r="B4415" i="1"/>
  <c r="J4414" i="1"/>
  <c r="C4414" i="1"/>
  <c r="B4414" i="1"/>
  <c r="J4413" i="1"/>
  <c r="C4413" i="1"/>
  <c r="B4413" i="1"/>
  <c r="J4412" i="1"/>
  <c r="C4412" i="1"/>
  <c r="B4412" i="1"/>
  <c r="J4411" i="1"/>
  <c r="C4411" i="1"/>
  <c r="B4411" i="1"/>
  <c r="J4410" i="1"/>
  <c r="C4410" i="1"/>
  <c r="B4410" i="1"/>
  <c r="J4409" i="1"/>
  <c r="C4409" i="1"/>
  <c r="B4409" i="1"/>
  <c r="J4408" i="1"/>
  <c r="C4408" i="1"/>
  <c r="B4408" i="1"/>
  <c r="J4407" i="1"/>
  <c r="C4407" i="1"/>
  <c r="B4407" i="1"/>
  <c r="J4406" i="1"/>
  <c r="C4406" i="1"/>
  <c r="B4406" i="1"/>
  <c r="J4405" i="1"/>
  <c r="C4405" i="1"/>
  <c r="B4405" i="1"/>
  <c r="J4404" i="1"/>
  <c r="C4404" i="1"/>
  <c r="B4404" i="1"/>
  <c r="J4403" i="1"/>
  <c r="C4403" i="1"/>
  <c r="B4403" i="1"/>
  <c r="J4402" i="1"/>
  <c r="C4402" i="1"/>
  <c r="B4402" i="1"/>
  <c r="J4401" i="1"/>
  <c r="C4401" i="1"/>
  <c r="B4401" i="1"/>
  <c r="J4400" i="1"/>
  <c r="C4400" i="1"/>
  <c r="B4400" i="1"/>
  <c r="J4399" i="1"/>
  <c r="C4399" i="1"/>
  <c r="B4399" i="1"/>
  <c r="J4398" i="1"/>
  <c r="C4398" i="1"/>
  <c r="B4398" i="1"/>
  <c r="J4397" i="1"/>
  <c r="C4397" i="1"/>
  <c r="B4397" i="1"/>
  <c r="J4396" i="1"/>
  <c r="C4396" i="1"/>
  <c r="B4396" i="1"/>
  <c r="J4395" i="1"/>
  <c r="C4395" i="1"/>
  <c r="B4395" i="1"/>
  <c r="J4394" i="1"/>
  <c r="C4394" i="1"/>
  <c r="B4394" i="1"/>
  <c r="J4393" i="1"/>
  <c r="C4393" i="1"/>
  <c r="B4393" i="1"/>
  <c r="J4392" i="1"/>
  <c r="C4392" i="1"/>
  <c r="B4392" i="1"/>
  <c r="J4391" i="1"/>
  <c r="C4391" i="1"/>
  <c r="B4391" i="1"/>
  <c r="J4390" i="1"/>
  <c r="C4390" i="1"/>
  <c r="B4390" i="1"/>
  <c r="J4389" i="1"/>
  <c r="C4389" i="1"/>
  <c r="B4389" i="1"/>
  <c r="J4388" i="1"/>
  <c r="C4388" i="1"/>
  <c r="B4388" i="1"/>
  <c r="J4387" i="1"/>
  <c r="C4387" i="1"/>
  <c r="B4387" i="1"/>
  <c r="J4386" i="1"/>
  <c r="C4386" i="1"/>
  <c r="B4386" i="1"/>
  <c r="J4385" i="1"/>
  <c r="C4385" i="1"/>
  <c r="B4385" i="1"/>
  <c r="J4384" i="1"/>
  <c r="C4384" i="1"/>
  <c r="B4384" i="1"/>
  <c r="J4383" i="1"/>
  <c r="C4383" i="1"/>
  <c r="B4383" i="1"/>
  <c r="J4382" i="1"/>
  <c r="C4382" i="1"/>
  <c r="B4382" i="1"/>
  <c r="J4381" i="1"/>
  <c r="C4381" i="1"/>
  <c r="B4381" i="1"/>
  <c r="J4380" i="1"/>
  <c r="C4380" i="1"/>
  <c r="B4380" i="1"/>
  <c r="J4379" i="1"/>
  <c r="C4379" i="1"/>
  <c r="B4379" i="1"/>
  <c r="J4378" i="1"/>
  <c r="C4378" i="1"/>
  <c r="B4378" i="1"/>
  <c r="J4377" i="1"/>
  <c r="C4377" i="1"/>
  <c r="B4377" i="1"/>
  <c r="J4376" i="1"/>
  <c r="C4376" i="1"/>
  <c r="B4376" i="1"/>
  <c r="J4375" i="1"/>
  <c r="C4375" i="1"/>
  <c r="B4375" i="1"/>
  <c r="J4374" i="1"/>
  <c r="C4374" i="1"/>
  <c r="B4374" i="1"/>
  <c r="J4373" i="1"/>
  <c r="C4373" i="1"/>
  <c r="B4373" i="1"/>
  <c r="J4372" i="1"/>
  <c r="C4372" i="1"/>
  <c r="B4372" i="1"/>
  <c r="J4371" i="1"/>
  <c r="C4371" i="1"/>
  <c r="B4371" i="1"/>
  <c r="J4370" i="1"/>
  <c r="C4370" i="1"/>
  <c r="B4370" i="1"/>
  <c r="J4369" i="1"/>
  <c r="C4369" i="1"/>
  <c r="B4369" i="1"/>
  <c r="J4368" i="1"/>
  <c r="C4368" i="1"/>
  <c r="B4368" i="1"/>
  <c r="J4367" i="1"/>
  <c r="C4367" i="1"/>
  <c r="B4367" i="1"/>
  <c r="J4366" i="1"/>
  <c r="C4366" i="1"/>
  <c r="B4366" i="1"/>
  <c r="J4365" i="1"/>
  <c r="C4365" i="1"/>
  <c r="B4365" i="1"/>
  <c r="J4364" i="1"/>
  <c r="C4364" i="1"/>
  <c r="B4364" i="1"/>
  <c r="J4363" i="1"/>
  <c r="C4363" i="1"/>
  <c r="B4363" i="1"/>
  <c r="J4362" i="1"/>
  <c r="C4362" i="1"/>
  <c r="B4362" i="1"/>
  <c r="J4361" i="1"/>
  <c r="C4361" i="1"/>
  <c r="B4361" i="1"/>
  <c r="J4360" i="1"/>
  <c r="C4360" i="1"/>
  <c r="B4360" i="1"/>
  <c r="J4359" i="1"/>
  <c r="C4359" i="1"/>
  <c r="B4359" i="1"/>
  <c r="J4358" i="1"/>
  <c r="C4358" i="1"/>
  <c r="B4358" i="1"/>
  <c r="J4357" i="1"/>
  <c r="C4357" i="1"/>
  <c r="B4357" i="1"/>
  <c r="J4356" i="1"/>
  <c r="C4356" i="1"/>
  <c r="B4356" i="1"/>
  <c r="J4355" i="1"/>
  <c r="C4355" i="1"/>
  <c r="B4355" i="1"/>
  <c r="J4354" i="1"/>
  <c r="C4354" i="1"/>
  <c r="B4354" i="1"/>
  <c r="J4353" i="1"/>
  <c r="C4353" i="1"/>
  <c r="B4353" i="1"/>
  <c r="J4352" i="1"/>
  <c r="C4352" i="1"/>
  <c r="B4352" i="1"/>
  <c r="J4351" i="1"/>
  <c r="C4351" i="1"/>
  <c r="B4351" i="1"/>
  <c r="J4350" i="1"/>
  <c r="C4350" i="1"/>
  <c r="B4350" i="1"/>
  <c r="J4349" i="1"/>
  <c r="C4349" i="1"/>
  <c r="B4349" i="1"/>
  <c r="J4348" i="1"/>
  <c r="C4348" i="1"/>
  <c r="B4348" i="1"/>
  <c r="J4347" i="1"/>
  <c r="C4347" i="1"/>
  <c r="B4347" i="1"/>
  <c r="J4346" i="1"/>
  <c r="C4346" i="1"/>
  <c r="B4346" i="1"/>
  <c r="J4345" i="1"/>
  <c r="C4345" i="1"/>
  <c r="B4345" i="1"/>
  <c r="J4344" i="1"/>
  <c r="C4344" i="1"/>
  <c r="B4344" i="1"/>
  <c r="J4343" i="1"/>
  <c r="C4343" i="1"/>
  <c r="B4343" i="1"/>
  <c r="J4342" i="1"/>
  <c r="C4342" i="1"/>
  <c r="B4342" i="1"/>
  <c r="J4341" i="1"/>
  <c r="C4341" i="1"/>
  <c r="B4341" i="1"/>
  <c r="J4340" i="1"/>
  <c r="C4340" i="1"/>
  <c r="B4340" i="1"/>
  <c r="J4339" i="1"/>
  <c r="C4339" i="1"/>
  <c r="B4339" i="1"/>
  <c r="J4338" i="1"/>
  <c r="C4338" i="1"/>
  <c r="B4338" i="1"/>
  <c r="J4337" i="1"/>
  <c r="C4337" i="1"/>
  <c r="B4337" i="1"/>
  <c r="J4336" i="1"/>
  <c r="C4336" i="1"/>
  <c r="B4336" i="1"/>
  <c r="J4335" i="1"/>
  <c r="C4335" i="1"/>
  <c r="B4335" i="1"/>
  <c r="J4334" i="1"/>
  <c r="C4334" i="1"/>
  <c r="B4334" i="1"/>
  <c r="J4333" i="1"/>
  <c r="C4333" i="1"/>
  <c r="B4333" i="1"/>
  <c r="J4332" i="1"/>
  <c r="C4332" i="1"/>
  <c r="B4332" i="1"/>
  <c r="J4331" i="1"/>
  <c r="C4331" i="1"/>
  <c r="B4331" i="1"/>
  <c r="J4330" i="1"/>
  <c r="C4330" i="1"/>
  <c r="B4330" i="1"/>
  <c r="J4329" i="1"/>
  <c r="C4329" i="1"/>
  <c r="B4329" i="1"/>
  <c r="J4328" i="1"/>
  <c r="C4328" i="1"/>
  <c r="B4328" i="1"/>
  <c r="J4327" i="1"/>
  <c r="C4327" i="1"/>
  <c r="B4327" i="1"/>
  <c r="J4326" i="1"/>
  <c r="C4326" i="1"/>
  <c r="B4326" i="1"/>
  <c r="J4325" i="1"/>
  <c r="C4325" i="1"/>
  <c r="B4325" i="1"/>
  <c r="J4324" i="1"/>
  <c r="C4324" i="1"/>
  <c r="B4324" i="1"/>
  <c r="J4323" i="1"/>
  <c r="C4323" i="1"/>
  <c r="B4323" i="1"/>
  <c r="J4322" i="1"/>
  <c r="C4322" i="1"/>
  <c r="B4322" i="1"/>
  <c r="J4321" i="1"/>
  <c r="C4321" i="1"/>
  <c r="B4321" i="1"/>
  <c r="J4320" i="1"/>
  <c r="C4320" i="1"/>
  <c r="B4320" i="1"/>
  <c r="J4319" i="1"/>
  <c r="C4319" i="1"/>
  <c r="B4319" i="1"/>
  <c r="J4318" i="1"/>
  <c r="C4318" i="1"/>
  <c r="B4318" i="1"/>
  <c r="J4317" i="1"/>
  <c r="C4317" i="1"/>
  <c r="B4317" i="1"/>
  <c r="J4316" i="1"/>
  <c r="C4316" i="1"/>
  <c r="B4316" i="1"/>
  <c r="J4315" i="1"/>
  <c r="C4315" i="1"/>
  <c r="B4315" i="1"/>
  <c r="J4314" i="1"/>
  <c r="C4314" i="1"/>
  <c r="B4314" i="1"/>
  <c r="J4313" i="1"/>
  <c r="C4313" i="1"/>
  <c r="B4313" i="1"/>
  <c r="J4312" i="1"/>
  <c r="C4312" i="1"/>
  <c r="B4312" i="1"/>
  <c r="J4311" i="1"/>
  <c r="C4311" i="1"/>
  <c r="B4311" i="1"/>
  <c r="J4310" i="1"/>
  <c r="C4310" i="1"/>
  <c r="B4310" i="1"/>
  <c r="J4309" i="1"/>
  <c r="C4309" i="1"/>
  <c r="B4309" i="1"/>
  <c r="J4308" i="1"/>
  <c r="C4308" i="1"/>
  <c r="B4308" i="1"/>
  <c r="J4307" i="1"/>
  <c r="C4307" i="1"/>
  <c r="B4307" i="1"/>
  <c r="J4306" i="1"/>
  <c r="C4306" i="1"/>
  <c r="B4306" i="1"/>
  <c r="J4305" i="1"/>
  <c r="C4305" i="1"/>
  <c r="B4305" i="1"/>
  <c r="J4304" i="1"/>
  <c r="C4304" i="1"/>
  <c r="B4304" i="1"/>
  <c r="J4303" i="1"/>
  <c r="C4303" i="1"/>
  <c r="B4303" i="1"/>
  <c r="J4302" i="1"/>
  <c r="C4302" i="1"/>
  <c r="B4302" i="1"/>
  <c r="J4301" i="1"/>
  <c r="C4301" i="1"/>
  <c r="B4301" i="1"/>
  <c r="J4300" i="1"/>
  <c r="C4300" i="1"/>
  <c r="B4300" i="1"/>
  <c r="J4299" i="1"/>
  <c r="C4299" i="1"/>
  <c r="B4299" i="1"/>
  <c r="J4298" i="1"/>
  <c r="C4298" i="1"/>
  <c r="B4298" i="1"/>
  <c r="J4297" i="1"/>
  <c r="C4297" i="1"/>
  <c r="B4297" i="1"/>
  <c r="J4296" i="1"/>
  <c r="C4296" i="1"/>
  <c r="B4296" i="1"/>
  <c r="J4295" i="1"/>
  <c r="C4295" i="1"/>
  <c r="B4295" i="1"/>
  <c r="J4294" i="1"/>
  <c r="C4294" i="1"/>
  <c r="B4294" i="1"/>
  <c r="J4293" i="1"/>
  <c r="C4293" i="1"/>
  <c r="B4293" i="1"/>
  <c r="J4292" i="1"/>
  <c r="C4292" i="1"/>
  <c r="B4292" i="1"/>
  <c r="J4291" i="1"/>
  <c r="C4291" i="1"/>
  <c r="B4291" i="1"/>
  <c r="J4290" i="1"/>
  <c r="C4290" i="1"/>
  <c r="B4290" i="1"/>
  <c r="J4289" i="1"/>
  <c r="C4289" i="1"/>
  <c r="B4289" i="1"/>
  <c r="J4288" i="1"/>
  <c r="C4288" i="1"/>
  <c r="B4288" i="1"/>
  <c r="J4287" i="1"/>
  <c r="C4287" i="1"/>
  <c r="B4287" i="1"/>
  <c r="J4286" i="1"/>
  <c r="C4286" i="1"/>
  <c r="B4286" i="1"/>
  <c r="J4285" i="1"/>
  <c r="C4285" i="1"/>
  <c r="B4285" i="1"/>
  <c r="J4284" i="1"/>
  <c r="C4284" i="1"/>
  <c r="B4284" i="1"/>
  <c r="J4283" i="1"/>
  <c r="C4283" i="1"/>
  <c r="B4283" i="1"/>
  <c r="J4282" i="1"/>
  <c r="C4282" i="1"/>
  <c r="B4282" i="1"/>
  <c r="J4281" i="1"/>
  <c r="C4281" i="1"/>
  <c r="B4281" i="1"/>
  <c r="J4280" i="1"/>
  <c r="C4280" i="1"/>
  <c r="B4280" i="1"/>
  <c r="J4279" i="1"/>
  <c r="C4279" i="1"/>
  <c r="B4279" i="1"/>
  <c r="J4278" i="1"/>
  <c r="C4278" i="1"/>
  <c r="B4278" i="1"/>
  <c r="J4277" i="1"/>
  <c r="C4277" i="1"/>
  <c r="B4277" i="1"/>
  <c r="J4276" i="1"/>
  <c r="C4276" i="1"/>
  <c r="B4276" i="1"/>
  <c r="J4275" i="1"/>
  <c r="C4275" i="1"/>
  <c r="B4275" i="1"/>
  <c r="J4274" i="1"/>
  <c r="C4274" i="1"/>
  <c r="B4274" i="1"/>
  <c r="J4273" i="1"/>
  <c r="C4273" i="1"/>
  <c r="B4273" i="1"/>
  <c r="J4272" i="1"/>
  <c r="C4272" i="1"/>
  <c r="B4272" i="1"/>
  <c r="J4271" i="1"/>
  <c r="C4271" i="1"/>
  <c r="B4271" i="1"/>
  <c r="J4270" i="1"/>
  <c r="C4270" i="1"/>
  <c r="B4270" i="1"/>
  <c r="J4269" i="1"/>
  <c r="C4269" i="1"/>
  <c r="B4269" i="1"/>
  <c r="J4268" i="1"/>
  <c r="C4268" i="1"/>
  <c r="B4268" i="1"/>
  <c r="J4267" i="1"/>
  <c r="C4267" i="1"/>
  <c r="B4267" i="1"/>
  <c r="J4266" i="1"/>
  <c r="C4266" i="1"/>
  <c r="B4266" i="1"/>
  <c r="J4265" i="1"/>
  <c r="C4265" i="1"/>
  <c r="B4265" i="1"/>
  <c r="J4264" i="1"/>
  <c r="C4264" i="1"/>
  <c r="B4264" i="1"/>
  <c r="J4263" i="1"/>
  <c r="C4263" i="1"/>
  <c r="B4263" i="1"/>
  <c r="J4262" i="1"/>
  <c r="C4262" i="1"/>
  <c r="B4262" i="1"/>
  <c r="J4261" i="1"/>
  <c r="C4261" i="1"/>
  <c r="B4261" i="1"/>
  <c r="J4260" i="1"/>
  <c r="C4260" i="1"/>
  <c r="B4260" i="1"/>
  <c r="J4259" i="1"/>
  <c r="C4259" i="1"/>
  <c r="B4259" i="1"/>
  <c r="J4258" i="1"/>
  <c r="C4258" i="1"/>
  <c r="B4258" i="1"/>
  <c r="J4257" i="1"/>
  <c r="C4257" i="1"/>
  <c r="B4257" i="1"/>
  <c r="J4256" i="1"/>
  <c r="C4256" i="1"/>
  <c r="B4256" i="1"/>
  <c r="J4255" i="1"/>
  <c r="C4255" i="1"/>
  <c r="B4255" i="1"/>
  <c r="J4254" i="1"/>
  <c r="C4254" i="1"/>
  <c r="B4254" i="1"/>
  <c r="J4253" i="1"/>
  <c r="C4253" i="1"/>
  <c r="B4253" i="1"/>
  <c r="J4252" i="1"/>
  <c r="C4252" i="1"/>
  <c r="B4252" i="1"/>
  <c r="J4251" i="1"/>
  <c r="C4251" i="1"/>
  <c r="B4251" i="1"/>
  <c r="J4250" i="1"/>
  <c r="C4250" i="1"/>
  <c r="B4250" i="1"/>
  <c r="J4249" i="1"/>
  <c r="C4249" i="1"/>
  <c r="B4249" i="1"/>
  <c r="J4248" i="1"/>
  <c r="C4248" i="1"/>
  <c r="B4248" i="1"/>
  <c r="J4247" i="1"/>
  <c r="C4247" i="1"/>
  <c r="B4247" i="1"/>
  <c r="J4246" i="1"/>
  <c r="C4246" i="1"/>
  <c r="B4246" i="1"/>
  <c r="J4245" i="1"/>
  <c r="C4245" i="1"/>
  <c r="B4245" i="1"/>
  <c r="J4244" i="1"/>
  <c r="C4244" i="1"/>
  <c r="B4244" i="1"/>
  <c r="J4243" i="1"/>
  <c r="C4243" i="1"/>
  <c r="B4243" i="1"/>
  <c r="J4242" i="1"/>
  <c r="C4242" i="1"/>
  <c r="B4242" i="1"/>
  <c r="J4241" i="1"/>
  <c r="C4241" i="1"/>
  <c r="B4241" i="1"/>
  <c r="J4240" i="1"/>
  <c r="C4240" i="1"/>
  <c r="B4240" i="1"/>
  <c r="J4239" i="1"/>
  <c r="C4239" i="1"/>
  <c r="B4239" i="1"/>
  <c r="J4238" i="1"/>
  <c r="C4238" i="1"/>
  <c r="B4238" i="1"/>
  <c r="J4237" i="1"/>
  <c r="C4237" i="1"/>
  <c r="B4237" i="1"/>
  <c r="J4236" i="1"/>
  <c r="C4236" i="1"/>
  <c r="B4236" i="1"/>
  <c r="J4235" i="1"/>
  <c r="C4235" i="1"/>
  <c r="B4235" i="1"/>
  <c r="J4234" i="1"/>
  <c r="C4234" i="1"/>
  <c r="B4234" i="1"/>
  <c r="J4233" i="1"/>
  <c r="C4233" i="1"/>
  <c r="B4233" i="1"/>
  <c r="J4232" i="1"/>
  <c r="C4232" i="1"/>
  <c r="B4232" i="1"/>
  <c r="J4231" i="1"/>
  <c r="C4231" i="1"/>
  <c r="B4231" i="1"/>
  <c r="J4230" i="1"/>
  <c r="C4230" i="1"/>
  <c r="B4230" i="1"/>
  <c r="J4229" i="1"/>
  <c r="C4229" i="1"/>
  <c r="B4229" i="1"/>
  <c r="J4228" i="1"/>
  <c r="C4228" i="1"/>
  <c r="B4228" i="1"/>
  <c r="J4227" i="1"/>
  <c r="C4227" i="1"/>
  <c r="B4227" i="1"/>
  <c r="J4226" i="1"/>
  <c r="C4226" i="1"/>
  <c r="B4226" i="1"/>
  <c r="J4225" i="1"/>
  <c r="C4225" i="1"/>
  <c r="B4225" i="1"/>
  <c r="J4224" i="1"/>
  <c r="C4224" i="1"/>
  <c r="B4224" i="1"/>
  <c r="J4223" i="1"/>
  <c r="C4223" i="1"/>
  <c r="B4223" i="1"/>
  <c r="J4222" i="1"/>
  <c r="C4222" i="1"/>
  <c r="B4222" i="1"/>
  <c r="J4221" i="1"/>
  <c r="C4221" i="1"/>
  <c r="B4221" i="1"/>
  <c r="J4220" i="1"/>
  <c r="C4220" i="1"/>
  <c r="B4220" i="1"/>
  <c r="J4219" i="1"/>
  <c r="C4219" i="1"/>
  <c r="B4219" i="1"/>
  <c r="J4218" i="1"/>
  <c r="C4218" i="1"/>
  <c r="B4218" i="1"/>
  <c r="J4217" i="1"/>
  <c r="C4217" i="1"/>
  <c r="B4217" i="1"/>
  <c r="J4216" i="1"/>
  <c r="C4216" i="1"/>
  <c r="B4216" i="1"/>
  <c r="J4215" i="1"/>
  <c r="C4215" i="1"/>
  <c r="B4215" i="1"/>
  <c r="J4214" i="1"/>
  <c r="C4214" i="1"/>
  <c r="B4214" i="1"/>
  <c r="J4213" i="1"/>
  <c r="C4213" i="1"/>
  <c r="B4213" i="1"/>
  <c r="J4212" i="1"/>
  <c r="C4212" i="1"/>
  <c r="B4212" i="1"/>
  <c r="J4211" i="1"/>
  <c r="C4211" i="1"/>
  <c r="B4211" i="1"/>
  <c r="J4210" i="1"/>
  <c r="C4210" i="1"/>
  <c r="B4210" i="1"/>
  <c r="J4209" i="1"/>
  <c r="C4209" i="1"/>
  <c r="B4209" i="1"/>
  <c r="J4208" i="1"/>
  <c r="C4208" i="1"/>
  <c r="B4208" i="1"/>
  <c r="J4207" i="1"/>
  <c r="C4207" i="1"/>
  <c r="B4207" i="1"/>
  <c r="J4206" i="1"/>
  <c r="C4206" i="1"/>
  <c r="B4206" i="1"/>
  <c r="J4205" i="1"/>
  <c r="C4205" i="1"/>
  <c r="B4205" i="1"/>
  <c r="J4204" i="1"/>
  <c r="C4204" i="1"/>
  <c r="B4204" i="1"/>
  <c r="J4203" i="1"/>
  <c r="C4203" i="1"/>
  <c r="B4203" i="1"/>
  <c r="J4202" i="1"/>
  <c r="C4202" i="1"/>
  <c r="B4202" i="1"/>
  <c r="J4201" i="1"/>
  <c r="C4201" i="1"/>
  <c r="B4201" i="1"/>
  <c r="J4200" i="1"/>
  <c r="C4200" i="1"/>
  <c r="B4200" i="1"/>
  <c r="J4199" i="1"/>
  <c r="C4199" i="1"/>
  <c r="B4199" i="1"/>
  <c r="J4198" i="1"/>
  <c r="C4198" i="1"/>
  <c r="B4198" i="1"/>
  <c r="J4197" i="1"/>
  <c r="C4197" i="1"/>
  <c r="B4197" i="1"/>
  <c r="J4196" i="1"/>
  <c r="C4196" i="1"/>
  <c r="B4196" i="1"/>
  <c r="J4195" i="1"/>
  <c r="C4195" i="1"/>
  <c r="B4195" i="1"/>
  <c r="J4194" i="1"/>
  <c r="C4194" i="1"/>
  <c r="B4194" i="1"/>
  <c r="J4193" i="1"/>
  <c r="C4193" i="1"/>
  <c r="B4193" i="1"/>
  <c r="J4192" i="1"/>
  <c r="C4192" i="1"/>
  <c r="B4192" i="1"/>
  <c r="J4191" i="1"/>
  <c r="C4191" i="1"/>
  <c r="B4191" i="1"/>
  <c r="J4190" i="1"/>
  <c r="C4190" i="1"/>
  <c r="B4190" i="1"/>
  <c r="J4189" i="1"/>
  <c r="C4189" i="1"/>
  <c r="B4189" i="1"/>
  <c r="J4188" i="1"/>
  <c r="C4188" i="1"/>
  <c r="B4188" i="1"/>
  <c r="J4187" i="1"/>
  <c r="C4187" i="1"/>
  <c r="B4187" i="1"/>
  <c r="J4186" i="1"/>
  <c r="C4186" i="1"/>
  <c r="B4186" i="1"/>
  <c r="J4185" i="1"/>
  <c r="C4185" i="1"/>
  <c r="B4185" i="1"/>
  <c r="J4184" i="1"/>
  <c r="C4184" i="1"/>
  <c r="B4184" i="1"/>
  <c r="J4183" i="1"/>
  <c r="C4183" i="1"/>
  <c r="B4183" i="1"/>
  <c r="J4182" i="1"/>
  <c r="C4182" i="1"/>
  <c r="B4182" i="1"/>
  <c r="J4181" i="1"/>
  <c r="C4181" i="1"/>
  <c r="B4181" i="1"/>
  <c r="J4180" i="1"/>
  <c r="C4180" i="1"/>
  <c r="B4180" i="1"/>
  <c r="J4179" i="1"/>
  <c r="C4179" i="1"/>
  <c r="B4179" i="1"/>
  <c r="J4178" i="1"/>
  <c r="C4178" i="1"/>
  <c r="B4178" i="1"/>
  <c r="J4177" i="1"/>
  <c r="C4177" i="1"/>
  <c r="B4177" i="1"/>
  <c r="J4176" i="1"/>
  <c r="C4176" i="1"/>
  <c r="B4176" i="1"/>
  <c r="J4175" i="1"/>
  <c r="C4175" i="1"/>
  <c r="B4175" i="1"/>
  <c r="J4174" i="1"/>
  <c r="C4174" i="1"/>
  <c r="B4174" i="1"/>
  <c r="J4173" i="1"/>
  <c r="C4173" i="1"/>
  <c r="B4173" i="1"/>
  <c r="J4172" i="1"/>
  <c r="C4172" i="1"/>
  <c r="B4172" i="1"/>
  <c r="J4171" i="1"/>
  <c r="C4171" i="1"/>
  <c r="B4171" i="1"/>
  <c r="J4170" i="1"/>
  <c r="C4170" i="1"/>
  <c r="B4170" i="1"/>
  <c r="J4169" i="1"/>
  <c r="C4169" i="1"/>
  <c r="B4169" i="1"/>
  <c r="J4168" i="1"/>
  <c r="C4168" i="1"/>
  <c r="B4168" i="1"/>
  <c r="J4167" i="1"/>
  <c r="C4167" i="1"/>
  <c r="B4167" i="1"/>
  <c r="J4166" i="1"/>
  <c r="C4166" i="1"/>
  <c r="B4166" i="1"/>
  <c r="J4165" i="1"/>
  <c r="C4165" i="1"/>
  <c r="B4165" i="1"/>
  <c r="J4164" i="1"/>
  <c r="C4164" i="1"/>
  <c r="B4164" i="1"/>
  <c r="J4163" i="1"/>
  <c r="C4163" i="1"/>
  <c r="B4163" i="1"/>
  <c r="J4162" i="1"/>
  <c r="C4162" i="1"/>
  <c r="B4162" i="1"/>
  <c r="J4161" i="1"/>
  <c r="C4161" i="1"/>
  <c r="B4161" i="1"/>
  <c r="J4160" i="1"/>
  <c r="C4160" i="1"/>
  <c r="B4160" i="1"/>
  <c r="J4159" i="1"/>
  <c r="C4159" i="1"/>
  <c r="B4159" i="1"/>
  <c r="J4158" i="1"/>
  <c r="C4158" i="1"/>
  <c r="B4158" i="1"/>
  <c r="J4157" i="1"/>
  <c r="C4157" i="1"/>
  <c r="B4157" i="1"/>
  <c r="J4156" i="1"/>
  <c r="C4156" i="1"/>
  <c r="B4156" i="1"/>
  <c r="J4155" i="1"/>
  <c r="C4155" i="1"/>
  <c r="B4155" i="1"/>
  <c r="J4154" i="1"/>
  <c r="C4154" i="1"/>
  <c r="B4154" i="1"/>
  <c r="J4153" i="1"/>
  <c r="C4153" i="1"/>
  <c r="B4153" i="1"/>
  <c r="J4152" i="1"/>
  <c r="C4152" i="1"/>
  <c r="B4152" i="1"/>
  <c r="J4151" i="1"/>
  <c r="C4151" i="1"/>
  <c r="B4151" i="1"/>
  <c r="J4150" i="1"/>
  <c r="C4150" i="1"/>
  <c r="B4150" i="1"/>
  <c r="J4149" i="1"/>
  <c r="C4149" i="1"/>
  <c r="B4149" i="1"/>
  <c r="J4148" i="1"/>
  <c r="C4148" i="1"/>
  <c r="B4148" i="1"/>
  <c r="J4147" i="1"/>
  <c r="C4147" i="1"/>
  <c r="B4147" i="1"/>
  <c r="J4146" i="1"/>
  <c r="C4146" i="1"/>
  <c r="B4146" i="1"/>
  <c r="J4145" i="1"/>
  <c r="C4145" i="1"/>
  <c r="B4145" i="1"/>
  <c r="J4144" i="1"/>
  <c r="C4144" i="1"/>
  <c r="B4144" i="1"/>
  <c r="J4143" i="1"/>
  <c r="C4143" i="1"/>
  <c r="B4143" i="1"/>
  <c r="J4142" i="1"/>
  <c r="C4142" i="1"/>
  <c r="B4142" i="1"/>
  <c r="J4141" i="1"/>
  <c r="C4141" i="1"/>
  <c r="B4141" i="1"/>
  <c r="J4140" i="1"/>
  <c r="C4140" i="1"/>
  <c r="B4140" i="1"/>
  <c r="J4139" i="1"/>
  <c r="C4139" i="1"/>
  <c r="B4139" i="1"/>
  <c r="J4138" i="1"/>
  <c r="C4138" i="1"/>
  <c r="B4138" i="1"/>
  <c r="J4137" i="1"/>
  <c r="C4137" i="1"/>
  <c r="B4137" i="1"/>
  <c r="J4136" i="1"/>
  <c r="C4136" i="1"/>
  <c r="B4136" i="1"/>
  <c r="J4135" i="1"/>
  <c r="C4135" i="1"/>
  <c r="B4135" i="1"/>
  <c r="J4134" i="1"/>
  <c r="C4134" i="1"/>
  <c r="B4134" i="1"/>
  <c r="J4133" i="1"/>
  <c r="C4133" i="1"/>
  <c r="B4133" i="1"/>
  <c r="J4132" i="1"/>
  <c r="C4132" i="1"/>
  <c r="B4132" i="1"/>
  <c r="J4131" i="1"/>
  <c r="C4131" i="1"/>
  <c r="B4131" i="1"/>
  <c r="J4130" i="1"/>
  <c r="C4130" i="1"/>
  <c r="B4130" i="1"/>
  <c r="J4129" i="1"/>
  <c r="C4129" i="1"/>
  <c r="B4129" i="1"/>
  <c r="J4128" i="1"/>
  <c r="C4128" i="1"/>
  <c r="B4128" i="1"/>
  <c r="J4127" i="1"/>
  <c r="C4127" i="1"/>
  <c r="B4127" i="1"/>
  <c r="J4126" i="1"/>
  <c r="C4126" i="1"/>
  <c r="B4126" i="1"/>
  <c r="J4125" i="1"/>
  <c r="C4125" i="1"/>
  <c r="B4125" i="1"/>
  <c r="J4124" i="1"/>
  <c r="C4124" i="1"/>
  <c r="B4124" i="1"/>
  <c r="J4123" i="1"/>
  <c r="C4123" i="1"/>
  <c r="B4123" i="1"/>
  <c r="J4122" i="1"/>
  <c r="C4122" i="1"/>
  <c r="B4122" i="1"/>
  <c r="J4121" i="1"/>
  <c r="C4121" i="1"/>
  <c r="B4121" i="1"/>
  <c r="J4120" i="1"/>
  <c r="C4120" i="1"/>
  <c r="B4120" i="1"/>
  <c r="J4119" i="1"/>
  <c r="C4119" i="1"/>
  <c r="B4119" i="1"/>
  <c r="J4118" i="1"/>
  <c r="C4118" i="1"/>
  <c r="B4118" i="1"/>
  <c r="J4117" i="1"/>
  <c r="C4117" i="1"/>
  <c r="B4117" i="1"/>
  <c r="J4116" i="1"/>
  <c r="C4116" i="1"/>
  <c r="B4116" i="1"/>
  <c r="J4115" i="1"/>
  <c r="C4115" i="1"/>
  <c r="B4115" i="1"/>
  <c r="J4114" i="1"/>
  <c r="C4114" i="1"/>
  <c r="B4114" i="1"/>
  <c r="J4113" i="1"/>
  <c r="C4113" i="1"/>
  <c r="B4113" i="1"/>
  <c r="J4112" i="1"/>
  <c r="C4112" i="1"/>
  <c r="B4112" i="1"/>
  <c r="J4111" i="1"/>
  <c r="C4111" i="1"/>
  <c r="B4111" i="1"/>
  <c r="J4110" i="1"/>
  <c r="C4110" i="1"/>
  <c r="B4110" i="1"/>
  <c r="J4109" i="1"/>
  <c r="C4109" i="1"/>
  <c r="B4109" i="1"/>
  <c r="J4108" i="1"/>
  <c r="C4108" i="1"/>
  <c r="B4108" i="1"/>
  <c r="J4107" i="1"/>
  <c r="C4107" i="1"/>
  <c r="B4107" i="1"/>
  <c r="J4106" i="1"/>
  <c r="C4106" i="1"/>
  <c r="B4106" i="1"/>
  <c r="J4105" i="1"/>
  <c r="C4105" i="1"/>
  <c r="B4105" i="1"/>
  <c r="J4104" i="1"/>
  <c r="C4104" i="1"/>
  <c r="B4104" i="1"/>
  <c r="J4103" i="1"/>
  <c r="C4103" i="1"/>
  <c r="B4103" i="1"/>
  <c r="J4102" i="1"/>
  <c r="C4102" i="1"/>
  <c r="B4102" i="1"/>
  <c r="J4101" i="1"/>
  <c r="C4101" i="1"/>
  <c r="B4101" i="1"/>
  <c r="J4100" i="1"/>
  <c r="C4100" i="1"/>
  <c r="B4100" i="1"/>
  <c r="J4099" i="1"/>
  <c r="C4099" i="1"/>
  <c r="B4099" i="1"/>
  <c r="J4098" i="1"/>
  <c r="C4098" i="1"/>
  <c r="B4098" i="1"/>
  <c r="J4097" i="1"/>
  <c r="C4097" i="1"/>
  <c r="B4097" i="1"/>
  <c r="J4096" i="1"/>
  <c r="C4096" i="1"/>
  <c r="B4096" i="1"/>
  <c r="J4095" i="1"/>
  <c r="C4095" i="1"/>
  <c r="B4095" i="1"/>
  <c r="J4094" i="1"/>
  <c r="C4094" i="1"/>
  <c r="B4094" i="1"/>
  <c r="J4093" i="1"/>
  <c r="C4093" i="1"/>
  <c r="B4093" i="1"/>
  <c r="J4092" i="1"/>
  <c r="C4092" i="1"/>
  <c r="B4092" i="1"/>
  <c r="J4091" i="1"/>
  <c r="C4091" i="1"/>
  <c r="B4091" i="1"/>
  <c r="J4090" i="1"/>
  <c r="C4090" i="1"/>
  <c r="B4090" i="1"/>
  <c r="J4089" i="1"/>
  <c r="C4089" i="1"/>
  <c r="B4089" i="1"/>
  <c r="J4088" i="1"/>
  <c r="C4088" i="1"/>
  <c r="B4088" i="1"/>
  <c r="J4087" i="1"/>
  <c r="C4087" i="1"/>
  <c r="B4087" i="1"/>
  <c r="J4086" i="1"/>
  <c r="C4086" i="1"/>
  <c r="B4086" i="1"/>
  <c r="J4085" i="1"/>
  <c r="C4085" i="1"/>
  <c r="B4085" i="1"/>
  <c r="J4084" i="1"/>
  <c r="C4084" i="1"/>
  <c r="B4084" i="1"/>
  <c r="J4083" i="1"/>
  <c r="C4083" i="1"/>
  <c r="B4083" i="1"/>
  <c r="J4082" i="1"/>
  <c r="C4082" i="1"/>
  <c r="B4082" i="1"/>
  <c r="J4081" i="1"/>
  <c r="C4081" i="1"/>
  <c r="B4081" i="1"/>
  <c r="J4080" i="1"/>
  <c r="C4080" i="1"/>
  <c r="B4080" i="1"/>
  <c r="J4079" i="1"/>
  <c r="C4079" i="1"/>
  <c r="B4079" i="1"/>
  <c r="J4078" i="1"/>
  <c r="C4078" i="1"/>
  <c r="B4078" i="1"/>
  <c r="J4077" i="1"/>
  <c r="C4077" i="1"/>
  <c r="B4077" i="1"/>
  <c r="J4076" i="1"/>
  <c r="C4076" i="1"/>
  <c r="B4076" i="1"/>
  <c r="J4075" i="1"/>
  <c r="C4075" i="1"/>
  <c r="B4075" i="1"/>
  <c r="J4074" i="1"/>
  <c r="C4074" i="1"/>
  <c r="B4074" i="1"/>
  <c r="J4073" i="1"/>
  <c r="C4073" i="1"/>
  <c r="B4073" i="1"/>
  <c r="J4072" i="1"/>
  <c r="C4072" i="1"/>
  <c r="B4072" i="1"/>
  <c r="J4071" i="1"/>
  <c r="C4071" i="1"/>
  <c r="B4071" i="1"/>
  <c r="J4070" i="1"/>
  <c r="C4070" i="1"/>
  <c r="B4070" i="1"/>
  <c r="J4069" i="1"/>
  <c r="C4069" i="1"/>
  <c r="B4069" i="1"/>
  <c r="J4068" i="1"/>
  <c r="C4068" i="1"/>
  <c r="B4068" i="1"/>
  <c r="J4067" i="1"/>
  <c r="C4067" i="1"/>
  <c r="B4067" i="1"/>
  <c r="J4066" i="1"/>
  <c r="C4066" i="1"/>
  <c r="B4066" i="1"/>
  <c r="J4065" i="1"/>
  <c r="C4065" i="1"/>
  <c r="B4065" i="1"/>
  <c r="J4064" i="1"/>
  <c r="C4064" i="1"/>
  <c r="B4064" i="1"/>
  <c r="J4063" i="1"/>
  <c r="C4063" i="1"/>
  <c r="B4063" i="1"/>
  <c r="J4062" i="1"/>
  <c r="C4062" i="1"/>
  <c r="B4062" i="1"/>
  <c r="J4061" i="1"/>
  <c r="C4061" i="1"/>
  <c r="B4061" i="1"/>
  <c r="J4060" i="1"/>
  <c r="C4060" i="1"/>
  <c r="B4060" i="1"/>
  <c r="J4059" i="1"/>
  <c r="C4059" i="1"/>
  <c r="B4059" i="1"/>
  <c r="J4058" i="1"/>
  <c r="C4058" i="1"/>
  <c r="B4058" i="1"/>
  <c r="J4057" i="1"/>
  <c r="C4057" i="1"/>
  <c r="B4057" i="1"/>
  <c r="J4056" i="1"/>
  <c r="C4056" i="1"/>
  <c r="B4056" i="1"/>
  <c r="J4055" i="1"/>
  <c r="C4055" i="1"/>
  <c r="B4055" i="1"/>
  <c r="J4054" i="1"/>
  <c r="C4054" i="1"/>
  <c r="B4054" i="1"/>
  <c r="J4053" i="1"/>
  <c r="C4053" i="1"/>
  <c r="B4053" i="1"/>
  <c r="J4052" i="1"/>
  <c r="C4052" i="1"/>
  <c r="B4052" i="1"/>
  <c r="J4051" i="1"/>
  <c r="C4051" i="1"/>
  <c r="B4051" i="1"/>
  <c r="J4050" i="1"/>
  <c r="C4050" i="1"/>
  <c r="B4050" i="1"/>
  <c r="J4049" i="1"/>
  <c r="C4049" i="1"/>
  <c r="B4049" i="1"/>
  <c r="J4048" i="1"/>
  <c r="C4048" i="1"/>
  <c r="B4048" i="1"/>
  <c r="J4047" i="1"/>
  <c r="C4047" i="1"/>
  <c r="B4047" i="1"/>
  <c r="J4046" i="1"/>
  <c r="C4046" i="1"/>
  <c r="B4046" i="1"/>
  <c r="J4045" i="1"/>
  <c r="C4045" i="1"/>
  <c r="B4045" i="1"/>
  <c r="J4044" i="1"/>
  <c r="C4044" i="1"/>
  <c r="B4044" i="1"/>
  <c r="J4043" i="1"/>
  <c r="C4043" i="1"/>
  <c r="B4043" i="1"/>
  <c r="J4042" i="1"/>
  <c r="C4042" i="1"/>
  <c r="B4042" i="1"/>
  <c r="J4041" i="1"/>
  <c r="C4041" i="1"/>
  <c r="B4041" i="1"/>
  <c r="J4040" i="1"/>
  <c r="C4040" i="1"/>
  <c r="B4040" i="1"/>
  <c r="J4039" i="1"/>
  <c r="C4039" i="1"/>
  <c r="B4039" i="1"/>
  <c r="J4038" i="1"/>
  <c r="C4038" i="1"/>
  <c r="B4038" i="1"/>
  <c r="J4037" i="1"/>
  <c r="C4037" i="1"/>
  <c r="B4037" i="1"/>
  <c r="J4036" i="1"/>
  <c r="C4036" i="1"/>
  <c r="B4036" i="1"/>
  <c r="J4035" i="1"/>
  <c r="C4035" i="1"/>
  <c r="B4035" i="1"/>
  <c r="J4034" i="1"/>
  <c r="C4034" i="1"/>
  <c r="B4034" i="1"/>
  <c r="J4033" i="1"/>
  <c r="C4033" i="1"/>
  <c r="B4033" i="1"/>
  <c r="J4032" i="1"/>
  <c r="C4032" i="1"/>
  <c r="B4032" i="1"/>
  <c r="J4031" i="1"/>
  <c r="C4031" i="1"/>
  <c r="B4031" i="1"/>
  <c r="J4030" i="1"/>
  <c r="C4030" i="1"/>
  <c r="B4030" i="1"/>
  <c r="J4029" i="1"/>
  <c r="C4029" i="1"/>
  <c r="B4029" i="1"/>
  <c r="J4028" i="1"/>
  <c r="C4028" i="1"/>
  <c r="B4028" i="1"/>
  <c r="J4027" i="1"/>
  <c r="C4027" i="1"/>
  <c r="B4027" i="1"/>
  <c r="J4026" i="1"/>
  <c r="C4026" i="1"/>
  <c r="B4026" i="1"/>
  <c r="J4025" i="1"/>
  <c r="C4025" i="1"/>
  <c r="B4025" i="1"/>
  <c r="J4024" i="1"/>
  <c r="C4024" i="1"/>
  <c r="B4024" i="1"/>
  <c r="J4023" i="1"/>
  <c r="C4023" i="1"/>
  <c r="B4023" i="1"/>
  <c r="J4022" i="1"/>
  <c r="C4022" i="1"/>
  <c r="B4022" i="1"/>
  <c r="J4021" i="1"/>
  <c r="C4021" i="1"/>
  <c r="B4021" i="1"/>
  <c r="J4020" i="1"/>
  <c r="C4020" i="1"/>
  <c r="B4020" i="1"/>
  <c r="J4019" i="1"/>
  <c r="C4019" i="1"/>
  <c r="B4019" i="1"/>
  <c r="J4018" i="1"/>
  <c r="C4018" i="1"/>
  <c r="B4018" i="1"/>
  <c r="J4017" i="1"/>
  <c r="C4017" i="1"/>
  <c r="B4017" i="1"/>
  <c r="J4016" i="1"/>
  <c r="C4016" i="1"/>
  <c r="B4016" i="1"/>
  <c r="J4015" i="1"/>
  <c r="C4015" i="1"/>
  <c r="B4015" i="1"/>
  <c r="J4014" i="1"/>
  <c r="C4014" i="1"/>
  <c r="B4014" i="1"/>
  <c r="J4013" i="1"/>
  <c r="C4013" i="1"/>
  <c r="B4013" i="1"/>
  <c r="J4012" i="1"/>
  <c r="C4012" i="1"/>
  <c r="B4012" i="1"/>
  <c r="J4011" i="1"/>
  <c r="C4011" i="1"/>
  <c r="B4011" i="1"/>
  <c r="J4010" i="1"/>
  <c r="C4010" i="1"/>
  <c r="B4010" i="1"/>
  <c r="J4009" i="1"/>
  <c r="C4009" i="1"/>
  <c r="B4009" i="1"/>
  <c r="J4008" i="1"/>
  <c r="C4008" i="1"/>
  <c r="B4008" i="1"/>
  <c r="J4007" i="1"/>
  <c r="C4007" i="1"/>
  <c r="B4007" i="1"/>
  <c r="J4006" i="1"/>
  <c r="C4006" i="1"/>
  <c r="B4006" i="1"/>
  <c r="J4005" i="1"/>
  <c r="C4005" i="1"/>
  <c r="B4005" i="1"/>
  <c r="J4004" i="1"/>
  <c r="C4004" i="1"/>
  <c r="B4004" i="1"/>
  <c r="J4003" i="1"/>
  <c r="C4003" i="1"/>
  <c r="B4003" i="1"/>
  <c r="J4002" i="1"/>
  <c r="C4002" i="1"/>
  <c r="B4002" i="1"/>
  <c r="J4001" i="1"/>
  <c r="C4001" i="1"/>
  <c r="B4001" i="1"/>
  <c r="J4000" i="1"/>
  <c r="C4000" i="1"/>
  <c r="B4000" i="1"/>
  <c r="J3999" i="1"/>
  <c r="C3999" i="1"/>
  <c r="B3999" i="1"/>
  <c r="J3998" i="1"/>
  <c r="C3998" i="1"/>
  <c r="B3998" i="1"/>
  <c r="J3997" i="1"/>
  <c r="C3997" i="1"/>
  <c r="B3997" i="1"/>
  <c r="J3996" i="1"/>
  <c r="C3996" i="1"/>
  <c r="B3996" i="1"/>
  <c r="J3995" i="1"/>
  <c r="C3995" i="1"/>
  <c r="B3995" i="1"/>
  <c r="J3994" i="1"/>
  <c r="C3994" i="1"/>
  <c r="B3994" i="1"/>
  <c r="J3993" i="1"/>
  <c r="C3993" i="1"/>
  <c r="B3993" i="1"/>
  <c r="J3992" i="1"/>
  <c r="C3992" i="1"/>
  <c r="B3992" i="1"/>
  <c r="J3991" i="1"/>
  <c r="C3991" i="1"/>
  <c r="B3991" i="1"/>
  <c r="J3990" i="1"/>
  <c r="C3990" i="1"/>
  <c r="B3990" i="1"/>
  <c r="J3989" i="1"/>
  <c r="C3989" i="1"/>
  <c r="B3989" i="1"/>
  <c r="J3988" i="1"/>
  <c r="C3988" i="1"/>
  <c r="B3988" i="1"/>
  <c r="J3987" i="1"/>
  <c r="C3987" i="1"/>
  <c r="B3987" i="1"/>
  <c r="J3986" i="1"/>
  <c r="C3986" i="1"/>
  <c r="B3986" i="1"/>
  <c r="J3985" i="1"/>
  <c r="C3985" i="1"/>
  <c r="B3985" i="1"/>
  <c r="J3984" i="1"/>
  <c r="C3984" i="1"/>
  <c r="B3984" i="1"/>
  <c r="J3983" i="1"/>
  <c r="C3983" i="1"/>
  <c r="B3983" i="1"/>
  <c r="J3982" i="1"/>
  <c r="C3982" i="1"/>
  <c r="B3982" i="1"/>
  <c r="J3981" i="1"/>
  <c r="C3981" i="1"/>
  <c r="B3981" i="1"/>
  <c r="J3980" i="1"/>
  <c r="C3980" i="1"/>
  <c r="B3980" i="1"/>
  <c r="J3979" i="1"/>
  <c r="C3979" i="1"/>
  <c r="B3979" i="1"/>
  <c r="J3978" i="1"/>
  <c r="C3978" i="1"/>
  <c r="B3978" i="1"/>
  <c r="J3977" i="1"/>
  <c r="C3977" i="1"/>
  <c r="B3977" i="1"/>
  <c r="J3976" i="1"/>
  <c r="C3976" i="1"/>
  <c r="B3976" i="1"/>
  <c r="J3975" i="1"/>
  <c r="C3975" i="1"/>
  <c r="B3975" i="1"/>
  <c r="J3974" i="1"/>
  <c r="C3974" i="1"/>
  <c r="B3974" i="1"/>
  <c r="J3973" i="1"/>
  <c r="C3973" i="1"/>
  <c r="B3973" i="1"/>
  <c r="J3972" i="1"/>
  <c r="C3972" i="1"/>
  <c r="B3972" i="1"/>
  <c r="J3971" i="1"/>
  <c r="C3971" i="1"/>
  <c r="B3971" i="1"/>
  <c r="J3970" i="1"/>
  <c r="C3970" i="1"/>
  <c r="B3970" i="1"/>
  <c r="J3969" i="1"/>
  <c r="C3969" i="1"/>
  <c r="B3969" i="1"/>
  <c r="J3968" i="1"/>
  <c r="C3968" i="1"/>
  <c r="B3968" i="1"/>
  <c r="J3967" i="1"/>
  <c r="C3967" i="1"/>
  <c r="B3967" i="1"/>
  <c r="J3966" i="1"/>
  <c r="C3966" i="1"/>
  <c r="B3966" i="1"/>
  <c r="J3965" i="1"/>
  <c r="C3965" i="1"/>
  <c r="B3965" i="1"/>
  <c r="J3964" i="1"/>
  <c r="C3964" i="1"/>
  <c r="B3964" i="1"/>
  <c r="J3963" i="1"/>
  <c r="C3963" i="1"/>
  <c r="B3963" i="1"/>
  <c r="J3962" i="1"/>
  <c r="C3962" i="1"/>
  <c r="B3962" i="1"/>
  <c r="J3961" i="1"/>
  <c r="C3961" i="1"/>
  <c r="B3961" i="1"/>
  <c r="J3960" i="1"/>
  <c r="C3960" i="1"/>
  <c r="B3960" i="1"/>
  <c r="J3959" i="1"/>
  <c r="C3959" i="1"/>
  <c r="B3959" i="1"/>
  <c r="J3958" i="1"/>
  <c r="C3958" i="1"/>
  <c r="B3958" i="1"/>
  <c r="J3957" i="1"/>
  <c r="C3957" i="1"/>
  <c r="B3957" i="1"/>
  <c r="J3956" i="1"/>
  <c r="C3956" i="1"/>
  <c r="B3956" i="1"/>
  <c r="J3955" i="1"/>
  <c r="C3955" i="1"/>
  <c r="B3955" i="1"/>
  <c r="J3954" i="1"/>
  <c r="C3954" i="1"/>
  <c r="B3954" i="1"/>
  <c r="J3953" i="1"/>
  <c r="C3953" i="1"/>
  <c r="B3953" i="1"/>
  <c r="J3952" i="1"/>
  <c r="C3952" i="1"/>
  <c r="B3952" i="1"/>
  <c r="J3951" i="1"/>
  <c r="C3951" i="1"/>
  <c r="B3951" i="1"/>
  <c r="J3950" i="1"/>
  <c r="C3950" i="1"/>
  <c r="B3950" i="1"/>
  <c r="J3949" i="1"/>
  <c r="C3949" i="1"/>
  <c r="B3949" i="1"/>
  <c r="J3948" i="1"/>
  <c r="C3948" i="1"/>
  <c r="B3948" i="1"/>
  <c r="J3947" i="1"/>
  <c r="C3947" i="1"/>
  <c r="B3947" i="1"/>
  <c r="J3946" i="1"/>
  <c r="C3946" i="1"/>
  <c r="B3946" i="1"/>
  <c r="J3945" i="1"/>
  <c r="C3945" i="1"/>
  <c r="B3945" i="1"/>
  <c r="J3944" i="1"/>
  <c r="C3944" i="1"/>
  <c r="B3944" i="1"/>
  <c r="J3943" i="1"/>
  <c r="C3943" i="1"/>
  <c r="B3943" i="1"/>
  <c r="J3942" i="1"/>
  <c r="C3942" i="1"/>
  <c r="B3942" i="1"/>
  <c r="J3941" i="1"/>
  <c r="C3941" i="1"/>
  <c r="B3941" i="1"/>
  <c r="J3940" i="1"/>
  <c r="C3940" i="1"/>
  <c r="B3940" i="1"/>
  <c r="J3939" i="1"/>
  <c r="C3939" i="1"/>
  <c r="B3939" i="1"/>
  <c r="J3938" i="1"/>
  <c r="C3938" i="1"/>
  <c r="B3938" i="1"/>
  <c r="J3937" i="1"/>
  <c r="C3937" i="1"/>
  <c r="B3937" i="1"/>
  <c r="J3936" i="1"/>
  <c r="C3936" i="1"/>
  <c r="B3936" i="1"/>
  <c r="J3935" i="1"/>
  <c r="C3935" i="1"/>
  <c r="B3935" i="1"/>
  <c r="J3934" i="1"/>
  <c r="C3934" i="1"/>
  <c r="B3934" i="1"/>
  <c r="J3933" i="1"/>
  <c r="C3933" i="1"/>
  <c r="B3933" i="1"/>
  <c r="J3932" i="1"/>
  <c r="C3932" i="1"/>
  <c r="B3932" i="1"/>
  <c r="J3931" i="1"/>
  <c r="C3931" i="1"/>
  <c r="B3931" i="1"/>
  <c r="J3930" i="1"/>
  <c r="C3930" i="1"/>
  <c r="B3930" i="1"/>
  <c r="J3929" i="1"/>
  <c r="C3929" i="1"/>
  <c r="B3929" i="1"/>
  <c r="J3928" i="1"/>
  <c r="C3928" i="1"/>
  <c r="B3928" i="1"/>
  <c r="J3927" i="1"/>
  <c r="C3927" i="1"/>
  <c r="B3927" i="1"/>
  <c r="J3926" i="1"/>
  <c r="C3926" i="1"/>
  <c r="B3926" i="1"/>
  <c r="J3925" i="1"/>
  <c r="C3925" i="1"/>
  <c r="B3925" i="1"/>
  <c r="J3924" i="1"/>
  <c r="C3924" i="1"/>
  <c r="B3924" i="1"/>
  <c r="J3923" i="1"/>
  <c r="C3923" i="1"/>
  <c r="B3923" i="1"/>
  <c r="J3922" i="1"/>
  <c r="C3922" i="1"/>
  <c r="B3922" i="1"/>
  <c r="J3921" i="1"/>
  <c r="C3921" i="1"/>
  <c r="B3921" i="1"/>
  <c r="J3920" i="1"/>
  <c r="C3920" i="1"/>
  <c r="B3920" i="1"/>
  <c r="J3919" i="1"/>
  <c r="C3919" i="1"/>
  <c r="B3919" i="1"/>
  <c r="J3918" i="1"/>
  <c r="C3918" i="1"/>
  <c r="B3918" i="1"/>
  <c r="J3917" i="1"/>
  <c r="C3917" i="1"/>
  <c r="B3917" i="1"/>
  <c r="J3916" i="1"/>
  <c r="C3916" i="1"/>
  <c r="B3916" i="1"/>
  <c r="J3915" i="1"/>
  <c r="C3915" i="1"/>
  <c r="B3915" i="1"/>
  <c r="J3914" i="1"/>
  <c r="C3914" i="1"/>
  <c r="B3914" i="1"/>
  <c r="J3913" i="1"/>
  <c r="C3913" i="1"/>
  <c r="B3913" i="1"/>
  <c r="J3912" i="1"/>
  <c r="C3912" i="1"/>
  <c r="B3912" i="1"/>
  <c r="J3911" i="1"/>
  <c r="C3911" i="1"/>
  <c r="B3911" i="1"/>
  <c r="J3910" i="1"/>
  <c r="C3910" i="1"/>
  <c r="B3910" i="1"/>
  <c r="J3909" i="1"/>
  <c r="C3909" i="1"/>
  <c r="B3909" i="1"/>
  <c r="J3908" i="1"/>
  <c r="C3908" i="1"/>
  <c r="B3908" i="1"/>
  <c r="J3907" i="1"/>
  <c r="C3907" i="1"/>
  <c r="B3907" i="1"/>
  <c r="J3906" i="1"/>
  <c r="C3906" i="1"/>
  <c r="B3906" i="1"/>
  <c r="J3905" i="1"/>
  <c r="C3905" i="1"/>
  <c r="B3905" i="1"/>
  <c r="J3904" i="1"/>
  <c r="C3904" i="1"/>
  <c r="B3904" i="1"/>
  <c r="J3903" i="1"/>
  <c r="C3903" i="1"/>
  <c r="B3903" i="1"/>
  <c r="J3902" i="1"/>
  <c r="C3902" i="1"/>
  <c r="B3902" i="1"/>
  <c r="J3901" i="1"/>
  <c r="C3901" i="1"/>
  <c r="B3901" i="1"/>
  <c r="J3900" i="1"/>
  <c r="C3900" i="1"/>
  <c r="B3900" i="1"/>
  <c r="J3899" i="1"/>
  <c r="C3899" i="1"/>
  <c r="B3899" i="1"/>
  <c r="J3898" i="1"/>
  <c r="C3898" i="1"/>
  <c r="B3898" i="1"/>
  <c r="J3897" i="1"/>
  <c r="C3897" i="1"/>
  <c r="B3897" i="1"/>
  <c r="J3896" i="1"/>
  <c r="C3896" i="1"/>
  <c r="B3896" i="1"/>
  <c r="J3895" i="1"/>
  <c r="C3895" i="1"/>
  <c r="B3895" i="1"/>
  <c r="J3894" i="1"/>
  <c r="C3894" i="1"/>
  <c r="B3894" i="1"/>
  <c r="J3893" i="1"/>
  <c r="C3893" i="1"/>
  <c r="B3893" i="1"/>
  <c r="J3892" i="1"/>
  <c r="C3892" i="1"/>
  <c r="B3892" i="1"/>
  <c r="J3891" i="1"/>
  <c r="C3891" i="1"/>
  <c r="B3891" i="1"/>
  <c r="J3890" i="1"/>
  <c r="C3890" i="1"/>
  <c r="B3890" i="1"/>
  <c r="J3889" i="1"/>
  <c r="C3889" i="1"/>
  <c r="B3889" i="1"/>
  <c r="J3888" i="1"/>
  <c r="C3888" i="1"/>
  <c r="B3888" i="1"/>
  <c r="J3887" i="1"/>
  <c r="C3887" i="1"/>
  <c r="B3887" i="1"/>
  <c r="J3886" i="1"/>
  <c r="C3886" i="1"/>
  <c r="B3886" i="1"/>
  <c r="J3885" i="1"/>
  <c r="C3885" i="1"/>
  <c r="B3885" i="1"/>
  <c r="J3884" i="1"/>
  <c r="C3884" i="1"/>
  <c r="B3884" i="1"/>
  <c r="J3883" i="1"/>
  <c r="C3883" i="1"/>
  <c r="B3883" i="1"/>
  <c r="J3882" i="1"/>
  <c r="C3882" i="1"/>
  <c r="B3882" i="1"/>
  <c r="J3881" i="1"/>
  <c r="C3881" i="1"/>
  <c r="B3881" i="1"/>
  <c r="J3880" i="1"/>
  <c r="C3880" i="1"/>
  <c r="B3880" i="1"/>
  <c r="J3879" i="1"/>
  <c r="C3879" i="1"/>
  <c r="B3879" i="1"/>
  <c r="J3878" i="1"/>
  <c r="C3878" i="1"/>
  <c r="B3878" i="1"/>
  <c r="J3877" i="1"/>
  <c r="C3877" i="1"/>
  <c r="B3877" i="1"/>
  <c r="J3876" i="1"/>
  <c r="C3876" i="1"/>
  <c r="B3876" i="1"/>
  <c r="J3875" i="1"/>
  <c r="C3875" i="1"/>
  <c r="B3875" i="1"/>
  <c r="J3874" i="1"/>
  <c r="C3874" i="1"/>
  <c r="B3874" i="1"/>
  <c r="J3873" i="1"/>
  <c r="C3873" i="1"/>
  <c r="B3873" i="1"/>
  <c r="J3872" i="1"/>
  <c r="C3872" i="1"/>
  <c r="B3872" i="1"/>
  <c r="J3871" i="1"/>
  <c r="C3871" i="1"/>
  <c r="B3871" i="1"/>
  <c r="J3870" i="1"/>
  <c r="C3870" i="1"/>
  <c r="B3870" i="1"/>
  <c r="J3869" i="1"/>
  <c r="C3869" i="1"/>
  <c r="B3869" i="1"/>
  <c r="J3868" i="1"/>
  <c r="C3868" i="1"/>
  <c r="B3868" i="1"/>
  <c r="J3867" i="1"/>
  <c r="C3867" i="1"/>
  <c r="B3867" i="1"/>
  <c r="J3866" i="1"/>
  <c r="C3866" i="1"/>
  <c r="B3866" i="1"/>
  <c r="J3865" i="1"/>
  <c r="C3865" i="1"/>
  <c r="B3865" i="1"/>
  <c r="J3864" i="1"/>
  <c r="C3864" i="1"/>
  <c r="B3864" i="1"/>
  <c r="J3863" i="1"/>
  <c r="C3863" i="1"/>
  <c r="B3863" i="1"/>
  <c r="J3862" i="1"/>
  <c r="C3862" i="1"/>
  <c r="B3862" i="1"/>
  <c r="J3861" i="1"/>
  <c r="C3861" i="1"/>
  <c r="B3861" i="1"/>
  <c r="J3860" i="1"/>
  <c r="C3860" i="1"/>
  <c r="B3860" i="1"/>
  <c r="J3859" i="1"/>
  <c r="C3859" i="1"/>
  <c r="B3859" i="1"/>
  <c r="J3858" i="1"/>
  <c r="C3858" i="1"/>
  <c r="B3858" i="1"/>
  <c r="J3857" i="1"/>
  <c r="C3857" i="1"/>
  <c r="B3857" i="1"/>
  <c r="J3856" i="1"/>
  <c r="C3856" i="1"/>
  <c r="B3856" i="1"/>
  <c r="J3855" i="1"/>
  <c r="C3855" i="1"/>
  <c r="B3855" i="1"/>
  <c r="J3854" i="1"/>
  <c r="C3854" i="1"/>
  <c r="B3854" i="1"/>
  <c r="J3853" i="1"/>
  <c r="C3853" i="1"/>
  <c r="B3853" i="1"/>
  <c r="J3852" i="1"/>
  <c r="C3852" i="1"/>
  <c r="B3852" i="1"/>
  <c r="J3851" i="1"/>
  <c r="C3851" i="1"/>
  <c r="B3851" i="1"/>
  <c r="J3850" i="1"/>
  <c r="C3850" i="1"/>
  <c r="B3850" i="1"/>
  <c r="J3849" i="1"/>
  <c r="C3849" i="1"/>
  <c r="B3849" i="1"/>
  <c r="J3848" i="1"/>
  <c r="C3848" i="1"/>
  <c r="B3848" i="1"/>
  <c r="J3847" i="1"/>
  <c r="C3847" i="1"/>
  <c r="B3847" i="1"/>
  <c r="J3846" i="1"/>
  <c r="C3846" i="1"/>
  <c r="B3846" i="1"/>
  <c r="J3845" i="1"/>
  <c r="C3845" i="1"/>
  <c r="B3845" i="1"/>
  <c r="J3844" i="1"/>
  <c r="C3844" i="1"/>
  <c r="B3844" i="1"/>
  <c r="J3843" i="1"/>
  <c r="C3843" i="1"/>
  <c r="B3843" i="1"/>
  <c r="J3842" i="1"/>
  <c r="C3842" i="1"/>
  <c r="B3842" i="1"/>
  <c r="J3841" i="1"/>
  <c r="C3841" i="1"/>
  <c r="B3841" i="1"/>
  <c r="J3840" i="1"/>
  <c r="C3840" i="1"/>
  <c r="B3840" i="1"/>
  <c r="J3839" i="1"/>
  <c r="C3839" i="1"/>
  <c r="B3839" i="1"/>
  <c r="J3838" i="1"/>
  <c r="C3838" i="1"/>
  <c r="B3838" i="1"/>
  <c r="J3837" i="1"/>
  <c r="C3837" i="1"/>
  <c r="B3837" i="1"/>
  <c r="J3836" i="1"/>
  <c r="C3836" i="1"/>
  <c r="B3836" i="1"/>
  <c r="J3835" i="1"/>
  <c r="C3835" i="1"/>
  <c r="B3835" i="1"/>
  <c r="J3834" i="1"/>
  <c r="C3834" i="1"/>
  <c r="B3834" i="1"/>
  <c r="J3833" i="1"/>
  <c r="C3833" i="1"/>
  <c r="B3833" i="1"/>
  <c r="J3832" i="1"/>
  <c r="C3832" i="1"/>
  <c r="B3832" i="1"/>
  <c r="J3831" i="1"/>
  <c r="C3831" i="1"/>
  <c r="B3831" i="1"/>
  <c r="J3830" i="1"/>
  <c r="C3830" i="1"/>
  <c r="B3830" i="1"/>
  <c r="J3829" i="1"/>
  <c r="C3829" i="1"/>
  <c r="B3829" i="1"/>
  <c r="J3828" i="1"/>
  <c r="C3828" i="1"/>
  <c r="B3828" i="1"/>
  <c r="J3827" i="1"/>
  <c r="C3827" i="1"/>
  <c r="B3827" i="1"/>
  <c r="J3826" i="1"/>
  <c r="C3826" i="1"/>
  <c r="B3826" i="1"/>
  <c r="J3825" i="1"/>
  <c r="C3825" i="1"/>
  <c r="B3825" i="1"/>
  <c r="J3824" i="1"/>
  <c r="C3824" i="1"/>
  <c r="B3824" i="1"/>
  <c r="J3823" i="1"/>
  <c r="C3823" i="1"/>
  <c r="B3823" i="1"/>
  <c r="J3822" i="1"/>
  <c r="C3822" i="1"/>
  <c r="B3822" i="1"/>
  <c r="J3821" i="1"/>
  <c r="C3821" i="1"/>
  <c r="B3821" i="1"/>
  <c r="J3820" i="1"/>
  <c r="C3820" i="1"/>
  <c r="B3820" i="1"/>
  <c r="J3819" i="1"/>
  <c r="C3819" i="1"/>
  <c r="B3819" i="1"/>
  <c r="J3818" i="1"/>
  <c r="C3818" i="1"/>
  <c r="B3818" i="1"/>
  <c r="J3817" i="1"/>
  <c r="C3817" i="1"/>
  <c r="B3817" i="1"/>
  <c r="J3816" i="1"/>
  <c r="C3816" i="1"/>
  <c r="B3816" i="1"/>
  <c r="J3815" i="1"/>
  <c r="C3815" i="1"/>
  <c r="B3815" i="1"/>
  <c r="J3814" i="1"/>
  <c r="C3814" i="1"/>
  <c r="B3814" i="1"/>
  <c r="J3813" i="1"/>
  <c r="C3813" i="1"/>
  <c r="B3813" i="1"/>
  <c r="J3812" i="1"/>
  <c r="C3812" i="1"/>
  <c r="B3812" i="1"/>
  <c r="J3811" i="1"/>
  <c r="C3811" i="1"/>
  <c r="B3811" i="1"/>
  <c r="J3810" i="1"/>
  <c r="C3810" i="1"/>
  <c r="B3810" i="1"/>
  <c r="J3809" i="1"/>
  <c r="C3809" i="1"/>
  <c r="B3809" i="1"/>
  <c r="J3808" i="1"/>
  <c r="C3808" i="1"/>
  <c r="B3808" i="1"/>
  <c r="J3807" i="1"/>
  <c r="C3807" i="1"/>
  <c r="B3807" i="1"/>
  <c r="J3806" i="1"/>
  <c r="C3806" i="1"/>
  <c r="B3806" i="1"/>
  <c r="J3805" i="1"/>
  <c r="C3805" i="1"/>
  <c r="B3805" i="1"/>
  <c r="J3804" i="1"/>
  <c r="C3804" i="1"/>
  <c r="B3804" i="1"/>
  <c r="J3803" i="1"/>
  <c r="C3803" i="1"/>
  <c r="B3803" i="1"/>
  <c r="J3802" i="1"/>
  <c r="C3802" i="1"/>
  <c r="B3802" i="1"/>
  <c r="J3801" i="1"/>
  <c r="C3801" i="1"/>
  <c r="B3801" i="1"/>
  <c r="J3800" i="1"/>
  <c r="C3800" i="1"/>
  <c r="B3800" i="1"/>
  <c r="J3799" i="1"/>
  <c r="C3799" i="1"/>
  <c r="B3799" i="1"/>
  <c r="J3798" i="1"/>
  <c r="C3798" i="1"/>
  <c r="B3798" i="1"/>
  <c r="J3797" i="1"/>
  <c r="C3797" i="1"/>
  <c r="B3797" i="1"/>
  <c r="J3796" i="1"/>
  <c r="C3796" i="1"/>
  <c r="B3796" i="1"/>
  <c r="J3795" i="1"/>
  <c r="C3795" i="1"/>
  <c r="B3795" i="1"/>
  <c r="J3794" i="1"/>
  <c r="C3794" i="1"/>
  <c r="B3794" i="1"/>
  <c r="J3793" i="1"/>
  <c r="C3793" i="1"/>
  <c r="B3793" i="1"/>
  <c r="J3792" i="1"/>
  <c r="C3792" i="1"/>
  <c r="B3792" i="1"/>
  <c r="J3791" i="1"/>
  <c r="C3791" i="1"/>
  <c r="B3791" i="1"/>
  <c r="J3790" i="1"/>
  <c r="C3790" i="1"/>
  <c r="B3790" i="1"/>
  <c r="J3789" i="1"/>
  <c r="C3789" i="1"/>
  <c r="B3789" i="1"/>
  <c r="J3788" i="1"/>
  <c r="C3788" i="1"/>
  <c r="B3788" i="1"/>
  <c r="J3787" i="1"/>
  <c r="C3787" i="1"/>
  <c r="B3787" i="1"/>
  <c r="J3786" i="1"/>
  <c r="C3786" i="1"/>
  <c r="B3786" i="1"/>
  <c r="J3785" i="1"/>
  <c r="C3785" i="1"/>
  <c r="B3785" i="1"/>
  <c r="J3784" i="1"/>
  <c r="C3784" i="1"/>
  <c r="B3784" i="1"/>
  <c r="J3783" i="1"/>
  <c r="C3783" i="1"/>
  <c r="B3783" i="1"/>
  <c r="J3782" i="1"/>
  <c r="C3782" i="1"/>
  <c r="B3782" i="1"/>
  <c r="J3781" i="1"/>
  <c r="C3781" i="1"/>
  <c r="B3781" i="1"/>
  <c r="J3780" i="1"/>
  <c r="C3780" i="1"/>
  <c r="B3780" i="1"/>
  <c r="J3779" i="1"/>
  <c r="C3779" i="1"/>
  <c r="B3779" i="1"/>
  <c r="J3778" i="1"/>
  <c r="C3778" i="1"/>
  <c r="B3778" i="1"/>
  <c r="J3777" i="1"/>
  <c r="C3777" i="1"/>
  <c r="B3777" i="1"/>
  <c r="J3776" i="1"/>
  <c r="C3776" i="1"/>
  <c r="B3776" i="1"/>
  <c r="J3775" i="1"/>
  <c r="C3775" i="1"/>
  <c r="B3775" i="1"/>
  <c r="J3774" i="1"/>
  <c r="C3774" i="1"/>
  <c r="B3774" i="1"/>
  <c r="J3773" i="1"/>
  <c r="C3773" i="1"/>
  <c r="B3773" i="1"/>
  <c r="J3772" i="1"/>
  <c r="C3772" i="1"/>
  <c r="B3772" i="1"/>
  <c r="J3771" i="1"/>
  <c r="C3771" i="1"/>
  <c r="B3771" i="1"/>
  <c r="J3770" i="1"/>
  <c r="C3770" i="1"/>
  <c r="B3770" i="1"/>
  <c r="J3769" i="1"/>
  <c r="C3769" i="1"/>
  <c r="B3769" i="1"/>
  <c r="J3768" i="1"/>
  <c r="C3768" i="1"/>
  <c r="B3768" i="1"/>
  <c r="J3767" i="1"/>
  <c r="C3767" i="1"/>
  <c r="B3767" i="1"/>
  <c r="J3766" i="1"/>
  <c r="C3766" i="1"/>
  <c r="B3766" i="1"/>
  <c r="J3765" i="1"/>
  <c r="C3765" i="1"/>
  <c r="B3765" i="1"/>
  <c r="J3764" i="1"/>
  <c r="C3764" i="1"/>
  <c r="B3764" i="1"/>
  <c r="J3763" i="1"/>
  <c r="C3763" i="1"/>
  <c r="B3763" i="1"/>
  <c r="J3762" i="1"/>
  <c r="C3762" i="1"/>
  <c r="B3762" i="1"/>
  <c r="J3761" i="1"/>
  <c r="C3761" i="1"/>
  <c r="B3761" i="1"/>
  <c r="J3760" i="1"/>
  <c r="C3760" i="1"/>
  <c r="B3760" i="1"/>
  <c r="J3759" i="1"/>
  <c r="C3759" i="1"/>
  <c r="B3759" i="1"/>
  <c r="J3758" i="1"/>
  <c r="C3758" i="1"/>
  <c r="B3758" i="1"/>
  <c r="J3757" i="1"/>
  <c r="C3757" i="1"/>
  <c r="B3757" i="1"/>
  <c r="J3756" i="1"/>
  <c r="C3756" i="1"/>
  <c r="B3756" i="1"/>
  <c r="J3755" i="1"/>
  <c r="C3755" i="1"/>
  <c r="B3755" i="1"/>
  <c r="J3754" i="1"/>
  <c r="C3754" i="1"/>
  <c r="B3754" i="1"/>
  <c r="J3753" i="1"/>
  <c r="C3753" i="1"/>
  <c r="B3753" i="1"/>
  <c r="J3752" i="1"/>
  <c r="C3752" i="1"/>
  <c r="B3752" i="1"/>
  <c r="J3751" i="1"/>
  <c r="C3751" i="1"/>
  <c r="B3751" i="1"/>
  <c r="J3750" i="1"/>
  <c r="C3750" i="1"/>
  <c r="B3750" i="1"/>
  <c r="J3749" i="1"/>
  <c r="C3749" i="1"/>
  <c r="B3749" i="1"/>
  <c r="J3748" i="1"/>
  <c r="C3748" i="1"/>
  <c r="B3748" i="1"/>
  <c r="J3747" i="1"/>
  <c r="C3747" i="1"/>
  <c r="B3747" i="1"/>
  <c r="J3746" i="1"/>
  <c r="C3746" i="1"/>
  <c r="B3746" i="1"/>
  <c r="J3745" i="1"/>
  <c r="C3745" i="1"/>
  <c r="B3745" i="1"/>
  <c r="J3744" i="1"/>
  <c r="C3744" i="1"/>
  <c r="B3744" i="1"/>
  <c r="J3743" i="1"/>
  <c r="C3743" i="1"/>
  <c r="B3743" i="1"/>
  <c r="J3742" i="1"/>
  <c r="C3742" i="1"/>
  <c r="B3742" i="1"/>
  <c r="J3741" i="1"/>
  <c r="C3741" i="1"/>
  <c r="B3741" i="1"/>
  <c r="J3740" i="1"/>
  <c r="C3740" i="1"/>
  <c r="B3740" i="1"/>
  <c r="J3739" i="1"/>
  <c r="C3739" i="1"/>
  <c r="B3739" i="1"/>
  <c r="J3738" i="1"/>
  <c r="C3738" i="1"/>
  <c r="B3738" i="1"/>
  <c r="J3737" i="1"/>
  <c r="C3737" i="1"/>
  <c r="B3737" i="1"/>
  <c r="J3736" i="1"/>
  <c r="C3736" i="1"/>
  <c r="B3736" i="1"/>
  <c r="J3735" i="1"/>
  <c r="C3735" i="1"/>
  <c r="B3735" i="1"/>
  <c r="J3734" i="1"/>
  <c r="C3734" i="1"/>
  <c r="B3734" i="1"/>
  <c r="J3733" i="1"/>
  <c r="C3733" i="1"/>
  <c r="B3733" i="1"/>
  <c r="J3732" i="1"/>
  <c r="C3732" i="1"/>
  <c r="B3732" i="1"/>
  <c r="J3731" i="1"/>
  <c r="C3731" i="1"/>
  <c r="B3731" i="1"/>
  <c r="J3730" i="1"/>
  <c r="C3730" i="1"/>
  <c r="B3730" i="1"/>
  <c r="J3729" i="1"/>
  <c r="C3729" i="1"/>
  <c r="B3729" i="1"/>
  <c r="J3728" i="1"/>
  <c r="C3728" i="1"/>
  <c r="B3728" i="1"/>
  <c r="J3727" i="1"/>
  <c r="C3727" i="1"/>
  <c r="B3727" i="1"/>
  <c r="J3726" i="1"/>
  <c r="C3726" i="1"/>
  <c r="B3726" i="1"/>
  <c r="J3725" i="1"/>
  <c r="C3725" i="1"/>
  <c r="B3725" i="1"/>
  <c r="J3724" i="1"/>
  <c r="C3724" i="1"/>
  <c r="B3724" i="1"/>
  <c r="J3723" i="1"/>
  <c r="C3723" i="1"/>
  <c r="B3723" i="1"/>
  <c r="J3722" i="1"/>
  <c r="C3722" i="1"/>
  <c r="B3722" i="1"/>
  <c r="J3721" i="1"/>
  <c r="C3721" i="1"/>
  <c r="B3721" i="1"/>
  <c r="J3720" i="1"/>
  <c r="C3720" i="1"/>
  <c r="B3720" i="1"/>
  <c r="J3719" i="1"/>
  <c r="C3719" i="1"/>
  <c r="B3719" i="1"/>
  <c r="J3718" i="1"/>
  <c r="C3718" i="1"/>
  <c r="B3718" i="1"/>
  <c r="J3717" i="1"/>
  <c r="C3717" i="1"/>
  <c r="B3717" i="1"/>
  <c r="J3716" i="1"/>
  <c r="C3716" i="1"/>
  <c r="B3716" i="1"/>
  <c r="J3715" i="1"/>
  <c r="C3715" i="1"/>
  <c r="B3715" i="1"/>
  <c r="J3714" i="1"/>
  <c r="C3714" i="1"/>
  <c r="B3714" i="1"/>
  <c r="J3713" i="1"/>
  <c r="C3713" i="1"/>
  <c r="B3713" i="1"/>
  <c r="J3712" i="1"/>
  <c r="C3712" i="1"/>
  <c r="B3712" i="1"/>
  <c r="J3711" i="1"/>
  <c r="C3711" i="1"/>
  <c r="B3711" i="1"/>
  <c r="J3710" i="1"/>
  <c r="C3710" i="1"/>
  <c r="B3710" i="1"/>
  <c r="J3709" i="1"/>
  <c r="C3709" i="1"/>
  <c r="B3709" i="1"/>
  <c r="J3708" i="1"/>
  <c r="C3708" i="1"/>
  <c r="B3708" i="1"/>
  <c r="J3707" i="1"/>
  <c r="C3707" i="1"/>
  <c r="B3707" i="1"/>
  <c r="J3706" i="1"/>
  <c r="C3706" i="1"/>
  <c r="B3706" i="1"/>
  <c r="J3705" i="1"/>
  <c r="C3705" i="1"/>
  <c r="B3705" i="1"/>
  <c r="J3704" i="1"/>
  <c r="C3704" i="1"/>
  <c r="B3704" i="1"/>
  <c r="J3703" i="1"/>
  <c r="C3703" i="1"/>
  <c r="B3703" i="1"/>
  <c r="J3702" i="1"/>
  <c r="C3702" i="1"/>
  <c r="B3702" i="1"/>
  <c r="J3701" i="1"/>
  <c r="C3701" i="1"/>
  <c r="B3701" i="1"/>
  <c r="J3700" i="1"/>
  <c r="C3700" i="1"/>
  <c r="B3700" i="1"/>
  <c r="J3699" i="1"/>
  <c r="C3699" i="1"/>
  <c r="B3699" i="1"/>
  <c r="J3698" i="1"/>
  <c r="C3698" i="1"/>
  <c r="B3698" i="1"/>
  <c r="J3697" i="1"/>
  <c r="C3697" i="1"/>
  <c r="B3697" i="1"/>
  <c r="J3696" i="1"/>
  <c r="C3696" i="1"/>
  <c r="B3696" i="1"/>
  <c r="J3695" i="1"/>
  <c r="C3695" i="1"/>
  <c r="B3695" i="1"/>
  <c r="J3694" i="1"/>
  <c r="C3694" i="1"/>
  <c r="B3694" i="1"/>
  <c r="J3693" i="1"/>
  <c r="C3693" i="1"/>
  <c r="B3693" i="1"/>
  <c r="J3692" i="1"/>
  <c r="C3692" i="1"/>
  <c r="B3692" i="1"/>
  <c r="J3691" i="1"/>
  <c r="C3691" i="1"/>
  <c r="B3691" i="1"/>
  <c r="J3690" i="1"/>
  <c r="C3690" i="1"/>
  <c r="B3690" i="1"/>
  <c r="J3689" i="1"/>
  <c r="C3689" i="1"/>
  <c r="B3689" i="1"/>
  <c r="J3688" i="1"/>
  <c r="C3688" i="1"/>
  <c r="B3688" i="1"/>
  <c r="J3687" i="1"/>
  <c r="C3687" i="1"/>
  <c r="B3687" i="1"/>
  <c r="J3686" i="1"/>
  <c r="C3686" i="1"/>
  <c r="B3686" i="1"/>
  <c r="J3685" i="1"/>
  <c r="C3685" i="1"/>
  <c r="B3685" i="1"/>
  <c r="J3684" i="1"/>
  <c r="C3684" i="1"/>
  <c r="B3684" i="1"/>
  <c r="J3683" i="1"/>
  <c r="C3683" i="1"/>
  <c r="B3683" i="1"/>
  <c r="J3682" i="1"/>
  <c r="C3682" i="1"/>
  <c r="B3682" i="1"/>
  <c r="J3681" i="1"/>
  <c r="C3681" i="1"/>
  <c r="B3681" i="1"/>
  <c r="J3680" i="1"/>
  <c r="C3680" i="1"/>
  <c r="B3680" i="1"/>
  <c r="J3679" i="1"/>
  <c r="C3679" i="1"/>
  <c r="B3679" i="1"/>
  <c r="J3678" i="1"/>
  <c r="C3678" i="1"/>
  <c r="B3678" i="1"/>
  <c r="J3677" i="1"/>
  <c r="C3677" i="1"/>
  <c r="B3677" i="1"/>
  <c r="J3676" i="1"/>
  <c r="C3676" i="1"/>
  <c r="B3676" i="1"/>
  <c r="J3675" i="1"/>
  <c r="C3675" i="1"/>
  <c r="B3675" i="1"/>
  <c r="J3674" i="1"/>
  <c r="C3674" i="1"/>
  <c r="B3674" i="1"/>
  <c r="J3673" i="1"/>
  <c r="C3673" i="1"/>
  <c r="B3673" i="1"/>
  <c r="J3672" i="1"/>
  <c r="C3672" i="1"/>
  <c r="B3672" i="1"/>
  <c r="J3671" i="1"/>
  <c r="C3671" i="1"/>
  <c r="B3671" i="1"/>
  <c r="J3670" i="1"/>
  <c r="C3670" i="1"/>
  <c r="B3670" i="1"/>
  <c r="J3669" i="1"/>
  <c r="C3669" i="1"/>
  <c r="B3669" i="1"/>
  <c r="J3668" i="1"/>
  <c r="C3668" i="1"/>
  <c r="B3668" i="1"/>
  <c r="J3667" i="1"/>
  <c r="C3667" i="1"/>
  <c r="B3667" i="1"/>
  <c r="J3666" i="1"/>
  <c r="C3666" i="1"/>
  <c r="B3666" i="1"/>
  <c r="J3665" i="1"/>
  <c r="C3665" i="1"/>
  <c r="B3665" i="1"/>
  <c r="J3664" i="1"/>
  <c r="C3664" i="1"/>
  <c r="B3664" i="1"/>
  <c r="J3663" i="1"/>
  <c r="C3663" i="1"/>
  <c r="B3663" i="1"/>
  <c r="J3662" i="1"/>
  <c r="C3662" i="1"/>
  <c r="B3662" i="1"/>
  <c r="J3661" i="1"/>
  <c r="C3661" i="1"/>
  <c r="B3661" i="1"/>
  <c r="J3660" i="1"/>
  <c r="C3660" i="1"/>
  <c r="B3660" i="1"/>
  <c r="J3659" i="1"/>
  <c r="C3659" i="1"/>
  <c r="B3659" i="1"/>
  <c r="J3658" i="1"/>
  <c r="C3658" i="1"/>
  <c r="B3658" i="1"/>
  <c r="J3657" i="1"/>
  <c r="C3657" i="1"/>
  <c r="B3657" i="1"/>
  <c r="J3656" i="1"/>
  <c r="C3656" i="1"/>
  <c r="B3656" i="1"/>
  <c r="J3655" i="1"/>
  <c r="C3655" i="1"/>
  <c r="B3655" i="1"/>
  <c r="J3654" i="1"/>
  <c r="C3654" i="1"/>
  <c r="B3654" i="1"/>
  <c r="J3653" i="1"/>
  <c r="C3653" i="1"/>
  <c r="B3653" i="1"/>
  <c r="J3652" i="1"/>
  <c r="C3652" i="1"/>
  <c r="B3652" i="1"/>
  <c r="J3651" i="1"/>
  <c r="C3651" i="1"/>
  <c r="B3651" i="1"/>
  <c r="J3650" i="1"/>
  <c r="C3650" i="1"/>
  <c r="B3650" i="1"/>
  <c r="J3649" i="1"/>
  <c r="C3649" i="1"/>
  <c r="B3649" i="1"/>
  <c r="J3648" i="1"/>
  <c r="C3648" i="1"/>
  <c r="B3648" i="1"/>
  <c r="J3647" i="1"/>
  <c r="C3647" i="1"/>
  <c r="B3647" i="1"/>
  <c r="J3646" i="1"/>
  <c r="C3646" i="1"/>
  <c r="B3646" i="1"/>
  <c r="J3645" i="1"/>
  <c r="C3645" i="1"/>
  <c r="B3645" i="1"/>
  <c r="J3644" i="1"/>
  <c r="C3644" i="1"/>
  <c r="B3644" i="1"/>
  <c r="J3643" i="1"/>
  <c r="C3643" i="1"/>
  <c r="B3643" i="1"/>
  <c r="J3642" i="1"/>
  <c r="C3642" i="1"/>
  <c r="B3642" i="1"/>
  <c r="J3641" i="1"/>
  <c r="C3641" i="1"/>
  <c r="B3641" i="1"/>
  <c r="J3640" i="1"/>
  <c r="C3640" i="1"/>
  <c r="B3640" i="1"/>
  <c r="J3639" i="1"/>
  <c r="C3639" i="1"/>
  <c r="B3639" i="1"/>
  <c r="J3638" i="1"/>
  <c r="C3638" i="1"/>
  <c r="B3638" i="1"/>
  <c r="J3637" i="1"/>
  <c r="C3637" i="1"/>
  <c r="B3637" i="1"/>
  <c r="J3636" i="1"/>
  <c r="C3636" i="1"/>
  <c r="B3636" i="1"/>
  <c r="J3635" i="1"/>
  <c r="C3635" i="1"/>
  <c r="B3635" i="1"/>
  <c r="J3634" i="1"/>
  <c r="C3634" i="1"/>
  <c r="B3634" i="1"/>
  <c r="J3633" i="1"/>
  <c r="C3633" i="1"/>
  <c r="B3633" i="1"/>
  <c r="J3632" i="1"/>
  <c r="C3632" i="1"/>
  <c r="B3632" i="1"/>
  <c r="J3631" i="1"/>
  <c r="C3631" i="1"/>
  <c r="B3631" i="1"/>
  <c r="J3630" i="1"/>
  <c r="C3630" i="1"/>
  <c r="B3630" i="1"/>
  <c r="J3629" i="1"/>
  <c r="C3629" i="1"/>
  <c r="B3629" i="1"/>
  <c r="J3628" i="1"/>
  <c r="C3628" i="1"/>
  <c r="B3628" i="1"/>
  <c r="J3627" i="1"/>
  <c r="C3627" i="1"/>
  <c r="B3627" i="1"/>
  <c r="J3626" i="1"/>
  <c r="C3626" i="1"/>
  <c r="B3626" i="1"/>
  <c r="J3625" i="1"/>
  <c r="C3625" i="1"/>
  <c r="B3625" i="1"/>
  <c r="J3624" i="1"/>
  <c r="C3624" i="1"/>
  <c r="B3624" i="1"/>
  <c r="J3623" i="1"/>
  <c r="C3623" i="1"/>
  <c r="B3623" i="1"/>
  <c r="J3622" i="1"/>
  <c r="C3622" i="1"/>
  <c r="B3622" i="1"/>
  <c r="J3621" i="1"/>
  <c r="C3621" i="1"/>
  <c r="B3621" i="1"/>
  <c r="J3620" i="1"/>
  <c r="C3620" i="1"/>
  <c r="B3620" i="1"/>
  <c r="J3619" i="1"/>
  <c r="C3619" i="1"/>
  <c r="B3619" i="1"/>
  <c r="J3618" i="1"/>
  <c r="C3618" i="1"/>
  <c r="B3618" i="1"/>
  <c r="J3617" i="1"/>
  <c r="C3617" i="1"/>
  <c r="B3617" i="1"/>
  <c r="J3616" i="1"/>
  <c r="C3616" i="1"/>
  <c r="B3616" i="1"/>
  <c r="J3615" i="1"/>
  <c r="C3615" i="1"/>
  <c r="B3615" i="1"/>
  <c r="J3614" i="1"/>
  <c r="C3614" i="1"/>
  <c r="B3614" i="1"/>
  <c r="J3613" i="1"/>
  <c r="C3613" i="1"/>
  <c r="B3613" i="1"/>
  <c r="J3612" i="1"/>
  <c r="C3612" i="1"/>
  <c r="B3612" i="1"/>
  <c r="J3611" i="1"/>
  <c r="C3611" i="1"/>
  <c r="B3611" i="1"/>
  <c r="J3610" i="1"/>
  <c r="C3610" i="1"/>
  <c r="B3610" i="1"/>
  <c r="J3609" i="1"/>
  <c r="C3609" i="1"/>
  <c r="B3609" i="1"/>
  <c r="J3608" i="1"/>
  <c r="C3608" i="1"/>
  <c r="B3608" i="1"/>
  <c r="J3607" i="1"/>
  <c r="C3607" i="1"/>
  <c r="B3607" i="1"/>
  <c r="J3606" i="1"/>
  <c r="C3606" i="1"/>
  <c r="B3606" i="1"/>
  <c r="J3605" i="1"/>
  <c r="C3605" i="1"/>
  <c r="B3605" i="1"/>
  <c r="J3604" i="1"/>
  <c r="C3604" i="1"/>
  <c r="B3604" i="1"/>
  <c r="J3603" i="1"/>
  <c r="C3603" i="1"/>
  <c r="B3603" i="1"/>
  <c r="J3602" i="1"/>
  <c r="C3602" i="1"/>
  <c r="B3602" i="1"/>
  <c r="J3601" i="1"/>
  <c r="C3601" i="1"/>
  <c r="B3601" i="1"/>
  <c r="J3600" i="1"/>
  <c r="C3600" i="1"/>
  <c r="B3600" i="1"/>
  <c r="J3599" i="1"/>
  <c r="C3599" i="1"/>
  <c r="B3599" i="1"/>
  <c r="J3598" i="1"/>
  <c r="C3598" i="1"/>
  <c r="B3598" i="1"/>
  <c r="J3597" i="1"/>
  <c r="C3597" i="1"/>
  <c r="B3597" i="1"/>
  <c r="J3596" i="1"/>
  <c r="C3596" i="1"/>
  <c r="B3596" i="1"/>
  <c r="J3595" i="1"/>
  <c r="C3595" i="1"/>
  <c r="B3595" i="1"/>
  <c r="J3594" i="1"/>
  <c r="C3594" i="1"/>
  <c r="B3594" i="1"/>
  <c r="J3593" i="1"/>
  <c r="C3593" i="1"/>
  <c r="B3593" i="1"/>
  <c r="J3592" i="1"/>
  <c r="C3592" i="1"/>
  <c r="B3592" i="1"/>
  <c r="J3591" i="1"/>
  <c r="C3591" i="1"/>
  <c r="B3591" i="1"/>
  <c r="J3590" i="1"/>
  <c r="C3590" i="1"/>
  <c r="B3590" i="1"/>
  <c r="J3589" i="1"/>
  <c r="C3589" i="1"/>
  <c r="B3589" i="1"/>
  <c r="J3588" i="1"/>
  <c r="C3588" i="1"/>
  <c r="B3588" i="1"/>
  <c r="J3587" i="1"/>
  <c r="C3587" i="1"/>
  <c r="B3587" i="1"/>
  <c r="J3586" i="1"/>
  <c r="C3586" i="1"/>
  <c r="B3586" i="1"/>
  <c r="J3585" i="1"/>
  <c r="C3585" i="1"/>
  <c r="B3585" i="1"/>
  <c r="J3584" i="1"/>
  <c r="C3584" i="1"/>
  <c r="B3584" i="1"/>
  <c r="J3583" i="1"/>
  <c r="C3583" i="1"/>
  <c r="B3583" i="1"/>
  <c r="J3582" i="1"/>
  <c r="C3582" i="1"/>
  <c r="B3582" i="1"/>
  <c r="J3581" i="1"/>
  <c r="C3581" i="1"/>
  <c r="B3581" i="1"/>
  <c r="J3580" i="1"/>
  <c r="C3580" i="1"/>
  <c r="B3580" i="1"/>
  <c r="J3579" i="1"/>
  <c r="C3579" i="1"/>
  <c r="B3579" i="1"/>
  <c r="J3578" i="1"/>
  <c r="C3578" i="1"/>
  <c r="B3578" i="1"/>
  <c r="J3577" i="1"/>
  <c r="C3577" i="1"/>
  <c r="B3577" i="1"/>
  <c r="J3576" i="1"/>
  <c r="C3576" i="1"/>
  <c r="B3576" i="1"/>
  <c r="J3575" i="1"/>
  <c r="C3575" i="1"/>
  <c r="B3575" i="1"/>
  <c r="J3574" i="1"/>
  <c r="C3574" i="1"/>
  <c r="B3574" i="1"/>
  <c r="J3573" i="1"/>
  <c r="C3573" i="1"/>
  <c r="B3573" i="1"/>
  <c r="J3572" i="1"/>
  <c r="C3572" i="1"/>
  <c r="B3572" i="1"/>
  <c r="J3571" i="1"/>
  <c r="C3571" i="1"/>
  <c r="B3571" i="1"/>
  <c r="J3570" i="1"/>
  <c r="C3570" i="1"/>
  <c r="B3570" i="1"/>
  <c r="J3569" i="1"/>
  <c r="C3569" i="1"/>
  <c r="B3569" i="1"/>
  <c r="J3568" i="1"/>
  <c r="C3568" i="1"/>
  <c r="B3568" i="1"/>
  <c r="J3567" i="1"/>
  <c r="C3567" i="1"/>
  <c r="B3567" i="1"/>
  <c r="J3566" i="1"/>
  <c r="C3566" i="1"/>
  <c r="B3566" i="1"/>
  <c r="J3565" i="1"/>
  <c r="C3565" i="1"/>
  <c r="B3565" i="1"/>
  <c r="J3564" i="1"/>
  <c r="C3564" i="1"/>
  <c r="B3564" i="1"/>
  <c r="J3563" i="1"/>
  <c r="C3563" i="1"/>
  <c r="B3563" i="1"/>
  <c r="J3562" i="1"/>
  <c r="C3562" i="1"/>
  <c r="B3562" i="1"/>
  <c r="J3561" i="1"/>
  <c r="C3561" i="1"/>
  <c r="B3561" i="1"/>
  <c r="J3560" i="1"/>
  <c r="C3560" i="1"/>
  <c r="B3560" i="1"/>
  <c r="J3559" i="1"/>
  <c r="C3559" i="1"/>
  <c r="B3559" i="1"/>
  <c r="J3558" i="1"/>
  <c r="C3558" i="1"/>
  <c r="B3558" i="1"/>
  <c r="J3557" i="1"/>
  <c r="C3557" i="1"/>
  <c r="B3557" i="1"/>
  <c r="J3556" i="1"/>
  <c r="C3556" i="1"/>
  <c r="B3556" i="1"/>
  <c r="J3555" i="1"/>
  <c r="C3555" i="1"/>
  <c r="B3555" i="1"/>
  <c r="J3554" i="1"/>
  <c r="C3554" i="1"/>
  <c r="B3554" i="1"/>
  <c r="J3553" i="1"/>
  <c r="C3553" i="1"/>
  <c r="B3553" i="1"/>
  <c r="J3552" i="1"/>
  <c r="C3552" i="1"/>
  <c r="B3552" i="1"/>
  <c r="J3551" i="1"/>
  <c r="C3551" i="1"/>
  <c r="B3551" i="1"/>
  <c r="J3550" i="1"/>
  <c r="C3550" i="1"/>
  <c r="B3550" i="1"/>
  <c r="J3549" i="1"/>
  <c r="C3549" i="1"/>
  <c r="B3549" i="1"/>
  <c r="J3548" i="1"/>
  <c r="C3548" i="1"/>
  <c r="B3548" i="1"/>
  <c r="J3547" i="1"/>
  <c r="C3547" i="1"/>
  <c r="B3547" i="1"/>
  <c r="J3546" i="1"/>
  <c r="C3546" i="1"/>
  <c r="B3546" i="1"/>
  <c r="J3545" i="1"/>
  <c r="C3545" i="1"/>
  <c r="B3545" i="1"/>
  <c r="J3544" i="1"/>
  <c r="C3544" i="1"/>
  <c r="B3544" i="1"/>
  <c r="J3543" i="1"/>
  <c r="C3543" i="1"/>
  <c r="B3543" i="1"/>
  <c r="J3542" i="1"/>
  <c r="C3542" i="1"/>
  <c r="B3542" i="1"/>
  <c r="J3541" i="1"/>
  <c r="C3541" i="1"/>
  <c r="B3541" i="1"/>
  <c r="J3540" i="1"/>
  <c r="C3540" i="1"/>
  <c r="B3540" i="1"/>
  <c r="J3539" i="1"/>
  <c r="C3539" i="1"/>
  <c r="B3539" i="1"/>
  <c r="J3538" i="1"/>
  <c r="C3538" i="1"/>
  <c r="B3538" i="1"/>
  <c r="J3537" i="1"/>
  <c r="C3537" i="1"/>
  <c r="B3537" i="1"/>
  <c r="J3536" i="1"/>
  <c r="C3536" i="1"/>
  <c r="B3536" i="1"/>
  <c r="J3535" i="1"/>
  <c r="C3535" i="1"/>
  <c r="B3535" i="1"/>
  <c r="J3534" i="1"/>
  <c r="C3534" i="1"/>
  <c r="B3534" i="1"/>
  <c r="J3533" i="1"/>
  <c r="C3533" i="1"/>
  <c r="B3533" i="1"/>
  <c r="J3532" i="1"/>
  <c r="C3532" i="1"/>
  <c r="B3532" i="1"/>
  <c r="J3531" i="1"/>
  <c r="C3531" i="1"/>
  <c r="B3531" i="1"/>
  <c r="J3530" i="1"/>
  <c r="C3530" i="1"/>
  <c r="B3530" i="1"/>
  <c r="J3529" i="1"/>
  <c r="C3529" i="1"/>
  <c r="B3529" i="1"/>
  <c r="J3528" i="1"/>
  <c r="C3528" i="1"/>
  <c r="B3528" i="1"/>
  <c r="J3527" i="1"/>
  <c r="C3527" i="1"/>
  <c r="B3527" i="1"/>
  <c r="J3526" i="1"/>
  <c r="C3526" i="1"/>
  <c r="B3526" i="1"/>
  <c r="J3525" i="1"/>
  <c r="C3525" i="1"/>
  <c r="B3525" i="1"/>
  <c r="J3524" i="1"/>
  <c r="C3524" i="1"/>
  <c r="B3524" i="1"/>
  <c r="J3523" i="1"/>
  <c r="C3523" i="1"/>
  <c r="B3523" i="1"/>
  <c r="J3522" i="1"/>
  <c r="C3522" i="1"/>
  <c r="B3522" i="1"/>
  <c r="J3521" i="1"/>
  <c r="C3521" i="1"/>
  <c r="B3521" i="1"/>
  <c r="J3520" i="1"/>
  <c r="C3520" i="1"/>
  <c r="B3520" i="1"/>
  <c r="J3519" i="1"/>
  <c r="C3519" i="1"/>
  <c r="B3519" i="1"/>
  <c r="J3518" i="1"/>
  <c r="C3518" i="1"/>
  <c r="B3518" i="1"/>
  <c r="J3517" i="1"/>
  <c r="C3517" i="1"/>
  <c r="B3517" i="1"/>
  <c r="J3516" i="1"/>
  <c r="C3516" i="1"/>
  <c r="B3516" i="1"/>
  <c r="J3515" i="1"/>
  <c r="C3515" i="1"/>
  <c r="B3515" i="1"/>
  <c r="J3514" i="1"/>
  <c r="C3514" i="1"/>
  <c r="B3514" i="1"/>
  <c r="J3513" i="1"/>
  <c r="C3513" i="1"/>
  <c r="B3513" i="1"/>
  <c r="J3512" i="1"/>
  <c r="C3512" i="1"/>
  <c r="B3512" i="1"/>
  <c r="J3511" i="1"/>
  <c r="C3511" i="1"/>
  <c r="B3511" i="1"/>
  <c r="J3510" i="1"/>
  <c r="C3510" i="1"/>
  <c r="B3510" i="1"/>
  <c r="J3509" i="1"/>
  <c r="C3509" i="1"/>
  <c r="B3509" i="1"/>
  <c r="J3508" i="1"/>
  <c r="C3508" i="1"/>
  <c r="B3508" i="1"/>
  <c r="J3507" i="1"/>
  <c r="C3507" i="1"/>
  <c r="B3507" i="1"/>
  <c r="J3506" i="1"/>
  <c r="C3506" i="1"/>
  <c r="B3506" i="1"/>
  <c r="J3505" i="1"/>
  <c r="C3505" i="1"/>
  <c r="B3505" i="1"/>
  <c r="J3504" i="1"/>
  <c r="C3504" i="1"/>
  <c r="B3504" i="1"/>
  <c r="J3503" i="1"/>
  <c r="C3503" i="1"/>
  <c r="B3503" i="1"/>
  <c r="J3502" i="1"/>
  <c r="C3502" i="1"/>
  <c r="B3502" i="1"/>
  <c r="J3501" i="1"/>
  <c r="C3501" i="1"/>
  <c r="B3501" i="1"/>
  <c r="J3500" i="1"/>
  <c r="C3500" i="1"/>
  <c r="B3500" i="1"/>
  <c r="J3499" i="1"/>
  <c r="C3499" i="1"/>
  <c r="B3499" i="1"/>
  <c r="J3498" i="1"/>
  <c r="C3498" i="1"/>
  <c r="B3498" i="1"/>
  <c r="J3497" i="1"/>
  <c r="C3497" i="1"/>
  <c r="B3497" i="1"/>
  <c r="J3496" i="1"/>
  <c r="C3496" i="1"/>
  <c r="B3496" i="1"/>
  <c r="J3495" i="1"/>
  <c r="C3495" i="1"/>
  <c r="B3495" i="1"/>
  <c r="J3494" i="1"/>
  <c r="C3494" i="1"/>
  <c r="B3494" i="1"/>
  <c r="J3493" i="1"/>
  <c r="C3493" i="1"/>
  <c r="B3493" i="1"/>
  <c r="J3492" i="1"/>
  <c r="C3492" i="1"/>
  <c r="B3492" i="1"/>
  <c r="J3491" i="1"/>
  <c r="C3491" i="1"/>
  <c r="B3491" i="1"/>
  <c r="J3490" i="1"/>
  <c r="C3490" i="1"/>
  <c r="B3490" i="1"/>
  <c r="J3489" i="1"/>
  <c r="C3489" i="1"/>
  <c r="B3489" i="1"/>
  <c r="J3488" i="1"/>
  <c r="C3488" i="1"/>
  <c r="B3488" i="1"/>
  <c r="J3487" i="1"/>
  <c r="C3487" i="1"/>
  <c r="B3487" i="1"/>
  <c r="J3486" i="1"/>
  <c r="C3486" i="1"/>
  <c r="B3486" i="1"/>
  <c r="J3485" i="1"/>
  <c r="C3485" i="1"/>
  <c r="B3485" i="1"/>
  <c r="J3484" i="1"/>
  <c r="C3484" i="1"/>
  <c r="B3484" i="1"/>
  <c r="J3483" i="1"/>
  <c r="C3483" i="1"/>
  <c r="B3483" i="1"/>
  <c r="J3482" i="1"/>
  <c r="C3482" i="1"/>
  <c r="B3482" i="1"/>
  <c r="J3481" i="1"/>
  <c r="C3481" i="1"/>
  <c r="B3481" i="1"/>
  <c r="J3480" i="1"/>
  <c r="C3480" i="1"/>
  <c r="B3480" i="1"/>
  <c r="J3479" i="1"/>
  <c r="C3479" i="1"/>
  <c r="B3479" i="1"/>
  <c r="J3478" i="1"/>
  <c r="C3478" i="1"/>
  <c r="B3478" i="1"/>
  <c r="J3477" i="1"/>
  <c r="C3477" i="1"/>
  <c r="B3477" i="1"/>
  <c r="J3476" i="1"/>
  <c r="C3476" i="1"/>
  <c r="B3476" i="1"/>
  <c r="J3475" i="1"/>
  <c r="C3475" i="1"/>
  <c r="B3475" i="1"/>
  <c r="J3474" i="1"/>
  <c r="C3474" i="1"/>
  <c r="B3474" i="1"/>
  <c r="J3473" i="1"/>
  <c r="C3473" i="1"/>
  <c r="B3473" i="1"/>
  <c r="J3472" i="1"/>
  <c r="C3472" i="1"/>
  <c r="B3472" i="1"/>
  <c r="J3471" i="1"/>
  <c r="C3471" i="1"/>
  <c r="B3471" i="1"/>
  <c r="J3470" i="1"/>
  <c r="C3470" i="1"/>
  <c r="B3470" i="1"/>
  <c r="J3469" i="1"/>
  <c r="C3469" i="1"/>
  <c r="B3469" i="1"/>
  <c r="J3468" i="1"/>
  <c r="C3468" i="1"/>
  <c r="B3468" i="1"/>
  <c r="J3467" i="1"/>
  <c r="C3467" i="1"/>
  <c r="B3467" i="1"/>
  <c r="J3466" i="1"/>
  <c r="C3466" i="1"/>
  <c r="B3466" i="1"/>
  <c r="J3465" i="1"/>
  <c r="C3465" i="1"/>
  <c r="B3465" i="1"/>
  <c r="J3464" i="1"/>
  <c r="C3464" i="1"/>
  <c r="B3464" i="1"/>
  <c r="J3463" i="1"/>
  <c r="C3463" i="1"/>
  <c r="B3463" i="1"/>
  <c r="J3462" i="1"/>
  <c r="C3462" i="1"/>
  <c r="B3462" i="1"/>
  <c r="J3461" i="1"/>
  <c r="C3461" i="1"/>
  <c r="B3461" i="1"/>
  <c r="J3460" i="1"/>
  <c r="C3460" i="1"/>
  <c r="B3460" i="1"/>
  <c r="J3459" i="1"/>
  <c r="C3459" i="1"/>
  <c r="B3459" i="1"/>
  <c r="J3458" i="1"/>
  <c r="C3458" i="1"/>
  <c r="B3458" i="1"/>
  <c r="J3457" i="1"/>
  <c r="C3457" i="1"/>
  <c r="B3457" i="1"/>
  <c r="J3456" i="1"/>
  <c r="C3456" i="1"/>
  <c r="B3456" i="1"/>
  <c r="J3455" i="1"/>
  <c r="C3455" i="1"/>
  <c r="B3455" i="1"/>
  <c r="J3454" i="1"/>
  <c r="C3454" i="1"/>
  <c r="B3454" i="1"/>
  <c r="J3453" i="1"/>
  <c r="C3453" i="1"/>
  <c r="B3453" i="1"/>
  <c r="J3452" i="1"/>
  <c r="C3452" i="1"/>
  <c r="B3452" i="1"/>
  <c r="J3451" i="1"/>
  <c r="C3451" i="1"/>
  <c r="B3451" i="1"/>
  <c r="J3450" i="1"/>
  <c r="C3450" i="1"/>
  <c r="B3450" i="1"/>
  <c r="J3449" i="1"/>
  <c r="C3449" i="1"/>
  <c r="B3449" i="1"/>
  <c r="J3448" i="1"/>
  <c r="C3448" i="1"/>
  <c r="B3448" i="1"/>
  <c r="J3447" i="1"/>
  <c r="C3447" i="1"/>
  <c r="B3447" i="1"/>
  <c r="J3446" i="1"/>
  <c r="C3446" i="1"/>
  <c r="B3446" i="1"/>
  <c r="J3445" i="1"/>
  <c r="C3445" i="1"/>
  <c r="B3445" i="1"/>
  <c r="J3444" i="1"/>
  <c r="C3444" i="1"/>
  <c r="B3444" i="1"/>
  <c r="J3443" i="1"/>
  <c r="C3443" i="1"/>
  <c r="B3443" i="1"/>
  <c r="J3442" i="1"/>
  <c r="C3442" i="1"/>
  <c r="B3442" i="1"/>
  <c r="J3441" i="1"/>
  <c r="C3441" i="1"/>
  <c r="B3441" i="1"/>
  <c r="J3440" i="1"/>
  <c r="C3440" i="1"/>
  <c r="B3440" i="1"/>
  <c r="J3439" i="1"/>
  <c r="C3439" i="1"/>
  <c r="B3439" i="1"/>
  <c r="J3438" i="1"/>
  <c r="C3438" i="1"/>
  <c r="B3438" i="1"/>
  <c r="J3437" i="1"/>
  <c r="C3437" i="1"/>
  <c r="B3437" i="1"/>
  <c r="J3436" i="1"/>
  <c r="C3436" i="1"/>
  <c r="B3436" i="1"/>
  <c r="J3435" i="1"/>
  <c r="C3435" i="1"/>
  <c r="B3435" i="1"/>
  <c r="J3434" i="1"/>
  <c r="C3434" i="1"/>
  <c r="B3434" i="1"/>
  <c r="J3433" i="1"/>
  <c r="C3433" i="1"/>
  <c r="B3433" i="1"/>
  <c r="J3432" i="1"/>
  <c r="C3432" i="1"/>
  <c r="B3432" i="1"/>
  <c r="J3431" i="1"/>
  <c r="C3431" i="1"/>
  <c r="B3431" i="1"/>
  <c r="J3430" i="1"/>
  <c r="C3430" i="1"/>
  <c r="B3430" i="1"/>
  <c r="J3429" i="1"/>
  <c r="C3429" i="1"/>
  <c r="B3429" i="1"/>
  <c r="J3428" i="1"/>
  <c r="C3428" i="1"/>
  <c r="B3428" i="1"/>
  <c r="J3427" i="1"/>
  <c r="C3427" i="1"/>
  <c r="B3427" i="1"/>
  <c r="J3426" i="1"/>
  <c r="C3426" i="1"/>
  <c r="B3426" i="1"/>
  <c r="J3425" i="1"/>
  <c r="C3425" i="1"/>
  <c r="B3425" i="1"/>
  <c r="J3424" i="1"/>
  <c r="C3424" i="1"/>
  <c r="B3424" i="1"/>
  <c r="J3423" i="1"/>
  <c r="C3423" i="1"/>
  <c r="B3423" i="1"/>
  <c r="J3422" i="1"/>
  <c r="C3422" i="1"/>
  <c r="B3422" i="1"/>
  <c r="J3421" i="1"/>
  <c r="C3421" i="1"/>
  <c r="B3421" i="1"/>
  <c r="J3420" i="1"/>
  <c r="C3420" i="1"/>
  <c r="B3420" i="1"/>
  <c r="J3419" i="1"/>
  <c r="C3419" i="1"/>
  <c r="B3419" i="1"/>
  <c r="J3418" i="1"/>
  <c r="C3418" i="1"/>
  <c r="B3418" i="1"/>
  <c r="J3417" i="1"/>
  <c r="C3417" i="1"/>
  <c r="B3417" i="1"/>
  <c r="J3416" i="1"/>
  <c r="C3416" i="1"/>
  <c r="B3416" i="1"/>
  <c r="J3415" i="1"/>
  <c r="C3415" i="1"/>
  <c r="B3415" i="1"/>
  <c r="J3414" i="1"/>
  <c r="C3414" i="1"/>
  <c r="B3414" i="1"/>
  <c r="J3413" i="1"/>
  <c r="C3413" i="1"/>
  <c r="B3413" i="1"/>
  <c r="J3412" i="1"/>
  <c r="C3412" i="1"/>
  <c r="B3412" i="1"/>
  <c r="J3411" i="1"/>
  <c r="C3411" i="1"/>
  <c r="B3411" i="1"/>
  <c r="J3410" i="1"/>
  <c r="C3410" i="1"/>
  <c r="B3410" i="1"/>
  <c r="J3409" i="1"/>
  <c r="C3409" i="1"/>
  <c r="B3409" i="1"/>
  <c r="J3408" i="1"/>
  <c r="C3408" i="1"/>
  <c r="B3408" i="1"/>
  <c r="J3407" i="1"/>
  <c r="C3407" i="1"/>
  <c r="B3407" i="1"/>
  <c r="J3406" i="1"/>
  <c r="C3406" i="1"/>
  <c r="B3406" i="1"/>
  <c r="J3405" i="1"/>
  <c r="C3405" i="1"/>
  <c r="B3405" i="1"/>
  <c r="J3404" i="1"/>
  <c r="C3404" i="1"/>
  <c r="B3404" i="1"/>
  <c r="J3403" i="1"/>
  <c r="C3403" i="1"/>
  <c r="B3403" i="1"/>
  <c r="J3402" i="1"/>
  <c r="C3402" i="1"/>
  <c r="B3402" i="1"/>
  <c r="J3401" i="1"/>
  <c r="C3401" i="1"/>
  <c r="B3401" i="1"/>
  <c r="J3400" i="1"/>
  <c r="C3400" i="1"/>
  <c r="B3400" i="1"/>
  <c r="J3399" i="1"/>
  <c r="C3399" i="1"/>
  <c r="B3399" i="1"/>
  <c r="J3398" i="1"/>
  <c r="C3398" i="1"/>
  <c r="B3398" i="1"/>
  <c r="J3397" i="1"/>
  <c r="C3397" i="1"/>
  <c r="B3397" i="1"/>
  <c r="J3396" i="1"/>
  <c r="C3396" i="1"/>
  <c r="B3396" i="1"/>
  <c r="J3395" i="1"/>
  <c r="C3395" i="1"/>
  <c r="B3395" i="1"/>
  <c r="J3394" i="1"/>
  <c r="C3394" i="1"/>
  <c r="B3394" i="1"/>
  <c r="J3393" i="1"/>
  <c r="C3393" i="1"/>
  <c r="B3393" i="1"/>
  <c r="J3392" i="1"/>
  <c r="C3392" i="1"/>
  <c r="B3392" i="1"/>
  <c r="J3391" i="1"/>
  <c r="C3391" i="1"/>
  <c r="B3391" i="1"/>
  <c r="J3390" i="1"/>
  <c r="C3390" i="1"/>
  <c r="B3390" i="1"/>
  <c r="J3389" i="1"/>
  <c r="C3389" i="1"/>
  <c r="B3389" i="1"/>
  <c r="J3388" i="1"/>
  <c r="C3388" i="1"/>
  <c r="B3388" i="1"/>
  <c r="J3387" i="1"/>
  <c r="C3387" i="1"/>
  <c r="B3387" i="1"/>
  <c r="J3386" i="1"/>
  <c r="C3386" i="1"/>
  <c r="B3386" i="1"/>
  <c r="J3385" i="1"/>
  <c r="C3385" i="1"/>
  <c r="B3385" i="1"/>
  <c r="J3384" i="1"/>
  <c r="C3384" i="1"/>
  <c r="B3384" i="1"/>
  <c r="J3383" i="1"/>
  <c r="C3383" i="1"/>
  <c r="B3383" i="1"/>
  <c r="J3382" i="1"/>
  <c r="C3382" i="1"/>
  <c r="B3382" i="1"/>
  <c r="J3381" i="1"/>
  <c r="C3381" i="1"/>
  <c r="B3381" i="1"/>
  <c r="J3380" i="1"/>
  <c r="C3380" i="1"/>
  <c r="B3380" i="1"/>
  <c r="J3379" i="1"/>
  <c r="C3379" i="1"/>
  <c r="B3379" i="1"/>
  <c r="J3378" i="1"/>
  <c r="C3378" i="1"/>
  <c r="B3378" i="1"/>
  <c r="J3377" i="1"/>
  <c r="C3377" i="1"/>
  <c r="B3377" i="1"/>
  <c r="J3376" i="1"/>
  <c r="C3376" i="1"/>
  <c r="B3376" i="1"/>
  <c r="J3375" i="1"/>
  <c r="C3375" i="1"/>
  <c r="B3375" i="1"/>
  <c r="J3374" i="1"/>
  <c r="C3374" i="1"/>
  <c r="B3374" i="1"/>
  <c r="J3373" i="1"/>
  <c r="C3373" i="1"/>
  <c r="B3373" i="1"/>
  <c r="J3372" i="1"/>
  <c r="C3372" i="1"/>
  <c r="B3372" i="1"/>
  <c r="J3371" i="1"/>
  <c r="C3371" i="1"/>
  <c r="B3371" i="1"/>
  <c r="J3370" i="1"/>
  <c r="C3370" i="1"/>
  <c r="B3370" i="1"/>
  <c r="J3369" i="1"/>
  <c r="C3369" i="1"/>
  <c r="B3369" i="1"/>
  <c r="J3368" i="1"/>
  <c r="C3368" i="1"/>
  <c r="B3368" i="1"/>
  <c r="J3367" i="1"/>
  <c r="C3367" i="1"/>
  <c r="B3367" i="1"/>
  <c r="J3366" i="1"/>
  <c r="C3366" i="1"/>
  <c r="B3366" i="1"/>
  <c r="J3365" i="1"/>
  <c r="C3365" i="1"/>
  <c r="B3365" i="1"/>
  <c r="J3364" i="1"/>
  <c r="C3364" i="1"/>
  <c r="B3364" i="1"/>
  <c r="J3363" i="1"/>
  <c r="C3363" i="1"/>
  <c r="B3363" i="1"/>
  <c r="J3362" i="1"/>
  <c r="C3362" i="1"/>
  <c r="B3362" i="1"/>
  <c r="J3361" i="1"/>
  <c r="C3361" i="1"/>
  <c r="B3361" i="1"/>
  <c r="J3360" i="1"/>
  <c r="C3360" i="1"/>
  <c r="B3360" i="1"/>
  <c r="J3359" i="1"/>
  <c r="C3359" i="1"/>
  <c r="B3359" i="1"/>
  <c r="J3358" i="1"/>
  <c r="C3358" i="1"/>
  <c r="B3358" i="1"/>
  <c r="J3357" i="1"/>
  <c r="C3357" i="1"/>
  <c r="B3357" i="1"/>
  <c r="J3356" i="1"/>
  <c r="C3356" i="1"/>
  <c r="B3356" i="1"/>
  <c r="J3355" i="1"/>
  <c r="C3355" i="1"/>
  <c r="B3355" i="1"/>
  <c r="J3354" i="1"/>
  <c r="C3354" i="1"/>
  <c r="B3354" i="1"/>
  <c r="J3353" i="1"/>
  <c r="C3353" i="1"/>
  <c r="B3353" i="1"/>
  <c r="J3352" i="1"/>
  <c r="C3352" i="1"/>
  <c r="B3352" i="1"/>
  <c r="J3351" i="1"/>
  <c r="C3351" i="1"/>
  <c r="B3351" i="1"/>
  <c r="J3350" i="1"/>
  <c r="C3350" i="1"/>
  <c r="B3350" i="1"/>
  <c r="J3349" i="1"/>
  <c r="C3349" i="1"/>
  <c r="B3349" i="1"/>
  <c r="J3348" i="1"/>
  <c r="C3348" i="1"/>
  <c r="B3348" i="1"/>
  <c r="J3347" i="1"/>
  <c r="C3347" i="1"/>
  <c r="B3347" i="1"/>
  <c r="J3346" i="1"/>
  <c r="C3346" i="1"/>
  <c r="B3346" i="1"/>
  <c r="J3345" i="1"/>
  <c r="C3345" i="1"/>
  <c r="B3345" i="1"/>
  <c r="J3344" i="1"/>
  <c r="C3344" i="1"/>
  <c r="B3344" i="1"/>
  <c r="J3343" i="1"/>
  <c r="C3343" i="1"/>
  <c r="B3343" i="1"/>
  <c r="J3342" i="1"/>
  <c r="C3342" i="1"/>
  <c r="B3342" i="1"/>
  <c r="J3341" i="1"/>
  <c r="C3341" i="1"/>
  <c r="B3341" i="1"/>
  <c r="J3340" i="1"/>
  <c r="C3340" i="1"/>
  <c r="B3340" i="1"/>
  <c r="J3339" i="1"/>
  <c r="C3339" i="1"/>
  <c r="B3339" i="1"/>
  <c r="J3338" i="1"/>
  <c r="C3338" i="1"/>
  <c r="B3338" i="1"/>
  <c r="J3337" i="1"/>
  <c r="C3337" i="1"/>
  <c r="B3337" i="1"/>
  <c r="J3336" i="1"/>
  <c r="C3336" i="1"/>
  <c r="B3336" i="1"/>
  <c r="J3335" i="1"/>
  <c r="C3335" i="1"/>
  <c r="B3335" i="1"/>
  <c r="J3334" i="1"/>
  <c r="C3334" i="1"/>
  <c r="B3334" i="1"/>
  <c r="J3333" i="1"/>
  <c r="C3333" i="1"/>
  <c r="B3333" i="1"/>
  <c r="J3332" i="1"/>
  <c r="C3332" i="1"/>
  <c r="B3332" i="1"/>
  <c r="J3331" i="1"/>
  <c r="C3331" i="1"/>
  <c r="B3331" i="1"/>
  <c r="J3330" i="1"/>
  <c r="C3330" i="1"/>
  <c r="B3330" i="1"/>
  <c r="J3329" i="1"/>
  <c r="C3329" i="1"/>
  <c r="B3329" i="1"/>
  <c r="J3328" i="1"/>
  <c r="C3328" i="1"/>
  <c r="B3328" i="1"/>
  <c r="J3327" i="1"/>
  <c r="C3327" i="1"/>
  <c r="B3327" i="1"/>
  <c r="J3326" i="1"/>
  <c r="C3326" i="1"/>
  <c r="B3326" i="1"/>
  <c r="J3325" i="1"/>
  <c r="C3325" i="1"/>
  <c r="B3325" i="1"/>
  <c r="J3324" i="1"/>
  <c r="C3324" i="1"/>
  <c r="B3324" i="1"/>
  <c r="J3323" i="1"/>
  <c r="C3323" i="1"/>
  <c r="B3323" i="1"/>
  <c r="J3322" i="1"/>
  <c r="C3322" i="1"/>
  <c r="B3322" i="1"/>
  <c r="J3321" i="1"/>
  <c r="C3321" i="1"/>
  <c r="B3321" i="1"/>
  <c r="J3320" i="1"/>
  <c r="C3320" i="1"/>
  <c r="B3320" i="1"/>
  <c r="J3319" i="1"/>
  <c r="C3319" i="1"/>
  <c r="B3319" i="1"/>
  <c r="J3318" i="1"/>
  <c r="C3318" i="1"/>
  <c r="B3318" i="1"/>
  <c r="J3317" i="1"/>
  <c r="C3317" i="1"/>
  <c r="B3317" i="1"/>
  <c r="J3316" i="1"/>
  <c r="C3316" i="1"/>
  <c r="B3316" i="1"/>
  <c r="J3315" i="1"/>
  <c r="C3315" i="1"/>
  <c r="B3315" i="1"/>
  <c r="J3314" i="1"/>
  <c r="C3314" i="1"/>
  <c r="B3314" i="1"/>
  <c r="J3313" i="1"/>
  <c r="C3313" i="1"/>
  <c r="B3313" i="1"/>
  <c r="J3312" i="1"/>
  <c r="C3312" i="1"/>
  <c r="B3312" i="1"/>
  <c r="J3311" i="1"/>
  <c r="C3311" i="1"/>
  <c r="B3311" i="1"/>
  <c r="J3310" i="1"/>
  <c r="C3310" i="1"/>
  <c r="B3310" i="1"/>
  <c r="J3309" i="1"/>
  <c r="C3309" i="1"/>
  <c r="B3309" i="1"/>
  <c r="J3308" i="1"/>
  <c r="C3308" i="1"/>
  <c r="B3308" i="1"/>
  <c r="J3307" i="1"/>
  <c r="C3307" i="1"/>
  <c r="B3307" i="1"/>
  <c r="J3306" i="1"/>
  <c r="C3306" i="1"/>
  <c r="B3306" i="1"/>
  <c r="J3305" i="1"/>
  <c r="C3305" i="1"/>
  <c r="B3305" i="1"/>
  <c r="J3304" i="1"/>
  <c r="C3304" i="1"/>
  <c r="B3304" i="1"/>
  <c r="J3303" i="1"/>
  <c r="C3303" i="1"/>
  <c r="B3303" i="1"/>
  <c r="J3302" i="1"/>
  <c r="C3302" i="1"/>
  <c r="B3302" i="1"/>
  <c r="J3301" i="1"/>
  <c r="C3301" i="1"/>
  <c r="B3301" i="1"/>
  <c r="J3300" i="1"/>
  <c r="C3300" i="1"/>
  <c r="B3300" i="1"/>
  <c r="J3299" i="1"/>
  <c r="C3299" i="1"/>
  <c r="B3299" i="1"/>
  <c r="J3298" i="1"/>
  <c r="C3298" i="1"/>
  <c r="B3298" i="1"/>
  <c r="J3297" i="1"/>
  <c r="C3297" i="1"/>
  <c r="B3297" i="1"/>
  <c r="J3296" i="1"/>
  <c r="C3296" i="1"/>
  <c r="B3296" i="1"/>
  <c r="J3295" i="1"/>
  <c r="C3295" i="1"/>
  <c r="B3295" i="1"/>
  <c r="J3294" i="1"/>
  <c r="C3294" i="1"/>
  <c r="B3294" i="1"/>
  <c r="J3293" i="1"/>
  <c r="C3293" i="1"/>
  <c r="B3293" i="1"/>
  <c r="J3292" i="1"/>
  <c r="C3292" i="1"/>
  <c r="B3292" i="1"/>
  <c r="J3291" i="1"/>
  <c r="C3291" i="1"/>
  <c r="B3291" i="1"/>
  <c r="J3290" i="1"/>
  <c r="C3290" i="1"/>
  <c r="B3290" i="1"/>
  <c r="J3289" i="1"/>
  <c r="C3289" i="1"/>
  <c r="B3289" i="1"/>
  <c r="J3288" i="1"/>
  <c r="C3288" i="1"/>
  <c r="B3288" i="1"/>
  <c r="J3287" i="1"/>
  <c r="C3287" i="1"/>
  <c r="B3287" i="1"/>
  <c r="J3286" i="1"/>
  <c r="C3286" i="1"/>
  <c r="B3286" i="1"/>
  <c r="J3285" i="1"/>
  <c r="C3285" i="1"/>
  <c r="B3285" i="1"/>
  <c r="J3284" i="1"/>
  <c r="C3284" i="1"/>
  <c r="B3284" i="1"/>
  <c r="J3283" i="1"/>
  <c r="C3283" i="1"/>
  <c r="B3283" i="1"/>
  <c r="J3282" i="1"/>
  <c r="C3282" i="1"/>
  <c r="B3282" i="1"/>
  <c r="J3281" i="1"/>
  <c r="C3281" i="1"/>
  <c r="B3281" i="1"/>
  <c r="J3280" i="1"/>
  <c r="C3280" i="1"/>
  <c r="B3280" i="1"/>
  <c r="J3279" i="1"/>
  <c r="C3279" i="1"/>
  <c r="B3279" i="1"/>
  <c r="J3278" i="1"/>
  <c r="C3278" i="1"/>
  <c r="B3278" i="1"/>
  <c r="J3277" i="1"/>
  <c r="C3277" i="1"/>
  <c r="B3277" i="1"/>
  <c r="J3276" i="1"/>
  <c r="C3276" i="1"/>
  <c r="B3276" i="1"/>
  <c r="J3275" i="1"/>
  <c r="C3275" i="1"/>
  <c r="B3275" i="1"/>
  <c r="J3274" i="1"/>
  <c r="C3274" i="1"/>
  <c r="B3274" i="1"/>
  <c r="J3273" i="1"/>
  <c r="C3273" i="1"/>
  <c r="B3273" i="1"/>
  <c r="J3272" i="1"/>
  <c r="C3272" i="1"/>
  <c r="B3272" i="1"/>
  <c r="J3271" i="1"/>
  <c r="C3271" i="1"/>
  <c r="B3271" i="1"/>
  <c r="J3270" i="1"/>
  <c r="C3270" i="1"/>
  <c r="B3270" i="1"/>
  <c r="J3269" i="1"/>
  <c r="C3269" i="1"/>
  <c r="B3269" i="1"/>
  <c r="J3268" i="1"/>
  <c r="C3268" i="1"/>
  <c r="B3268" i="1"/>
  <c r="J3267" i="1"/>
  <c r="C3267" i="1"/>
  <c r="B3267" i="1"/>
  <c r="J3266" i="1"/>
  <c r="C3266" i="1"/>
  <c r="B3266" i="1"/>
  <c r="J3265" i="1"/>
  <c r="C3265" i="1"/>
  <c r="B3265" i="1"/>
  <c r="J3264" i="1"/>
  <c r="C3264" i="1"/>
  <c r="B3264" i="1"/>
  <c r="J3263" i="1"/>
  <c r="C3263" i="1"/>
  <c r="B3263" i="1"/>
  <c r="J3262" i="1"/>
  <c r="C3262" i="1"/>
  <c r="B3262" i="1"/>
  <c r="J3261" i="1"/>
  <c r="C3261" i="1"/>
  <c r="B3261" i="1"/>
  <c r="J3260" i="1"/>
  <c r="C3260" i="1"/>
  <c r="B3260" i="1"/>
  <c r="J3259" i="1"/>
  <c r="C3259" i="1"/>
  <c r="B3259" i="1"/>
  <c r="J3258" i="1"/>
  <c r="C3258" i="1"/>
  <c r="B3258" i="1"/>
  <c r="J3257" i="1"/>
  <c r="C3257" i="1"/>
  <c r="B3257" i="1"/>
  <c r="J3256" i="1"/>
  <c r="C3256" i="1"/>
  <c r="B3256" i="1"/>
  <c r="J3255" i="1"/>
  <c r="C3255" i="1"/>
  <c r="B3255" i="1"/>
  <c r="J3254" i="1"/>
  <c r="C3254" i="1"/>
  <c r="B3254" i="1"/>
  <c r="J3253" i="1"/>
  <c r="C3253" i="1"/>
  <c r="B3253" i="1"/>
  <c r="J3252" i="1"/>
  <c r="C3252" i="1"/>
  <c r="B3252" i="1"/>
  <c r="J3251" i="1"/>
  <c r="C3251" i="1"/>
  <c r="B3251" i="1"/>
  <c r="J3250" i="1"/>
  <c r="C3250" i="1"/>
  <c r="B3250" i="1"/>
  <c r="J3249" i="1"/>
  <c r="C3249" i="1"/>
  <c r="B3249" i="1"/>
  <c r="J3248" i="1"/>
  <c r="C3248" i="1"/>
  <c r="B3248" i="1"/>
  <c r="J3247" i="1"/>
  <c r="C3247" i="1"/>
  <c r="B3247" i="1"/>
  <c r="J3246" i="1"/>
  <c r="C3246" i="1"/>
  <c r="B3246" i="1"/>
  <c r="J3245" i="1"/>
  <c r="C3245" i="1"/>
  <c r="B3245" i="1"/>
  <c r="J3244" i="1"/>
  <c r="C3244" i="1"/>
  <c r="B3244" i="1"/>
  <c r="J3243" i="1"/>
  <c r="C3243" i="1"/>
  <c r="B3243" i="1"/>
  <c r="J3242" i="1"/>
  <c r="C3242" i="1"/>
  <c r="B3242" i="1"/>
  <c r="J3241" i="1"/>
  <c r="C3241" i="1"/>
  <c r="B3241" i="1"/>
  <c r="J3240" i="1"/>
  <c r="C3240" i="1"/>
  <c r="B3240" i="1"/>
  <c r="J3239" i="1"/>
  <c r="C3239" i="1"/>
  <c r="B3239" i="1"/>
  <c r="J3238" i="1"/>
  <c r="C3238" i="1"/>
  <c r="B3238" i="1"/>
  <c r="J3237" i="1"/>
  <c r="C3237" i="1"/>
  <c r="B3237" i="1"/>
  <c r="J3236" i="1"/>
  <c r="C3236" i="1"/>
  <c r="B3236" i="1"/>
  <c r="J3235" i="1"/>
  <c r="C3235" i="1"/>
  <c r="B3235" i="1"/>
  <c r="J3234" i="1"/>
  <c r="C3234" i="1"/>
  <c r="B3234" i="1"/>
  <c r="J3233" i="1"/>
  <c r="C3233" i="1"/>
  <c r="B3233" i="1"/>
  <c r="J3232" i="1"/>
  <c r="C3232" i="1"/>
  <c r="B3232" i="1"/>
  <c r="J3231" i="1"/>
  <c r="C3231" i="1"/>
  <c r="B3231" i="1"/>
  <c r="J3230" i="1"/>
  <c r="C3230" i="1"/>
  <c r="B3230" i="1"/>
  <c r="J3229" i="1"/>
  <c r="C3229" i="1"/>
  <c r="B3229" i="1"/>
  <c r="J3228" i="1"/>
  <c r="C3228" i="1"/>
  <c r="B3228" i="1"/>
  <c r="J3227" i="1"/>
  <c r="C3227" i="1"/>
  <c r="B3227" i="1"/>
  <c r="J3226" i="1"/>
  <c r="C3226" i="1"/>
  <c r="B3226" i="1"/>
  <c r="J3225" i="1"/>
  <c r="C3225" i="1"/>
  <c r="B3225" i="1"/>
  <c r="J3224" i="1"/>
  <c r="C3224" i="1"/>
  <c r="B3224" i="1"/>
  <c r="J3223" i="1"/>
  <c r="C3223" i="1"/>
  <c r="B3223" i="1"/>
  <c r="J3222" i="1"/>
  <c r="C3222" i="1"/>
  <c r="B3222" i="1"/>
  <c r="J3221" i="1"/>
  <c r="C3221" i="1"/>
  <c r="B3221" i="1"/>
  <c r="J3220" i="1"/>
  <c r="C3220" i="1"/>
  <c r="B3220" i="1"/>
  <c r="J3219" i="1"/>
  <c r="C3219" i="1"/>
  <c r="B3219" i="1"/>
  <c r="J3218" i="1"/>
  <c r="C3218" i="1"/>
  <c r="B3218" i="1"/>
  <c r="J3217" i="1"/>
  <c r="C3217" i="1"/>
  <c r="B3217" i="1"/>
  <c r="J3216" i="1"/>
  <c r="C3216" i="1"/>
  <c r="B3216" i="1"/>
  <c r="J3215" i="1"/>
  <c r="C3215" i="1"/>
  <c r="B3215" i="1"/>
  <c r="J3214" i="1"/>
  <c r="C3214" i="1"/>
  <c r="B3214" i="1"/>
  <c r="J3213" i="1"/>
  <c r="C3213" i="1"/>
  <c r="B3213" i="1"/>
  <c r="J3212" i="1"/>
  <c r="C3212" i="1"/>
  <c r="B3212" i="1"/>
  <c r="J3211" i="1"/>
  <c r="C3211" i="1"/>
  <c r="B3211" i="1"/>
  <c r="J3210" i="1"/>
  <c r="C3210" i="1"/>
  <c r="B3210" i="1"/>
  <c r="J3209" i="1"/>
  <c r="C3209" i="1"/>
  <c r="B3209" i="1"/>
  <c r="J3208" i="1"/>
  <c r="C3208" i="1"/>
  <c r="B3208" i="1"/>
  <c r="J3207" i="1"/>
  <c r="C3207" i="1"/>
  <c r="B3207" i="1"/>
  <c r="J3206" i="1"/>
  <c r="C3206" i="1"/>
  <c r="B3206" i="1"/>
  <c r="J3205" i="1"/>
  <c r="C3205" i="1"/>
  <c r="B3205" i="1"/>
  <c r="J3204" i="1"/>
  <c r="C3204" i="1"/>
  <c r="B3204" i="1"/>
  <c r="J3203" i="1"/>
  <c r="C3203" i="1"/>
  <c r="B3203" i="1"/>
  <c r="J3202" i="1"/>
  <c r="C3202" i="1"/>
  <c r="B3202" i="1"/>
  <c r="J3201" i="1"/>
  <c r="C3201" i="1"/>
  <c r="B3201" i="1"/>
  <c r="J3200" i="1"/>
  <c r="C3200" i="1"/>
  <c r="B3200" i="1"/>
  <c r="J3199" i="1"/>
  <c r="C3199" i="1"/>
  <c r="B3199" i="1"/>
  <c r="J3198" i="1"/>
  <c r="C3198" i="1"/>
  <c r="B3198" i="1"/>
  <c r="J3197" i="1"/>
  <c r="C3197" i="1"/>
  <c r="B3197" i="1"/>
  <c r="J3196" i="1"/>
  <c r="C3196" i="1"/>
  <c r="B3196" i="1"/>
  <c r="J3195" i="1"/>
  <c r="C3195" i="1"/>
  <c r="B3195" i="1"/>
  <c r="J3194" i="1"/>
  <c r="C3194" i="1"/>
  <c r="B3194" i="1"/>
  <c r="J3193" i="1"/>
  <c r="C3193" i="1"/>
  <c r="B3193" i="1"/>
  <c r="J3192" i="1"/>
  <c r="C3192" i="1"/>
  <c r="B3192" i="1"/>
  <c r="J3191" i="1"/>
  <c r="C3191" i="1"/>
  <c r="B3191" i="1"/>
  <c r="J3190" i="1"/>
  <c r="C3190" i="1"/>
  <c r="B3190" i="1"/>
  <c r="J3189" i="1"/>
  <c r="C3189" i="1"/>
  <c r="B3189" i="1"/>
  <c r="J3188" i="1"/>
  <c r="C3188" i="1"/>
  <c r="B3188" i="1"/>
  <c r="J3187" i="1"/>
  <c r="C3187" i="1"/>
  <c r="B3187" i="1"/>
  <c r="J3186" i="1"/>
  <c r="C3186" i="1"/>
  <c r="B3186" i="1"/>
  <c r="J3185" i="1"/>
  <c r="C3185" i="1"/>
  <c r="B3185" i="1"/>
  <c r="J3184" i="1"/>
  <c r="C3184" i="1"/>
  <c r="B3184" i="1"/>
  <c r="J3183" i="1"/>
  <c r="C3183" i="1"/>
  <c r="B3183" i="1"/>
  <c r="J3182" i="1"/>
  <c r="C3182" i="1"/>
  <c r="B3182" i="1"/>
  <c r="J3181" i="1"/>
  <c r="C3181" i="1"/>
  <c r="B3181" i="1"/>
  <c r="J3180" i="1"/>
  <c r="C3180" i="1"/>
  <c r="B3180" i="1"/>
  <c r="J3179" i="1"/>
  <c r="C3179" i="1"/>
  <c r="B3179" i="1"/>
  <c r="J3178" i="1"/>
  <c r="C3178" i="1"/>
  <c r="B3178" i="1"/>
  <c r="J3177" i="1"/>
  <c r="C3177" i="1"/>
  <c r="B3177" i="1"/>
  <c r="J3176" i="1"/>
  <c r="C3176" i="1"/>
  <c r="B3176" i="1"/>
  <c r="J3175" i="1"/>
  <c r="C3175" i="1"/>
  <c r="B3175" i="1"/>
  <c r="J3174" i="1"/>
  <c r="C3174" i="1"/>
  <c r="B3174" i="1"/>
  <c r="J3173" i="1"/>
  <c r="C3173" i="1"/>
  <c r="B3173" i="1"/>
  <c r="J3172" i="1"/>
  <c r="C3172" i="1"/>
  <c r="B3172" i="1"/>
  <c r="J3171" i="1"/>
  <c r="C3171" i="1"/>
  <c r="B3171" i="1"/>
  <c r="J3170" i="1"/>
  <c r="C3170" i="1"/>
  <c r="B3170" i="1"/>
  <c r="J3169" i="1"/>
  <c r="C3169" i="1"/>
  <c r="B3169" i="1"/>
  <c r="J3168" i="1"/>
  <c r="C3168" i="1"/>
  <c r="B3168" i="1"/>
  <c r="J3167" i="1"/>
  <c r="C3167" i="1"/>
  <c r="B3167" i="1"/>
  <c r="J3166" i="1"/>
  <c r="C3166" i="1"/>
  <c r="B3166" i="1"/>
  <c r="J3165" i="1"/>
  <c r="C3165" i="1"/>
  <c r="B3165" i="1"/>
  <c r="J3164" i="1"/>
  <c r="C3164" i="1"/>
  <c r="B3164" i="1"/>
  <c r="J3163" i="1"/>
  <c r="C3163" i="1"/>
  <c r="B3163" i="1"/>
  <c r="J3162" i="1"/>
  <c r="C3162" i="1"/>
  <c r="B3162" i="1"/>
  <c r="J3161" i="1"/>
  <c r="C3161" i="1"/>
  <c r="B3161" i="1"/>
  <c r="J3160" i="1"/>
  <c r="C3160" i="1"/>
  <c r="B3160" i="1"/>
  <c r="J3159" i="1"/>
  <c r="C3159" i="1"/>
  <c r="B3159" i="1"/>
  <c r="J3158" i="1"/>
  <c r="C3158" i="1"/>
  <c r="B3158" i="1"/>
  <c r="J3157" i="1"/>
  <c r="C3157" i="1"/>
  <c r="B3157" i="1"/>
  <c r="J3156" i="1"/>
  <c r="C3156" i="1"/>
  <c r="B3156" i="1"/>
  <c r="J3155" i="1"/>
  <c r="C3155" i="1"/>
  <c r="B3155" i="1"/>
  <c r="J3154" i="1"/>
  <c r="C3154" i="1"/>
  <c r="B3154" i="1"/>
  <c r="J3153" i="1"/>
  <c r="C3153" i="1"/>
  <c r="B3153" i="1"/>
  <c r="J3152" i="1"/>
  <c r="C3152" i="1"/>
  <c r="B3152" i="1"/>
  <c r="J3151" i="1"/>
  <c r="C3151" i="1"/>
  <c r="B3151" i="1"/>
  <c r="J3150" i="1"/>
  <c r="C3150" i="1"/>
  <c r="B3150" i="1"/>
  <c r="J3149" i="1"/>
  <c r="C3149" i="1"/>
  <c r="B3149" i="1"/>
  <c r="J3148" i="1"/>
  <c r="C3148" i="1"/>
  <c r="B3148" i="1"/>
  <c r="J3147" i="1"/>
  <c r="C3147" i="1"/>
  <c r="B3147" i="1"/>
  <c r="J3146" i="1"/>
  <c r="C3146" i="1"/>
  <c r="B3146" i="1"/>
  <c r="J3145" i="1"/>
  <c r="C3145" i="1"/>
  <c r="B3145" i="1"/>
  <c r="J3144" i="1"/>
  <c r="C3144" i="1"/>
  <c r="B3144" i="1"/>
  <c r="J3143" i="1"/>
  <c r="C3143" i="1"/>
  <c r="B3143" i="1"/>
  <c r="J3142" i="1"/>
  <c r="C3142" i="1"/>
  <c r="B3142" i="1"/>
  <c r="J3141" i="1"/>
  <c r="C3141" i="1"/>
  <c r="B3141" i="1"/>
  <c r="J3140" i="1"/>
  <c r="C3140" i="1"/>
  <c r="B3140" i="1"/>
  <c r="J3139" i="1"/>
  <c r="C3139" i="1"/>
  <c r="B3139" i="1"/>
  <c r="J3138" i="1"/>
  <c r="C3138" i="1"/>
  <c r="B3138" i="1"/>
  <c r="J3137" i="1"/>
  <c r="C3137" i="1"/>
  <c r="B3137" i="1"/>
  <c r="J3136" i="1"/>
  <c r="C3136" i="1"/>
  <c r="B3136" i="1"/>
  <c r="J3135" i="1"/>
  <c r="C3135" i="1"/>
  <c r="B3135" i="1"/>
  <c r="J3134" i="1"/>
  <c r="C3134" i="1"/>
  <c r="B3134" i="1"/>
  <c r="J3133" i="1"/>
  <c r="C3133" i="1"/>
  <c r="B3133" i="1"/>
  <c r="J3132" i="1"/>
  <c r="C3132" i="1"/>
  <c r="B3132" i="1"/>
  <c r="J3131" i="1"/>
  <c r="C3131" i="1"/>
  <c r="B3131" i="1"/>
  <c r="J3130" i="1"/>
  <c r="C3130" i="1"/>
  <c r="B3130" i="1"/>
  <c r="J3129" i="1"/>
  <c r="C3129" i="1"/>
  <c r="B3129" i="1"/>
  <c r="J3128" i="1"/>
  <c r="C3128" i="1"/>
  <c r="B3128" i="1"/>
  <c r="J3127" i="1"/>
  <c r="C3127" i="1"/>
  <c r="B3127" i="1"/>
  <c r="J3126" i="1"/>
  <c r="C3126" i="1"/>
  <c r="B3126" i="1"/>
  <c r="J3125" i="1"/>
  <c r="C3125" i="1"/>
  <c r="B3125" i="1"/>
  <c r="J3124" i="1"/>
  <c r="C3124" i="1"/>
  <c r="B3124" i="1"/>
  <c r="J3123" i="1"/>
  <c r="C3123" i="1"/>
  <c r="B3123" i="1"/>
  <c r="J3122" i="1"/>
  <c r="C3122" i="1"/>
  <c r="B3122" i="1"/>
  <c r="J3121" i="1"/>
  <c r="C3121" i="1"/>
  <c r="B3121" i="1"/>
  <c r="J3120" i="1"/>
  <c r="C3120" i="1"/>
  <c r="B3120" i="1"/>
  <c r="J3119" i="1"/>
  <c r="C3119" i="1"/>
  <c r="B3119" i="1"/>
  <c r="J3118" i="1"/>
  <c r="C3118" i="1"/>
  <c r="B3118" i="1"/>
  <c r="J3117" i="1"/>
  <c r="C3117" i="1"/>
  <c r="B3117" i="1"/>
  <c r="J3116" i="1"/>
  <c r="C3116" i="1"/>
  <c r="B3116" i="1"/>
  <c r="J3115" i="1"/>
  <c r="C3115" i="1"/>
  <c r="B3115" i="1"/>
  <c r="J3114" i="1"/>
  <c r="C3114" i="1"/>
  <c r="B3114" i="1"/>
  <c r="J3113" i="1"/>
  <c r="C3113" i="1"/>
  <c r="B3113" i="1"/>
  <c r="J3112" i="1"/>
  <c r="C3112" i="1"/>
  <c r="B3112" i="1"/>
  <c r="J3111" i="1"/>
  <c r="C3111" i="1"/>
  <c r="B3111" i="1"/>
  <c r="J3110" i="1"/>
  <c r="C3110" i="1"/>
  <c r="B3110" i="1"/>
  <c r="J3109" i="1"/>
  <c r="C3109" i="1"/>
  <c r="B3109" i="1"/>
  <c r="J3108" i="1"/>
  <c r="C3108" i="1"/>
  <c r="B3108" i="1"/>
  <c r="J3107" i="1"/>
  <c r="C3107" i="1"/>
  <c r="B3107" i="1"/>
  <c r="J3106" i="1"/>
  <c r="C3106" i="1"/>
  <c r="B3106" i="1"/>
  <c r="J3105" i="1"/>
  <c r="C3105" i="1"/>
  <c r="B3105" i="1"/>
  <c r="J3104" i="1"/>
  <c r="C3104" i="1"/>
  <c r="B3104" i="1"/>
  <c r="J3103" i="1"/>
  <c r="C3103" i="1"/>
  <c r="B3103" i="1"/>
  <c r="J3102" i="1"/>
  <c r="C3102" i="1"/>
  <c r="B3102" i="1"/>
  <c r="J3101" i="1"/>
  <c r="C3101" i="1"/>
  <c r="B3101" i="1"/>
  <c r="J3100" i="1"/>
  <c r="C3100" i="1"/>
  <c r="B3100" i="1"/>
  <c r="J3099" i="1"/>
  <c r="C3099" i="1"/>
  <c r="B3099" i="1"/>
  <c r="J3098" i="1"/>
  <c r="C3098" i="1"/>
  <c r="B3098" i="1"/>
  <c r="J3097" i="1"/>
  <c r="C3097" i="1"/>
  <c r="B3097" i="1"/>
  <c r="J3096" i="1"/>
  <c r="C3096" i="1"/>
  <c r="B3096" i="1"/>
  <c r="J3095" i="1"/>
  <c r="C3095" i="1"/>
  <c r="B3095" i="1"/>
  <c r="J3094" i="1"/>
  <c r="C3094" i="1"/>
  <c r="B3094" i="1"/>
  <c r="J3093" i="1"/>
  <c r="C3093" i="1"/>
  <c r="B3093" i="1"/>
  <c r="J3092" i="1"/>
  <c r="C3092" i="1"/>
  <c r="B3092" i="1"/>
  <c r="J3091" i="1"/>
  <c r="C3091" i="1"/>
  <c r="B3091" i="1"/>
  <c r="J3090" i="1"/>
  <c r="C3090" i="1"/>
  <c r="B3090" i="1"/>
  <c r="J3089" i="1"/>
  <c r="C3089" i="1"/>
  <c r="B3089" i="1"/>
  <c r="J3088" i="1"/>
  <c r="C3088" i="1"/>
  <c r="B3088" i="1"/>
  <c r="J3087" i="1"/>
  <c r="C3087" i="1"/>
  <c r="B3087" i="1"/>
  <c r="J3086" i="1"/>
  <c r="C3086" i="1"/>
  <c r="B3086" i="1"/>
  <c r="J3085" i="1"/>
  <c r="C3085" i="1"/>
  <c r="B3085" i="1"/>
  <c r="J3084" i="1"/>
  <c r="C3084" i="1"/>
  <c r="B3084" i="1"/>
  <c r="J3083" i="1"/>
  <c r="C3083" i="1"/>
  <c r="B3083" i="1"/>
  <c r="J3082" i="1"/>
  <c r="C3082" i="1"/>
  <c r="B3082" i="1"/>
  <c r="J3081" i="1"/>
  <c r="C3081" i="1"/>
  <c r="B3081" i="1"/>
  <c r="J3080" i="1"/>
  <c r="C3080" i="1"/>
  <c r="B3080" i="1"/>
  <c r="J3079" i="1"/>
  <c r="C3079" i="1"/>
  <c r="B3079" i="1"/>
  <c r="J3078" i="1"/>
  <c r="C3078" i="1"/>
  <c r="B3078" i="1"/>
  <c r="J3077" i="1"/>
  <c r="C3077" i="1"/>
  <c r="B3077" i="1"/>
  <c r="J3076" i="1"/>
  <c r="C3076" i="1"/>
  <c r="B3076" i="1"/>
  <c r="J3075" i="1"/>
  <c r="C3075" i="1"/>
  <c r="B3075" i="1"/>
  <c r="J3074" i="1"/>
  <c r="C3074" i="1"/>
  <c r="B3074" i="1"/>
  <c r="J3073" i="1"/>
  <c r="C3073" i="1"/>
  <c r="B3073" i="1"/>
  <c r="J3072" i="1"/>
  <c r="C3072" i="1"/>
  <c r="B3072" i="1"/>
  <c r="J3071" i="1"/>
  <c r="C3071" i="1"/>
  <c r="B3071" i="1"/>
  <c r="J3070" i="1"/>
  <c r="C3070" i="1"/>
  <c r="B3070" i="1"/>
  <c r="J3069" i="1"/>
  <c r="C3069" i="1"/>
  <c r="B3069" i="1"/>
  <c r="J3068" i="1"/>
  <c r="C3068" i="1"/>
  <c r="B3068" i="1"/>
  <c r="J3067" i="1"/>
  <c r="C3067" i="1"/>
  <c r="B3067" i="1"/>
  <c r="J3066" i="1"/>
  <c r="C3066" i="1"/>
  <c r="B3066" i="1"/>
  <c r="J3065" i="1"/>
  <c r="C3065" i="1"/>
  <c r="B3065" i="1"/>
  <c r="J3064" i="1"/>
  <c r="C3064" i="1"/>
  <c r="B3064" i="1"/>
  <c r="J3063" i="1"/>
  <c r="C3063" i="1"/>
  <c r="B3063" i="1"/>
  <c r="J3062" i="1"/>
  <c r="C3062" i="1"/>
  <c r="B3062" i="1"/>
  <c r="J3061" i="1"/>
  <c r="C3061" i="1"/>
  <c r="B3061" i="1"/>
  <c r="J3060" i="1"/>
  <c r="C3060" i="1"/>
  <c r="B3060" i="1"/>
  <c r="J3059" i="1"/>
  <c r="C3059" i="1"/>
  <c r="B3059" i="1"/>
  <c r="J3058" i="1"/>
  <c r="C3058" i="1"/>
  <c r="B3058" i="1"/>
  <c r="J3057" i="1"/>
  <c r="C3057" i="1"/>
  <c r="B3057" i="1"/>
  <c r="J3056" i="1"/>
  <c r="C3056" i="1"/>
  <c r="B3056" i="1"/>
  <c r="J3055" i="1"/>
  <c r="C3055" i="1"/>
  <c r="B3055" i="1"/>
  <c r="J3054" i="1"/>
  <c r="C3054" i="1"/>
  <c r="B3054" i="1"/>
  <c r="J3053" i="1"/>
  <c r="C3053" i="1"/>
  <c r="B3053" i="1"/>
  <c r="J3052" i="1"/>
  <c r="C3052" i="1"/>
  <c r="B3052" i="1"/>
  <c r="J3051" i="1"/>
  <c r="C3051" i="1"/>
  <c r="B3051" i="1"/>
  <c r="J3050" i="1"/>
  <c r="C3050" i="1"/>
  <c r="B3050" i="1"/>
  <c r="J3049" i="1"/>
  <c r="C3049" i="1"/>
  <c r="B3049" i="1"/>
  <c r="J3048" i="1"/>
  <c r="C3048" i="1"/>
  <c r="B3048" i="1"/>
  <c r="J3047" i="1"/>
  <c r="C3047" i="1"/>
  <c r="B3047" i="1"/>
  <c r="J3046" i="1"/>
  <c r="C3046" i="1"/>
  <c r="B3046" i="1"/>
  <c r="J3045" i="1"/>
  <c r="C3045" i="1"/>
  <c r="B3045" i="1"/>
  <c r="J3044" i="1"/>
  <c r="C3044" i="1"/>
  <c r="B3044" i="1"/>
  <c r="J3043" i="1"/>
  <c r="C3043" i="1"/>
  <c r="B3043" i="1"/>
  <c r="J3042" i="1"/>
  <c r="C3042" i="1"/>
  <c r="B3042" i="1"/>
  <c r="J3041" i="1"/>
  <c r="C3041" i="1"/>
  <c r="B3041" i="1"/>
  <c r="J3040" i="1"/>
  <c r="C3040" i="1"/>
  <c r="B3040" i="1"/>
  <c r="J3039" i="1"/>
  <c r="C3039" i="1"/>
  <c r="B3039" i="1"/>
  <c r="J3038" i="1"/>
  <c r="C3038" i="1"/>
  <c r="B3038" i="1"/>
  <c r="J3037" i="1"/>
  <c r="C3037" i="1"/>
  <c r="B3037" i="1"/>
  <c r="J3036" i="1"/>
  <c r="C3036" i="1"/>
  <c r="B3036" i="1"/>
  <c r="J3035" i="1"/>
  <c r="C3035" i="1"/>
  <c r="B3035" i="1"/>
  <c r="J3034" i="1"/>
  <c r="C3034" i="1"/>
  <c r="B3034" i="1"/>
  <c r="J3033" i="1"/>
  <c r="C3033" i="1"/>
  <c r="B3033" i="1"/>
  <c r="J3032" i="1"/>
  <c r="C3032" i="1"/>
  <c r="B3032" i="1"/>
  <c r="J3031" i="1"/>
  <c r="C3031" i="1"/>
  <c r="B3031" i="1"/>
  <c r="J3030" i="1"/>
  <c r="C3030" i="1"/>
  <c r="B3030" i="1"/>
  <c r="J3029" i="1"/>
  <c r="C3029" i="1"/>
  <c r="B3029" i="1"/>
  <c r="J3028" i="1"/>
  <c r="C3028" i="1"/>
  <c r="B3028" i="1"/>
  <c r="J3027" i="1"/>
  <c r="C3027" i="1"/>
  <c r="B3027" i="1"/>
  <c r="J3026" i="1"/>
  <c r="C3026" i="1"/>
  <c r="B3026" i="1"/>
  <c r="J3025" i="1"/>
  <c r="C3025" i="1"/>
  <c r="B3025" i="1"/>
  <c r="J3024" i="1"/>
  <c r="C3024" i="1"/>
  <c r="B3024" i="1"/>
  <c r="J3023" i="1"/>
  <c r="C3023" i="1"/>
  <c r="B3023" i="1"/>
  <c r="J3022" i="1"/>
  <c r="C3022" i="1"/>
  <c r="B3022" i="1"/>
  <c r="J3021" i="1"/>
  <c r="C3021" i="1"/>
  <c r="B3021" i="1"/>
  <c r="J3020" i="1"/>
  <c r="C3020" i="1"/>
  <c r="B3020" i="1"/>
  <c r="J3019" i="1"/>
  <c r="C3019" i="1"/>
  <c r="B3019" i="1"/>
  <c r="J3018" i="1"/>
  <c r="C3018" i="1"/>
  <c r="B3018" i="1"/>
  <c r="J3017" i="1"/>
  <c r="C3017" i="1"/>
  <c r="B3017" i="1"/>
  <c r="J3016" i="1"/>
  <c r="C3016" i="1"/>
  <c r="B3016" i="1"/>
  <c r="J3015" i="1"/>
  <c r="C3015" i="1"/>
  <c r="B3015" i="1"/>
  <c r="J3014" i="1"/>
  <c r="C3014" i="1"/>
  <c r="B3014" i="1"/>
  <c r="J3013" i="1"/>
  <c r="C3013" i="1"/>
  <c r="B3013" i="1"/>
  <c r="J3012" i="1"/>
  <c r="C3012" i="1"/>
  <c r="B3012" i="1"/>
  <c r="J3011" i="1"/>
  <c r="C3011" i="1"/>
  <c r="B3011" i="1"/>
  <c r="J3010" i="1"/>
  <c r="C3010" i="1"/>
  <c r="B3010" i="1"/>
  <c r="J3009" i="1"/>
  <c r="C3009" i="1"/>
  <c r="B3009" i="1"/>
  <c r="J3008" i="1"/>
  <c r="C3008" i="1"/>
  <c r="B3008" i="1"/>
  <c r="J3007" i="1"/>
  <c r="C3007" i="1"/>
  <c r="B3007" i="1"/>
  <c r="J3006" i="1"/>
  <c r="C3006" i="1"/>
  <c r="B3006" i="1"/>
  <c r="J3005" i="1"/>
  <c r="C3005" i="1"/>
  <c r="B3005" i="1"/>
  <c r="J3004" i="1"/>
  <c r="C3004" i="1"/>
  <c r="B3004" i="1"/>
  <c r="J3003" i="1"/>
  <c r="C3003" i="1"/>
  <c r="B3003" i="1"/>
  <c r="J3002" i="1"/>
  <c r="C3002" i="1"/>
  <c r="B3002" i="1"/>
  <c r="J3001" i="1"/>
  <c r="C3001" i="1"/>
  <c r="B3001" i="1"/>
  <c r="J3000" i="1"/>
  <c r="C3000" i="1"/>
  <c r="B3000" i="1"/>
  <c r="J2999" i="1"/>
  <c r="C2999" i="1"/>
  <c r="B2999" i="1"/>
  <c r="J2998" i="1"/>
  <c r="C2998" i="1"/>
  <c r="B2998" i="1"/>
  <c r="J2997" i="1"/>
  <c r="C2997" i="1"/>
  <c r="B2997" i="1"/>
  <c r="J2996" i="1"/>
  <c r="C2996" i="1"/>
  <c r="B2996" i="1"/>
  <c r="J2995" i="1"/>
  <c r="C2995" i="1"/>
  <c r="B2995" i="1"/>
  <c r="J2994" i="1"/>
  <c r="C2994" i="1"/>
  <c r="B2994" i="1"/>
  <c r="J2993" i="1"/>
  <c r="C2993" i="1"/>
  <c r="B2993" i="1"/>
  <c r="J2992" i="1"/>
  <c r="C2992" i="1"/>
  <c r="B2992" i="1"/>
  <c r="J2991" i="1"/>
  <c r="C2991" i="1"/>
  <c r="B2991" i="1"/>
  <c r="J2990" i="1"/>
  <c r="C2990" i="1"/>
  <c r="B2990" i="1"/>
  <c r="J2989" i="1"/>
  <c r="C2989" i="1"/>
  <c r="B2989" i="1"/>
  <c r="J2988" i="1"/>
  <c r="C2988" i="1"/>
  <c r="B2988" i="1"/>
  <c r="J2987" i="1"/>
  <c r="C2987" i="1"/>
  <c r="B2987" i="1"/>
  <c r="J2986" i="1"/>
  <c r="C2986" i="1"/>
  <c r="B2986" i="1"/>
  <c r="J2985" i="1"/>
  <c r="C2985" i="1"/>
  <c r="B2985" i="1"/>
  <c r="J2984" i="1"/>
  <c r="C2984" i="1"/>
  <c r="B2984" i="1"/>
  <c r="J2983" i="1"/>
  <c r="C2983" i="1"/>
  <c r="B2983" i="1"/>
  <c r="J2982" i="1"/>
  <c r="C2982" i="1"/>
  <c r="B2982" i="1"/>
  <c r="J2981" i="1"/>
  <c r="C2981" i="1"/>
  <c r="B2981" i="1"/>
  <c r="J2980" i="1"/>
  <c r="C2980" i="1"/>
  <c r="B2980" i="1"/>
  <c r="J2979" i="1"/>
  <c r="C2979" i="1"/>
  <c r="B2979" i="1"/>
  <c r="J2978" i="1"/>
  <c r="C2978" i="1"/>
  <c r="B2978" i="1"/>
  <c r="J2977" i="1"/>
  <c r="C2977" i="1"/>
  <c r="B2977" i="1"/>
  <c r="J2976" i="1"/>
  <c r="C2976" i="1"/>
  <c r="B2976" i="1"/>
  <c r="J2975" i="1"/>
  <c r="C2975" i="1"/>
  <c r="B2975" i="1"/>
  <c r="J2974" i="1"/>
  <c r="C2974" i="1"/>
  <c r="B2974" i="1"/>
  <c r="J2973" i="1"/>
  <c r="C2973" i="1"/>
  <c r="B2973" i="1"/>
  <c r="J2972" i="1"/>
  <c r="C2972" i="1"/>
  <c r="B2972" i="1"/>
  <c r="J2971" i="1"/>
  <c r="C2971" i="1"/>
  <c r="B2971" i="1"/>
  <c r="J2970" i="1"/>
  <c r="C2970" i="1"/>
  <c r="B2970" i="1"/>
  <c r="J2969" i="1"/>
  <c r="C2969" i="1"/>
  <c r="B2969" i="1"/>
  <c r="J2968" i="1"/>
  <c r="C2968" i="1"/>
  <c r="B2968" i="1"/>
  <c r="J2967" i="1"/>
  <c r="C2967" i="1"/>
  <c r="B2967" i="1"/>
  <c r="J2966" i="1"/>
  <c r="C2966" i="1"/>
  <c r="B2966" i="1"/>
  <c r="J2965" i="1"/>
  <c r="C2965" i="1"/>
  <c r="B2965" i="1"/>
  <c r="J2964" i="1"/>
  <c r="C2964" i="1"/>
  <c r="B2964" i="1"/>
  <c r="J2963" i="1"/>
  <c r="C2963" i="1"/>
  <c r="B2963" i="1"/>
  <c r="J2962" i="1"/>
  <c r="C2962" i="1"/>
  <c r="B2962" i="1"/>
  <c r="J2961" i="1"/>
  <c r="C2961" i="1"/>
  <c r="B2961" i="1"/>
  <c r="J2960" i="1"/>
  <c r="C2960" i="1"/>
  <c r="B2960" i="1"/>
  <c r="J2959" i="1"/>
  <c r="C2959" i="1"/>
  <c r="B2959" i="1"/>
  <c r="J2958" i="1"/>
  <c r="C2958" i="1"/>
  <c r="B2958" i="1"/>
  <c r="J2957" i="1"/>
  <c r="C2957" i="1"/>
  <c r="B2957" i="1"/>
  <c r="J2956" i="1"/>
  <c r="C2956" i="1"/>
  <c r="B2956" i="1"/>
  <c r="J2955" i="1"/>
  <c r="C2955" i="1"/>
  <c r="B2955" i="1"/>
  <c r="J2954" i="1"/>
  <c r="C2954" i="1"/>
  <c r="B2954" i="1"/>
  <c r="J2953" i="1"/>
  <c r="C2953" i="1"/>
  <c r="B2953" i="1"/>
  <c r="J2952" i="1"/>
  <c r="C2952" i="1"/>
  <c r="B2952" i="1"/>
  <c r="J2951" i="1"/>
  <c r="C2951" i="1"/>
  <c r="B2951" i="1"/>
  <c r="J2950" i="1"/>
  <c r="C2950" i="1"/>
  <c r="B2950" i="1"/>
  <c r="J2949" i="1"/>
  <c r="C2949" i="1"/>
  <c r="B2949" i="1"/>
  <c r="J2948" i="1"/>
  <c r="C2948" i="1"/>
  <c r="B2948" i="1"/>
  <c r="J2947" i="1"/>
  <c r="C2947" i="1"/>
  <c r="B2947" i="1"/>
  <c r="J2946" i="1"/>
  <c r="C2946" i="1"/>
  <c r="B2946" i="1"/>
  <c r="J2945" i="1"/>
  <c r="C2945" i="1"/>
  <c r="B2945" i="1"/>
  <c r="J2944" i="1"/>
  <c r="C2944" i="1"/>
  <c r="B2944" i="1"/>
  <c r="J2943" i="1"/>
  <c r="C2943" i="1"/>
  <c r="B2943" i="1"/>
  <c r="J2942" i="1"/>
  <c r="C2942" i="1"/>
  <c r="B2942" i="1"/>
  <c r="J2941" i="1"/>
  <c r="C2941" i="1"/>
  <c r="B2941" i="1"/>
  <c r="J2940" i="1"/>
  <c r="C2940" i="1"/>
  <c r="B2940" i="1"/>
  <c r="J2939" i="1"/>
  <c r="C2939" i="1"/>
  <c r="B2939" i="1"/>
  <c r="J2938" i="1"/>
  <c r="C2938" i="1"/>
  <c r="B2938" i="1"/>
  <c r="J2937" i="1"/>
  <c r="C2937" i="1"/>
  <c r="B2937" i="1"/>
  <c r="J2936" i="1"/>
  <c r="C2936" i="1"/>
  <c r="B2936" i="1"/>
  <c r="J2935" i="1"/>
  <c r="C2935" i="1"/>
  <c r="B2935" i="1"/>
  <c r="J2934" i="1"/>
  <c r="C2934" i="1"/>
  <c r="B2934" i="1"/>
  <c r="J2933" i="1"/>
  <c r="C2933" i="1"/>
  <c r="B2933" i="1"/>
  <c r="J2932" i="1"/>
  <c r="C2932" i="1"/>
  <c r="B2932" i="1"/>
  <c r="J2931" i="1"/>
  <c r="C2931" i="1"/>
  <c r="B2931" i="1"/>
  <c r="J2930" i="1"/>
  <c r="C2930" i="1"/>
  <c r="B2930" i="1"/>
  <c r="J2929" i="1"/>
  <c r="C2929" i="1"/>
  <c r="B2929" i="1"/>
  <c r="J2928" i="1"/>
  <c r="C2928" i="1"/>
  <c r="B2928" i="1"/>
  <c r="J2927" i="1"/>
  <c r="C2927" i="1"/>
  <c r="B2927" i="1"/>
  <c r="J2926" i="1"/>
  <c r="C2926" i="1"/>
  <c r="B2926" i="1"/>
  <c r="J2925" i="1"/>
  <c r="C2925" i="1"/>
  <c r="B2925" i="1"/>
  <c r="J2924" i="1"/>
  <c r="C2924" i="1"/>
  <c r="B2924" i="1"/>
  <c r="J2923" i="1"/>
  <c r="C2923" i="1"/>
  <c r="B2923" i="1"/>
  <c r="J2922" i="1"/>
  <c r="C2922" i="1"/>
  <c r="B2922" i="1"/>
  <c r="J2921" i="1"/>
  <c r="C2921" i="1"/>
  <c r="B2921" i="1"/>
  <c r="J2920" i="1"/>
  <c r="C2920" i="1"/>
  <c r="B2920" i="1"/>
  <c r="J2919" i="1"/>
  <c r="C2919" i="1"/>
  <c r="B2919" i="1"/>
  <c r="J2918" i="1"/>
  <c r="C2918" i="1"/>
  <c r="B2918" i="1"/>
  <c r="J2917" i="1"/>
  <c r="C2917" i="1"/>
  <c r="B2917" i="1"/>
  <c r="J2916" i="1"/>
  <c r="C2916" i="1"/>
  <c r="B2916" i="1"/>
  <c r="J2915" i="1"/>
  <c r="C2915" i="1"/>
  <c r="B2915" i="1"/>
  <c r="J2914" i="1"/>
  <c r="C2914" i="1"/>
  <c r="B2914" i="1"/>
  <c r="J2913" i="1"/>
  <c r="C2913" i="1"/>
  <c r="B2913" i="1"/>
  <c r="J2912" i="1"/>
  <c r="C2912" i="1"/>
  <c r="B2912" i="1"/>
  <c r="J2911" i="1"/>
  <c r="C2911" i="1"/>
  <c r="B2911" i="1"/>
  <c r="J2910" i="1"/>
  <c r="C2910" i="1"/>
  <c r="B2910" i="1"/>
  <c r="J2909" i="1"/>
  <c r="C2909" i="1"/>
  <c r="B2909" i="1"/>
  <c r="J2908" i="1"/>
  <c r="C2908" i="1"/>
  <c r="B2908" i="1"/>
  <c r="J2907" i="1"/>
  <c r="C2907" i="1"/>
  <c r="B2907" i="1"/>
  <c r="J2906" i="1"/>
  <c r="C2906" i="1"/>
  <c r="B2906" i="1"/>
  <c r="J2905" i="1"/>
  <c r="C2905" i="1"/>
  <c r="B2905" i="1"/>
  <c r="J2904" i="1"/>
  <c r="C2904" i="1"/>
  <c r="B2904" i="1"/>
  <c r="J2903" i="1"/>
  <c r="C2903" i="1"/>
  <c r="B2903" i="1"/>
  <c r="J2902" i="1"/>
  <c r="C2902" i="1"/>
  <c r="B2902" i="1"/>
  <c r="J2901" i="1"/>
  <c r="C2901" i="1"/>
  <c r="B2901" i="1"/>
  <c r="J2900" i="1"/>
  <c r="C2900" i="1"/>
  <c r="B2900" i="1"/>
  <c r="J2899" i="1"/>
  <c r="C2899" i="1"/>
  <c r="B2899" i="1"/>
  <c r="J2898" i="1"/>
  <c r="C2898" i="1"/>
  <c r="B2898" i="1"/>
  <c r="J2897" i="1"/>
  <c r="C2897" i="1"/>
  <c r="B2897" i="1"/>
  <c r="J2896" i="1"/>
  <c r="C2896" i="1"/>
  <c r="B2896" i="1"/>
  <c r="J2895" i="1"/>
  <c r="C2895" i="1"/>
  <c r="B2895" i="1"/>
  <c r="J2894" i="1"/>
  <c r="C2894" i="1"/>
  <c r="B2894" i="1"/>
  <c r="J2893" i="1"/>
  <c r="C2893" i="1"/>
  <c r="B2893" i="1"/>
  <c r="J2892" i="1"/>
  <c r="C2892" i="1"/>
  <c r="B2892" i="1"/>
  <c r="J2891" i="1"/>
  <c r="C2891" i="1"/>
  <c r="B2891" i="1"/>
  <c r="J2890" i="1"/>
  <c r="C2890" i="1"/>
  <c r="B2890" i="1"/>
  <c r="J2889" i="1"/>
  <c r="C2889" i="1"/>
  <c r="B2889" i="1"/>
  <c r="J2888" i="1"/>
  <c r="C2888" i="1"/>
  <c r="B2888" i="1"/>
  <c r="J2887" i="1"/>
  <c r="C2887" i="1"/>
  <c r="B2887" i="1"/>
  <c r="J2886" i="1"/>
  <c r="C2886" i="1"/>
  <c r="B2886" i="1"/>
  <c r="J2885" i="1"/>
  <c r="C2885" i="1"/>
  <c r="B2885" i="1"/>
  <c r="J2884" i="1"/>
  <c r="C2884" i="1"/>
  <c r="B2884" i="1"/>
  <c r="J2883" i="1"/>
  <c r="C2883" i="1"/>
  <c r="B2883" i="1"/>
  <c r="J2882" i="1"/>
  <c r="C2882" i="1"/>
  <c r="B2882" i="1"/>
  <c r="J2881" i="1"/>
  <c r="C2881" i="1"/>
  <c r="B2881" i="1"/>
  <c r="J2880" i="1"/>
  <c r="C2880" i="1"/>
  <c r="B2880" i="1"/>
  <c r="J2879" i="1"/>
  <c r="C2879" i="1"/>
  <c r="B2879" i="1"/>
  <c r="J2878" i="1"/>
  <c r="C2878" i="1"/>
  <c r="B2878" i="1"/>
  <c r="J2877" i="1"/>
  <c r="C2877" i="1"/>
  <c r="B2877" i="1"/>
  <c r="J2876" i="1"/>
  <c r="C2876" i="1"/>
  <c r="B2876" i="1"/>
  <c r="J2875" i="1"/>
  <c r="C2875" i="1"/>
  <c r="B2875" i="1"/>
  <c r="J2874" i="1"/>
  <c r="C2874" i="1"/>
  <c r="B2874" i="1"/>
  <c r="J2873" i="1"/>
  <c r="C2873" i="1"/>
  <c r="B2873" i="1"/>
  <c r="J2872" i="1"/>
  <c r="C2872" i="1"/>
  <c r="B2872" i="1"/>
  <c r="J2871" i="1"/>
  <c r="C2871" i="1"/>
  <c r="B2871" i="1"/>
  <c r="J2870" i="1"/>
  <c r="C2870" i="1"/>
  <c r="B2870" i="1"/>
  <c r="J2869" i="1"/>
  <c r="C2869" i="1"/>
  <c r="B2869" i="1"/>
  <c r="J2868" i="1"/>
  <c r="C2868" i="1"/>
  <c r="B2868" i="1"/>
  <c r="J2867" i="1"/>
  <c r="C2867" i="1"/>
  <c r="B2867" i="1"/>
  <c r="J2866" i="1"/>
  <c r="C2866" i="1"/>
  <c r="B2866" i="1"/>
  <c r="J2865" i="1"/>
  <c r="C2865" i="1"/>
  <c r="B2865" i="1"/>
  <c r="J2864" i="1"/>
  <c r="C2864" i="1"/>
  <c r="B2864" i="1"/>
  <c r="J2863" i="1"/>
  <c r="C2863" i="1"/>
  <c r="B2863" i="1"/>
  <c r="J2862" i="1"/>
  <c r="C2862" i="1"/>
  <c r="B2862" i="1"/>
  <c r="J2861" i="1"/>
  <c r="C2861" i="1"/>
  <c r="B2861" i="1"/>
  <c r="J2860" i="1"/>
  <c r="C2860" i="1"/>
  <c r="B2860" i="1"/>
  <c r="J2859" i="1"/>
  <c r="C2859" i="1"/>
  <c r="B2859" i="1"/>
  <c r="J2858" i="1"/>
  <c r="C2858" i="1"/>
  <c r="B2858" i="1"/>
  <c r="J2857" i="1"/>
  <c r="C2857" i="1"/>
  <c r="B2857" i="1"/>
  <c r="J2856" i="1"/>
  <c r="C2856" i="1"/>
  <c r="B2856" i="1"/>
  <c r="J2855" i="1"/>
  <c r="C2855" i="1"/>
  <c r="B2855" i="1"/>
  <c r="J2854" i="1"/>
  <c r="C2854" i="1"/>
  <c r="B2854" i="1"/>
  <c r="J2853" i="1"/>
  <c r="C2853" i="1"/>
  <c r="B2853" i="1"/>
  <c r="J2852" i="1"/>
  <c r="C2852" i="1"/>
  <c r="B2852" i="1"/>
  <c r="J2851" i="1"/>
  <c r="C2851" i="1"/>
  <c r="B2851" i="1"/>
  <c r="J2850" i="1"/>
  <c r="C2850" i="1"/>
  <c r="B2850" i="1"/>
  <c r="J2849" i="1"/>
  <c r="C2849" i="1"/>
  <c r="B2849" i="1"/>
  <c r="J2848" i="1"/>
  <c r="C2848" i="1"/>
  <c r="B2848" i="1"/>
  <c r="J2847" i="1"/>
  <c r="C2847" i="1"/>
  <c r="B2847" i="1"/>
  <c r="J2846" i="1"/>
  <c r="C2846" i="1"/>
  <c r="B2846" i="1"/>
  <c r="J2845" i="1"/>
  <c r="C2845" i="1"/>
  <c r="B2845" i="1"/>
  <c r="J2844" i="1"/>
  <c r="C2844" i="1"/>
  <c r="B2844" i="1"/>
  <c r="J2843" i="1"/>
  <c r="C2843" i="1"/>
  <c r="B2843" i="1"/>
  <c r="J2842" i="1"/>
  <c r="C2842" i="1"/>
  <c r="B2842" i="1"/>
  <c r="J2841" i="1"/>
  <c r="C2841" i="1"/>
  <c r="B2841" i="1"/>
  <c r="J2840" i="1"/>
  <c r="C2840" i="1"/>
  <c r="B2840" i="1"/>
  <c r="J2839" i="1"/>
  <c r="C2839" i="1"/>
  <c r="B2839" i="1"/>
  <c r="J2838" i="1"/>
  <c r="C2838" i="1"/>
  <c r="B2838" i="1"/>
  <c r="J2837" i="1"/>
  <c r="C2837" i="1"/>
  <c r="B2837" i="1"/>
  <c r="J2836" i="1"/>
  <c r="C2836" i="1"/>
  <c r="B2836" i="1"/>
  <c r="J2835" i="1"/>
  <c r="C2835" i="1"/>
  <c r="B2835" i="1"/>
  <c r="J2834" i="1"/>
  <c r="C2834" i="1"/>
  <c r="B2834" i="1"/>
  <c r="J2833" i="1"/>
  <c r="C2833" i="1"/>
  <c r="B2833" i="1"/>
  <c r="J2832" i="1"/>
  <c r="C2832" i="1"/>
  <c r="B2832" i="1"/>
  <c r="J2831" i="1"/>
  <c r="C2831" i="1"/>
  <c r="B2831" i="1"/>
  <c r="J2830" i="1"/>
  <c r="C2830" i="1"/>
  <c r="B2830" i="1"/>
  <c r="J2829" i="1"/>
  <c r="C2829" i="1"/>
  <c r="B2829" i="1"/>
  <c r="J2828" i="1"/>
  <c r="C2828" i="1"/>
  <c r="B2828" i="1"/>
  <c r="J2827" i="1"/>
  <c r="C2827" i="1"/>
  <c r="B2827" i="1"/>
  <c r="J2826" i="1"/>
  <c r="C2826" i="1"/>
  <c r="B2826" i="1"/>
  <c r="J2825" i="1"/>
  <c r="C2825" i="1"/>
  <c r="B2825" i="1"/>
  <c r="J2824" i="1"/>
  <c r="C2824" i="1"/>
  <c r="B2824" i="1"/>
  <c r="J2823" i="1"/>
  <c r="C2823" i="1"/>
  <c r="B2823" i="1"/>
  <c r="J2822" i="1"/>
  <c r="C2822" i="1"/>
  <c r="B2822" i="1"/>
  <c r="J2821" i="1"/>
  <c r="C2821" i="1"/>
  <c r="B2821" i="1"/>
  <c r="J2820" i="1"/>
  <c r="C2820" i="1"/>
  <c r="B2820" i="1"/>
  <c r="J2819" i="1"/>
  <c r="C2819" i="1"/>
  <c r="B2819" i="1"/>
  <c r="J2818" i="1"/>
  <c r="C2818" i="1"/>
  <c r="B2818" i="1"/>
  <c r="J2817" i="1"/>
  <c r="C2817" i="1"/>
  <c r="B2817" i="1"/>
  <c r="J2816" i="1"/>
  <c r="C2816" i="1"/>
  <c r="B2816" i="1"/>
  <c r="J2815" i="1"/>
  <c r="C2815" i="1"/>
  <c r="B2815" i="1"/>
  <c r="J2814" i="1"/>
  <c r="C2814" i="1"/>
  <c r="B2814" i="1"/>
  <c r="J2813" i="1"/>
  <c r="C2813" i="1"/>
  <c r="B2813" i="1"/>
  <c r="J2812" i="1"/>
  <c r="C2812" i="1"/>
  <c r="B2812" i="1"/>
  <c r="J2811" i="1"/>
  <c r="C2811" i="1"/>
  <c r="B2811" i="1"/>
  <c r="J2810" i="1"/>
  <c r="C2810" i="1"/>
  <c r="B2810" i="1"/>
  <c r="J2809" i="1"/>
  <c r="C2809" i="1"/>
  <c r="B2809" i="1"/>
  <c r="J2808" i="1"/>
  <c r="C2808" i="1"/>
  <c r="B2808" i="1"/>
  <c r="J2807" i="1"/>
  <c r="C2807" i="1"/>
  <c r="B2807" i="1"/>
  <c r="J2806" i="1"/>
  <c r="C2806" i="1"/>
  <c r="B2806" i="1"/>
  <c r="J2805" i="1"/>
  <c r="C2805" i="1"/>
  <c r="B2805" i="1"/>
  <c r="J2804" i="1"/>
  <c r="C2804" i="1"/>
  <c r="B2804" i="1"/>
  <c r="J2803" i="1"/>
  <c r="C2803" i="1"/>
  <c r="B2803" i="1"/>
  <c r="J2802" i="1"/>
  <c r="C2802" i="1"/>
  <c r="B2802" i="1"/>
  <c r="J2801" i="1"/>
  <c r="C2801" i="1"/>
  <c r="B2801" i="1"/>
  <c r="J2800" i="1"/>
  <c r="C2800" i="1"/>
  <c r="B2800" i="1"/>
  <c r="J2799" i="1"/>
  <c r="C2799" i="1"/>
  <c r="B2799" i="1"/>
  <c r="J2798" i="1"/>
  <c r="C2798" i="1"/>
  <c r="B2798" i="1"/>
  <c r="J2797" i="1"/>
  <c r="C2797" i="1"/>
  <c r="B2797" i="1"/>
  <c r="J2796" i="1"/>
  <c r="C2796" i="1"/>
  <c r="B2796" i="1"/>
  <c r="J2795" i="1"/>
  <c r="C2795" i="1"/>
  <c r="B2795" i="1"/>
  <c r="J2794" i="1"/>
  <c r="C2794" i="1"/>
  <c r="B2794" i="1"/>
  <c r="J2793" i="1"/>
  <c r="C2793" i="1"/>
  <c r="B2793" i="1"/>
  <c r="J2792" i="1"/>
  <c r="C2792" i="1"/>
  <c r="B2792" i="1"/>
  <c r="J2791" i="1"/>
  <c r="C2791" i="1"/>
  <c r="B2791" i="1"/>
  <c r="J2790" i="1"/>
  <c r="C2790" i="1"/>
  <c r="B2790" i="1"/>
  <c r="J2789" i="1"/>
  <c r="C2789" i="1"/>
  <c r="B2789" i="1"/>
  <c r="J2788" i="1"/>
  <c r="C2788" i="1"/>
  <c r="B2788" i="1"/>
  <c r="J2787" i="1"/>
  <c r="C2787" i="1"/>
  <c r="B2787" i="1"/>
  <c r="J2786" i="1"/>
  <c r="C2786" i="1"/>
  <c r="B2786" i="1"/>
  <c r="J2785" i="1"/>
  <c r="C2785" i="1"/>
  <c r="B2785" i="1"/>
  <c r="J2784" i="1"/>
  <c r="C2784" i="1"/>
  <c r="B2784" i="1"/>
  <c r="J2783" i="1"/>
  <c r="C2783" i="1"/>
  <c r="B2783" i="1"/>
  <c r="J2782" i="1"/>
  <c r="C2782" i="1"/>
  <c r="B2782" i="1"/>
  <c r="J2781" i="1"/>
  <c r="C2781" i="1"/>
  <c r="B2781" i="1"/>
  <c r="J2780" i="1"/>
  <c r="C2780" i="1"/>
  <c r="B2780" i="1"/>
  <c r="J2779" i="1"/>
  <c r="C2779" i="1"/>
  <c r="B2779" i="1"/>
  <c r="J2778" i="1"/>
  <c r="C2778" i="1"/>
  <c r="B2778" i="1"/>
  <c r="J2777" i="1"/>
  <c r="C2777" i="1"/>
  <c r="B2777" i="1"/>
  <c r="J2776" i="1"/>
  <c r="C2776" i="1"/>
  <c r="B2776" i="1"/>
  <c r="J2775" i="1"/>
  <c r="C2775" i="1"/>
  <c r="B2775" i="1"/>
  <c r="J2774" i="1"/>
  <c r="C2774" i="1"/>
  <c r="B2774" i="1"/>
  <c r="J2773" i="1"/>
  <c r="C2773" i="1"/>
  <c r="B2773" i="1"/>
  <c r="J2772" i="1"/>
  <c r="C2772" i="1"/>
  <c r="B2772" i="1"/>
  <c r="J2771" i="1"/>
  <c r="C2771" i="1"/>
  <c r="B2771" i="1"/>
  <c r="J2770" i="1"/>
  <c r="C2770" i="1"/>
  <c r="B2770" i="1"/>
  <c r="J2769" i="1"/>
  <c r="C2769" i="1"/>
  <c r="B2769" i="1"/>
  <c r="J2768" i="1"/>
  <c r="C2768" i="1"/>
  <c r="B2768" i="1"/>
  <c r="J2767" i="1"/>
  <c r="C2767" i="1"/>
  <c r="B2767" i="1"/>
  <c r="J2766" i="1"/>
  <c r="C2766" i="1"/>
  <c r="B2766" i="1"/>
  <c r="J2765" i="1"/>
  <c r="C2765" i="1"/>
  <c r="B2765" i="1"/>
  <c r="J2764" i="1"/>
  <c r="C2764" i="1"/>
  <c r="B2764" i="1"/>
  <c r="J2763" i="1"/>
  <c r="C2763" i="1"/>
  <c r="B2763" i="1"/>
  <c r="J2762" i="1"/>
  <c r="C2762" i="1"/>
  <c r="B2762" i="1"/>
  <c r="J2761" i="1"/>
  <c r="C2761" i="1"/>
  <c r="B2761" i="1"/>
  <c r="J2760" i="1"/>
  <c r="C2760" i="1"/>
  <c r="B2760" i="1"/>
  <c r="J2759" i="1"/>
  <c r="C2759" i="1"/>
  <c r="B2759" i="1"/>
  <c r="J2758" i="1"/>
  <c r="C2758" i="1"/>
  <c r="B2758" i="1"/>
  <c r="J2757" i="1"/>
  <c r="C2757" i="1"/>
  <c r="B2757" i="1"/>
  <c r="J2756" i="1"/>
  <c r="C2756" i="1"/>
  <c r="B2756" i="1"/>
  <c r="J2755" i="1"/>
  <c r="C2755" i="1"/>
  <c r="B2755" i="1"/>
  <c r="J2754" i="1"/>
  <c r="C2754" i="1"/>
  <c r="B2754" i="1"/>
  <c r="J2753" i="1"/>
  <c r="C2753" i="1"/>
  <c r="B2753" i="1"/>
  <c r="J2752" i="1"/>
  <c r="C2752" i="1"/>
  <c r="B2752" i="1"/>
  <c r="J2751" i="1"/>
  <c r="C2751" i="1"/>
  <c r="B2751" i="1"/>
  <c r="J2750" i="1"/>
  <c r="C2750" i="1"/>
  <c r="B2750" i="1"/>
  <c r="J2749" i="1"/>
  <c r="C2749" i="1"/>
  <c r="B2749" i="1"/>
  <c r="J2748" i="1"/>
  <c r="C2748" i="1"/>
  <c r="B2748" i="1"/>
  <c r="J2747" i="1"/>
  <c r="C2747" i="1"/>
  <c r="B2747" i="1"/>
  <c r="J2746" i="1"/>
  <c r="C2746" i="1"/>
  <c r="B2746" i="1"/>
  <c r="J2745" i="1"/>
  <c r="C2745" i="1"/>
  <c r="B2745" i="1"/>
  <c r="J2744" i="1"/>
  <c r="C2744" i="1"/>
  <c r="B2744" i="1"/>
  <c r="J2743" i="1"/>
  <c r="C2743" i="1"/>
  <c r="B2743" i="1"/>
  <c r="J2742" i="1"/>
  <c r="C2742" i="1"/>
  <c r="B2742" i="1"/>
  <c r="J2741" i="1"/>
  <c r="C2741" i="1"/>
  <c r="B2741" i="1"/>
  <c r="J2740" i="1"/>
  <c r="C2740" i="1"/>
  <c r="B2740" i="1"/>
  <c r="J2739" i="1"/>
  <c r="C2739" i="1"/>
  <c r="B2739" i="1"/>
  <c r="J2738" i="1"/>
  <c r="C2738" i="1"/>
  <c r="B2738" i="1"/>
  <c r="J2737" i="1"/>
  <c r="C2737" i="1"/>
  <c r="B2737" i="1"/>
  <c r="J2736" i="1"/>
  <c r="C2736" i="1"/>
  <c r="B2736" i="1"/>
  <c r="J2735" i="1"/>
  <c r="C2735" i="1"/>
  <c r="B2735" i="1"/>
  <c r="J2734" i="1"/>
  <c r="C2734" i="1"/>
  <c r="B2734" i="1"/>
  <c r="J2733" i="1"/>
  <c r="C2733" i="1"/>
  <c r="B2733" i="1"/>
  <c r="J2732" i="1"/>
  <c r="C2732" i="1"/>
  <c r="B2732" i="1"/>
  <c r="J2731" i="1"/>
  <c r="C2731" i="1"/>
  <c r="B2731" i="1"/>
  <c r="J2730" i="1"/>
  <c r="C2730" i="1"/>
  <c r="B2730" i="1"/>
  <c r="J2729" i="1"/>
  <c r="C2729" i="1"/>
  <c r="B2729" i="1"/>
  <c r="J2728" i="1"/>
  <c r="C2728" i="1"/>
  <c r="B2728" i="1"/>
  <c r="J2727" i="1"/>
  <c r="C2727" i="1"/>
  <c r="B2727" i="1"/>
  <c r="J2726" i="1"/>
  <c r="C2726" i="1"/>
  <c r="B2726" i="1"/>
  <c r="J2725" i="1"/>
  <c r="C2725" i="1"/>
  <c r="B2725" i="1"/>
  <c r="J2724" i="1"/>
  <c r="C2724" i="1"/>
  <c r="B2724" i="1"/>
  <c r="J2723" i="1"/>
  <c r="C2723" i="1"/>
  <c r="B2723" i="1"/>
  <c r="J2722" i="1"/>
  <c r="C2722" i="1"/>
  <c r="B2722" i="1"/>
  <c r="J2721" i="1"/>
  <c r="C2721" i="1"/>
  <c r="B2721" i="1"/>
  <c r="J2720" i="1"/>
  <c r="C2720" i="1"/>
  <c r="B2720" i="1"/>
  <c r="J2719" i="1"/>
  <c r="C2719" i="1"/>
  <c r="B2719" i="1"/>
  <c r="J2718" i="1"/>
  <c r="C2718" i="1"/>
  <c r="B2718" i="1"/>
  <c r="J2717" i="1"/>
  <c r="C2717" i="1"/>
  <c r="B2717" i="1"/>
  <c r="J2716" i="1"/>
  <c r="C2716" i="1"/>
  <c r="B2716" i="1"/>
  <c r="J2715" i="1"/>
  <c r="C2715" i="1"/>
  <c r="B2715" i="1"/>
  <c r="J2714" i="1"/>
  <c r="C2714" i="1"/>
  <c r="B2714" i="1"/>
  <c r="J2713" i="1"/>
  <c r="C2713" i="1"/>
  <c r="B2713" i="1"/>
  <c r="J2712" i="1"/>
  <c r="C2712" i="1"/>
  <c r="B2712" i="1"/>
  <c r="J2711" i="1"/>
  <c r="C2711" i="1"/>
  <c r="B2711" i="1"/>
  <c r="J2710" i="1"/>
  <c r="C2710" i="1"/>
  <c r="B2710" i="1"/>
  <c r="J2709" i="1"/>
  <c r="C2709" i="1"/>
  <c r="B2709" i="1"/>
  <c r="J2708" i="1"/>
  <c r="C2708" i="1"/>
  <c r="B2708" i="1"/>
  <c r="J2707" i="1"/>
  <c r="C2707" i="1"/>
  <c r="B2707" i="1"/>
  <c r="J2706" i="1"/>
  <c r="C2706" i="1"/>
  <c r="B2706" i="1"/>
  <c r="J2705" i="1"/>
  <c r="C2705" i="1"/>
  <c r="B2705" i="1"/>
  <c r="J2704" i="1"/>
  <c r="C2704" i="1"/>
  <c r="B2704" i="1"/>
  <c r="J2703" i="1"/>
  <c r="C2703" i="1"/>
  <c r="B2703" i="1"/>
  <c r="J2702" i="1"/>
  <c r="C2702" i="1"/>
  <c r="B2702" i="1"/>
  <c r="J2701" i="1"/>
  <c r="C2701" i="1"/>
  <c r="B2701" i="1"/>
  <c r="J2700" i="1"/>
  <c r="C2700" i="1"/>
  <c r="B2700" i="1"/>
  <c r="J2699" i="1"/>
  <c r="C2699" i="1"/>
  <c r="B2699" i="1"/>
  <c r="J2698" i="1"/>
  <c r="C2698" i="1"/>
  <c r="B2698" i="1"/>
  <c r="J2697" i="1"/>
  <c r="C2697" i="1"/>
  <c r="B2697" i="1"/>
  <c r="J2696" i="1"/>
  <c r="C2696" i="1"/>
  <c r="B2696" i="1"/>
  <c r="J2695" i="1"/>
  <c r="C2695" i="1"/>
  <c r="B2695" i="1"/>
  <c r="J2694" i="1"/>
  <c r="C2694" i="1"/>
  <c r="B2694" i="1"/>
  <c r="J2693" i="1"/>
  <c r="C2693" i="1"/>
  <c r="B2693" i="1"/>
  <c r="J2692" i="1"/>
  <c r="C2692" i="1"/>
  <c r="B2692" i="1"/>
  <c r="J2691" i="1"/>
  <c r="C2691" i="1"/>
  <c r="B2691" i="1"/>
  <c r="J2690" i="1"/>
  <c r="C2690" i="1"/>
  <c r="B2690" i="1"/>
  <c r="J2689" i="1"/>
  <c r="C2689" i="1"/>
  <c r="B2689" i="1"/>
  <c r="J2688" i="1"/>
  <c r="C2688" i="1"/>
  <c r="B2688" i="1"/>
  <c r="J2687" i="1"/>
  <c r="C2687" i="1"/>
  <c r="B2687" i="1"/>
  <c r="J2686" i="1"/>
  <c r="C2686" i="1"/>
  <c r="B2686" i="1"/>
  <c r="J2685" i="1"/>
  <c r="C2685" i="1"/>
  <c r="B2685" i="1"/>
  <c r="J2684" i="1"/>
  <c r="C2684" i="1"/>
  <c r="B2684" i="1"/>
  <c r="J2683" i="1"/>
  <c r="C2683" i="1"/>
  <c r="B2683" i="1"/>
  <c r="J2682" i="1"/>
  <c r="C2682" i="1"/>
  <c r="B2682" i="1"/>
  <c r="J2681" i="1"/>
  <c r="C2681" i="1"/>
  <c r="B2681" i="1"/>
  <c r="J2680" i="1"/>
  <c r="C2680" i="1"/>
  <c r="B2680" i="1"/>
  <c r="J2679" i="1"/>
  <c r="C2679" i="1"/>
  <c r="B2679" i="1"/>
  <c r="J2678" i="1"/>
  <c r="C2678" i="1"/>
  <c r="B2678" i="1"/>
  <c r="J2677" i="1"/>
  <c r="C2677" i="1"/>
  <c r="B2677" i="1"/>
  <c r="J2676" i="1"/>
  <c r="C2676" i="1"/>
  <c r="B2676" i="1"/>
  <c r="J2675" i="1"/>
  <c r="C2675" i="1"/>
  <c r="B2675" i="1"/>
  <c r="J2674" i="1"/>
  <c r="C2674" i="1"/>
  <c r="B2674" i="1"/>
  <c r="J2673" i="1"/>
  <c r="C2673" i="1"/>
  <c r="B2673" i="1"/>
  <c r="J2672" i="1"/>
  <c r="C2672" i="1"/>
  <c r="B2672" i="1"/>
  <c r="J2671" i="1"/>
  <c r="C2671" i="1"/>
  <c r="B2671" i="1"/>
  <c r="J2670" i="1"/>
  <c r="C2670" i="1"/>
  <c r="B2670" i="1"/>
  <c r="J2669" i="1"/>
  <c r="C2669" i="1"/>
  <c r="B2669" i="1"/>
  <c r="J2668" i="1"/>
  <c r="C2668" i="1"/>
  <c r="B2668" i="1"/>
  <c r="J2667" i="1"/>
  <c r="C2667" i="1"/>
  <c r="B2667" i="1"/>
  <c r="J2666" i="1"/>
  <c r="C2666" i="1"/>
  <c r="B2666" i="1"/>
  <c r="J2665" i="1"/>
  <c r="C2665" i="1"/>
  <c r="B2665" i="1"/>
  <c r="J2664" i="1"/>
  <c r="C2664" i="1"/>
  <c r="B2664" i="1"/>
  <c r="J2663" i="1"/>
  <c r="C2663" i="1"/>
  <c r="B2663" i="1"/>
  <c r="J2662" i="1"/>
  <c r="C2662" i="1"/>
  <c r="B2662" i="1"/>
  <c r="J2661" i="1"/>
  <c r="C2661" i="1"/>
  <c r="B2661" i="1"/>
  <c r="J2660" i="1"/>
  <c r="C2660" i="1"/>
  <c r="B2660" i="1"/>
  <c r="J2659" i="1"/>
  <c r="C2659" i="1"/>
  <c r="B2659" i="1"/>
  <c r="J2658" i="1"/>
  <c r="C2658" i="1"/>
  <c r="B2658" i="1"/>
  <c r="J2657" i="1"/>
  <c r="C2657" i="1"/>
  <c r="B2657" i="1"/>
  <c r="J2656" i="1"/>
  <c r="C2656" i="1"/>
  <c r="B2656" i="1"/>
  <c r="J2655" i="1"/>
  <c r="C2655" i="1"/>
  <c r="B2655" i="1"/>
  <c r="J2654" i="1"/>
  <c r="C2654" i="1"/>
  <c r="B2654" i="1"/>
  <c r="J2653" i="1"/>
  <c r="C2653" i="1"/>
  <c r="B2653" i="1"/>
  <c r="J2652" i="1"/>
  <c r="C2652" i="1"/>
  <c r="B2652" i="1"/>
  <c r="J2651" i="1"/>
  <c r="C2651" i="1"/>
  <c r="B2651" i="1"/>
  <c r="J2650" i="1"/>
  <c r="C2650" i="1"/>
  <c r="B2650" i="1"/>
  <c r="J2649" i="1"/>
  <c r="C2649" i="1"/>
  <c r="B2649" i="1"/>
  <c r="J2648" i="1"/>
  <c r="C2648" i="1"/>
  <c r="B2648" i="1"/>
  <c r="J2647" i="1"/>
  <c r="C2647" i="1"/>
  <c r="B2647" i="1"/>
  <c r="J2646" i="1"/>
  <c r="C2646" i="1"/>
  <c r="B2646" i="1"/>
  <c r="J2645" i="1"/>
  <c r="C2645" i="1"/>
  <c r="B2645" i="1"/>
  <c r="J2644" i="1"/>
  <c r="C2644" i="1"/>
  <c r="B2644" i="1"/>
  <c r="J2643" i="1"/>
  <c r="C2643" i="1"/>
  <c r="B2643" i="1"/>
  <c r="J2642" i="1"/>
  <c r="C2642" i="1"/>
  <c r="B2642" i="1"/>
  <c r="J2641" i="1"/>
  <c r="C2641" i="1"/>
  <c r="B2641" i="1"/>
  <c r="J2640" i="1"/>
  <c r="C2640" i="1"/>
  <c r="B2640" i="1"/>
  <c r="J2639" i="1"/>
  <c r="C2639" i="1"/>
  <c r="B2639" i="1"/>
  <c r="J2638" i="1"/>
  <c r="C2638" i="1"/>
  <c r="B2638" i="1"/>
  <c r="J2637" i="1"/>
  <c r="C2637" i="1"/>
  <c r="B2637" i="1"/>
  <c r="J2636" i="1"/>
  <c r="C2636" i="1"/>
  <c r="B2636" i="1"/>
  <c r="J2635" i="1"/>
  <c r="C2635" i="1"/>
  <c r="B2635" i="1"/>
  <c r="J2634" i="1"/>
  <c r="C2634" i="1"/>
  <c r="B2634" i="1"/>
  <c r="J2633" i="1"/>
  <c r="C2633" i="1"/>
  <c r="B2633" i="1"/>
  <c r="J2632" i="1"/>
  <c r="C2632" i="1"/>
  <c r="B2632" i="1"/>
  <c r="J2631" i="1"/>
  <c r="C2631" i="1"/>
  <c r="B2631" i="1"/>
  <c r="J2630" i="1"/>
  <c r="C2630" i="1"/>
  <c r="B2630" i="1"/>
  <c r="J2629" i="1"/>
  <c r="C2629" i="1"/>
  <c r="B2629" i="1"/>
  <c r="J2628" i="1"/>
  <c r="C2628" i="1"/>
  <c r="B2628" i="1"/>
  <c r="J2627" i="1"/>
  <c r="C2627" i="1"/>
  <c r="B2627" i="1"/>
  <c r="J2626" i="1"/>
  <c r="C2626" i="1"/>
  <c r="B2626" i="1"/>
  <c r="J2625" i="1"/>
  <c r="C2625" i="1"/>
  <c r="B2625" i="1"/>
  <c r="J2624" i="1"/>
  <c r="C2624" i="1"/>
  <c r="B2624" i="1"/>
  <c r="J2623" i="1"/>
  <c r="C2623" i="1"/>
  <c r="B2623" i="1"/>
  <c r="J2622" i="1"/>
  <c r="C2622" i="1"/>
  <c r="B2622" i="1"/>
  <c r="J2621" i="1"/>
  <c r="C2621" i="1"/>
  <c r="B2621" i="1"/>
  <c r="J2620" i="1"/>
  <c r="C2620" i="1"/>
  <c r="B2620" i="1"/>
  <c r="J2619" i="1"/>
  <c r="C2619" i="1"/>
  <c r="B2619" i="1"/>
  <c r="J2618" i="1"/>
  <c r="C2618" i="1"/>
  <c r="B2618" i="1"/>
  <c r="J2617" i="1"/>
  <c r="C2617" i="1"/>
  <c r="B2617" i="1"/>
  <c r="J2616" i="1"/>
  <c r="C2616" i="1"/>
  <c r="B2616" i="1"/>
  <c r="J2615" i="1"/>
  <c r="C2615" i="1"/>
  <c r="B2615" i="1"/>
  <c r="J2614" i="1"/>
  <c r="C2614" i="1"/>
  <c r="B2614" i="1"/>
  <c r="J2613" i="1"/>
  <c r="C2613" i="1"/>
  <c r="B2613" i="1"/>
  <c r="J2612" i="1"/>
  <c r="C2612" i="1"/>
  <c r="B2612" i="1"/>
  <c r="J2611" i="1"/>
  <c r="C2611" i="1"/>
  <c r="B2611" i="1"/>
  <c r="J2610" i="1"/>
  <c r="C2610" i="1"/>
  <c r="B2610" i="1"/>
  <c r="J2609" i="1"/>
  <c r="C2609" i="1"/>
  <c r="B2609" i="1"/>
  <c r="J2608" i="1"/>
  <c r="C2608" i="1"/>
  <c r="B2608" i="1"/>
  <c r="J2607" i="1"/>
  <c r="C2607" i="1"/>
  <c r="B2607" i="1"/>
  <c r="J2606" i="1"/>
  <c r="C2606" i="1"/>
  <c r="B2606" i="1"/>
  <c r="J2605" i="1"/>
  <c r="C2605" i="1"/>
  <c r="B2605" i="1"/>
  <c r="J2604" i="1"/>
  <c r="C2604" i="1"/>
  <c r="B2604" i="1"/>
  <c r="J2603" i="1"/>
  <c r="C2603" i="1"/>
  <c r="B2603" i="1"/>
  <c r="J2602" i="1"/>
  <c r="C2602" i="1"/>
  <c r="B2602" i="1"/>
  <c r="J2601" i="1"/>
  <c r="C2601" i="1"/>
  <c r="B2601" i="1"/>
  <c r="J2600" i="1"/>
  <c r="C2600" i="1"/>
  <c r="B2600" i="1"/>
  <c r="J2599" i="1"/>
  <c r="C2599" i="1"/>
  <c r="B2599" i="1"/>
  <c r="J2598" i="1"/>
  <c r="C2598" i="1"/>
  <c r="B2598" i="1"/>
  <c r="J2597" i="1"/>
  <c r="C2597" i="1"/>
  <c r="B2597" i="1"/>
  <c r="J2596" i="1"/>
  <c r="C2596" i="1"/>
  <c r="B2596" i="1"/>
  <c r="J2595" i="1"/>
  <c r="C2595" i="1"/>
  <c r="B2595" i="1"/>
  <c r="J2594" i="1"/>
  <c r="C2594" i="1"/>
  <c r="B2594" i="1"/>
  <c r="J2593" i="1"/>
  <c r="C2593" i="1"/>
  <c r="B2593" i="1"/>
  <c r="J2592" i="1"/>
  <c r="C2592" i="1"/>
  <c r="B2592" i="1"/>
  <c r="J2591" i="1"/>
  <c r="C2591" i="1"/>
  <c r="B2591" i="1"/>
  <c r="J2590" i="1"/>
  <c r="C2590" i="1"/>
  <c r="B2590" i="1"/>
  <c r="J2589" i="1"/>
  <c r="C2589" i="1"/>
  <c r="B2589" i="1"/>
  <c r="J2588" i="1"/>
  <c r="C2588" i="1"/>
  <c r="B2588" i="1"/>
  <c r="J2587" i="1"/>
  <c r="C2587" i="1"/>
  <c r="B2587" i="1"/>
  <c r="J2586" i="1"/>
  <c r="C2586" i="1"/>
  <c r="B2586" i="1"/>
  <c r="J2585" i="1"/>
  <c r="C2585" i="1"/>
  <c r="B2585" i="1"/>
  <c r="J2584" i="1"/>
  <c r="C2584" i="1"/>
  <c r="B2584" i="1"/>
  <c r="J2583" i="1"/>
  <c r="C2583" i="1"/>
  <c r="B2583" i="1"/>
  <c r="J2582" i="1"/>
  <c r="C2582" i="1"/>
  <c r="B2582" i="1"/>
  <c r="J2581" i="1"/>
  <c r="C2581" i="1"/>
  <c r="B2581" i="1"/>
  <c r="J2580" i="1"/>
  <c r="C2580" i="1"/>
  <c r="B2580" i="1"/>
  <c r="J2579" i="1"/>
  <c r="C2579" i="1"/>
  <c r="B2579" i="1"/>
  <c r="J2578" i="1"/>
  <c r="C2578" i="1"/>
  <c r="B2578" i="1"/>
  <c r="J2577" i="1"/>
  <c r="C2577" i="1"/>
  <c r="B2577" i="1"/>
  <c r="J2576" i="1"/>
  <c r="C2576" i="1"/>
  <c r="B2576" i="1"/>
  <c r="J2575" i="1"/>
  <c r="C2575" i="1"/>
  <c r="B2575" i="1"/>
  <c r="J2574" i="1"/>
  <c r="C2574" i="1"/>
  <c r="B2574" i="1"/>
  <c r="J2573" i="1"/>
  <c r="C2573" i="1"/>
  <c r="B2573" i="1"/>
  <c r="J2572" i="1"/>
  <c r="C2572" i="1"/>
  <c r="B2572" i="1"/>
  <c r="J2571" i="1"/>
  <c r="C2571" i="1"/>
  <c r="B2571" i="1"/>
  <c r="J2570" i="1"/>
  <c r="C2570" i="1"/>
  <c r="B2570" i="1"/>
  <c r="J2569" i="1"/>
  <c r="C2569" i="1"/>
  <c r="B2569" i="1"/>
  <c r="J2568" i="1"/>
  <c r="C2568" i="1"/>
  <c r="B2568" i="1"/>
  <c r="J2567" i="1"/>
  <c r="C2567" i="1"/>
  <c r="B2567" i="1"/>
  <c r="J2566" i="1"/>
  <c r="C2566" i="1"/>
  <c r="B2566" i="1"/>
  <c r="J2565" i="1"/>
  <c r="C2565" i="1"/>
  <c r="B2565" i="1"/>
  <c r="J2564" i="1"/>
  <c r="C2564" i="1"/>
  <c r="B2564" i="1"/>
  <c r="J2563" i="1"/>
  <c r="C2563" i="1"/>
  <c r="B2563" i="1"/>
  <c r="J2562" i="1"/>
  <c r="C2562" i="1"/>
  <c r="B2562" i="1"/>
  <c r="J2561" i="1"/>
  <c r="C2561" i="1"/>
  <c r="B2561" i="1"/>
  <c r="J2560" i="1"/>
  <c r="C2560" i="1"/>
  <c r="B2560" i="1"/>
  <c r="J2559" i="1"/>
  <c r="C2559" i="1"/>
  <c r="B2559" i="1"/>
  <c r="J2558" i="1"/>
  <c r="C2558" i="1"/>
  <c r="B2558" i="1"/>
  <c r="J2557" i="1"/>
  <c r="C2557" i="1"/>
  <c r="B2557" i="1"/>
  <c r="J2556" i="1"/>
  <c r="C2556" i="1"/>
  <c r="B2556" i="1"/>
  <c r="J2555" i="1"/>
  <c r="C2555" i="1"/>
  <c r="B2555" i="1"/>
  <c r="J2554" i="1"/>
  <c r="C2554" i="1"/>
  <c r="B2554" i="1"/>
  <c r="J2553" i="1"/>
  <c r="C2553" i="1"/>
  <c r="B2553" i="1"/>
  <c r="J2552" i="1"/>
  <c r="C2552" i="1"/>
  <c r="B2552" i="1"/>
  <c r="J2551" i="1"/>
  <c r="C2551" i="1"/>
  <c r="B2551" i="1"/>
  <c r="J2550" i="1"/>
  <c r="C2550" i="1"/>
  <c r="B2550" i="1"/>
  <c r="J2549" i="1"/>
  <c r="C2549" i="1"/>
  <c r="B2549" i="1"/>
  <c r="J2548" i="1"/>
  <c r="C2548" i="1"/>
  <c r="B2548" i="1"/>
  <c r="J2547" i="1"/>
  <c r="C2547" i="1"/>
  <c r="B2547" i="1"/>
  <c r="J2546" i="1"/>
  <c r="C2546" i="1"/>
  <c r="B2546" i="1"/>
  <c r="J2545" i="1"/>
  <c r="C2545" i="1"/>
  <c r="B2545" i="1"/>
  <c r="J2544" i="1"/>
  <c r="C2544" i="1"/>
  <c r="B2544" i="1"/>
  <c r="J2543" i="1"/>
  <c r="C2543" i="1"/>
  <c r="B2543" i="1"/>
  <c r="J2542" i="1"/>
  <c r="C2542" i="1"/>
  <c r="B2542" i="1"/>
  <c r="J2541" i="1"/>
  <c r="C2541" i="1"/>
  <c r="B2541" i="1"/>
  <c r="J2540" i="1"/>
  <c r="C2540" i="1"/>
  <c r="B2540" i="1"/>
  <c r="J2539" i="1"/>
  <c r="C2539" i="1"/>
  <c r="B2539" i="1"/>
  <c r="J2538" i="1"/>
  <c r="C2538" i="1"/>
  <c r="B2538" i="1"/>
  <c r="J2537" i="1"/>
  <c r="C2537" i="1"/>
  <c r="B2537" i="1"/>
  <c r="J2536" i="1"/>
  <c r="C2536" i="1"/>
  <c r="B2536" i="1"/>
  <c r="J2535" i="1"/>
  <c r="C2535" i="1"/>
  <c r="B2535" i="1"/>
  <c r="J2534" i="1"/>
  <c r="C2534" i="1"/>
  <c r="B2534" i="1"/>
  <c r="J2533" i="1"/>
  <c r="C2533" i="1"/>
  <c r="B2533" i="1"/>
  <c r="J2532" i="1"/>
  <c r="C2532" i="1"/>
  <c r="B2532" i="1"/>
  <c r="J2531" i="1"/>
  <c r="C2531" i="1"/>
  <c r="B2531" i="1"/>
  <c r="J2530" i="1"/>
  <c r="C2530" i="1"/>
  <c r="B2530" i="1"/>
  <c r="J2529" i="1"/>
  <c r="C2529" i="1"/>
  <c r="B2529" i="1"/>
  <c r="J2528" i="1"/>
  <c r="C2528" i="1"/>
  <c r="B2528" i="1"/>
  <c r="J2527" i="1"/>
  <c r="C2527" i="1"/>
  <c r="B2527" i="1"/>
  <c r="J2526" i="1"/>
  <c r="C2526" i="1"/>
  <c r="B2526" i="1"/>
  <c r="J2525" i="1"/>
  <c r="C2525" i="1"/>
  <c r="B2525" i="1"/>
  <c r="J2524" i="1"/>
  <c r="C2524" i="1"/>
  <c r="B2524" i="1"/>
  <c r="J2523" i="1"/>
  <c r="C2523" i="1"/>
  <c r="B2523" i="1"/>
  <c r="J2522" i="1"/>
  <c r="C2522" i="1"/>
  <c r="B2522" i="1"/>
  <c r="J2521" i="1"/>
  <c r="C2521" i="1"/>
  <c r="B2521" i="1"/>
  <c r="J2520" i="1"/>
  <c r="C2520" i="1"/>
  <c r="B2520" i="1"/>
  <c r="J2519" i="1"/>
  <c r="C2519" i="1"/>
  <c r="B2519" i="1"/>
  <c r="J2518" i="1"/>
  <c r="C2518" i="1"/>
  <c r="B2518" i="1"/>
  <c r="J2517" i="1"/>
  <c r="C2517" i="1"/>
  <c r="B2517" i="1"/>
  <c r="J2516" i="1"/>
  <c r="C2516" i="1"/>
  <c r="B2516" i="1"/>
  <c r="J2515" i="1"/>
  <c r="C2515" i="1"/>
  <c r="B2515" i="1"/>
  <c r="J2514" i="1"/>
  <c r="C2514" i="1"/>
  <c r="B2514" i="1"/>
  <c r="J2513" i="1"/>
  <c r="C2513" i="1"/>
  <c r="B2513" i="1"/>
  <c r="J2512" i="1"/>
  <c r="C2512" i="1"/>
  <c r="B2512" i="1"/>
  <c r="J2511" i="1"/>
  <c r="C2511" i="1"/>
  <c r="B2511" i="1"/>
  <c r="J2510" i="1"/>
  <c r="C2510" i="1"/>
  <c r="B2510" i="1"/>
  <c r="J2509" i="1"/>
  <c r="C2509" i="1"/>
  <c r="B2509" i="1"/>
  <c r="J2508" i="1"/>
  <c r="C2508" i="1"/>
  <c r="B2508" i="1"/>
  <c r="J2507" i="1"/>
  <c r="C2507" i="1"/>
  <c r="B2507" i="1"/>
  <c r="J2506" i="1"/>
  <c r="C2506" i="1"/>
  <c r="B2506" i="1"/>
  <c r="J2505" i="1"/>
  <c r="C2505" i="1"/>
  <c r="B2505" i="1"/>
  <c r="J2504" i="1"/>
  <c r="C2504" i="1"/>
  <c r="B2504" i="1"/>
  <c r="J2503" i="1"/>
  <c r="C2503" i="1"/>
  <c r="B2503" i="1"/>
  <c r="J2502" i="1"/>
  <c r="C2502" i="1"/>
  <c r="B2502" i="1"/>
  <c r="J2501" i="1"/>
  <c r="C2501" i="1"/>
  <c r="B2501" i="1"/>
  <c r="J2500" i="1"/>
  <c r="C2500" i="1"/>
  <c r="B2500" i="1"/>
  <c r="J2499" i="1"/>
  <c r="C2499" i="1"/>
  <c r="B2499" i="1"/>
  <c r="J2498" i="1"/>
  <c r="C2498" i="1"/>
  <c r="B2498" i="1"/>
  <c r="J2497" i="1"/>
  <c r="C2497" i="1"/>
  <c r="B2497" i="1"/>
  <c r="J2496" i="1"/>
  <c r="C2496" i="1"/>
  <c r="B2496" i="1"/>
  <c r="J2495" i="1"/>
  <c r="C2495" i="1"/>
  <c r="B2495" i="1"/>
  <c r="J2494" i="1"/>
  <c r="C2494" i="1"/>
  <c r="B2494" i="1"/>
  <c r="J2493" i="1"/>
  <c r="C2493" i="1"/>
  <c r="B2493" i="1"/>
  <c r="J2492" i="1"/>
  <c r="C2492" i="1"/>
  <c r="B2492" i="1"/>
  <c r="J2491" i="1"/>
  <c r="C2491" i="1"/>
  <c r="B2491" i="1"/>
  <c r="J2490" i="1"/>
  <c r="C2490" i="1"/>
  <c r="B2490" i="1"/>
  <c r="J2489" i="1"/>
  <c r="C2489" i="1"/>
  <c r="B2489" i="1"/>
  <c r="J2488" i="1"/>
  <c r="C2488" i="1"/>
  <c r="B2488" i="1"/>
  <c r="J2487" i="1"/>
  <c r="C2487" i="1"/>
  <c r="B2487" i="1"/>
  <c r="J2486" i="1"/>
  <c r="C2486" i="1"/>
  <c r="B2486" i="1"/>
  <c r="J2485" i="1"/>
  <c r="C2485" i="1"/>
  <c r="B2485" i="1"/>
  <c r="J2484" i="1"/>
  <c r="C2484" i="1"/>
  <c r="B2484" i="1"/>
  <c r="J2483" i="1"/>
  <c r="C2483" i="1"/>
  <c r="B2483" i="1"/>
  <c r="J2482" i="1"/>
  <c r="C2482" i="1"/>
  <c r="B2482" i="1"/>
  <c r="J2481" i="1"/>
  <c r="C2481" i="1"/>
  <c r="B2481" i="1"/>
  <c r="J2480" i="1"/>
  <c r="C2480" i="1"/>
  <c r="B2480" i="1"/>
  <c r="J2479" i="1"/>
  <c r="C2479" i="1"/>
  <c r="B2479" i="1"/>
  <c r="J2478" i="1"/>
  <c r="C2478" i="1"/>
  <c r="B2478" i="1"/>
  <c r="J2477" i="1"/>
  <c r="C2477" i="1"/>
  <c r="B2477" i="1"/>
  <c r="J2476" i="1"/>
  <c r="C2476" i="1"/>
  <c r="B2476" i="1"/>
  <c r="J2475" i="1"/>
  <c r="C2475" i="1"/>
  <c r="B2475" i="1"/>
  <c r="J2474" i="1"/>
  <c r="C2474" i="1"/>
  <c r="B2474" i="1"/>
  <c r="J2473" i="1"/>
  <c r="C2473" i="1"/>
  <c r="B2473" i="1"/>
  <c r="J2472" i="1"/>
  <c r="C2472" i="1"/>
  <c r="B2472" i="1"/>
  <c r="J2471" i="1"/>
  <c r="C2471" i="1"/>
  <c r="B2471" i="1"/>
  <c r="J2470" i="1"/>
  <c r="C2470" i="1"/>
  <c r="B2470" i="1"/>
  <c r="J2469" i="1"/>
  <c r="C2469" i="1"/>
  <c r="B2469" i="1"/>
  <c r="J2468" i="1"/>
  <c r="C2468" i="1"/>
  <c r="B2468" i="1"/>
  <c r="J2467" i="1"/>
  <c r="C2467" i="1"/>
  <c r="B2467" i="1"/>
  <c r="J2466" i="1"/>
  <c r="C2466" i="1"/>
  <c r="B2466" i="1"/>
  <c r="J2465" i="1"/>
  <c r="C2465" i="1"/>
  <c r="B2465" i="1"/>
  <c r="J2464" i="1"/>
  <c r="C2464" i="1"/>
  <c r="B2464" i="1"/>
  <c r="J2463" i="1"/>
  <c r="C2463" i="1"/>
  <c r="B2463" i="1"/>
  <c r="J2462" i="1"/>
  <c r="C2462" i="1"/>
  <c r="B2462" i="1"/>
  <c r="J2461" i="1"/>
  <c r="C2461" i="1"/>
  <c r="B2461" i="1"/>
  <c r="J2460" i="1"/>
  <c r="C2460" i="1"/>
  <c r="B2460" i="1"/>
  <c r="J2459" i="1"/>
  <c r="C2459" i="1"/>
  <c r="B2459" i="1"/>
  <c r="J2458" i="1"/>
  <c r="C2458" i="1"/>
  <c r="B2458" i="1"/>
  <c r="J2457" i="1"/>
  <c r="C2457" i="1"/>
  <c r="B2457" i="1"/>
  <c r="J2456" i="1"/>
  <c r="C2456" i="1"/>
  <c r="B2456" i="1"/>
  <c r="J2455" i="1"/>
  <c r="C2455" i="1"/>
  <c r="B2455" i="1"/>
  <c r="J2454" i="1"/>
  <c r="C2454" i="1"/>
  <c r="B2454" i="1"/>
  <c r="J2453" i="1"/>
  <c r="C2453" i="1"/>
  <c r="B2453" i="1"/>
  <c r="J2452" i="1"/>
  <c r="C2452" i="1"/>
  <c r="B2452" i="1"/>
  <c r="J2451" i="1"/>
  <c r="C2451" i="1"/>
  <c r="B2451" i="1"/>
  <c r="J2450" i="1"/>
  <c r="C2450" i="1"/>
  <c r="B2450" i="1"/>
  <c r="J2449" i="1"/>
  <c r="C2449" i="1"/>
  <c r="B2449" i="1"/>
  <c r="J2448" i="1"/>
  <c r="C2448" i="1"/>
  <c r="B2448" i="1"/>
  <c r="J2447" i="1"/>
  <c r="C2447" i="1"/>
  <c r="B2447" i="1"/>
  <c r="J2446" i="1"/>
  <c r="C2446" i="1"/>
  <c r="B2446" i="1"/>
  <c r="J2445" i="1"/>
  <c r="C2445" i="1"/>
  <c r="B2445" i="1"/>
  <c r="J2444" i="1"/>
  <c r="C2444" i="1"/>
  <c r="B2444" i="1"/>
  <c r="J2443" i="1"/>
  <c r="C2443" i="1"/>
  <c r="B2443" i="1"/>
  <c r="J2442" i="1"/>
  <c r="C2442" i="1"/>
  <c r="B2442" i="1"/>
  <c r="J2441" i="1"/>
  <c r="C2441" i="1"/>
  <c r="B2441" i="1"/>
  <c r="J2440" i="1"/>
  <c r="C2440" i="1"/>
  <c r="B2440" i="1"/>
  <c r="J2439" i="1"/>
  <c r="C2439" i="1"/>
  <c r="B2439" i="1"/>
  <c r="J2438" i="1"/>
  <c r="C2438" i="1"/>
  <c r="B2438" i="1"/>
  <c r="J2437" i="1"/>
  <c r="C2437" i="1"/>
  <c r="B2437" i="1"/>
  <c r="J2436" i="1"/>
  <c r="C2436" i="1"/>
  <c r="B2436" i="1"/>
  <c r="J2435" i="1"/>
  <c r="C2435" i="1"/>
  <c r="B2435" i="1"/>
  <c r="J2434" i="1"/>
  <c r="C2434" i="1"/>
  <c r="B2434" i="1"/>
  <c r="J2433" i="1"/>
  <c r="C2433" i="1"/>
  <c r="B2433" i="1"/>
  <c r="J2432" i="1"/>
  <c r="C2432" i="1"/>
  <c r="B2432" i="1"/>
  <c r="J2431" i="1"/>
  <c r="C2431" i="1"/>
  <c r="B2431" i="1"/>
  <c r="J2430" i="1"/>
  <c r="C2430" i="1"/>
  <c r="B2430" i="1"/>
  <c r="J2429" i="1"/>
  <c r="C2429" i="1"/>
  <c r="B2429" i="1"/>
  <c r="J2428" i="1"/>
  <c r="C2428" i="1"/>
  <c r="B2428" i="1"/>
  <c r="J2427" i="1"/>
  <c r="C2427" i="1"/>
  <c r="B2427" i="1"/>
  <c r="J2426" i="1"/>
  <c r="C2426" i="1"/>
  <c r="B2426" i="1"/>
  <c r="J2425" i="1"/>
  <c r="C2425" i="1"/>
  <c r="B2425" i="1"/>
  <c r="J2424" i="1"/>
  <c r="C2424" i="1"/>
  <c r="B2424" i="1"/>
  <c r="J2423" i="1"/>
  <c r="C2423" i="1"/>
  <c r="B2423" i="1"/>
  <c r="J2422" i="1"/>
  <c r="C2422" i="1"/>
  <c r="B2422" i="1"/>
  <c r="J2421" i="1"/>
  <c r="C2421" i="1"/>
  <c r="B2421" i="1"/>
  <c r="J2420" i="1"/>
  <c r="C2420" i="1"/>
  <c r="B2420" i="1"/>
  <c r="J2419" i="1"/>
  <c r="C2419" i="1"/>
  <c r="B2419" i="1"/>
  <c r="J2418" i="1"/>
  <c r="C2418" i="1"/>
  <c r="B2418" i="1"/>
  <c r="J2417" i="1"/>
  <c r="C2417" i="1"/>
  <c r="B2417" i="1"/>
  <c r="J2416" i="1"/>
  <c r="C2416" i="1"/>
  <c r="B2416" i="1"/>
  <c r="J2415" i="1"/>
  <c r="C2415" i="1"/>
  <c r="B2415" i="1"/>
  <c r="J2414" i="1"/>
  <c r="C2414" i="1"/>
  <c r="B2414" i="1"/>
  <c r="J2413" i="1"/>
  <c r="C2413" i="1"/>
  <c r="B2413" i="1"/>
  <c r="J2412" i="1"/>
  <c r="C2412" i="1"/>
  <c r="B2412" i="1"/>
  <c r="J2411" i="1"/>
  <c r="C2411" i="1"/>
  <c r="B2411" i="1"/>
  <c r="J2410" i="1"/>
  <c r="C2410" i="1"/>
  <c r="B2410" i="1"/>
  <c r="J2409" i="1"/>
  <c r="C2409" i="1"/>
  <c r="B2409" i="1"/>
  <c r="J2408" i="1"/>
  <c r="C2408" i="1"/>
  <c r="B2408" i="1"/>
  <c r="J2407" i="1"/>
  <c r="C2407" i="1"/>
  <c r="B2407" i="1"/>
  <c r="J2406" i="1"/>
  <c r="C2406" i="1"/>
  <c r="B2406" i="1"/>
  <c r="J2405" i="1"/>
  <c r="C2405" i="1"/>
  <c r="B2405" i="1"/>
  <c r="J2404" i="1"/>
  <c r="C2404" i="1"/>
  <c r="B2404" i="1"/>
  <c r="J2403" i="1"/>
  <c r="C2403" i="1"/>
  <c r="B2403" i="1"/>
  <c r="J2402" i="1"/>
  <c r="C2402" i="1"/>
  <c r="B2402" i="1"/>
  <c r="J2401" i="1"/>
  <c r="C2401" i="1"/>
  <c r="B2401" i="1"/>
  <c r="J2400" i="1"/>
  <c r="C2400" i="1"/>
  <c r="B2400" i="1"/>
  <c r="J2399" i="1"/>
  <c r="C2399" i="1"/>
  <c r="B2399" i="1"/>
  <c r="J2398" i="1"/>
  <c r="C2398" i="1"/>
  <c r="B2398" i="1"/>
  <c r="J2397" i="1"/>
  <c r="C2397" i="1"/>
  <c r="B2397" i="1"/>
  <c r="J2396" i="1"/>
  <c r="C2396" i="1"/>
  <c r="B2396" i="1"/>
  <c r="J2395" i="1"/>
  <c r="C2395" i="1"/>
  <c r="B2395" i="1"/>
  <c r="J2394" i="1"/>
  <c r="C2394" i="1"/>
  <c r="B2394" i="1"/>
  <c r="J2393" i="1"/>
  <c r="C2393" i="1"/>
  <c r="B2393" i="1"/>
  <c r="J2392" i="1"/>
  <c r="C2392" i="1"/>
  <c r="B2392" i="1"/>
  <c r="J2391" i="1"/>
  <c r="C2391" i="1"/>
  <c r="B2391" i="1"/>
  <c r="J2390" i="1"/>
  <c r="C2390" i="1"/>
  <c r="B2390" i="1"/>
  <c r="J2389" i="1"/>
  <c r="C2389" i="1"/>
  <c r="B2389" i="1"/>
  <c r="J2388" i="1"/>
  <c r="C2388" i="1"/>
  <c r="B2388" i="1"/>
  <c r="J2387" i="1"/>
  <c r="C2387" i="1"/>
  <c r="B2387" i="1"/>
  <c r="J2386" i="1"/>
  <c r="C2386" i="1"/>
  <c r="B2386" i="1"/>
  <c r="J2385" i="1"/>
  <c r="C2385" i="1"/>
  <c r="B2385" i="1"/>
  <c r="J2384" i="1"/>
  <c r="C2384" i="1"/>
  <c r="B2384" i="1"/>
  <c r="J2383" i="1"/>
  <c r="C2383" i="1"/>
  <c r="B2383" i="1"/>
  <c r="J2382" i="1"/>
  <c r="C2382" i="1"/>
  <c r="B2382" i="1"/>
  <c r="J2381" i="1"/>
  <c r="C2381" i="1"/>
  <c r="B2381" i="1"/>
  <c r="J2380" i="1"/>
  <c r="C2380" i="1"/>
  <c r="B2380" i="1"/>
  <c r="J2379" i="1"/>
  <c r="C2379" i="1"/>
  <c r="B2379" i="1"/>
  <c r="J2378" i="1"/>
  <c r="C2378" i="1"/>
  <c r="B2378" i="1"/>
  <c r="J2377" i="1"/>
  <c r="C2377" i="1"/>
  <c r="B2377" i="1"/>
  <c r="J2376" i="1"/>
  <c r="C2376" i="1"/>
  <c r="B2376" i="1"/>
  <c r="J2375" i="1"/>
  <c r="C2375" i="1"/>
  <c r="B2375" i="1"/>
  <c r="J2374" i="1"/>
  <c r="C2374" i="1"/>
  <c r="B2374" i="1"/>
  <c r="J2373" i="1"/>
  <c r="C2373" i="1"/>
  <c r="B2373" i="1"/>
  <c r="J2372" i="1"/>
  <c r="C2372" i="1"/>
  <c r="B2372" i="1"/>
  <c r="J2371" i="1"/>
  <c r="C2371" i="1"/>
  <c r="B2371" i="1"/>
  <c r="J2370" i="1"/>
  <c r="C2370" i="1"/>
  <c r="B2370" i="1"/>
  <c r="J2369" i="1"/>
  <c r="C2369" i="1"/>
  <c r="B2369" i="1"/>
  <c r="J2368" i="1"/>
  <c r="C2368" i="1"/>
  <c r="B2368" i="1"/>
  <c r="J2367" i="1"/>
  <c r="C2367" i="1"/>
  <c r="B2367" i="1"/>
  <c r="J2366" i="1"/>
  <c r="C2366" i="1"/>
  <c r="B2366" i="1"/>
  <c r="J2365" i="1"/>
  <c r="C2365" i="1"/>
  <c r="B2365" i="1"/>
  <c r="J2364" i="1"/>
  <c r="C2364" i="1"/>
  <c r="B2364" i="1"/>
  <c r="J2363" i="1"/>
  <c r="C2363" i="1"/>
  <c r="B2363" i="1"/>
  <c r="J2362" i="1"/>
  <c r="C2362" i="1"/>
  <c r="B2362" i="1"/>
  <c r="J2361" i="1"/>
  <c r="C2361" i="1"/>
  <c r="B2361" i="1"/>
  <c r="J2360" i="1"/>
  <c r="C2360" i="1"/>
  <c r="B2360" i="1"/>
  <c r="J2359" i="1"/>
  <c r="C2359" i="1"/>
  <c r="B2359" i="1"/>
  <c r="J2358" i="1"/>
  <c r="C2358" i="1"/>
  <c r="B2358" i="1"/>
  <c r="J2357" i="1"/>
  <c r="C2357" i="1"/>
  <c r="B2357" i="1"/>
  <c r="J2356" i="1"/>
  <c r="C2356" i="1"/>
  <c r="B2356" i="1"/>
  <c r="J2355" i="1"/>
  <c r="C2355" i="1"/>
  <c r="B2355" i="1"/>
  <c r="J2354" i="1"/>
  <c r="C2354" i="1"/>
  <c r="B2354" i="1"/>
  <c r="J2353" i="1"/>
  <c r="C2353" i="1"/>
  <c r="B2353" i="1"/>
  <c r="J2352" i="1"/>
  <c r="C2352" i="1"/>
  <c r="B2352" i="1"/>
  <c r="J2351" i="1"/>
  <c r="C2351" i="1"/>
  <c r="B2351" i="1"/>
  <c r="J2350" i="1"/>
  <c r="C2350" i="1"/>
  <c r="B2350" i="1"/>
  <c r="J2349" i="1"/>
  <c r="C2349" i="1"/>
  <c r="B2349" i="1"/>
  <c r="J2348" i="1"/>
  <c r="C2348" i="1"/>
  <c r="B2348" i="1"/>
  <c r="J2347" i="1"/>
  <c r="C2347" i="1"/>
  <c r="B2347" i="1"/>
  <c r="J2346" i="1"/>
  <c r="C2346" i="1"/>
  <c r="B2346" i="1"/>
  <c r="J2345" i="1"/>
  <c r="C2345" i="1"/>
  <c r="B2345" i="1"/>
  <c r="J2344" i="1"/>
  <c r="C2344" i="1"/>
  <c r="B2344" i="1"/>
  <c r="J2343" i="1"/>
  <c r="C2343" i="1"/>
  <c r="B2343" i="1"/>
  <c r="J2342" i="1"/>
  <c r="C2342" i="1"/>
  <c r="B2342" i="1"/>
  <c r="J2341" i="1"/>
  <c r="C2341" i="1"/>
  <c r="B2341" i="1"/>
  <c r="J2340" i="1"/>
  <c r="C2340" i="1"/>
  <c r="B2340" i="1"/>
  <c r="J2339" i="1"/>
  <c r="C2339" i="1"/>
  <c r="B2339" i="1"/>
  <c r="J2338" i="1"/>
  <c r="C2338" i="1"/>
  <c r="B2338" i="1"/>
  <c r="J2337" i="1"/>
  <c r="C2337" i="1"/>
  <c r="B2337" i="1"/>
  <c r="J2336" i="1"/>
  <c r="C2336" i="1"/>
  <c r="B2336" i="1"/>
  <c r="J2335" i="1"/>
  <c r="C2335" i="1"/>
  <c r="B2335" i="1"/>
  <c r="J2334" i="1"/>
  <c r="C2334" i="1"/>
  <c r="B2334" i="1"/>
  <c r="J2333" i="1"/>
  <c r="C2333" i="1"/>
  <c r="B2333" i="1"/>
  <c r="J2332" i="1"/>
  <c r="C2332" i="1"/>
  <c r="B2332" i="1"/>
  <c r="J2331" i="1"/>
  <c r="C2331" i="1"/>
  <c r="B2331" i="1"/>
  <c r="J2330" i="1"/>
  <c r="C2330" i="1"/>
  <c r="B2330" i="1"/>
  <c r="J2329" i="1"/>
  <c r="C2329" i="1"/>
  <c r="B2329" i="1"/>
  <c r="J2328" i="1"/>
  <c r="C2328" i="1"/>
  <c r="B2328" i="1"/>
  <c r="J2327" i="1"/>
  <c r="C2327" i="1"/>
  <c r="B2327" i="1"/>
  <c r="J2326" i="1"/>
  <c r="C2326" i="1"/>
  <c r="B2326" i="1"/>
  <c r="J2325" i="1"/>
  <c r="C2325" i="1"/>
  <c r="B2325" i="1"/>
  <c r="J2324" i="1"/>
  <c r="C2324" i="1"/>
  <c r="B2324" i="1"/>
  <c r="J2323" i="1"/>
  <c r="C2323" i="1"/>
  <c r="B2323" i="1"/>
  <c r="J2322" i="1"/>
  <c r="C2322" i="1"/>
  <c r="B2322" i="1"/>
  <c r="J2321" i="1"/>
  <c r="C2321" i="1"/>
  <c r="B2321" i="1"/>
  <c r="J2320" i="1"/>
  <c r="C2320" i="1"/>
  <c r="B2320" i="1"/>
  <c r="J2319" i="1"/>
  <c r="C2319" i="1"/>
  <c r="B2319" i="1"/>
  <c r="J2318" i="1"/>
  <c r="C2318" i="1"/>
  <c r="B2318" i="1"/>
  <c r="J2317" i="1"/>
  <c r="C2317" i="1"/>
  <c r="B2317" i="1"/>
  <c r="J2316" i="1"/>
  <c r="C2316" i="1"/>
  <c r="B2316" i="1"/>
  <c r="J2315" i="1"/>
  <c r="C2315" i="1"/>
  <c r="B2315" i="1"/>
  <c r="J2314" i="1"/>
  <c r="C2314" i="1"/>
  <c r="B2314" i="1"/>
  <c r="J2313" i="1"/>
  <c r="C2313" i="1"/>
  <c r="B2313" i="1"/>
  <c r="J2312" i="1"/>
  <c r="C2312" i="1"/>
  <c r="B2312" i="1"/>
  <c r="J2311" i="1"/>
  <c r="C2311" i="1"/>
  <c r="B2311" i="1"/>
  <c r="J2310" i="1"/>
  <c r="C2310" i="1"/>
  <c r="B2310" i="1"/>
  <c r="J2309" i="1"/>
  <c r="C2309" i="1"/>
  <c r="B2309" i="1"/>
  <c r="J2308" i="1"/>
  <c r="C2308" i="1"/>
  <c r="B2308" i="1"/>
  <c r="J2307" i="1"/>
  <c r="C2307" i="1"/>
  <c r="B2307" i="1"/>
  <c r="J2306" i="1"/>
  <c r="C2306" i="1"/>
  <c r="B2306" i="1"/>
  <c r="J2305" i="1"/>
  <c r="C2305" i="1"/>
  <c r="B2305" i="1"/>
  <c r="J2304" i="1"/>
  <c r="C2304" i="1"/>
  <c r="B2304" i="1"/>
  <c r="J2303" i="1"/>
  <c r="C2303" i="1"/>
  <c r="B2303" i="1"/>
  <c r="J2302" i="1"/>
  <c r="C2302" i="1"/>
  <c r="B2302" i="1"/>
  <c r="J2301" i="1"/>
  <c r="C2301" i="1"/>
  <c r="B2301" i="1"/>
  <c r="J2300" i="1"/>
  <c r="C2300" i="1"/>
  <c r="B2300" i="1"/>
  <c r="J2299" i="1"/>
  <c r="C2299" i="1"/>
  <c r="B2299" i="1"/>
  <c r="J2298" i="1"/>
  <c r="C2298" i="1"/>
  <c r="B2298" i="1"/>
  <c r="J2297" i="1"/>
  <c r="C2297" i="1"/>
  <c r="B2297" i="1"/>
  <c r="J2296" i="1"/>
  <c r="C2296" i="1"/>
  <c r="B2296" i="1"/>
  <c r="J2295" i="1"/>
  <c r="C2295" i="1"/>
  <c r="B2295" i="1"/>
  <c r="J2294" i="1"/>
  <c r="C2294" i="1"/>
  <c r="B2294" i="1"/>
  <c r="J2293" i="1"/>
  <c r="C2293" i="1"/>
  <c r="B2293" i="1"/>
  <c r="J2292" i="1"/>
  <c r="C2292" i="1"/>
  <c r="B2292" i="1"/>
  <c r="J2291" i="1"/>
  <c r="C2291" i="1"/>
  <c r="B2291" i="1"/>
  <c r="J2290" i="1"/>
  <c r="C2290" i="1"/>
  <c r="B2290" i="1"/>
  <c r="J2289" i="1"/>
  <c r="C2289" i="1"/>
  <c r="B2289" i="1"/>
  <c r="J2288" i="1"/>
  <c r="C2288" i="1"/>
  <c r="B2288" i="1"/>
  <c r="J2287" i="1"/>
  <c r="C2287" i="1"/>
  <c r="B2287" i="1"/>
  <c r="J2286" i="1"/>
  <c r="C2286" i="1"/>
  <c r="B2286" i="1"/>
  <c r="J2285" i="1"/>
  <c r="C2285" i="1"/>
  <c r="B2285" i="1"/>
  <c r="J2284" i="1"/>
  <c r="C2284" i="1"/>
  <c r="B2284" i="1"/>
  <c r="J2283" i="1"/>
  <c r="C2283" i="1"/>
  <c r="B2283" i="1"/>
  <c r="J2282" i="1"/>
  <c r="C2282" i="1"/>
  <c r="B2282" i="1"/>
  <c r="J2281" i="1"/>
  <c r="C2281" i="1"/>
  <c r="B2281" i="1"/>
  <c r="J2280" i="1"/>
  <c r="C2280" i="1"/>
  <c r="B2280" i="1"/>
  <c r="J2279" i="1"/>
  <c r="C2279" i="1"/>
  <c r="B2279" i="1"/>
  <c r="J2278" i="1"/>
  <c r="C2278" i="1"/>
  <c r="B2278" i="1"/>
  <c r="J2277" i="1"/>
  <c r="C2277" i="1"/>
  <c r="B2277" i="1"/>
  <c r="J2276" i="1"/>
  <c r="C2276" i="1"/>
  <c r="B2276" i="1"/>
  <c r="J2275" i="1"/>
  <c r="C2275" i="1"/>
  <c r="B2275" i="1"/>
  <c r="J2274" i="1"/>
  <c r="C2274" i="1"/>
  <c r="B2274" i="1"/>
  <c r="J2273" i="1"/>
  <c r="C2273" i="1"/>
  <c r="B2273" i="1"/>
  <c r="J2272" i="1"/>
  <c r="C2272" i="1"/>
  <c r="B2272" i="1"/>
  <c r="J2271" i="1"/>
  <c r="C2271" i="1"/>
  <c r="B2271" i="1"/>
  <c r="J2270" i="1"/>
  <c r="C2270" i="1"/>
  <c r="B2270" i="1"/>
  <c r="J2269" i="1"/>
  <c r="C2269" i="1"/>
  <c r="B2269" i="1"/>
  <c r="J2268" i="1"/>
  <c r="C2268" i="1"/>
  <c r="B2268" i="1"/>
  <c r="J2267" i="1"/>
  <c r="C2267" i="1"/>
  <c r="B2267" i="1"/>
  <c r="J2266" i="1"/>
  <c r="C2266" i="1"/>
  <c r="B2266" i="1"/>
  <c r="J2265" i="1"/>
  <c r="C2265" i="1"/>
  <c r="B2265" i="1"/>
  <c r="J2264" i="1"/>
  <c r="C2264" i="1"/>
  <c r="B2264" i="1"/>
  <c r="J2263" i="1"/>
  <c r="C2263" i="1"/>
  <c r="B2263" i="1"/>
  <c r="J2262" i="1"/>
  <c r="C2262" i="1"/>
  <c r="B2262" i="1"/>
  <c r="J2261" i="1"/>
  <c r="C2261" i="1"/>
  <c r="B2261" i="1"/>
  <c r="J2260" i="1"/>
  <c r="C2260" i="1"/>
  <c r="B2260" i="1"/>
  <c r="J2259" i="1"/>
  <c r="C2259" i="1"/>
  <c r="B2259" i="1"/>
  <c r="J2258" i="1"/>
  <c r="C2258" i="1"/>
  <c r="B2258" i="1"/>
  <c r="J2257" i="1"/>
  <c r="C2257" i="1"/>
  <c r="B2257" i="1"/>
  <c r="J2256" i="1"/>
  <c r="C2256" i="1"/>
  <c r="B2256" i="1"/>
  <c r="J2255" i="1"/>
  <c r="C2255" i="1"/>
  <c r="B2255" i="1"/>
  <c r="J2254" i="1"/>
  <c r="C2254" i="1"/>
  <c r="B2254" i="1"/>
  <c r="J2253" i="1"/>
  <c r="C2253" i="1"/>
  <c r="B2253" i="1"/>
  <c r="J2252" i="1"/>
  <c r="C2252" i="1"/>
  <c r="B2252" i="1"/>
  <c r="J2251" i="1"/>
  <c r="C2251" i="1"/>
  <c r="B2251" i="1"/>
  <c r="J2250" i="1"/>
  <c r="C2250" i="1"/>
  <c r="B2250" i="1"/>
  <c r="J2249" i="1"/>
  <c r="C2249" i="1"/>
  <c r="B2249" i="1"/>
  <c r="J2248" i="1"/>
  <c r="C2248" i="1"/>
  <c r="B2248" i="1"/>
  <c r="J2247" i="1"/>
  <c r="C2247" i="1"/>
  <c r="B2247" i="1"/>
  <c r="J2246" i="1"/>
  <c r="C2246" i="1"/>
  <c r="B2246" i="1"/>
  <c r="J2245" i="1"/>
  <c r="C2245" i="1"/>
  <c r="B2245" i="1"/>
  <c r="J2244" i="1"/>
  <c r="C2244" i="1"/>
  <c r="B2244" i="1"/>
  <c r="J2243" i="1"/>
  <c r="C2243" i="1"/>
  <c r="B2243" i="1"/>
  <c r="J2242" i="1"/>
  <c r="C2242" i="1"/>
  <c r="B2242" i="1"/>
  <c r="J2241" i="1"/>
  <c r="C2241" i="1"/>
  <c r="B2241" i="1"/>
  <c r="J2240" i="1"/>
  <c r="C2240" i="1"/>
  <c r="B2240" i="1"/>
  <c r="J2239" i="1"/>
  <c r="C2239" i="1"/>
  <c r="B2239" i="1"/>
  <c r="J2238" i="1"/>
  <c r="C2238" i="1"/>
  <c r="B2238" i="1"/>
  <c r="J2237" i="1"/>
  <c r="C2237" i="1"/>
  <c r="B2237" i="1"/>
  <c r="J2236" i="1"/>
  <c r="C2236" i="1"/>
  <c r="B2236" i="1"/>
  <c r="J2235" i="1"/>
  <c r="C2235" i="1"/>
  <c r="B2235" i="1"/>
  <c r="J2234" i="1"/>
  <c r="C2234" i="1"/>
  <c r="B2234" i="1"/>
  <c r="J2233" i="1"/>
  <c r="C2233" i="1"/>
  <c r="B2233" i="1"/>
  <c r="J2232" i="1"/>
  <c r="C2232" i="1"/>
  <c r="B2232" i="1"/>
  <c r="J2231" i="1"/>
  <c r="C2231" i="1"/>
  <c r="B2231" i="1"/>
  <c r="J2230" i="1"/>
  <c r="C2230" i="1"/>
  <c r="B2230" i="1"/>
  <c r="J2229" i="1"/>
  <c r="C2229" i="1"/>
  <c r="B2229" i="1"/>
  <c r="J2228" i="1"/>
  <c r="C2228" i="1"/>
  <c r="B2228" i="1"/>
  <c r="J2227" i="1"/>
  <c r="C2227" i="1"/>
  <c r="B2227" i="1"/>
  <c r="J2226" i="1"/>
  <c r="C2226" i="1"/>
  <c r="B2226" i="1"/>
  <c r="J2225" i="1"/>
  <c r="C2225" i="1"/>
  <c r="B2225" i="1"/>
  <c r="J2224" i="1"/>
  <c r="C2224" i="1"/>
  <c r="B2224" i="1"/>
  <c r="J2223" i="1"/>
  <c r="C2223" i="1"/>
  <c r="B2223" i="1"/>
  <c r="J2222" i="1"/>
  <c r="C2222" i="1"/>
  <c r="B2222" i="1"/>
  <c r="J2221" i="1"/>
  <c r="C2221" i="1"/>
  <c r="B2221" i="1"/>
  <c r="J2220" i="1"/>
  <c r="C2220" i="1"/>
  <c r="B2220" i="1"/>
  <c r="J2219" i="1"/>
  <c r="C2219" i="1"/>
  <c r="B2219" i="1"/>
  <c r="J2218" i="1"/>
  <c r="C2218" i="1"/>
  <c r="B2218" i="1"/>
  <c r="J2217" i="1"/>
  <c r="C2217" i="1"/>
  <c r="B2217" i="1"/>
  <c r="J2216" i="1"/>
  <c r="C2216" i="1"/>
  <c r="B2216" i="1"/>
  <c r="J2215" i="1"/>
  <c r="C2215" i="1"/>
  <c r="B2215" i="1"/>
  <c r="J2214" i="1"/>
  <c r="C2214" i="1"/>
  <c r="B2214" i="1"/>
  <c r="J2213" i="1"/>
  <c r="C2213" i="1"/>
  <c r="B2213" i="1"/>
  <c r="J2212" i="1"/>
  <c r="C2212" i="1"/>
  <c r="B2212" i="1"/>
  <c r="J2211" i="1"/>
  <c r="C2211" i="1"/>
  <c r="B2211" i="1"/>
  <c r="J2210" i="1"/>
  <c r="C2210" i="1"/>
  <c r="B2210" i="1"/>
  <c r="J2209" i="1"/>
  <c r="C2209" i="1"/>
  <c r="B2209" i="1"/>
  <c r="J2208" i="1"/>
  <c r="C2208" i="1"/>
  <c r="B2208" i="1"/>
  <c r="J2207" i="1"/>
  <c r="C2207" i="1"/>
  <c r="B2207" i="1"/>
  <c r="J2206" i="1"/>
  <c r="C2206" i="1"/>
  <c r="B2206" i="1"/>
  <c r="J2205" i="1"/>
  <c r="C2205" i="1"/>
  <c r="B2205" i="1"/>
  <c r="J2204" i="1"/>
  <c r="C2204" i="1"/>
  <c r="B2204" i="1"/>
  <c r="J2203" i="1"/>
  <c r="C2203" i="1"/>
  <c r="B2203" i="1"/>
  <c r="J2202" i="1"/>
  <c r="C2202" i="1"/>
  <c r="B2202" i="1"/>
  <c r="J2201" i="1"/>
  <c r="C2201" i="1"/>
  <c r="B2201" i="1"/>
  <c r="J2200" i="1"/>
  <c r="C2200" i="1"/>
  <c r="B2200" i="1"/>
  <c r="J2199" i="1"/>
  <c r="C2199" i="1"/>
  <c r="B2199" i="1"/>
  <c r="J2198" i="1"/>
  <c r="C2198" i="1"/>
  <c r="B2198" i="1"/>
  <c r="J2197" i="1"/>
  <c r="C2197" i="1"/>
  <c r="B2197" i="1"/>
  <c r="J2196" i="1"/>
  <c r="C2196" i="1"/>
  <c r="B2196" i="1"/>
  <c r="J2195" i="1"/>
  <c r="C2195" i="1"/>
  <c r="B2195" i="1"/>
  <c r="J2194" i="1"/>
  <c r="C2194" i="1"/>
  <c r="B2194" i="1"/>
  <c r="J2193" i="1"/>
  <c r="C2193" i="1"/>
  <c r="B2193" i="1"/>
  <c r="J2192" i="1"/>
  <c r="C2192" i="1"/>
  <c r="B2192" i="1"/>
  <c r="J2191" i="1"/>
  <c r="C2191" i="1"/>
  <c r="B2191" i="1"/>
  <c r="J2190" i="1"/>
  <c r="C2190" i="1"/>
  <c r="B2190" i="1"/>
  <c r="J2189" i="1"/>
  <c r="C2189" i="1"/>
  <c r="B2189" i="1"/>
  <c r="J2188" i="1"/>
  <c r="C2188" i="1"/>
  <c r="B2188" i="1"/>
  <c r="J2187" i="1"/>
  <c r="C2187" i="1"/>
  <c r="B2187" i="1"/>
  <c r="J2186" i="1"/>
  <c r="C2186" i="1"/>
  <c r="B2186" i="1"/>
  <c r="J2185" i="1"/>
  <c r="C2185" i="1"/>
  <c r="B2185" i="1"/>
  <c r="J2184" i="1"/>
  <c r="C2184" i="1"/>
  <c r="B2184" i="1"/>
  <c r="J2183" i="1"/>
  <c r="C2183" i="1"/>
  <c r="B2183" i="1"/>
  <c r="J2182" i="1"/>
  <c r="C2182" i="1"/>
  <c r="B2182" i="1"/>
  <c r="J2181" i="1"/>
  <c r="C2181" i="1"/>
  <c r="B2181" i="1"/>
  <c r="J2180" i="1"/>
  <c r="C2180" i="1"/>
  <c r="B2180" i="1"/>
  <c r="J2179" i="1"/>
  <c r="C2179" i="1"/>
  <c r="B2179" i="1"/>
  <c r="J2178" i="1"/>
  <c r="C2178" i="1"/>
  <c r="B2178" i="1"/>
  <c r="J2177" i="1"/>
  <c r="C2177" i="1"/>
  <c r="B2177" i="1"/>
  <c r="J2176" i="1"/>
  <c r="C2176" i="1"/>
  <c r="B2176" i="1"/>
  <c r="J2175" i="1"/>
  <c r="C2175" i="1"/>
  <c r="B2175" i="1"/>
  <c r="J2174" i="1"/>
  <c r="C2174" i="1"/>
  <c r="B2174" i="1"/>
  <c r="J2173" i="1"/>
  <c r="C2173" i="1"/>
  <c r="B2173" i="1"/>
  <c r="J2172" i="1"/>
  <c r="C2172" i="1"/>
  <c r="B2172" i="1"/>
  <c r="J2171" i="1"/>
  <c r="C2171" i="1"/>
  <c r="B2171" i="1"/>
  <c r="J2170" i="1"/>
  <c r="C2170" i="1"/>
  <c r="B2170" i="1"/>
  <c r="J2169" i="1"/>
  <c r="C2169" i="1"/>
  <c r="B2169" i="1"/>
  <c r="J2168" i="1"/>
  <c r="C2168" i="1"/>
  <c r="B2168" i="1"/>
  <c r="J2167" i="1"/>
  <c r="C2167" i="1"/>
  <c r="B2167" i="1"/>
  <c r="J2166" i="1"/>
  <c r="C2166" i="1"/>
  <c r="B2166" i="1"/>
  <c r="J2165" i="1"/>
  <c r="C2165" i="1"/>
  <c r="B2165" i="1"/>
  <c r="J2164" i="1"/>
  <c r="C2164" i="1"/>
  <c r="B2164" i="1"/>
  <c r="J2163" i="1"/>
  <c r="C2163" i="1"/>
  <c r="B2163" i="1"/>
  <c r="J2162" i="1"/>
  <c r="C2162" i="1"/>
  <c r="B2162" i="1"/>
  <c r="J2161" i="1"/>
  <c r="C2161" i="1"/>
  <c r="B2161" i="1"/>
  <c r="J2160" i="1"/>
  <c r="C2160" i="1"/>
  <c r="B2160" i="1"/>
  <c r="J2159" i="1"/>
  <c r="C2159" i="1"/>
  <c r="B2159" i="1"/>
  <c r="J2158" i="1"/>
  <c r="C2158" i="1"/>
  <c r="B2158" i="1"/>
  <c r="J2157" i="1"/>
  <c r="C2157" i="1"/>
  <c r="B2157" i="1"/>
  <c r="J2156" i="1"/>
  <c r="C2156" i="1"/>
  <c r="B2156" i="1"/>
  <c r="J2155" i="1"/>
  <c r="C2155" i="1"/>
  <c r="B2155" i="1"/>
  <c r="J2154" i="1"/>
  <c r="C2154" i="1"/>
  <c r="B2154" i="1"/>
  <c r="J2153" i="1"/>
  <c r="C2153" i="1"/>
  <c r="B2153" i="1"/>
  <c r="J2152" i="1"/>
  <c r="C2152" i="1"/>
  <c r="B2152" i="1"/>
  <c r="J2151" i="1"/>
  <c r="C2151" i="1"/>
  <c r="B2151" i="1"/>
  <c r="J2150" i="1"/>
  <c r="C2150" i="1"/>
  <c r="B2150" i="1"/>
  <c r="J2149" i="1"/>
  <c r="C2149" i="1"/>
  <c r="B2149" i="1"/>
  <c r="J2148" i="1"/>
  <c r="C2148" i="1"/>
  <c r="B2148" i="1"/>
  <c r="J2147" i="1"/>
  <c r="C2147" i="1"/>
  <c r="B2147" i="1"/>
  <c r="J2146" i="1"/>
  <c r="C2146" i="1"/>
  <c r="B2146" i="1"/>
  <c r="J2145" i="1"/>
  <c r="C2145" i="1"/>
  <c r="B2145" i="1"/>
  <c r="J2144" i="1"/>
  <c r="C2144" i="1"/>
  <c r="B2144" i="1"/>
  <c r="J2143" i="1"/>
  <c r="C2143" i="1"/>
  <c r="B2143" i="1"/>
  <c r="J2142" i="1"/>
  <c r="C2142" i="1"/>
  <c r="B2142" i="1"/>
  <c r="J2141" i="1"/>
  <c r="C2141" i="1"/>
  <c r="B2141" i="1"/>
  <c r="J2140" i="1"/>
  <c r="C2140" i="1"/>
  <c r="B2140" i="1"/>
  <c r="J2139" i="1"/>
  <c r="C2139" i="1"/>
  <c r="B2139" i="1"/>
  <c r="J2138" i="1"/>
  <c r="C2138" i="1"/>
  <c r="B2138" i="1"/>
  <c r="J2137" i="1"/>
  <c r="C2137" i="1"/>
  <c r="B2137" i="1"/>
  <c r="J2136" i="1"/>
  <c r="C2136" i="1"/>
  <c r="B2136" i="1"/>
  <c r="J2135" i="1"/>
  <c r="C2135" i="1"/>
  <c r="B2135" i="1"/>
  <c r="J2134" i="1"/>
  <c r="C2134" i="1"/>
  <c r="B2134" i="1"/>
  <c r="J2133" i="1"/>
  <c r="C2133" i="1"/>
  <c r="B2133" i="1"/>
  <c r="J2132" i="1"/>
  <c r="C2132" i="1"/>
  <c r="B2132" i="1"/>
  <c r="J2131" i="1"/>
  <c r="C2131" i="1"/>
  <c r="B2131" i="1"/>
  <c r="J2130" i="1"/>
  <c r="C2130" i="1"/>
  <c r="B2130" i="1"/>
  <c r="J2129" i="1"/>
  <c r="C2129" i="1"/>
  <c r="B2129" i="1"/>
  <c r="J2128" i="1"/>
  <c r="C2128" i="1"/>
  <c r="B2128" i="1"/>
  <c r="J2127" i="1"/>
  <c r="C2127" i="1"/>
  <c r="B2127" i="1"/>
  <c r="J2126" i="1"/>
  <c r="C2126" i="1"/>
  <c r="B2126" i="1"/>
  <c r="J2125" i="1"/>
  <c r="C2125" i="1"/>
  <c r="B2125" i="1"/>
  <c r="J2124" i="1"/>
  <c r="C2124" i="1"/>
  <c r="B2124" i="1"/>
  <c r="J2123" i="1"/>
  <c r="C2123" i="1"/>
  <c r="B2123" i="1"/>
  <c r="J2122" i="1"/>
  <c r="C2122" i="1"/>
  <c r="B2122" i="1"/>
  <c r="J2121" i="1"/>
  <c r="C2121" i="1"/>
  <c r="B2121" i="1"/>
  <c r="J2120" i="1"/>
  <c r="C2120" i="1"/>
  <c r="B2120" i="1"/>
  <c r="J2119" i="1"/>
  <c r="C2119" i="1"/>
  <c r="B2119" i="1"/>
  <c r="J2118" i="1"/>
  <c r="C2118" i="1"/>
  <c r="B2118" i="1"/>
  <c r="J2117" i="1"/>
  <c r="C2117" i="1"/>
  <c r="B2117" i="1"/>
  <c r="J2116" i="1"/>
  <c r="C2116" i="1"/>
  <c r="B2116" i="1"/>
  <c r="J2115" i="1"/>
  <c r="C2115" i="1"/>
  <c r="B2115" i="1"/>
  <c r="J2114" i="1"/>
  <c r="C2114" i="1"/>
  <c r="B2114" i="1"/>
  <c r="J2113" i="1"/>
  <c r="C2113" i="1"/>
  <c r="B2113" i="1"/>
  <c r="J2112" i="1"/>
  <c r="C2112" i="1"/>
  <c r="B2112" i="1"/>
  <c r="J2111" i="1"/>
  <c r="C2111" i="1"/>
  <c r="B2111" i="1"/>
  <c r="J2110" i="1"/>
  <c r="C2110" i="1"/>
  <c r="B2110" i="1"/>
  <c r="J2109" i="1"/>
  <c r="C2109" i="1"/>
  <c r="B2109" i="1"/>
  <c r="J2108" i="1"/>
  <c r="C2108" i="1"/>
  <c r="B2108" i="1"/>
  <c r="J2107" i="1"/>
  <c r="C2107" i="1"/>
  <c r="B2107" i="1"/>
  <c r="J2106" i="1"/>
  <c r="C2106" i="1"/>
  <c r="B2106" i="1"/>
  <c r="J2105" i="1"/>
  <c r="C2105" i="1"/>
  <c r="B2105" i="1"/>
  <c r="J2104" i="1"/>
  <c r="C2104" i="1"/>
  <c r="B2104" i="1"/>
  <c r="J2103" i="1"/>
  <c r="C2103" i="1"/>
  <c r="B2103" i="1"/>
  <c r="J2102" i="1"/>
  <c r="C2102" i="1"/>
  <c r="B2102" i="1"/>
  <c r="J2101" i="1"/>
  <c r="C2101" i="1"/>
  <c r="B2101" i="1"/>
  <c r="J2100" i="1"/>
  <c r="C2100" i="1"/>
  <c r="B2100" i="1"/>
  <c r="J2099" i="1"/>
  <c r="C2099" i="1"/>
  <c r="B2099" i="1"/>
  <c r="J2098" i="1"/>
  <c r="C2098" i="1"/>
  <c r="B2098" i="1"/>
  <c r="J2097" i="1"/>
  <c r="C2097" i="1"/>
  <c r="B2097" i="1"/>
  <c r="J2096" i="1"/>
  <c r="C2096" i="1"/>
  <c r="B2096" i="1"/>
  <c r="J2095" i="1"/>
  <c r="C2095" i="1"/>
  <c r="B2095" i="1"/>
  <c r="J2094" i="1"/>
  <c r="C2094" i="1"/>
  <c r="B2094" i="1"/>
  <c r="J2093" i="1"/>
  <c r="C2093" i="1"/>
  <c r="B2093" i="1"/>
  <c r="J2092" i="1"/>
  <c r="C2092" i="1"/>
  <c r="B2092" i="1"/>
  <c r="J2091" i="1"/>
  <c r="C2091" i="1"/>
  <c r="B2091" i="1"/>
  <c r="J2090" i="1"/>
  <c r="C2090" i="1"/>
  <c r="B2090" i="1"/>
  <c r="J2089" i="1"/>
  <c r="C2089" i="1"/>
  <c r="B2089" i="1"/>
  <c r="J2088" i="1"/>
  <c r="C2088" i="1"/>
  <c r="B2088" i="1"/>
  <c r="J2087" i="1"/>
  <c r="C2087" i="1"/>
  <c r="B2087" i="1"/>
  <c r="J2086" i="1"/>
  <c r="C2086" i="1"/>
  <c r="B2086" i="1"/>
  <c r="J2085" i="1"/>
  <c r="C2085" i="1"/>
  <c r="B2085" i="1"/>
  <c r="J2084" i="1"/>
  <c r="C2084" i="1"/>
  <c r="B2084" i="1"/>
  <c r="J2083" i="1"/>
  <c r="C2083" i="1"/>
  <c r="B2083" i="1"/>
  <c r="J2082" i="1"/>
  <c r="C2082" i="1"/>
  <c r="B2082" i="1"/>
  <c r="J2081" i="1"/>
  <c r="C2081" i="1"/>
  <c r="B2081" i="1"/>
  <c r="J2080" i="1"/>
  <c r="C2080" i="1"/>
  <c r="B2080" i="1"/>
  <c r="J2079" i="1"/>
  <c r="C2079" i="1"/>
  <c r="B2079" i="1"/>
  <c r="J2078" i="1"/>
  <c r="C2078" i="1"/>
  <c r="B2078" i="1"/>
  <c r="J2077" i="1"/>
  <c r="C2077" i="1"/>
  <c r="B2077" i="1"/>
  <c r="J2076" i="1"/>
  <c r="C2076" i="1"/>
  <c r="B2076" i="1"/>
  <c r="J2075" i="1"/>
  <c r="C2075" i="1"/>
  <c r="B2075" i="1"/>
  <c r="J2074" i="1"/>
  <c r="C2074" i="1"/>
  <c r="B2074" i="1"/>
  <c r="J2073" i="1"/>
  <c r="C2073" i="1"/>
  <c r="B2073" i="1"/>
  <c r="J2072" i="1"/>
  <c r="C2072" i="1"/>
  <c r="B2072" i="1"/>
  <c r="J2071" i="1"/>
  <c r="C2071" i="1"/>
  <c r="B2071" i="1"/>
  <c r="J2070" i="1"/>
  <c r="C2070" i="1"/>
  <c r="B2070" i="1"/>
  <c r="J2069" i="1"/>
  <c r="C2069" i="1"/>
  <c r="B2069" i="1"/>
  <c r="J2068" i="1"/>
  <c r="C2068" i="1"/>
  <c r="B2068" i="1"/>
  <c r="J2067" i="1"/>
  <c r="C2067" i="1"/>
  <c r="B2067" i="1"/>
  <c r="J2066" i="1"/>
  <c r="C2066" i="1"/>
  <c r="B2066" i="1"/>
  <c r="J2065" i="1"/>
  <c r="C2065" i="1"/>
  <c r="B2065" i="1"/>
  <c r="J2064" i="1"/>
  <c r="C2064" i="1"/>
  <c r="B2064" i="1"/>
  <c r="J2063" i="1"/>
  <c r="C2063" i="1"/>
  <c r="B2063" i="1"/>
  <c r="J2062" i="1"/>
  <c r="C2062" i="1"/>
  <c r="B2062" i="1"/>
  <c r="J2061" i="1"/>
  <c r="C2061" i="1"/>
  <c r="B2061" i="1"/>
  <c r="J2060" i="1"/>
  <c r="C2060" i="1"/>
  <c r="B2060" i="1"/>
  <c r="J2059" i="1"/>
  <c r="C2059" i="1"/>
  <c r="B2059" i="1"/>
  <c r="J2058" i="1"/>
  <c r="C2058" i="1"/>
  <c r="B2058" i="1"/>
  <c r="J2057" i="1"/>
  <c r="C2057" i="1"/>
  <c r="B2057" i="1"/>
  <c r="J2056" i="1"/>
  <c r="C2056" i="1"/>
  <c r="B2056" i="1"/>
  <c r="J2055" i="1"/>
  <c r="C2055" i="1"/>
  <c r="B2055" i="1"/>
  <c r="J2054" i="1"/>
  <c r="C2054" i="1"/>
  <c r="B2054" i="1"/>
  <c r="J2053" i="1"/>
  <c r="C2053" i="1"/>
  <c r="B2053" i="1"/>
  <c r="J2052" i="1"/>
  <c r="C2052" i="1"/>
  <c r="B2052" i="1"/>
  <c r="J2051" i="1"/>
  <c r="C2051" i="1"/>
  <c r="B2051" i="1"/>
  <c r="J2050" i="1"/>
  <c r="C2050" i="1"/>
  <c r="B2050" i="1"/>
  <c r="J2049" i="1"/>
  <c r="C2049" i="1"/>
  <c r="B2049" i="1"/>
  <c r="J2048" i="1"/>
  <c r="C2048" i="1"/>
  <c r="B2048" i="1"/>
  <c r="J2047" i="1"/>
  <c r="C2047" i="1"/>
  <c r="B2047" i="1"/>
  <c r="J2046" i="1"/>
  <c r="C2046" i="1"/>
  <c r="B2046" i="1"/>
  <c r="J2045" i="1"/>
  <c r="C2045" i="1"/>
  <c r="B2045" i="1"/>
  <c r="J2044" i="1"/>
  <c r="C2044" i="1"/>
  <c r="B2044" i="1"/>
  <c r="J2043" i="1"/>
  <c r="C2043" i="1"/>
  <c r="B2043" i="1"/>
  <c r="J2042" i="1"/>
  <c r="C2042" i="1"/>
  <c r="B2042" i="1"/>
  <c r="J2041" i="1"/>
  <c r="C2041" i="1"/>
  <c r="B2041" i="1"/>
  <c r="J2040" i="1"/>
  <c r="C2040" i="1"/>
  <c r="B2040" i="1"/>
  <c r="J2039" i="1"/>
  <c r="C2039" i="1"/>
  <c r="B2039" i="1"/>
  <c r="J2038" i="1"/>
  <c r="C2038" i="1"/>
  <c r="B2038" i="1"/>
  <c r="J2037" i="1"/>
  <c r="C2037" i="1"/>
  <c r="B2037" i="1"/>
  <c r="J2036" i="1"/>
  <c r="C2036" i="1"/>
  <c r="B2036" i="1"/>
  <c r="J2035" i="1"/>
  <c r="C2035" i="1"/>
  <c r="B2035" i="1"/>
  <c r="J2034" i="1"/>
  <c r="C2034" i="1"/>
  <c r="B2034" i="1"/>
  <c r="J2033" i="1"/>
  <c r="C2033" i="1"/>
  <c r="B2033" i="1"/>
  <c r="J2032" i="1"/>
  <c r="C2032" i="1"/>
  <c r="B2032" i="1"/>
  <c r="J2031" i="1"/>
  <c r="C2031" i="1"/>
  <c r="B2031" i="1"/>
  <c r="J2030" i="1"/>
  <c r="C2030" i="1"/>
  <c r="B2030" i="1"/>
  <c r="J2029" i="1"/>
  <c r="C2029" i="1"/>
  <c r="B2029" i="1"/>
  <c r="J2028" i="1"/>
  <c r="C2028" i="1"/>
  <c r="B2028" i="1"/>
  <c r="J2027" i="1"/>
  <c r="C2027" i="1"/>
  <c r="B2027" i="1"/>
  <c r="J2026" i="1"/>
  <c r="C2026" i="1"/>
  <c r="B2026" i="1"/>
  <c r="J2025" i="1"/>
  <c r="C2025" i="1"/>
  <c r="B2025" i="1"/>
  <c r="J2024" i="1"/>
  <c r="C2024" i="1"/>
  <c r="B2024" i="1"/>
  <c r="J2023" i="1"/>
  <c r="C2023" i="1"/>
  <c r="B2023" i="1"/>
  <c r="J2022" i="1"/>
  <c r="C2022" i="1"/>
  <c r="B2022" i="1"/>
  <c r="J2021" i="1"/>
  <c r="C2021" i="1"/>
  <c r="B2021" i="1"/>
  <c r="J2020" i="1"/>
  <c r="C2020" i="1"/>
  <c r="B2020" i="1"/>
  <c r="J2019" i="1"/>
  <c r="C2019" i="1"/>
  <c r="B2019" i="1"/>
  <c r="J2018" i="1"/>
  <c r="C2018" i="1"/>
  <c r="B2018" i="1"/>
  <c r="J2017" i="1"/>
  <c r="C2017" i="1"/>
  <c r="B2017" i="1"/>
  <c r="J2016" i="1"/>
  <c r="C2016" i="1"/>
  <c r="B2016" i="1"/>
  <c r="J2015" i="1"/>
  <c r="C2015" i="1"/>
  <c r="B2015" i="1"/>
  <c r="J2014" i="1"/>
  <c r="C2014" i="1"/>
  <c r="B2014" i="1"/>
  <c r="J2013" i="1"/>
  <c r="C2013" i="1"/>
  <c r="B2013" i="1"/>
  <c r="J2012" i="1"/>
  <c r="C2012" i="1"/>
  <c r="B2012" i="1"/>
  <c r="J2011" i="1"/>
  <c r="C2011" i="1"/>
  <c r="B2011" i="1"/>
  <c r="J2010" i="1"/>
  <c r="C2010" i="1"/>
  <c r="B2010" i="1"/>
  <c r="J2009" i="1"/>
  <c r="C2009" i="1"/>
  <c r="B2009" i="1"/>
  <c r="J2008" i="1"/>
  <c r="C2008" i="1"/>
  <c r="B2008" i="1"/>
  <c r="J2007" i="1"/>
  <c r="C2007" i="1"/>
  <c r="B2007" i="1"/>
  <c r="J2006" i="1"/>
  <c r="C2006" i="1"/>
  <c r="B2006" i="1"/>
  <c r="J2005" i="1"/>
  <c r="C2005" i="1"/>
  <c r="B2005" i="1"/>
  <c r="J2004" i="1"/>
  <c r="C2004" i="1"/>
  <c r="B2004" i="1"/>
  <c r="J2003" i="1"/>
  <c r="C2003" i="1"/>
  <c r="B2003" i="1"/>
  <c r="J2002" i="1"/>
  <c r="C2002" i="1"/>
  <c r="B2002" i="1"/>
  <c r="J2001" i="1"/>
  <c r="C2001" i="1"/>
  <c r="B2001" i="1"/>
  <c r="J2000" i="1"/>
  <c r="C2000" i="1"/>
  <c r="B2000" i="1"/>
  <c r="J1999" i="1"/>
  <c r="C1999" i="1"/>
  <c r="B1999" i="1"/>
  <c r="J1998" i="1"/>
  <c r="C1998" i="1"/>
  <c r="B1998" i="1"/>
  <c r="J1997" i="1"/>
  <c r="C1997" i="1"/>
  <c r="B1997" i="1"/>
  <c r="J1996" i="1"/>
  <c r="C1996" i="1"/>
  <c r="B1996" i="1"/>
  <c r="J1995" i="1"/>
  <c r="C1995" i="1"/>
  <c r="B1995" i="1"/>
  <c r="J1994" i="1"/>
  <c r="C1994" i="1"/>
  <c r="B1994" i="1"/>
  <c r="J1993" i="1"/>
  <c r="C1993" i="1"/>
  <c r="B1993" i="1"/>
  <c r="J1992" i="1"/>
  <c r="C1992" i="1"/>
  <c r="B1992" i="1"/>
  <c r="J1991" i="1"/>
  <c r="C1991" i="1"/>
  <c r="B1991" i="1"/>
  <c r="J1990" i="1"/>
  <c r="C1990" i="1"/>
  <c r="B1990" i="1"/>
  <c r="J1989" i="1"/>
  <c r="C1989" i="1"/>
  <c r="B1989" i="1"/>
  <c r="J1988" i="1"/>
  <c r="C1988" i="1"/>
  <c r="B1988" i="1"/>
  <c r="J1987" i="1"/>
  <c r="C1987" i="1"/>
  <c r="B1987" i="1"/>
  <c r="J1986" i="1"/>
  <c r="C1986" i="1"/>
  <c r="B1986" i="1"/>
  <c r="J1985" i="1"/>
  <c r="C1985" i="1"/>
  <c r="B1985" i="1"/>
  <c r="J1984" i="1"/>
  <c r="C1984" i="1"/>
  <c r="B1984" i="1"/>
  <c r="J1983" i="1"/>
  <c r="C1983" i="1"/>
  <c r="B1983" i="1"/>
  <c r="J1982" i="1"/>
  <c r="C1982" i="1"/>
  <c r="B1982" i="1"/>
  <c r="J1981" i="1"/>
  <c r="C1981" i="1"/>
  <c r="B1981" i="1"/>
  <c r="J1980" i="1"/>
  <c r="C1980" i="1"/>
  <c r="B1980" i="1"/>
  <c r="J1979" i="1"/>
  <c r="C1979" i="1"/>
  <c r="B1979" i="1"/>
  <c r="J1978" i="1"/>
  <c r="C1978" i="1"/>
  <c r="B1978" i="1"/>
  <c r="J1977" i="1"/>
  <c r="C1977" i="1"/>
  <c r="B1977" i="1"/>
  <c r="J1976" i="1"/>
  <c r="C1976" i="1"/>
  <c r="B1976" i="1"/>
  <c r="J1975" i="1"/>
  <c r="C1975" i="1"/>
  <c r="B1975" i="1"/>
  <c r="J1974" i="1"/>
  <c r="C1974" i="1"/>
  <c r="B1974" i="1"/>
  <c r="J1973" i="1"/>
  <c r="C1973" i="1"/>
  <c r="B1973" i="1"/>
  <c r="J1972" i="1"/>
  <c r="C1972" i="1"/>
  <c r="B1972" i="1"/>
  <c r="J1971" i="1"/>
  <c r="C1971" i="1"/>
  <c r="B1971" i="1"/>
  <c r="J1970" i="1"/>
  <c r="C1970" i="1"/>
  <c r="B1970" i="1"/>
  <c r="J1969" i="1"/>
  <c r="C1969" i="1"/>
  <c r="B1969" i="1"/>
  <c r="J1968" i="1"/>
  <c r="C1968" i="1"/>
  <c r="B1968" i="1"/>
  <c r="J1967" i="1"/>
  <c r="C1967" i="1"/>
  <c r="B1967" i="1"/>
  <c r="J1966" i="1"/>
  <c r="C1966" i="1"/>
  <c r="B1966" i="1"/>
  <c r="J1965" i="1"/>
  <c r="C1965" i="1"/>
  <c r="B1965" i="1"/>
  <c r="J1964" i="1"/>
  <c r="C1964" i="1"/>
  <c r="B1964" i="1"/>
  <c r="J1963" i="1"/>
  <c r="C1963" i="1"/>
  <c r="B1963" i="1"/>
  <c r="J1962" i="1"/>
  <c r="C1962" i="1"/>
  <c r="B1962" i="1"/>
  <c r="J1961" i="1"/>
  <c r="C1961" i="1"/>
  <c r="B1961" i="1"/>
  <c r="J1960" i="1"/>
  <c r="C1960" i="1"/>
  <c r="B1960" i="1"/>
  <c r="J1959" i="1"/>
  <c r="C1959" i="1"/>
  <c r="B1959" i="1"/>
  <c r="J1958" i="1"/>
  <c r="C1958" i="1"/>
  <c r="B1958" i="1"/>
  <c r="J1957" i="1"/>
  <c r="C1957" i="1"/>
  <c r="B1957" i="1"/>
  <c r="J1956" i="1"/>
  <c r="C1956" i="1"/>
  <c r="B1956" i="1"/>
  <c r="J1955" i="1"/>
  <c r="C1955" i="1"/>
  <c r="B1955" i="1"/>
  <c r="J1954" i="1"/>
  <c r="C1954" i="1"/>
  <c r="B1954" i="1"/>
  <c r="J1953" i="1"/>
  <c r="C1953" i="1"/>
  <c r="B1953" i="1"/>
  <c r="J1952" i="1"/>
  <c r="C1952" i="1"/>
  <c r="B1952" i="1"/>
  <c r="J1951" i="1"/>
  <c r="C1951" i="1"/>
  <c r="B1951" i="1"/>
  <c r="J1950" i="1"/>
  <c r="C1950" i="1"/>
  <c r="B1950" i="1"/>
  <c r="J1949" i="1"/>
  <c r="C1949" i="1"/>
  <c r="B1949" i="1"/>
  <c r="J1948" i="1"/>
  <c r="C1948" i="1"/>
  <c r="B1948" i="1"/>
  <c r="J1947" i="1"/>
  <c r="C1947" i="1"/>
  <c r="B1947" i="1"/>
  <c r="J1946" i="1"/>
  <c r="C1946" i="1"/>
  <c r="B1946" i="1"/>
  <c r="J1945" i="1"/>
  <c r="C1945" i="1"/>
  <c r="B1945" i="1"/>
  <c r="J1944" i="1"/>
  <c r="C1944" i="1"/>
  <c r="B1944" i="1"/>
  <c r="J1943" i="1"/>
  <c r="C1943" i="1"/>
  <c r="B1943" i="1"/>
  <c r="J1942" i="1"/>
  <c r="C1942" i="1"/>
  <c r="B1942" i="1"/>
  <c r="J1941" i="1"/>
  <c r="C1941" i="1"/>
  <c r="B1941" i="1"/>
  <c r="J1940" i="1"/>
  <c r="C1940" i="1"/>
  <c r="B1940" i="1"/>
  <c r="J1939" i="1"/>
  <c r="C1939" i="1"/>
  <c r="B1939" i="1"/>
  <c r="J1938" i="1"/>
  <c r="C1938" i="1"/>
  <c r="B1938" i="1"/>
  <c r="J1937" i="1"/>
  <c r="C1937" i="1"/>
  <c r="B1937" i="1"/>
  <c r="J1936" i="1"/>
  <c r="C1936" i="1"/>
  <c r="B1936" i="1"/>
  <c r="J1935" i="1"/>
  <c r="C1935" i="1"/>
  <c r="B1935" i="1"/>
  <c r="J1934" i="1"/>
  <c r="C1934" i="1"/>
  <c r="B1934" i="1"/>
  <c r="J1933" i="1"/>
  <c r="C1933" i="1"/>
  <c r="B1933" i="1"/>
  <c r="J1932" i="1"/>
  <c r="C1932" i="1"/>
  <c r="B1932" i="1"/>
  <c r="J1931" i="1"/>
  <c r="C1931" i="1"/>
  <c r="B1931" i="1"/>
  <c r="J1930" i="1"/>
  <c r="C1930" i="1"/>
  <c r="B1930" i="1"/>
  <c r="J1929" i="1"/>
  <c r="C1929" i="1"/>
  <c r="B1929" i="1"/>
  <c r="J1928" i="1"/>
  <c r="C1928" i="1"/>
  <c r="B1928" i="1"/>
  <c r="J1927" i="1"/>
  <c r="C1927" i="1"/>
  <c r="B1927" i="1"/>
  <c r="J1926" i="1"/>
  <c r="C1926" i="1"/>
  <c r="B1926" i="1"/>
  <c r="J1925" i="1"/>
  <c r="C1925" i="1"/>
  <c r="B1925" i="1"/>
  <c r="J1924" i="1"/>
  <c r="C1924" i="1"/>
  <c r="B1924" i="1"/>
  <c r="J1923" i="1"/>
  <c r="C1923" i="1"/>
  <c r="B1923" i="1"/>
  <c r="J1922" i="1"/>
  <c r="C1922" i="1"/>
  <c r="B1922" i="1"/>
  <c r="J1921" i="1"/>
  <c r="C1921" i="1"/>
  <c r="B1921" i="1"/>
  <c r="J1920" i="1"/>
  <c r="C1920" i="1"/>
  <c r="B1920" i="1"/>
  <c r="J1919" i="1"/>
  <c r="C1919" i="1"/>
  <c r="B1919" i="1"/>
  <c r="J1918" i="1"/>
  <c r="C1918" i="1"/>
  <c r="B1918" i="1"/>
  <c r="J1917" i="1"/>
  <c r="C1917" i="1"/>
  <c r="B1917" i="1"/>
  <c r="J1916" i="1"/>
  <c r="C1916" i="1"/>
  <c r="B1916" i="1"/>
  <c r="J1915" i="1"/>
  <c r="C1915" i="1"/>
  <c r="B1915" i="1"/>
  <c r="J1914" i="1"/>
  <c r="C1914" i="1"/>
  <c r="B1914" i="1"/>
  <c r="J1913" i="1"/>
  <c r="C1913" i="1"/>
  <c r="B1913" i="1"/>
  <c r="J1912" i="1"/>
  <c r="C1912" i="1"/>
  <c r="B1912" i="1"/>
  <c r="J1911" i="1"/>
  <c r="C1911" i="1"/>
  <c r="B1911" i="1"/>
  <c r="J1910" i="1"/>
  <c r="C1910" i="1"/>
  <c r="B1910" i="1"/>
  <c r="J1909" i="1"/>
  <c r="C1909" i="1"/>
  <c r="B1909" i="1"/>
  <c r="J1908" i="1"/>
  <c r="C1908" i="1"/>
  <c r="B1908" i="1"/>
  <c r="J1907" i="1"/>
  <c r="C1907" i="1"/>
  <c r="B1907" i="1"/>
  <c r="J1906" i="1"/>
  <c r="C1906" i="1"/>
  <c r="B1906" i="1"/>
  <c r="J1905" i="1"/>
  <c r="C1905" i="1"/>
  <c r="B1905" i="1"/>
  <c r="J1904" i="1"/>
  <c r="C1904" i="1"/>
  <c r="B1904" i="1"/>
  <c r="J1903" i="1"/>
  <c r="C1903" i="1"/>
  <c r="B1903" i="1"/>
  <c r="J1902" i="1"/>
  <c r="C1902" i="1"/>
  <c r="B1902" i="1"/>
  <c r="J1901" i="1"/>
  <c r="C1901" i="1"/>
  <c r="B1901" i="1"/>
  <c r="J1900" i="1"/>
  <c r="C1900" i="1"/>
  <c r="B1900" i="1"/>
  <c r="J1899" i="1"/>
  <c r="C1899" i="1"/>
  <c r="B1899" i="1"/>
  <c r="J1898" i="1"/>
  <c r="C1898" i="1"/>
  <c r="B1898" i="1"/>
  <c r="J1897" i="1"/>
  <c r="C1897" i="1"/>
  <c r="B1897" i="1"/>
  <c r="J1896" i="1"/>
  <c r="C1896" i="1"/>
  <c r="B1896" i="1"/>
  <c r="J1895" i="1"/>
  <c r="C1895" i="1"/>
  <c r="B1895" i="1"/>
  <c r="J1894" i="1"/>
  <c r="C1894" i="1"/>
  <c r="B1894" i="1"/>
  <c r="J1893" i="1"/>
  <c r="C1893" i="1"/>
  <c r="B1893" i="1"/>
  <c r="J1892" i="1"/>
  <c r="C1892" i="1"/>
  <c r="B1892" i="1"/>
  <c r="J1891" i="1"/>
  <c r="C1891" i="1"/>
  <c r="B1891" i="1"/>
  <c r="J1890" i="1"/>
  <c r="C1890" i="1"/>
  <c r="B1890" i="1"/>
  <c r="J1889" i="1"/>
  <c r="C1889" i="1"/>
  <c r="B1889" i="1"/>
  <c r="J1888" i="1"/>
  <c r="C1888" i="1"/>
  <c r="B1888" i="1"/>
  <c r="J1887" i="1"/>
  <c r="C1887" i="1"/>
  <c r="B1887" i="1"/>
  <c r="J1886" i="1"/>
  <c r="C1886" i="1"/>
  <c r="B1886" i="1"/>
  <c r="J1885" i="1"/>
  <c r="C1885" i="1"/>
  <c r="B1885" i="1"/>
  <c r="J1884" i="1"/>
  <c r="C1884" i="1"/>
  <c r="B1884" i="1"/>
  <c r="J1883" i="1"/>
  <c r="C1883" i="1"/>
  <c r="B1883" i="1"/>
  <c r="J1882" i="1"/>
  <c r="C1882" i="1"/>
  <c r="B1882" i="1"/>
  <c r="J1881" i="1"/>
  <c r="C1881" i="1"/>
  <c r="B1881" i="1"/>
  <c r="J1880" i="1"/>
  <c r="C1880" i="1"/>
  <c r="B1880" i="1"/>
  <c r="J1879" i="1"/>
  <c r="C1879" i="1"/>
  <c r="B1879" i="1"/>
  <c r="J1878" i="1"/>
  <c r="C1878" i="1"/>
  <c r="B1878" i="1"/>
  <c r="J1877" i="1"/>
  <c r="C1877" i="1"/>
  <c r="B1877" i="1"/>
  <c r="J1876" i="1"/>
  <c r="C1876" i="1"/>
  <c r="B1876" i="1"/>
  <c r="J1875" i="1"/>
  <c r="C1875" i="1"/>
  <c r="B1875" i="1"/>
  <c r="J1874" i="1"/>
  <c r="C1874" i="1"/>
  <c r="B1874" i="1"/>
  <c r="J1873" i="1"/>
  <c r="C1873" i="1"/>
  <c r="B1873" i="1"/>
  <c r="J1872" i="1"/>
  <c r="C1872" i="1"/>
  <c r="B1872" i="1"/>
  <c r="J1871" i="1"/>
  <c r="C1871" i="1"/>
  <c r="B1871" i="1"/>
  <c r="J1870" i="1"/>
  <c r="C1870" i="1"/>
  <c r="B1870" i="1"/>
  <c r="J1869" i="1"/>
  <c r="C1869" i="1"/>
  <c r="B1869" i="1"/>
  <c r="J1868" i="1"/>
  <c r="C1868" i="1"/>
  <c r="B1868" i="1"/>
  <c r="J1867" i="1"/>
  <c r="C1867" i="1"/>
  <c r="B1867" i="1"/>
  <c r="J1866" i="1"/>
  <c r="C1866" i="1"/>
  <c r="B1866" i="1"/>
  <c r="J1865" i="1"/>
  <c r="C1865" i="1"/>
  <c r="B1865" i="1"/>
  <c r="J1864" i="1"/>
  <c r="C1864" i="1"/>
  <c r="B1864" i="1"/>
  <c r="J1863" i="1"/>
  <c r="C1863" i="1"/>
  <c r="B1863" i="1"/>
  <c r="J1862" i="1"/>
  <c r="C1862" i="1"/>
  <c r="B1862" i="1"/>
  <c r="J1861" i="1"/>
  <c r="C1861" i="1"/>
  <c r="B1861" i="1"/>
  <c r="J1860" i="1"/>
  <c r="C1860" i="1"/>
  <c r="B1860" i="1"/>
  <c r="J1859" i="1"/>
  <c r="C1859" i="1"/>
  <c r="B1859" i="1"/>
  <c r="J1858" i="1"/>
  <c r="C1858" i="1"/>
  <c r="B1858" i="1"/>
  <c r="J1857" i="1"/>
  <c r="C1857" i="1"/>
  <c r="B1857" i="1"/>
  <c r="J1856" i="1"/>
  <c r="C1856" i="1"/>
  <c r="B1856" i="1"/>
  <c r="J1855" i="1"/>
  <c r="C1855" i="1"/>
  <c r="B1855" i="1"/>
  <c r="J1854" i="1"/>
  <c r="C1854" i="1"/>
  <c r="B1854" i="1"/>
  <c r="J1853" i="1"/>
  <c r="C1853" i="1"/>
  <c r="B1853" i="1"/>
  <c r="J1852" i="1"/>
  <c r="C1852" i="1"/>
  <c r="B1852" i="1"/>
  <c r="J1851" i="1"/>
  <c r="C1851" i="1"/>
  <c r="B1851" i="1"/>
  <c r="J1850" i="1"/>
  <c r="C1850" i="1"/>
  <c r="B1850" i="1"/>
  <c r="J1849" i="1"/>
  <c r="C1849" i="1"/>
  <c r="B1849" i="1"/>
  <c r="J1848" i="1"/>
  <c r="C1848" i="1"/>
  <c r="B1848" i="1"/>
  <c r="J1847" i="1"/>
  <c r="C1847" i="1"/>
  <c r="B1847" i="1"/>
  <c r="J1846" i="1"/>
  <c r="C1846" i="1"/>
  <c r="B1846" i="1"/>
  <c r="J1845" i="1"/>
  <c r="C1845" i="1"/>
  <c r="B1845" i="1"/>
  <c r="J1844" i="1"/>
  <c r="C1844" i="1"/>
  <c r="B1844" i="1"/>
  <c r="J1843" i="1"/>
  <c r="C1843" i="1"/>
  <c r="B1843" i="1"/>
  <c r="J1842" i="1"/>
  <c r="C1842" i="1"/>
  <c r="B1842" i="1"/>
  <c r="J1841" i="1"/>
  <c r="C1841" i="1"/>
  <c r="B1841" i="1"/>
  <c r="J1840" i="1"/>
  <c r="C1840" i="1"/>
  <c r="B1840" i="1"/>
  <c r="J1839" i="1"/>
  <c r="C1839" i="1"/>
  <c r="B1839" i="1"/>
  <c r="J1838" i="1"/>
  <c r="C1838" i="1"/>
  <c r="B1838" i="1"/>
  <c r="J1837" i="1"/>
  <c r="C1837" i="1"/>
  <c r="B1837" i="1"/>
  <c r="J1836" i="1"/>
  <c r="C1836" i="1"/>
  <c r="B1836" i="1"/>
  <c r="J1835" i="1"/>
  <c r="C1835" i="1"/>
  <c r="B1835" i="1"/>
  <c r="J1834" i="1"/>
  <c r="C1834" i="1"/>
  <c r="B1834" i="1"/>
  <c r="J1833" i="1"/>
  <c r="C1833" i="1"/>
  <c r="B1833" i="1"/>
  <c r="J1832" i="1"/>
  <c r="C1832" i="1"/>
  <c r="B1832" i="1"/>
  <c r="J1831" i="1"/>
  <c r="C1831" i="1"/>
  <c r="B1831" i="1"/>
  <c r="J1830" i="1"/>
  <c r="C1830" i="1"/>
  <c r="B1830" i="1"/>
  <c r="J1829" i="1"/>
  <c r="C1829" i="1"/>
  <c r="B1829" i="1"/>
  <c r="J1828" i="1"/>
  <c r="C1828" i="1"/>
  <c r="B1828" i="1"/>
  <c r="J1827" i="1"/>
  <c r="C1827" i="1"/>
  <c r="B1827" i="1"/>
  <c r="J1826" i="1"/>
  <c r="C1826" i="1"/>
  <c r="B1826" i="1"/>
  <c r="J1825" i="1"/>
  <c r="C1825" i="1"/>
  <c r="B1825" i="1"/>
  <c r="J1824" i="1"/>
  <c r="C1824" i="1"/>
  <c r="B1824" i="1"/>
  <c r="J1823" i="1"/>
  <c r="C1823" i="1"/>
  <c r="B1823" i="1"/>
  <c r="J1822" i="1"/>
  <c r="C1822" i="1"/>
  <c r="B1822" i="1"/>
  <c r="J1821" i="1"/>
  <c r="C1821" i="1"/>
  <c r="B1821" i="1"/>
  <c r="J1820" i="1"/>
  <c r="C1820" i="1"/>
  <c r="B1820" i="1"/>
  <c r="J1819" i="1"/>
  <c r="C1819" i="1"/>
  <c r="B1819" i="1"/>
  <c r="J1818" i="1"/>
  <c r="C1818" i="1"/>
  <c r="B1818" i="1"/>
  <c r="J1817" i="1"/>
  <c r="C1817" i="1"/>
  <c r="B1817" i="1"/>
  <c r="J1816" i="1"/>
  <c r="C1816" i="1"/>
  <c r="B1816" i="1"/>
  <c r="J1815" i="1"/>
  <c r="C1815" i="1"/>
  <c r="B1815" i="1"/>
  <c r="J1814" i="1"/>
  <c r="C1814" i="1"/>
  <c r="B1814" i="1"/>
  <c r="J1813" i="1"/>
  <c r="C1813" i="1"/>
  <c r="B1813" i="1"/>
  <c r="J1812" i="1"/>
  <c r="C1812" i="1"/>
  <c r="B1812" i="1"/>
  <c r="J1811" i="1"/>
  <c r="C1811" i="1"/>
  <c r="B1811" i="1"/>
  <c r="J1810" i="1"/>
  <c r="C1810" i="1"/>
  <c r="B1810" i="1"/>
  <c r="J1809" i="1"/>
  <c r="C1809" i="1"/>
  <c r="B1809" i="1"/>
  <c r="J1808" i="1"/>
  <c r="C1808" i="1"/>
  <c r="B1808" i="1"/>
  <c r="J1807" i="1"/>
  <c r="C1807" i="1"/>
  <c r="B1807" i="1"/>
  <c r="J1806" i="1"/>
  <c r="C1806" i="1"/>
  <c r="B1806" i="1"/>
  <c r="J1805" i="1"/>
  <c r="C1805" i="1"/>
  <c r="B1805" i="1"/>
  <c r="J1804" i="1"/>
  <c r="C1804" i="1"/>
  <c r="B1804" i="1"/>
  <c r="J1803" i="1"/>
  <c r="C1803" i="1"/>
  <c r="B1803" i="1"/>
  <c r="J1802" i="1"/>
  <c r="C1802" i="1"/>
  <c r="B1802" i="1"/>
  <c r="J1801" i="1"/>
  <c r="C1801" i="1"/>
  <c r="B1801" i="1"/>
  <c r="J1800" i="1"/>
  <c r="C1800" i="1"/>
  <c r="B1800" i="1"/>
  <c r="J1799" i="1"/>
  <c r="C1799" i="1"/>
  <c r="B1799" i="1"/>
  <c r="J1798" i="1"/>
  <c r="C1798" i="1"/>
  <c r="B1798" i="1"/>
  <c r="J1797" i="1"/>
  <c r="C1797" i="1"/>
  <c r="B1797" i="1"/>
  <c r="J1796" i="1"/>
  <c r="C1796" i="1"/>
  <c r="B1796" i="1"/>
  <c r="J1795" i="1"/>
  <c r="C1795" i="1"/>
  <c r="B1795" i="1"/>
  <c r="J1794" i="1"/>
  <c r="C1794" i="1"/>
  <c r="B1794" i="1"/>
  <c r="J1793" i="1"/>
  <c r="C1793" i="1"/>
  <c r="B1793" i="1"/>
  <c r="J1792" i="1"/>
  <c r="C1792" i="1"/>
  <c r="B1792" i="1"/>
  <c r="J1791" i="1"/>
  <c r="C1791" i="1"/>
  <c r="B1791" i="1"/>
  <c r="J1790" i="1"/>
  <c r="C1790" i="1"/>
  <c r="B1790" i="1"/>
  <c r="J1789" i="1"/>
  <c r="C1789" i="1"/>
  <c r="B1789" i="1"/>
  <c r="J1788" i="1"/>
  <c r="C1788" i="1"/>
  <c r="B1788" i="1"/>
  <c r="J1787" i="1"/>
  <c r="C1787" i="1"/>
  <c r="B1787" i="1"/>
  <c r="J1786" i="1"/>
  <c r="C1786" i="1"/>
  <c r="B1786" i="1"/>
  <c r="J1785" i="1"/>
  <c r="C1785" i="1"/>
  <c r="B1785" i="1"/>
  <c r="J1784" i="1"/>
  <c r="C1784" i="1"/>
  <c r="B1784" i="1"/>
  <c r="J1783" i="1"/>
  <c r="C1783" i="1"/>
  <c r="B1783" i="1"/>
  <c r="J1782" i="1"/>
  <c r="C1782" i="1"/>
  <c r="B1782" i="1"/>
  <c r="J1781" i="1"/>
  <c r="C1781" i="1"/>
  <c r="B1781" i="1"/>
  <c r="J1780" i="1"/>
  <c r="C1780" i="1"/>
  <c r="B1780" i="1"/>
  <c r="J1779" i="1"/>
  <c r="C1779" i="1"/>
  <c r="B1779" i="1"/>
  <c r="J1778" i="1"/>
  <c r="C1778" i="1"/>
  <c r="B1778" i="1"/>
  <c r="J1777" i="1"/>
  <c r="C1777" i="1"/>
  <c r="B1777" i="1"/>
  <c r="J1776" i="1"/>
  <c r="C1776" i="1"/>
  <c r="B1776" i="1"/>
  <c r="J1775" i="1"/>
  <c r="C1775" i="1"/>
  <c r="B1775" i="1"/>
  <c r="J1774" i="1"/>
  <c r="C1774" i="1"/>
  <c r="B1774" i="1"/>
  <c r="J1773" i="1"/>
  <c r="C1773" i="1"/>
  <c r="B1773" i="1"/>
  <c r="J1772" i="1"/>
  <c r="C1772" i="1"/>
  <c r="B1772" i="1"/>
  <c r="J1771" i="1"/>
  <c r="C1771" i="1"/>
  <c r="B1771" i="1"/>
  <c r="J1770" i="1"/>
  <c r="C1770" i="1"/>
  <c r="B1770" i="1"/>
  <c r="J1769" i="1"/>
  <c r="C1769" i="1"/>
  <c r="B1769" i="1"/>
  <c r="J1768" i="1"/>
  <c r="C1768" i="1"/>
  <c r="B1768" i="1"/>
  <c r="J1767" i="1"/>
  <c r="C1767" i="1"/>
  <c r="B1767" i="1"/>
  <c r="J1766" i="1"/>
  <c r="C1766" i="1"/>
  <c r="B1766" i="1"/>
  <c r="J1765" i="1"/>
  <c r="C1765" i="1"/>
  <c r="B1765" i="1"/>
  <c r="J1764" i="1"/>
  <c r="C1764" i="1"/>
  <c r="B1764" i="1"/>
  <c r="J1763" i="1"/>
  <c r="C1763" i="1"/>
  <c r="B1763" i="1"/>
  <c r="J1762" i="1"/>
  <c r="C1762" i="1"/>
  <c r="B1762" i="1"/>
  <c r="J1761" i="1"/>
  <c r="C1761" i="1"/>
  <c r="B1761" i="1"/>
  <c r="J1760" i="1"/>
  <c r="C1760" i="1"/>
  <c r="B1760" i="1"/>
  <c r="J1759" i="1"/>
  <c r="C1759" i="1"/>
  <c r="B1759" i="1"/>
  <c r="J1758" i="1"/>
  <c r="C1758" i="1"/>
  <c r="B1758" i="1"/>
  <c r="J1757" i="1"/>
  <c r="C1757" i="1"/>
  <c r="B1757" i="1"/>
  <c r="J1756" i="1"/>
  <c r="C1756" i="1"/>
  <c r="B1756" i="1"/>
  <c r="J1755" i="1"/>
  <c r="C1755" i="1"/>
  <c r="B1755" i="1"/>
  <c r="J1754" i="1"/>
  <c r="C1754" i="1"/>
  <c r="B1754" i="1"/>
  <c r="J1753" i="1"/>
  <c r="C1753" i="1"/>
  <c r="B1753" i="1"/>
  <c r="J1752" i="1"/>
  <c r="C1752" i="1"/>
  <c r="B1752" i="1"/>
  <c r="J1751" i="1"/>
  <c r="C1751" i="1"/>
  <c r="B1751" i="1"/>
  <c r="J1750" i="1"/>
  <c r="C1750" i="1"/>
  <c r="B1750" i="1"/>
  <c r="J1749" i="1"/>
  <c r="C1749" i="1"/>
  <c r="B1749" i="1"/>
  <c r="J1748" i="1"/>
  <c r="C1748" i="1"/>
  <c r="B1748" i="1"/>
  <c r="J1747" i="1"/>
  <c r="C1747" i="1"/>
  <c r="B1747" i="1"/>
  <c r="J1746" i="1"/>
  <c r="C1746" i="1"/>
  <c r="B1746" i="1"/>
  <c r="J1745" i="1"/>
  <c r="C1745" i="1"/>
  <c r="B1745" i="1"/>
  <c r="J1744" i="1"/>
  <c r="C1744" i="1"/>
  <c r="B1744" i="1"/>
  <c r="J1743" i="1"/>
  <c r="C1743" i="1"/>
  <c r="B1743" i="1"/>
  <c r="J1742" i="1"/>
  <c r="C1742" i="1"/>
  <c r="B1742" i="1"/>
  <c r="J1741" i="1"/>
  <c r="C1741" i="1"/>
  <c r="B1741" i="1"/>
  <c r="J1740" i="1"/>
  <c r="C1740" i="1"/>
  <c r="B1740" i="1"/>
  <c r="J1739" i="1"/>
  <c r="C1739" i="1"/>
  <c r="B1739" i="1"/>
  <c r="J1738" i="1"/>
  <c r="C1738" i="1"/>
  <c r="B1738" i="1"/>
  <c r="J1737" i="1"/>
  <c r="C1737" i="1"/>
  <c r="B1737" i="1"/>
  <c r="J1736" i="1"/>
  <c r="C1736" i="1"/>
  <c r="B1736" i="1"/>
  <c r="J1735" i="1"/>
  <c r="C1735" i="1"/>
  <c r="B1735" i="1"/>
  <c r="J1734" i="1"/>
  <c r="C1734" i="1"/>
  <c r="B1734" i="1"/>
  <c r="J1733" i="1"/>
  <c r="C1733" i="1"/>
  <c r="B1733" i="1"/>
  <c r="J1732" i="1"/>
  <c r="C1732" i="1"/>
  <c r="B1732" i="1"/>
  <c r="J1731" i="1"/>
  <c r="C1731" i="1"/>
  <c r="B1731" i="1"/>
  <c r="J1730" i="1"/>
  <c r="C1730" i="1"/>
  <c r="B1730" i="1"/>
  <c r="J1729" i="1"/>
  <c r="C1729" i="1"/>
  <c r="B1729" i="1"/>
  <c r="J1728" i="1"/>
  <c r="C1728" i="1"/>
  <c r="B1728" i="1"/>
  <c r="J1727" i="1"/>
  <c r="C1727" i="1"/>
  <c r="B1727" i="1"/>
  <c r="J1726" i="1"/>
  <c r="C1726" i="1"/>
  <c r="B1726" i="1"/>
  <c r="J1725" i="1"/>
  <c r="C1725" i="1"/>
  <c r="B1725" i="1"/>
  <c r="J1724" i="1"/>
  <c r="C1724" i="1"/>
  <c r="B1724" i="1"/>
  <c r="J1723" i="1"/>
  <c r="C1723" i="1"/>
  <c r="B1723" i="1"/>
  <c r="J1722" i="1"/>
  <c r="C1722" i="1"/>
  <c r="B1722" i="1"/>
  <c r="J1721" i="1"/>
  <c r="C1721" i="1"/>
  <c r="B1721" i="1"/>
  <c r="J1720" i="1"/>
  <c r="C1720" i="1"/>
  <c r="B1720" i="1"/>
  <c r="J1719" i="1"/>
  <c r="C1719" i="1"/>
  <c r="B1719" i="1"/>
  <c r="J1718" i="1"/>
  <c r="C1718" i="1"/>
  <c r="B1718" i="1"/>
  <c r="J1717" i="1"/>
  <c r="C1717" i="1"/>
  <c r="B1717" i="1"/>
  <c r="J1716" i="1"/>
  <c r="C1716" i="1"/>
  <c r="B1716" i="1"/>
  <c r="J1715" i="1"/>
  <c r="C1715" i="1"/>
  <c r="B1715" i="1"/>
  <c r="J1714" i="1"/>
  <c r="C1714" i="1"/>
  <c r="B1714" i="1"/>
  <c r="J1713" i="1"/>
  <c r="C1713" i="1"/>
  <c r="B1713" i="1"/>
  <c r="J1712" i="1"/>
  <c r="C1712" i="1"/>
  <c r="B1712" i="1"/>
  <c r="J1711" i="1"/>
  <c r="C1711" i="1"/>
  <c r="B1711" i="1"/>
  <c r="J1710" i="1"/>
  <c r="C1710" i="1"/>
  <c r="B1710" i="1"/>
  <c r="J1709" i="1"/>
  <c r="C1709" i="1"/>
  <c r="B1709" i="1"/>
  <c r="J1708" i="1"/>
  <c r="C1708" i="1"/>
  <c r="B1708" i="1"/>
  <c r="J1707" i="1"/>
  <c r="C1707" i="1"/>
  <c r="B1707" i="1"/>
  <c r="J1706" i="1"/>
  <c r="C1706" i="1"/>
  <c r="B1706" i="1"/>
  <c r="J1705" i="1"/>
  <c r="C1705" i="1"/>
  <c r="B1705" i="1"/>
  <c r="J1704" i="1"/>
  <c r="C1704" i="1"/>
  <c r="B1704" i="1"/>
  <c r="J1703" i="1"/>
  <c r="C1703" i="1"/>
  <c r="B1703" i="1"/>
  <c r="J1702" i="1"/>
  <c r="C1702" i="1"/>
  <c r="B1702" i="1"/>
  <c r="J1701" i="1"/>
  <c r="C1701" i="1"/>
  <c r="B1701" i="1"/>
  <c r="J1700" i="1"/>
  <c r="C1700" i="1"/>
  <c r="B1700" i="1"/>
  <c r="J1699" i="1"/>
  <c r="C1699" i="1"/>
  <c r="B1699" i="1"/>
  <c r="J1698" i="1"/>
  <c r="C1698" i="1"/>
  <c r="B1698" i="1"/>
  <c r="J1697" i="1"/>
  <c r="C1697" i="1"/>
  <c r="B1697" i="1"/>
  <c r="J1696" i="1"/>
  <c r="C1696" i="1"/>
  <c r="B1696" i="1"/>
  <c r="J1695" i="1"/>
  <c r="C1695" i="1"/>
  <c r="B1695" i="1"/>
  <c r="J1694" i="1"/>
  <c r="C1694" i="1"/>
  <c r="B1694" i="1"/>
  <c r="J1693" i="1"/>
  <c r="C1693" i="1"/>
  <c r="B1693" i="1"/>
  <c r="J1692" i="1"/>
  <c r="C1692" i="1"/>
  <c r="B1692" i="1"/>
  <c r="J1691" i="1"/>
  <c r="C1691" i="1"/>
  <c r="B1691" i="1"/>
  <c r="J1690" i="1"/>
  <c r="C1690" i="1"/>
  <c r="B1690" i="1"/>
  <c r="J1689" i="1"/>
  <c r="C1689" i="1"/>
  <c r="B1689" i="1"/>
  <c r="J1688" i="1"/>
  <c r="C1688" i="1"/>
  <c r="B1688" i="1"/>
  <c r="J1687" i="1"/>
  <c r="C1687" i="1"/>
  <c r="B1687" i="1"/>
  <c r="J1686" i="1"/>
  <c r="C1686" i="1"/>
  <c r="B1686" i="1"/>
  <c r="J1685" i="1"/>
  <c r="C1685" i="1"/>
  <c r="B1685" i="1"/>
  <c r="J1684" i="1"/>
  <c r="C1684" i="1"/>
  <c r="B1684" i="1"/>
  <c r="J1683" i="1"/>
  <c r="C1683" i="1"/>
  <c r="B1683" i="1"/>
  <c r="J1682" i="1"/>
  <c r="C1682" i="1"/>
  <c r="B1682" i="1"/>
  <c r="J1681" i="1"/>
  <c r="C1681" i="1"/>
  <c r="B1681" i="1"/>
  <c r="J1680" i="1"/>
  <c r="C1680" i="1"/>
  <c r="B1680" i="1"/>
  <c r="J1679" i="1"/>
  <c r="C1679" i="1"/>
  <c r="B1679" i="1"/>
  <c r="J1678" i="1"/>
  <c r="C1678" i="1"/>
  <c r="B1678" i="1"/>
  <c r="J1677" i="1"/>
  <c r="C1677" i="1"/>
  <c r="B1677" i="1"/>
  <c r="J1676" i="1"/>
  <c r="C1676" i="1"/>
  <c r="B1676" i="1"/>
  <c r="J1675" i="1"/>
  <c r="C1675" i="1"/>
  <c r="B1675" i="1"/>
  <c r="J1674" i="1"/>
  <c r="C1674" i="1"/>
  <c r="B1674" i="1"/>
  <c r="J1673" i="1"/>
  <c r="C1673" i="1"/>
  <c r="B1673" i="1"/>
  <c r="J1672" i="1"/>
  <c r="C1672" i="1"/>
  <c r="B1672" i="1"/>
  <c r="J1671" i="1"/>
  <c r="C1671" i="1"/>
  <c r="B1671" i="1"/>
  <c r="J1670" i="1"/>
  <c r="C1670" i="1"/>
  <c r="B1670" i="1"/>
  <c r="J1669" i="1"/>
  <c r="C1669" i="1"/>
  <c r="B1669" i="1"/>
  <c r="J1668" i="1"/>
  <c r="C1668" i="1"/>
  <c r="B1668" i="1"/>
  <c r="J1667" i="1"/>
  <c r="C1667" i="1"/>
  <c r="B1667" i="1"/>
  <c r="J1666" i="1"/>
  <c r="C1666" i="1"/>
  <c r="B1666" i="1"/>
  <c r="J1665" i="1"/>
  <c r="C1665" i="1"/>
  <c r="B1665" i="1"/>
  <c r="J1664" i="1"/>
  <c r="C1664" i="1"/>
  <c r="B1664" i="1"/>
  <c r="J1663" i="1"/>
  <c r="C1663" i="1"/>
  <c r="B1663" i="1"/>
  <c r="J1662" i="1"/>
  <c r="C1662" i="1"/>
  <c r="B1662" i="1"/>
  <c r="J1661" i="1"/>
  <c r="C1661" i="1"/>
  <c r="B1661" i="1"/>
  <c r="J1660" i="1"/>
  <c r="C1660" i="1"/>
  <c r="B1660" i="1"/>
  <c r="J1659" i="1"/>
  <c r="C1659" i="1"/>
  <c r="B1659" i="1"/>
  <c r="J1658" i="1"/>
  <c r="C1658" i="1"/>
  <c r="B1658" i="1"/>
  <c r="J1657" i="1"/>
  <c r="C1657" i="1"/>
  <c r="B1657" i="1"/>
  <c r="J1656" i="1"/>
  <c r="C1656" i="1"/>
  <c r="B1656" i="1"/>
  <c r="J1655" i="1"/>
  <c r="C1655" i="1"/>
  <c r="B1655" i="1"/>
  <c r="J1654" i="1"/>
  <c r="C1654" i="1"/>
  <c r="B1654" i="1"/>
  <c r="J1653" i="1"/>
  <c r="C1653" i="1"/>
  <c r="B1653" i="1"/>
  <c r="J1652" i="1"/>
  <c r="C1652" i="1"/>
  <c r="B1652" i="1"/>
  <c r="J1651" i="1"/>
  <c r="C1651" i="1"/>
  <c r="B1651" i="1"/>
  <c r="J1650" i="1"/>
  <c r="C1650" i="1"/>
  <c r="B1650" i="1"/>
  <c r="J1649" i="1"/>
  <c r="C1649" i="1"/>
  <c r="B1649" i="1"/>
  <c r="J1648" i="1"/>
  <c r="C1648" i="1"/>
  <c r="B1648" i="1"/>
  <c r="J1647" i="1"/>
  <c r="C1647" i="1"/>
  <c r="B1647" i="1"/>
  <c r="J1646" i="1"/>
  <c r="C1646" i="1"/>
  <c r="B1646" i="1"/>
  <c r="J1645" i="1"/>
  <c r="C1645" i="1"/>
  <c r="B1645" i="1"/>
  <c r="J1644" i="1"/>
  <c r="C1644" i="1"/>
  <c r="B1644" i="1"/>
  <c r="J1643" i="1"/>
  <c r="C1643" i="1"/>
  <c r="B1643" i="1"/>
  <c r="J1642" i="1"/>
  <c r="C1642" i="1"/>
  <c r="B1642" i="1"/>
  <c r="J1641" i="1"/>
  <c r="C1641" i="1"/>
  <c r="B1641" i="1"/>
  <c r="J1640" i="1"/>
  <c r="C1640" i="1"/>
  <c r="B1640" i="1"/>
  <c r="J1639" i="1"/>
  <c r="C1639" i="1"/>
  <c r="B1639" i="1"/>
  <c r="J1638" i="1"/>
  <c r="C1638" i="1"/>
  <c r="B1638" i="1"/>
  <c r="J1637" i="1"/>
  <c r="C1637" i="1"/>
  <c r="B1637" i="1"/>
  <c r="J1636" i="1"/>
  <c r="C1636" i="1"/>
  <c r="B1636" i="1"/>
  <c r="J1635" i="1"/>
  <c r="C1635" i="1"/>
  <c r="B1635" i="1"/>
  <c r="J1634" i="1"/>
  <c r="C1634" i="1"/>
  <c r="B1634" i="1"/>
  <c r="J1633" i="1"/>
  <c r="C1633" i="1"/>
  <c r="B1633" i="1"/>
  <c r="J1632" i="1"/>
  <c r="C1632" i="1"/>
  <c r="B1632" i="1"/>
  <c r="J1631" i="1"/>
  <c r="C1631" i="1"/>
  <c r="B1631" i="1"/>
  <c r="J1630" i="1"/>
  <c r="C1630" i="1"/>
  <c r="B1630" i="1"/>
  <c r="J1629" i="1"/>
  <c r="C1629" i="1"/>
  <c r="B1629" i="1"/>
  <c r="J1628" i="1"/>
  <c r="C1628" i="1"/>
  <c r="B1628" i="1"/>
  <c r="J1627" i="1"/>
  <c r="C1627" i="1"/>
  <c r="B1627" i="1"/>
  <c r="J1626" i="1"/>
  <c r="C1626" i="1"/>
  <c r="B1626" i="1"/>
  <c r="J1625" i="1"/>
  <c r="C1625" i="1"/>
  <c r="B1625" i="1"/>
  <c r="J1624" i="1"/>
  <c r="C1624" i="1"/>
  <c r="B1624" i="1"/>
  <c r="J1623" i="1"/>
  <c r="C1623" i="1"/>
  <c r="B1623" i="1"/>
  <c r="J1622" i="1"/>
  <c r="C1622" i="1"/>
  <c r="B1622" i="1"/>
  <c r="J1621" i="1"/>
  <c r="C1621" i="1"/>
  <c r="B1621" i="1"/>
  <c r="J1620" i="1"/>
  <c r="C1620" i="1"/>
  <c r="B1620" i="1"/>
  <c r="J1619" i="1"/>
  <c r="C1619" i="1"/>
  <c r="B1619" i="1"/>
  <c r="J1618" i="1"/>
  <c r="C1618" i="1"/>
  <c r="B1618" i="1"/>
  <c r="J1617" i="1"/>
  <c r="C1617" i="1"/>
  <c r="B1617" i="1"/>
  <c r="J1616" i="1"/>
  <c r="C1616" i="1"/>
  <c r="B1616" i="1"/>
  <c r="J1615" i="1"/>
  <c r="C1615" i="1"/>
  <c r="B1615" i="1"/>
  <c r="J1614" i="1"/>
  <c r="C1614" i="1"/>
  <c r="B1614" i="1"/>
  <c r="J1613" i="1"/>
  <c r="C1613" i="1"/>
  <c r="B1613" i="1"/>
  <c r="J1612" i="1"/>
  <c r="C1612" i="1"/>
  <c r="B1612" i="1"/>
  <c r="J1611" i="1"/>
  <c r="C1611" i="1"/>
  <c r="B1611" i="1"/>
  <c r="J1610" i="1"/>
  <c r="C1610" i="1"/>
  <c r="B1610" i="1"/>
  <c r="J1609" i="1"/>
  <c r="C1609" i="1"/>
  <c r="B1609" i="1"/>
  <c r="J1608" i="1"/>
  <c r="C1608" i="1"/>
  <c r="B1608" i="1"/>
  <c r="J1607" i="1"/>
  <c r="C1607" i="1"/>
  <c r="B1607" i="1"/>
  <c r="J1606" i="1"/>
  <c r="C1606" i="1"/>
  <c r="B1606" i="1"/>
  <c r="J1605" i="1"/>
  <c r="C1605" i="1"/>
  <c r="B1605" i="1"/>
  <c r="J1604" i="1"/>
  <c r="C1604" i="1"/>
  <c r="B1604" i="1"/>
  <c r="J1603" i="1"/>
  <c r="C1603" i="1"/>
  <c r="B1603" i="1"/>
  <c r="J1602" i="1"/>
  <c r="C1602" i="1"/>
  <c r="B1602" i="1"/>
  <c r="J1601" i="1"/>
  <c r="C1601" i="1"/>
  <c r="B1601" i="1"/>
  <c r="J1600" i="1"/>
  <c r="C1600" i="1"/>
  <c r="B1600" i="1"/>
  <c r="J1599" i="1"/>
  <c r="C1599" i="1"/>
  <c r="B1599" i="1"/>
  <c r="J1598" i="1"/>
  <c r="C1598" i="1"/>
  <c r="B1598" i="1"/>
  <c r="J1597" i="1"/>
  <c r="C1597" i="1"/>
  <c r="B1597" i="1"/>
  <c r="J1596" i="1"/>
  <c r="C1596" i="1"/>
  <c r="B1596" i="1"/>
  <c r="J1595" i="1"/>
  <c r="C1595" i="1"/>
  <c r="B1595" i="1"/>
  <c r="J1594" i="1"/>
  <c r="C1594" i="1"/>
  <c r="B1594" i="1"/>
  <c r="J1593" i="1"/>
  <c r="C1593" i="1"/>
  <c r="B1593" i="1"/>
  <c r="J1592" i="1"/>
  <c r="C1592" i="1"/>
  <c r="B1592" i="1"/>
  <c r="J1591" i="1"/>
  <c r="C1591" i="1"/>
  <c r="B1591" i="1"/>
  <c r="J1590" i="1"/>
  <c r="C1590" i="1"/>
  <c r="B1590" i="1"/>
  <c r="J1589" i="1"/>
  <c r="C1589" i="1"/>
  <c r="B1589" i="1"/>
  <c r="J1588" i="1"/>
  <c r="C1588" i="1"/>
  <c r="B1588" i="1"/>
  <c r="J1587" i="1"/>
  <c r="C1587" i="1"/>
  <c r="B1587" i="1"/>
  <c r="J1586" i="1"/>
  <c r="C1586" i="1"/>
  <c r="B1586" i="1"/>
  <c r="J1585" i="1"/>
  <c r="C1585" i="1"/>
  <c r="B1585" i="1"/>
  <c r="J1584" i="1"/>
  <c r="C1584" i="1"/>
  <c r="B1584" i="1"/>
  <c r="J1583" i="1"/>
  <c r="C1583" i="1"/>
  <c r="B1583" i="1"/>
  <c r="J1582" i="1"/>
  <c r="C1582" i="1"/>
  <c r="B1582" i="1"/>
  <c r="J1581" i="1"/>
  <c r="C1581" i="1"/>
  <c r="B1581" i="1"/>
  <c r="J1580" i="1"/>
  <c r="C1580" i="1"/>
  <c r="B1580" i="1"/>
  <c r="J1579" i="1"/>
  <c r="C1579" i="1"/>
  <c r="B1579" i="1"/>
  <c r="J1578" i="1"/>
  <c r="C1578" i="1"/>
  <c r="B1578" i="1"/>
  <c r="J1577" i="1"/>
  <c r="C1577" i="1"/>
  <c r="B1577" i="1"/>
  <c r="J1576" i="1"/>
  <c r="C1576" i="1"/>
  <c r="B1576" i="1"/>
  <c r="J1575" i="1"/>
  <c r="C1575" i="1"/>
  <c r="B1575" i="1"/>
  <c r="J1574" i="1"/>
  <c r="C1574" i="1"/>
  <c r="B1574" i="1"/>
  <c r="J1573" i="1"/>
  <c r="C1573" i="1"/>
  <c r="B1573" i="1"/>
  <c r="J1572" i="1"/>
  <c r="C1572" i="1"/>
  <c r="B1572" i="1"/>
  <c r="J1571" i="1"/>
  <c r="C1571" i="1"/>
  <c r="B1571" i="1"/>
  <c r="J1570" i="1"/>
  <c r="C1570" i="1"/>
  <c r="B1570" i="1"/>
  <c r="J1569" i="1"/>
  <c r="C1569" i="1"/>
  <c r="B1569" i="1"/>
  <c r="J1568" i="1"/>
  <c r="C1568" i="1"/>
  <c r="B1568" i="1"/>
  <c r="J1567" i="1"/>
  <c r="C1567" i="1"/>
  <c r="B1567" i="1"/>
  <c r="J1566" i="1"/>
  <c r="C1566" i="1"/>
  <c r="B1566" i="1"/>
  <c r="J1565" i="1"/>
  <c r="C1565" i="1"/>
  <c r="B1565" i="1"/>
  <c r="J1564" i="1"/>
  <c r="C1564" i="1"/>
  <c r="B1564" i="1"/>
  <c r="J1563" i="1"/>
  <c r="C1563" i="1"/>
  <c r="B1563" i="1"/>
  <c r="J1562" i="1"/>
  <c r="C1562" i="1"/>
  <c r="B1562" i="1"/>
  <c r="J1561" i="1"/>
  <c r="C1561" i="1"/>
  <c r="B1561" i="1"/>
  <c r="J1560" i="1"/>
  <c r="C1560" i="1"/>
  <c r="B1560" i="1"/>
  <c r="J1559" i="1"/>
  <c r="C1559" i="1"/>
  <c r="B1559" i="1"/>
  <c r="J1558" i="1"/>
  <c r="C1558" i="1"/>
  <c r="B1558" i="1"/>
  <c r="J1557" i="1"/>
  <c r="C1557" i="1"/>
  <c r="B1557" i="1"/>
  <c r="J1556" i="1"/>
  <c r="C1556" i="1"/>
  <c r="B1556" i="1"/>
  <c r="J1555" i="1"/>
  <c r="C1555" i="1"/>
  <c r="B1555" i="1"/>
  <c r="J1554" i="1"/>
  <c r="C1554" i="1"/>
  <c r="B1554" i="1"/>
  <c r="J1553" i="1"/>
  <c r="C1553" i="1"/>
  <c r="B1553" i="1"/>
  <c r="J1552" i="1"/>
  <c r="C1552" i="1"/>
  <c r="B1552" i="1"/>
  <c r="J1551" i="1"/>
  <c r="C1551" i="1"/>
  <c r="B1551" i="1"/>
  <c r="J1550" i="1"/>
  <c r="C1550" i="1"/>
  <c r="B1550" i="1"/>
  <c r="J1549" i="1"/>
  <c r="C1549" i="1"/>
  <c r="B1549" i="1"/>
  <c r="J1548" i="1"/>
  <c r="C1548" i="1"/>
  <c r="B1548" i="1"/>
  <c r="J1547" i="1"/>
  <c r="C1547" i="1"/>
  <c r="B1547" i="1"/>
  <c r="J1546" i="1"/>
  <c r="C1546" i="1"/>
  <c r="B1546" i="1"/>
  <c r="J1545" i="1"/>
  <c r="C1545" i="1"/>
  <c r="B1545" i="1"/>
  <c r="J1544" i="1"/>
  <c r="C1544" i="1"/>
  <c r="B1544" i="1"/>
  <c r="J1543" i="1"/>
  <c r="C1543" i="1"/>
  <c r="B1543" i="1"/>
  <c r="J1542" i="1"/>
  <c r="C1542" i="1"/>
  <c r="B1542" i="1"/>
  <c r="J1541" i="1"/>
  <c r="C1541" i="1"/>
  <c r="B1541" i="1"/>
  <c r="J1540" i="1"/>
  <c r="C1540" i="1"/>
  <c r="B1540" i="1"/>
  <c r="J1539" i="1"/>
  <c r="C1539" i="1"/>
  <c r="B1539" i="1"/>
  <c r="J1538" i="1"/>
  <c r="C1538" i="1"/>
  <c r="B1538" i="1"/>
  <c r="J1537" i="1"/>
  <c r="C1537" i="1"/>
  <c r="B1537" i="1"/>
  <c r="J1536" i="1"/>
  <c r="C1536" i="1"/>
  <c r="B1536" i="1"/>
  <c r="J1535" i="1"/>
  <c r="C1535" i="1"/>
  <c r="B1535" i="1"/>
  <c r="J1534" i="1"/>
  <c r="C1534" i="1"/>
  <c r="B1534" i="1"/>
  <c r="J1533" i="1"/>
  <c r="C1533" i="1"/>
  <c r="B1533" i="1"/>
  <c r="J1532" i="1"/>
  <c r="C1532" i="1"/>
  <c r="B1532" i="1"/>
  <c r="J1531" i="1"/>
  <c r="C1531" i="1"/>
  <c r="B1531" i="1"/>
  <c r="J1530" i="1"/>
  <c r="C1530" i="1"/>
  <c r="B1530" i="1"/>
  <c r="J1529" i="1"/>
  <c r="C1529" i="1"/>
  <c r="B1529" i="1"/>
  <c r="J1528" i="1"/>
  <c r="C1528" i="1"/>
  <c r="B1528" i="1"/>
  <c r="J1527" i="1"/>
  <c r="C1527" i="1"/>
  <c r="B1527" i="1"/>
  <c r="J1526" i="1"/>
  <c r="C1526" i="1"/>
  <c r="B1526" i="1"/>
  <c r="J1525" i="1"/>
  <c r="C1525" i="1"/>
  <c r="B1525" i="1"/>
  <c r="J1524" i="1"/>
  <c r="C1524" i="1"/>
  <c r="B1524" i="1"/>
  <c r="J1523" i="1"/>
  <c r="C1523" i="1"/>
  <c r="B1523" i="1"/>
  <c r="J1522" i="1"/>
  <c r="C1522" i="1"/>
  <c r="B1522" i="1"/>
  <c r="J1521" i="1"/>
  <c r="C1521" i="1"/>
  <c r="B1521" i="1"/>
  <c r="J1520" i="1"/>
  <c r="C1520" i="1"/>
  <c r="B1520" i="1"/>
  <c r="J1519" i="1"/>
  <c r="C1519" i="1"/>
  <c r="B1519" i="1"/>
  <c r="J1518" i="1"/>
  <c r="C1518" i="1"/>
  <c r="B1518" i="1"/>
  <c r="J1517" i="1"/>
  <c r="C1517" i="1"/>
  <c r="B1517" i="1"/>
  <c r="J1516" i="1"/>
  <c r="C1516" i="1"/>
  <c r="B1516" i="1"/>
  <c r="J1515" i="1"/>
  <c r="C1515" i="1"/>
  <c r="B1515" i="1"/>
  <c r="J1514" i="1"/>
  <c r="C1514" i="1"/>
  <c r="B1514" i="1"/>
  <c r="J1513" i="1"/>
  <c r="C1513" i="1"/>
  <c r="B1513" i="1"/>
  <c r="J1512" i="1"/>
  <c r="C1512" i="1"/>
  <c r="B1512" i="1"/>
  <c r="J1511" i="1"/>
  <c r="C1511" i="1"/>
  <c r="B1511" i="1"/>
  <c r="J1510" i="1"/>
  <c r="C1510" i="1"/>
  <c r="B1510" i="1"/>
  <c r="J1509" i="1"/>
  <c r="C1509" i="1"/>
  <c r="B1509" i="1"/>
  <c r="J1508" i="1"/>
  <c r="C1508" i="1"/>
  <c r="B1508" i="1"/>
  <c r="J1507" i="1"/>
  <c r="C1507" i="1"/>
  <c r="B1507" i="1"/>
  <c r="J1506" i="1"/>
  <c r="C1506" i="1"/>
  <c r="B1506" i="1"/>
  <c r="J1505" i="1"/>
  <c r="C1505" i="1"/>
  <c r="B1505" i="1"/>
  <c r="J1504" i="1"/>
  <c r="C1504" i="1"/>
  <c r="B1504" i="1"/>
  <c r="J1503" i="1"/>
  <c r="C1503" i="1"/>
  <c r="B1503" i="1"/>
  <c r="J1502" i="1"/>
  <c r="C1502" i="1"/>
  <c r="B1502" i="1"/>
  <c r="J1501" i="1"/>
  <c r="C1501" i="1"/>
  <c r="B1501" i="1"/>
  <c r="J1500" i="1"/>
  <c r="C1500" i="1"/>
  <c r="B1500" i="1"/>
  <c r="J1499" i="1"/>
  <c r="C1499" i="1"/>
  <c r="B1499" i="1"/>
  <c r="J1498" i="1"/>
  <c r="C1498" i="1"/>
  <c r="B1498" i="1"/>
  <c r="J1497" i="1"/>
  <c r="C1497" i="1"/>
  <c r="B1497" i="1"/>
  <c r="J1496" i="1"/>
  <c r="C1496" i="1"/>
  <c r="B1496" i="1"/>
  <c r="J1495" i="1"/>
  <c r="C1495" i="1"/>
  <c r="B1495" i="1"/>
  <c r="J1494" i="1"/>
  <c r="C1494" i="1"/>
  <c r="B1494" i="1"/>
  <c r="J1493" i="1"/>
  <c r="C1493" i="1"/>
  <c r="B1493" i="1"/>
  <c r="J1492" i="1"/>
  <c r="C1492" i="1"/>
  <c r="B1492" i="1"/>
  <c r="J1491" i="1"/>
  <c r="C1491" i="1"/>
  <c r="B1491" i="1"/>
  <c r="J1490" i="1"/>
  <c r="C1490" i="1"/>
  <c r="B1490" i="1"/>
  <c r="J1489" i="1"/>
  <c r="C1489" i="1"/>
  <c r="B1489" i="1"/>
  <c r="J1488" i="1"/>
  <c r="C1488" i="1"/>
  <c r="B1488" i="1"/>
  <c r="J1487" i="1"/>
  <c r="C1487" i="1"/>
  <c r="B1487" i="1"/>
  <c r="J1486" i="1"/>
  <c r="C1486" i="1"/>
  <c r="B1486" i="1"/>
  <c r="J1485" i="1"/>
  <c r="C1485" i="1"/>
  <c r="B1485" i="1"/>
  <c r="J1484" i="1"/>
  <c r="C1484" i="1"/>
  <c r="B1484" i="1"/>
  <c r="J1483" i="1"/>
  <c r="C1483" i="1"/>
  <c r="B1483" i="1"/>
  <c r="J1482" i="1"/>
  <c r="C1482" i="1"/>
  <c r="B1482" i="1"/>
  <c r="J1481" i="1"/>
  <c r="C1481" i="1"/>
  <c r="B1481" i="1"/>
  <c r="J1480" i="1"/>
  <c r="C1480" i="1"/>
  <c r="B1480" i="1"/>
  <c r="J1479" i="1"/>
  <c r="C1479" i="1"/>
  <c r="B1479" i="1"/>
  <c r="J1478" i="1"/>
  <c r="C1478" i="1"/>
  <c r="B1478" i="1"/>
  <c r="J1477" i="1"/>
  <c r="C1477" i="1"/>
  <c r="B1477" i="1"/>
  <c r="J1476" i="1"/>
  <c r="C1476" i="1"/>
  <c r="B1476" i="1"/>
  <c r="J1475" i="1"/>
  <c r="C1475" i="1"/>
  <c r="B1475" i="1"/>
  <c r="J1474" i="1"/>
  <c r="C1474" i="1"/>
  <c r="B1474" i="1"/>
  <c r="J1473" i="1"/>
  <c r="C1473" i="1"/>
  <c r="B1473" i="1"/>
  <c r="J1472" i="1"/>
  <c r="C1472" i="1"/>
  <c r="B1472" i="1"/>
  <c r="J1471" i="1"/>
  <c r="C1471" i="1"/>
  <c r="B1471" i="1"/>
  <c r="J1470" i="1"/>
  <c r="C1470" i="1"/>
  <c r="B1470" i="1"/>
  <c r="J1469" i="1"/>
  <c r="C1469" i="1"/>
  <c r="B1469" i="1"/>
  <c r="J1468" i="1"/>
  <c r="C1468" i="1"/>
  <c r="B1468" i="1"/>
  <c r="J1467" i="1"/>
  <c r="C1467" i="1"/>
  <c r="B1467" i="1"/>
  <c r="J1466" i="1"/>
  <c r="C1466" i="1"/>
  <c r="B1466" i="1"/>
  <c r="J1465" i="1"/>
  <c r="C1465" i="1"/>
  <c r="B1465" i="1"/>
  <c r="J1464" i="1"/>
  <c r="C1464" i="1"/>
  <c r="B1464" i="1"/>
  <c r="J1463" i="1"/>
  <c r="C1463" i="1"/>
  <c r="B1463" i="1"/>
  <c r="J1462" i="1"/>
  <c r="C1462" i="1"/>
  <c r="B1462" i="1"/>
  <c r="J1461" i="1"/>
  <c r="C1461" i="1"/>
  <c r="B1461" i="1"/>
  <c r="J1460" i="1"/>
  <c r="C1460" i="1"/>
  <c r="B1460" i="1"/>
  <c r="J1459" i="1"/>
  <c r="C1459" i="1"/>
  <c r="B1459" i="1"/>
  <c r="J1458" i="1"/>
  <c r="C1458" i="1"/>
  <c r="B1458" i="1"/>
  <c r="J1457" i="1"/>
  <c r="C1457" i="1"/>
  <c r="B1457" i="1"/>
  <c r="J1456" i="1"/>
  <c r="C1456" i="1"/>
  <c r="B1456" i="1"/>
  <c r="J1455" i="1"/>
  <c r="C1455" i="1"/>
  <c r="B1455" i="1"/>
  <c r="J1454" i="1"/>
  <c r="C1454" i="1"/>
  <c r="B1454" i="1"/>
  <c r="J1453" i="1"/>
  <c r="C1453" i="1"/>
  <c r="B1453" i="1"/>
  <c r="J1452" i="1"/>
  <c r="C1452" i="1"/>
  <c r="B1452" i="1"/>
  <c r="J1451" i="1"/>
  <c r="C1451" i="1"/>
  <c r="B1451" i="1"/>
  <c r="J1450" i="1"/>
  <c r="C1450" i="1"/>
  <c r="B1450" i="1"/>
  <c r="J1449" i="1"/>
  <c r="C1449" i="1"/>
  <c r="B1449" i="1"/>
  <c r="J1448" i="1"/>
  <c r="C1448" i="1"/>
  <c r="B1448" i="1"/>
  <c r="J1447" i="1"/>
  <c r="C1447" i="1"/>
  <c r="B1447" i="1"/>
  <c r="J1446" i="1"/>
  <c r="C1446" i="1"/>
  <c r="B1446" i="1"/>
  <c r="J1445" i="1"/>
  <c r="C1445" i="1"/>
  <c r="B1445" i="1"/>
  <c r="J1444" i="1"/>
  <c r="C1444" i="1"/>
  <c r="B1444" i="1"/>
  <c r="J1443" i="1"/>
  <c r="C1443" i="1"/>
  <c r="B1443" i="1"/>
  <c r="J1442" i="1"/>
  <c r="C1442" i="1"/>
  <c r="B1442" i="1"/>
  <c r="J1441" i="1"/>
  <c r="C1441" i="1"/>
  <c r="B1441" i="1"/>
  <c r="J1440" i="1"/>
  <c r="C1440" i="1"/>
  <c r="B1440" i="1"/>
  <c r="J1439" i="1"/>
  <c r="C1439" i="1"/>
  <c r="B1439" i="1"/>
  <c r="J1438" i="1"/>
  <c r="C1438" i="1"/>
  <c r="B1438" i="1"/>
  <c r="J1437" i="1"/>
  <c r="C1437" i="1"/>
  <c r="B1437" i="1"/>
  <c r="J1436" i="1"/>
  <c r="C1436" i="1"/>
  <c r="B1436" i="1"/>
  <c r="J1435" i="1"/>
  <c r="C1435" i="1"/>
  <c r="B1435" i="1"/>
  <c r="J1434" i="1"/>
  <c r="C1434" i="1"/>
  <c r="B1434" i="1"/>
  <c r="J1433" i="1"/>
  <c r="C1433" i="1"/>
  <c r="B1433" i="1"/>
  <c r="J1432" i="1"/>
  <c r="C1432" i="1"/>
  <c r="B1432" i="1"/>
  <c r="J1431" i="1"/>
  <c r="C1431" i="1"/>
  <c r="B1431" i="1"/>
  <c r="J1430" i="1"/>
  <c r="C1430" i="1"/>
  <c r="B1430" i="1"/>
  <c r="J1429" i="1"/>
  <c r="C1429" i="1"/>
  <c r="B1429" i="1"/>
  <c r="J1428" i="1"/>
  <c r="C1428" i="1"/>
  <c r="B1428" i="1"/>
  <c r="J1427" i="1"/>
  <c r="C1427" i="1"/>
  <c r="B1427" i="1"/>
  <c r="J1426" i="1"/>
  <c r="C1426" i="1"/>
  <c r="B1426" i="1"/>
  <c r="J1425" i="1"/>
  <c r="C1425" i="1"/>
  <c r="B1425" i="1"/>
  <c r="J1424" i="1"/>
  <c r="C1424" i="1"/>
  <c r="B1424" i="1"/>
  <c r="J1423" i="1"/>
  <c r="C1423" i="1"/>
  <c r="B1423" i="1"/>
  <c r="J1422" i="1"/>
  <c r="C1422" i="1"/>
  <c r="B1422" i="1"/>
  <c r="J1421" i="1"/>
  <c r="C1421" i="1"/>
  <c r="B1421" i="1"/>
  <c r="J1420" i="1"/>
  <c r="C1420" i="1"/>
  <c r="B1420" i="1"/>
  <c r="J1419" i="1"/>
  <c r="C1419" i="1"/>
  <c r="B1419" i="1"/>
  <c r="J1418" i="1"/>
  <c r="C1418" i="1"/>
  <c r="B1418" i="1"/>
  <c r="J1417" i="1"/>
  <c r="C1417" i="1"/>
  <c r="B1417" i="1"/>
  <c r="J1416" i="1"/>
  <c r="C1416" i="1"/>
  <c r="B1416" i="1"/>
  <c r="J1415" i="1"/>
  <c r="C1415" i="1"/>
  <c r="B1415" i="1"/>
  <c r="J1414" i="1"/>
  <c r="C1414" i="1"/>
  <c r="B1414" i="1"/>
  <c r="J1413" i="1"/>
  <c r="C1413" i="1"/>
  <c r="B1413" i="1"/>
  <c r="J1412" i="1"/>
  <c r="C1412" i="1"/>
  <c r="B1412" i="1"/>
  <c r="J1411" i="1"/>
  <c r="C1411" i="1"/>
  <c r="B1411" i="1"/>
  <c r="J1410" i="1"/>
  <c r="C1410" i="1"/>
  <c r="B1410" i="1"/>
  <c r="J1409" i="1"/>
  <c r="C1409" i="1"/>
  <c r="B1409" i="1"/>
  <c r="J1408" i="1"/>
  <c r="C1408" i="1"/>
  <c r="B1408" i="1"/>
  <c r="J1407" i="1"/>
  <c r="C1407" i="1"/>
  <c r="B1407" i="1"/>
  <c r="J1406" i="1"/>
  <c r="C1406" i="1"/>
  <c r="B1406" i="1"/>
  <c r="J1405" i="1"/>
  <c r="C1405" i="1"/>
  <c r="B1405" i="1"/>
  <c r="J1404" i="1"/>
  <c r="C1404" i="1"/>
  <c r="B1404" i="1"/>
  <c r="J1403" i="1"/>
  <c r="C1403" i="1"/>
  <c r="B1403" i="1"/>
  <c r="J1402" i="1"/>
  <c r="C1402" i="1"/>
  <c r="B1402" i="1"/>
  <c r="J1401" i="1"/>
  <c r="C1401" i="1"/>
  <c r="B1401" i="1"/>
  <c r="J1400" i="1"/>
  <c r="C1400" i="1"/>
  <c r="B1400" i="1"/>
  <c r="J1399" i="1"/>
  <c r="C1399" i="1"/>
  <c r="B1399" i="1"/>
  <c r="J1398" i="1"/>
  <c r="C1398" i="1"/>
  <c r="B1398" i="1"/>
  <c r="J1397" i="1"/>
  <c r="C1397" i="1"/>
  <c r="B1397" i="1"/>
  <c r="J1396" i="1"/>
  <c r="C1396" i="1"/>
  <c r="B1396" i="1"/>
  <c r="J1395" i="1"/>
  <c r="C1395" i="1"/>
  <c r="B1395" i="1"/>
  <c r="J1394" i="1"/>
  <c r="C1394" i="1"/>
  <c r="B1394" i="1"/>
  <c r="J1393" i="1"/>
  <c r="C1393" i="1"/>
  <c r="B1393" i="1"/>
  <c r="J1392" i="1"/>
  <c r="C1392" i="1"/>
  <c r="B1392" i="1"/>
  <c r="J1391" i="1"/>
  <c r="C1391" i="1"/>
  <c r="B1391" i="1"/>
  <c r="J1390" i="1"/>
  <c r="C1390" i="1"/>
  <c r="B1390" i="1"/>
  <c r="J1389" i="1"/>
  <c r="C1389" i="1"/>
  <c r="B1389" i="1"/>
  <c r="J1388" i="1"/>
  <c r="C1388" i="1"/>
  <c r="B1388" i="1"/>
  <c r="J1387" i="1"/>
  <c r="C1387" i="1"/>
  <c r="B1387" i="1"/>
  <c r="J1386" i="1"/>
  <c r="C1386" i="1"/>
  <c r="B1386" i="1"/>
  <c r="J1385" i="1"/>
  <c r="C1385" i="1"/>
  <c r="B1385" i="1"/>
  <c r="J1384" i="1"/>
  <c r="C1384" i="1"/>
  <c r="B1384" i="1"/>
  <c r="J1383" i="1"/>
  <c r="C1383" i="1"/>
  <c r="B1383" i="1"/>
  <c r="J1382" i="1"/>
  <c r="C1382" i="1"/>
  <c r="B1382" i="1"/>
  <c r="J1381" i="1"/>
  <c r="C1381" i="1"/>
  <c r="B1381" i="1"/>
  <c r="J1380" i="1"/>
  <c r="C1380" i="1"/>
  <c r="B1380" i="1"/>
  <c r="J1379" i="1"/>
  <c r="C1379" i="1"/>
  <c r="B1379" i="1"/>
  <c r="J1378" i="1"/>
  <c r="C1378" i="1"/>
  <c r="B1378" i="1"/>
  <c r="J1377" i="1"/>
  <c r="C1377" i="1"/>
  <c r="B1377" i="1"/>
  <c r="J1376" i="1"/>
  <c r="C1376" i="1"/>
  <c r="B1376" i="1"/>
  <c r="J1375" i="1"/>
  <c r="C1375" i="1"/>
  <c r="B1375" i="1"/>
  <c r="J1374" i="1"/>
  <c r="C1374" i="1"/>
  <c r="B1374" i="1"/>
  <c r="J1373" i="1"/>
  <c r="C1373" i="1"/>
  <c r="B1373" i="1"/>
  <c r="J1372" i="1"/>
  <c r="C1372" i="1"/>
  <c r="B1372" i="1"/>
  <c r="J1371" i="1"/>
  <c r="C1371" i="1"/>
  <c r="B1371" i="1"/>
  <c r="J1370" i="1"/>
  <c r="C1370" i="1"/>
  <c r="B1370" i="1"/>
  <c r="J1369" i="1"/>
  <c r="C1369" i="1"/>
  <c r="B1369" i="1"/>
  <c r="J1368" i="1"/>
  <c r="C1368" i="1"/>
  <c r="B1368" i="1"/>
  <c r="J1367" i="1"/>
  <c r="C1367" i="1"/>
  <c r="B1367" i="1"/>
  <c r="J1366" i="1"/>
  <c r="C1366" i="1"/>
  <c r="B1366" i="1"/>
  <c r="J1365" i="1"/>
  <c r="C1365" i="1"/>
  <c r="B1365" i="1"/>
  <c r="J1364" i="1"/>
  <c r="C1364" i="1"/>
  <c r="B1364" i="1"/>
  <c r="J1363" i="1"/>
  <c r="C1363" i="1"/>
  <c r="B1363" i="1"/>
  <c r="J1362" i="1"/>
  <c r="C1362" i="1"/>
  <c r="B1362" i="1"/>
  <c r="J1361" i="1"/>
  <c r="C1361" i="1"/>
  <c r="B1361" i="1"/>
  <c r="J1360" i="1"/>
  <c r="C1360" i="1"/>
  <c r="B1360" i="1"/>
  <c r="J1359" i="1"/>
  <c r="C1359" i="1"/>
  <c r="B1359" i="1"/>
  <c r="J1358" i="1"/>
  <c r="C1358" i="1"/>
  <c r="B1358" i="1"/>
  <c r="J1357" i="1"/>
  <c r="C1357" i="1"/>
  <c r="B1357" i="1"/>
  <c r="J1356" i="1"/>
  <c r="C1356" i="1"/>
  <c r="B1356" i="1"/>
  <c r="J1355" i="1"/>
  <c r="C1355" i="1"/>
  <c r="B1355" i="1"/>
  <c r="J1354" i="1"/>
  <c r="C1354" i="1"/>
  <c r="B1354" i="1"/>
  <c r="J1353" i="1"/>
  <c r="C1353" i="1"/>
  <c r="B1353" i="1"/>
  <c r="J1352" i="1"/>
  <c r="C1352" i="1"/>
  <c r="B1352" i="1"/>
  <c r="J1351" i="1"/>
  <c r="C1351" i="1"/>
  <c r="B1351" i="1"/>
  <c r="J1350" i="1"/>
  <c r="C1350" i="1"/>
  <c r="B1350" i="1"/>
  <c r="J1349" i="1"/>
  <c r="C1349" i="1"/>
  <c r="B1349" i="1"/>
  <c r="J1348" i="1"/>
  <c r="C1348" i="1"/>
  <c r="B1348" i="1"/>
  <c r="J1347" i="1"/>
  <c r="C1347" i="1"/>
  <c r="B1347" i="1"/>
  <c r="J1346" i="1"/>
  <c r="C1346" i="1"/>
  <c r="B1346" i="1"/>
  <c r="J1345" i="1"/>
  <c r="C1345" i="1"/>
  <c r="B1345" i="1"/>
  <c r="J1344" i="1"/>
  <c r="C1344" i="1"/>
  <c r="B1344" i="1"/>
  <c r="J1343" i="1"/>
  <c r="C1343" i="1"/>
  <c r="B1343" i="1"/>
  <c r="J1342" i="1"/>
  <c r="C1342" i="1"/>
  <c r="B1342" i="1"/>
  <c r="J1341" i="1"/>
  <c r="C1341" i="1"/>
  <c r="B1341" i="1"/>
  <c r="J1340" i="1"/>
  <c r="C1340" i="1"/>
  <c r="B1340" i="1"/>
  <c r="J1339" i="1"/>
  <c r="C1339" i="1"/>
  <c r="B1339" i="1"/>
  <c r="J1338" i="1"/>
  <c r="C1338" i="1"/>
  <c r="B1338" i="1"/>
  <c r="J1337" i="1"/>
  <c r="C1337" i="1"/>
  <c r="B1337" i="1"/>
  <c r="J1336" i="1"/>
  <c r="C1336" i="1"/>
  <c r="B1336" i="1"/>
  <c r="J1335" i="1"/>
  <c r="C1335" i="1"/>
  <c r="B1335" i="1"/>
  <c r="J1334" i="1"/>
  <c r="C1334" i="1"/>
  <c r="B1334" i="1"/>
  <c r="J1333" i="1"/>
  <c r="C1333" i="1"/>
  <c r="B1333" i="1"/>
  <c r="J1332" i="1"/>
  <c r="C1332" i="1"/>
  <c r="B1332" i="1"/>
  <c r="J1331" i="1"/>
  <c r="C1331" i="1"/>
  <c r="B1331" i="1"/>
  <c r="J1330" i="1"/>
  <c r="C1330" i="1"/>
  <c r="B1330" i="1"/>
  <c r="J1329" i="1"/>
  <c r="C1329" i="1"/>
  <c r="B1329" i="1"/>
  <c r="J1328" i="1"/>
  <c r="C1328" i="1"/>
  <c r="B1328" i="1"/>
  <c r="J1327" i="1"/>
  <c r="C1327" i="1"/>
  <c r="B1327" i="1"/>
  <c r="J1326" i="1"/>
  <c r="C1326" i="1"/>
  <c r="B1326" i="1"/>
  <c r="J1325" i="1"/>
  <c r="C1325" i="1"/>
  <c r="B1325" i="1"/>
  <c r="J1324" i="1"/>
  <c r="C1324" i="1"/>
  <c r="B1324" i="1"/>
  <c r="J1323" i="1"/>
  <c r="C1323" i="1"/>
  <c r="B1323" i="1"/>
  <c r="J1322" i="1"/>
  <c r="C1322" i="1"/>
  <c r="B1322" i="1"/>
  <c r="J1321" i="1"/>
  <c r="C1321" i="1"/>
  <c r="B1321" i="1"/>
  <c r="J1320" i="1"/>
  <c r="C1320" i="1"/>
  <c r="B1320" i="1"/>
  <c r="J1319" i="1"/>
  <c r="C1319" i="1"/>
  <c r="B1319" i="1"/>
  <c r="J1318" i="1"/>
  <c r="C1318" i="1"/>
  <c r="B1318" i="1"/>
  <c r="J1317" i="1"/>
  <c r="C1317" i="1"/>
  <c r="B1317" i="1"/>
  <c r="J1316" i="1"/>
  <c r="C1316" i="1"/>
  <c r="B1316" i="1"/>
  <c r="J1315" i="1"/>
  <c r="C1315" i="1"/>
  <c r="B1315" i="1"/>
  <c r="J1314" i="1"/>
  <c r="C1314" i="1"/>
  <c r="B1314" i="1"/>
  <c r="J1313" i="1"/>
  <c r="C1313" i="1"/>
  <c r="B1313" i="1"/>
  <c r="J1312" i="1"/>
  <c r="C1312" i="1"/>
  <c r="B1312" i="1"/>
  <c r="J1311" i="1"/>
  <c r="C1311" i="1"/>
  <c r="B1311" i="1"/>
  <c r="J1310" i="1"/>
  <c r="C1310" i="1"/>
  <c r="B1310" i="1"/>
  <c r="J1309" i="1"/>
  <c r="C1309" i="1"/>
  <c r="B1309" i="1"/>
  <c r="J1308" i="1"/>
  <c r="C1308" i="1"/>
  <c r="B1308" i="1"/>
  <c r="J1307" i="1"/>
  <c r="C1307" i="1"/>
  <c r="B1307" i="1"/>
  <c r="J1306" i="1"/>
  <c r="C1306" i="1"/>
  <c r="B1306" i="1"/>
  <c r="J1305" i="1"/>
  <c r="C1305" i="1"/>
  <c r="B1305" i="1"/>
  <c r="J1304" i="1"/>
  <c r="C1304" i="1"/>
  <c r="B1304" i="1"/>
  <c r="J1303" i="1"/>
  <c r="C1303" i="1"/>
  <c r="B1303" i="1"/>
  <c r="J1302" i="1"/>
  <c r="C1302" i="1"/>
  <c r="B1302" i="1"/>
  <c r="J1301" i="1"/>
  <c r="C1301" i="1"/>
  <c r="B1301" i="1"/>
  <c r="J1300" i="1"/>
  <c r="C1300" i="1"/>
  <c r="B1300" i="1"/>
  <c r="J1299" i="1"/>
  <c r="C1299" i="1"/>
  <c r="B1299" i="1"/>
  <c r="J1298" i="1"/>
  <c r="C1298" i="1"/>
  <c r="B1298" i="1"/>
  <c r="J1297" i="1"/>
  <c r="C1297" i="1"/>
  <c r="B1297" i="1"/>
  <c r="J1296" i="1"/>
  <c r="C1296" i="1"/>
  <c r="B1296" i="1"/>
  <c r="J1295" i="1"/>
  <c r="C1295" i="1"/>
  <c r="B1295" i="1"/>
  <c r="J1294" i="1"/>
  <c r="C1294" i="1"/>
  <c r="B1294" i="1"/>
  <c r="J1293" i="1"/>
  <c r="C1293" i="1"/>
  <c r="B1293" i="1"/>
  <c r="J1292" i="1"/>
  <c r="C1292" i="1"/>
  <c r="B1292" i="1"/>
  <c r="J1291" i="1"/>
  <c r="C1291" i="1"/>
  <c r="B1291" i="1"/>
  <c r="J1290" i="1"/>
  <c r="C1290" i="1"/>
  <c r="B1290" i="1"/>
  <c r="J1289" i="1"/>
  <c r="C1289" i="1"/>
  <c r="B1289" i="1"/>
  <c r="J1288" i="1"/>
  <c r="C1288" i="1"/>
  <c r="B1288" i="1"/>
  <c r="J1287" i="1"/>
  <c r="C1287" i="1"/>
  <c r="B1287" i="1"/>
  <c r="J1286" i="1"/>
  <c r="C1286" i="1"/>
  <c r="B1286" i="1"/>
  <c r="J1285" i="1"/>
  <c r="C1285" i="1"/>
  <c r="B1285" i="1"/>
  <c r="J1284" i="1"/>
  <c r="C1284" i="1"/>
  <c r="B1284" i="1"/>
  <c r="J1283" i="1"/>
  <c r="C1283" i="1"/>
  <c r="B1283" i="1"/>
  <c r="J1282" i="1"/>
  <c r="C1282" i="1"/>
  <c r="B1282" i="1"/>
  <c r="J1281" i="1"/>
  <c r="C1281" i="1"/>
  <c r="B1281" i="1"/>
  <c r="J1280" i="1"/>
  <c r="C1280" i="1"/>
  <c r="B1280" i="1"/>
  <c r="J1279" i="1"/>
  <c r="C1279" i="1"/>
  <c r="B1279" i="1"/>
  <c r="J1278" i="1"/>
  <c r="C1278" i="1"/>
  <c r="B1278" i="1"/>
  <c r="J1277" i="1"/>
  <c r="C1277" i="1"/>
  <c r="B1277" i="1"/>
  <c r="J1276" i="1"/>
  <c r="C1276" i="1"/>
  <c r="B1276" i="1"/>
  <c r="J1275" i="1"/>
  <c r="C1275" i="1"/>
  <c r="B1275" i="1"/>
  <c r="J1274" i="1"/>
  <c r="C1274" i="1"/>
  <c r="B1274" i="1"/>
  <c r="J1273" i="1"/>
  <c r="C1273" i="1"/>
  <c r="B1273" i="1"/>
  <c r="J1272" i="1"/>
  <c r="C1272" i="1"/>
  <c r="B1272" i="1"/>
  <c r="J1271" i="1"/>
  <c r="C1271" i="1"/>
  <c r="B1271" i="1"/>
  <c r="J1270" i="1"/>
  <c r="C1270" i="1"/>
  <c r="B1270" i="1"/>
  <c r="J1269" i="1"/>
  <c r="C1269" i="1"/>
  <c r="B1269" i="1"/>
  <c r="J1268" i="1"/>
  <c r="C1268" i="1"/>
  <c r="B1268" i="1"/>
  <c r="J1267" i="1"/>
  <c r="C1267" i="1"/>
  <c r="B1267" i="1"/>
  <c r="J1266" i="1"/>
  <c r="C1266" i="1"/>
  <c r="B1266" i="1"/>
  <c r="J1265" i="1"/>
  <c r="C1265" i="1"/>
  <c r="B1265" i="1"/>
  <c r="J1264" i="1"/>
  <c r="C1264" i="1"/>
  <c r="B1264" i="1"/>
  <c r="J1263" i="1"/>
  <c r="C1263" i="1"/>
  <c r="B1263" i="1"/>
  <c r="J1262" i="1"/>
  <c r="C1262" i="1"/>
  <c r="B1262" i="1"/>
  <c r="J1261" i="1"/>
  <c r="C1261" i="1"/>
  <c r="B1261" i="1"/>
  <c r="J1260" i="1"/>
  <c r="C1260" i="1"/>
  <c r="B1260" i="1"/>
  <c r="J1259" i="1"/>
  <c r="C1259" i="1"/>
  <c r="B1259" i="1"/>
  <c r="J1258" i="1"/>
  <c r="C1258" i="1"/>
  <c r="B1258" i="1"/>
  <c r="J1257" i="1"/>
  <c r="C1257" i="1"/>
  <c r="B1257" i="1"/>
  <c r="J1256" i="1"/>
  <c r="C1256" i="1"/>
  <c r="B1256" i="1"/>
  <c r="J1255" i="1"/>
  <c r="C1255" i="1"/>
  <c r="B1255" i="1"/>
  <c r="J1254" i="1"/>
  <c r="C1254" i="1"/>
  <c r="B1254" i="1"/>
  <c r="J1253" i="1"/>
  <c r="C1253" i="1"/>
  <c r="B1253" i="1"/>
  <c r="J1252" i="1"/>
  <c r="C1252" i="1"/>
  <c r="B1252" i="1"/>
  <c r="J1251" i="1"/>
  <c r="C1251" i="1"/>
  <c r="B1251" i="1"/>
  <c r="J1250" i="1"/>
  <c r="C1250" i="1"/>
  <c r="B1250" i="1"/>
  <c r="J1249" i="1"/>
  <c r="C1249" i="1"/>
  <c r="B1249" i="1"/>
  <c r="J1248" i="1"/>
  <c r="C1248" i="1"/>
  <c r="B1248" i="1"/>
  <c r="J1247" i="1"/>
  <c r="C1247" i="1"/>
  <c r="B1247" i="1"/>
  <c r="J1246" i="1"/>
  <c r="C1246" i="1"/>
  <c r="B1246" i="1"/>
  <c r="J1245" i="1"/>
  <c r="C1245" i="1"/>
  <c r="B1245" i="1"/>
  <c r="J1244" i="1"/>
  <c r="C1244" i="1"/>
  <c r="B1244" i="1"/>
  <c r="J1243" i="1"/>
  <c r="C1243" i="1"/>
  <c r="B1243" i="1"/>
  <c r="J1242" i="1"/>
  <c r="C1242" i="1"/>
  <c r="B1242" i="1"/>
  <c r="J1241" i="1"/>
  <c r="C1241" i="1"/>
  <c r="B1241" i="1"/>
  <c r="J1240" i="1"/>
  <c r="C1240" i="1"/>
  <c r="B1240" i="1"/>
  <c r="J1239" i="1"/>
  <c r="C1239" i="1"/>
  <c r="B1239" i="1"/>
  <c r="J1238" i="1"/>
  <c r="C1238" i="1"/>
  <c r="B1238" i="1"/>
  <c r="J1237" i="1"/>
  <c r="C1237" i="1"/>
  <c r="B1237" i="1"/>
  <c r="J1236" i="1"/>
  <c r="C1236" i="1"/>
  <c r="B1236" i="1"/>
  <c r="J1235" i="1"/>
  <c r="C1235" i="1"/>
  <c r="B1235" i="1"/>
  <c r="J1234" i="1"/>
  <c r="C1234" i="1"/>
  <c r="B1234" i="1"/>
  <c r="J1233" i="1"/>
  <c r="C1233" i="1"/>
  <c r="B1233" i="1"/>
  <c r="J1232" i="1"/>
  <c r="C1232" i="1"/>
  <c r="B1232" i="1"/>
  <c r="J1231" i="1"/>
  <c r="C1231" i="1"/>
  <c r="B1231" i="1"/>
  <c r="J1230" i="1"/>
  <c r="C1230" i="1"/>
  <c r="B1230" i="1"/>
  <c r="J1229" i="1"/>
  <c r="C1229" i="1"/>
  <c r="B1229" i="1"/>
  <c r="J1228" i="1"/>
  <c r="C1228" i="1"/>
  <c r="B1228" i="1"/>
  <c r="J1227" i="1"/>
  <c r="C1227" i="1"/>
  <c r="B1227" i="1"/>
  <c r="J1226" i="1"/>
  <c r="C1226" i="1"/>
  <c r="B1226" i="1"/>
  <c r="J1225" i="1"/>
  <c r="C1225" i="1"/>
  <c r="B1225" i="1"/>
  <c r="J1224" i="1"/>
  <c r="C1224" i="1"/>
  <c r="B1224" i="1"/>
  <c r="J1223" i="1"/>
  <c r="C1223" i="1"/>
  <c r="B1223" i="1"/>
  <c r="J1222" i="1"/>
  <c r="C1222" i="1"/>
  <c r="B1222" i="1"/>
  <c r="J1221" i="1"/>
  <c r="C1221" i="1"/>
  <c r="B1221" i="1"/>
  <c r="J1220" i="1"/>
  <c r="C1220" i="1"/>
  <c r="B1220" i="1"/>
  <c r="J1219" i="1"/>
  <c r="C1219" i="1"/>
  <c r="B1219" i="1"/>
  <c r="J1218" i="1"/>
  <c r="C1218" i="1"/>
  <c r="B1218" i="1"/>
  <c r="J1217" i="1"/>
  <c r="C1217" i="1"/>
  <c r="B1217" i="1"/>
  <c r="J1216" i="1"/>
  <c r="C1216" i="1"/>
  <c r="B1216" i="1"/>
  <c r="J1215" i="1"/>
  <c r="C1215" i="1"/>
  <c r="B1215" i="1"/>
  <c r="J1214" i="1"/>
  <c r="C1214" i="1"/>
  <c r="B1214" i="1"/>
  <c r="J1213" i="1"/>
  <c r="C1213" i="1"/>
  <c r="B1213" i="1"/>
  <c r="J1212" i="1"/>
  <c r="C1212" i="1"/>
  <c r="B1212" i="1"/>
  <c r="J1211" i="1"/>
  <c r="C1211" i="1"/>
  <c r="B1211" i="1"/>
  <c r="J1210" i="1"/>
  <c r="C1210" i="1"/>
  <c r="B1210" i="1"/>
  <c r="J1209" i="1"/>
  <c r="C1209" i="1"/>
  <c r="B1209" i="1"/>
  <c r="J1208" i="1"/>
  <c r="C1208" i="1"/>
  <c r="B1208" i="1"/>
  <c r="J1207" i="1"/>
  <c r="C1207" i="1"/>
  <c r="B1207" i="1"/>
  <c r="J1206" i="1"/>
  <c r="C1206" i="1"/>
  <c r="B1206" i="1"/>
  <c r="J1205" i="1"/>
  <c r="C1205" i="1"/>
  <c r="B1205" i="1"/>
  <c r="J1204" i="1"/>
  <c r="C1204" i="1"/>
  <c r="B1204" i="1"/>
  <c r="J1203" i="1"/>
  <c r="C1203" i="1"/>
  <c r="B1203" i="1"/>
  <c r="J1202" i="1"/>
  <c r="C1202" i="1"/>
  <c r="B1202" i="1"/>
  <c r="J1201" i="1"/>
  <c r="C1201" i="1"/>
  <c r="B1201" i="1"/>
  <c r="J1200" i="1"/>
  <c r="C1200" i="1"/>
  <c r="B1200" i="1"/>
  <c r="J1199" i="1"/>
  <c r="C1199" i="1"/>
  <c r="B1199" i="1"/>
  <c r="J1198" i="1"/>
  <c r="C1198" i="1"/>
  <c r="B1198" i="1"/>
  <c r="J1197" i="1"/>
  <c r="C1197" i="1"/>
  <c r="B1197" i="1"/>
  <c r="J1196" i="1"/>
  <c r="C1196" i="1"/>
  <c r="B1196" i="1"/>
  <c r="J1195" i="1"/>
  <c r="C1195" i="1"/>
  <c r="B1195" i="1"/>
  <c r="J1194" i="1"/>
  <c r="C1194" i="1"/>
  <c r="B1194" i="1"/>
  <c r="J1193" i="1"/>
  <c r="C1193" i="1"/>
  <c r="B1193" i="1"/>
  <c r="J1192" i="1"/>
  <c r="C1192" i="1"/>
  <c r="B1192" i="1"/>
  <c r="J1191" i="1"/>
  <c r="C1191" i="1"/>
  <c r="B1191" i="1"/>
  <c r="J1190" i="1"/>
  <c r="C1190" i="1"/>
  <c r="B1190" i="1"/>
  <c r="J1189" i="1"/>
  <c r="C1189" i="1"/>
  <c r="B1189" i="1"/>
  <c r="J1188" i="1"/>
  <c r="C1188" i="1"/>
  <c r="B1188" i="1"/>
  <c r="J1187" i="1"/>
  <c r="C1187" i="1"/>
  <c r="B1187" i="1"/>
  <c r="J1186" i="1"/>
  <c r="C1186" i="1"/>
  <c r="B1186" i="1"/>
  <c r="J1185" i="1"/>
  <c r="C1185" i="1"/>
  <c r="B1185" i="1"/>
  <c r="J1184" i="1"/>
  <c r="C1184" i="1"/>
  <c r="B1184" i="1"/>
  <c r="J1183" i="1"/>
  <c r="C1183" i="1"/>
  <c r="B1183" i="1"/>
  <c r="J1182" i="1"/>
  <c r="C1182" i="1"/>
  <c r="B1182" i="1"/>
  <c r="J1181" i="1"/>
  <c r="C1181" i="1"/>
  <c r="B1181" i="1"/>
  <c r="J1180" i="1"/>
  <c r="C1180" i="1"/>
  <c r="B1180" i="1"/>
  <c r="J1179" i="1"/>
  <c r="C1179" i="1"/>
  <c r="B1179" i="1"/>
  <c r="J1178" i="1"/>
  <c r="C1178" i="1"/>
  <c r="B1178" i="1"/>
  <c r="J1177" i="1"/>
  <c r="C1177" i="1"/>
  <c r="B1177" i="1"/>
  <c r="J1176" i="1"/>
  <c r="C1176" i="1"/>
  <c r="B1176" i="1"/>
  <c r="J1175" i="1"/>
  <c r="C1175" i="1"/>
  <c r="B1175" i="1"/>
  <c r="J1174" i="1"/>
  <c r="C1174" i="1"/>
  <c r="B1174" i="1"/>
  <c r="J1173" i="1"/>
  <c r="C1173" i="1"/>
  <c r="B1173" i="1"/>
  <c r="J1172" i="1"/>
  <c r="C1172" i="1"/>
  <c r="B1172" i="1"/>
  <c r="J1171" i="1"/>
  <c r="C1171" i="1"/>
  <c r="B1171" i="1"/>
  <c r="J1170" i="1"/>
  <c r="C1170" i="1"/>
  <c r="B1170" i="1"/>
  <c r="J1169" i="1"/>
  <c r="C1169" i="1"/>
  <c r="B1169" i="1"/>
  <c r="J1168" i="1"/>
  <c r="C1168" i="1"/>
  <c r="B1168" i="1"/>
  <c r="J1167" i="1"/>
  <c r="C1167" i="1"/>
  <c r="B1167" i="1"/>
  <c r="J1166" i="1"/>
  <c r="C1166" i="1"/>
  <c r="B1166" i="1"/>
  <c r="J1165" i="1"/>
  <c r="C1165" i="1"/>
  <c r="B1165" i="1"/>
  <c r="J1164" i="1"/>
  <c r="C1164" i="1"/>
  <c r="B1164" i="1"/>
  <c r="J1163" i="1"/>
  <c r="C1163" i="1"/>
  <c r="B1163" i="1"/>
  <c r="J1162" i="1"/>
  <c r="C1162" i="1"/>
  <c r="B1162" i="1"/>
  <c r="J1161" i="1"/>
  <c r="C1161" i="1"/>
  <c r="B1161" i="1"/>
  <c r="J1160" i="1"/>
  <c r="C1160" i="1"/>
  <c r="B1160" i="1"/>
  <c r="J1159" i="1"/>
  <c r="C1159" i="1"/>
  <c r="B1159" i="1"/>
  <c r="J1158" i="1"/>
  <c r="C1158" i="1"/>
  <c r="B1158" i="1"/>
  <c r="J1157" i="1"/>
  <c r="C1157" i="1"/>
  <c r="B1157" i="1"/>
  <c r="J1156" i="1"/>
  <c r="C1156" i="1"/>
  <c r="B1156" i="1"/>
  <c r="J1155" i="1"/>
  <c r="C1155" i="1"/>
  <c r="B1155" i="1"/>
  <c r="J1154" i="1"/>
  <c r="C1154" i="1"/>
  <c r="B1154" i="1"/>
  <c r="J1153" i="1"/>
  <c r="C1153" i="1"/>
  <c r="B1153" i="1"/>
  <c r="J1152" i="1"/>
  <c r="C1152" i="1"/>
  <c r="B1152" i="1"/>
  <c r="J1151" i="1"/>
  <c r="C1151" i="1"/>
  <c r="B1151" i="1"/>
  <c r="J1150" i="1"/>
  <c r="C1150" i="1"/>
  <c r="B1150" i="1"/>
  <c r="J1149" i="1"/>
  <c r="C1149" i="1"/>
  <c r="B1149" i="1"/>
  <c r="J1148" i="1"/>
  <c r="C1148" i="1"/>
  <c r="B1148" i="1"/>
  <c r="J1147" i="1"/>
  <c r="C1147" i="1"/>
  <c r="B1147" i="1"/>
  <c r="J1146" i="1"/>
  <c r="C1146" i="1"/>
  <c r="B1146" i="1"/>
  <c r="J1145" i="1"/>
  <c r="C1145" i="1"/>
  <c r="B1145" i="1"/>
  <c r="J1144" i="1"/>
  <c r="C1144" i="1"/>
  <c r="B1144" i="1"/>
  <c r="J1143" i="1"/>
  <c r="C1143" i="1"/>
  <c r="B1143" i="1"/>
  <c r="J1142" i="1"/>
  <c r="C1142" i="1"/>
  <c r="B1142" i="1"/>
  <c r="J1141" i="1"/>
  <c r="C1141" i="1"/>
  <c r="B1141" i="1"/>
  <c r="J1140" i="1"/>
  <c r="C1140" i="1"/>
  <c r="B1140" i="1"/>
  <c r="J1139" i="1"/>
  <c r="C1139" i="1"/>
  <c r="B1139" i="1"/>
  <c r="J1138" i="1"/>
  <c r="C1138" i="1"/>
  <c r="B1138" i="1"/>
  <c r="J1137" i="1"/>
  <c r="C1137" i="1"/>
  <c r="B1137" i="1"/>
  <c r="J1136" i="1"/>
  <c r="C1136" i="1"/>
  <c r="B1136" i="1"/>
  <c r="J1135" i="1"/>
  <c r="C1135" i="1"/>
  <c r="B1135" i="1"/>
  <c r="J1134" i="1"/>
  <c r="C1134" i="1"/>
  <c r="B1134" i="1"/>
  <c r="J1133" i="1"/>
  <c r="C1133" i="1"/>
  <c r="B1133" i="1"/>
  <c r="J1132" i="1"/>
  <c r="C1132" i="1"/>
  <c r="B1132" i="1"/>
  <c r="J1131" i="1"/>
  <c r="C1131" i="1"/>
  <c r="B1131" i="1"/>
  <c r="J1130" i="1"/>
  <c r="C1130" i="1"/>
  <c r="B1130" i="1"/>
  <c r="J1129" i="1"/>
  <c r="C1129" i="1"/>
  <c r="B1129" i="1"/>
  <c r="J1128" i="1"/>
  <c r="C1128" i="1"/>
  <c r="B1128" i="1"/>
  <c r="J1127" i="1"/>
  <c r="C1127" i="1"/>
  <c r="B1127" i="1"/>
  <c r="J1126" i="1"/>
  <c r="C1126" i="1"/>
  <c r="B1126" i="1"/>
  <c r="J1125" i="1"/>
  <c r="C1125" i="1"/>
  <c r="B1125" i="1"/>
  <c r="J1124" i="1"/>
  <c r="C1124" i="1"/>
  <c r="B1124" i="1"/>
  <c r="J1123" i="1"/>
  <c r="C1123" i="1"/>
  <c r="B1123" i="1"/>
  <c r="J1122" i="1"/>
  <c r="C1122" i="1"/>
  <c r="B1122" i="1"/>
  <c r="J1121" i="1"/>
  <c r="C1121" i="1"/>
  <c r="B1121" i="1"/>
  <c r="J1120" i="1"/>
  <c r="C1120" i="1"/>
  <c r="B1120" i="1"/>
  <c r="J1119" i="1"/>
  <c r="C1119" i="1"/>
  <c r="B1119" i="1"/>
  <c r="J1118" i="1"/>
  <c r="C1118" i="1"/>
  <c r="B1118" i="1"/>
  <c r="J1117" i="1"/>
  <c r="C1117" i="1"/>
  <c r="B1117" i="1"/>
  <c r="J1116" i="1"/>
  <c r="C1116" i="1"/>
  <c r="B1116" i="1"/>
  <c r="J1115" i="1"/>
  <c r="C1115" i="1"/>
  <c r="B1115" i="1"/>
  <c r="J1114" i="1"/>
  <c r="C1114" i="1"/>
  <c r="B1114" i="1"/>
  <c r="J1113" i="1"/>
  <c r="C1113" i="1"/>
  <c r="B1113" i="1"/>
  <c r="J1112" i="1"/>
  <c r="C1112" i="1"/>
  <c r="B1112" i="1"/>
  <c r="J1111" i="1"/>
  <c r="C1111" i="1"/>
  <c r="B1111" i="1"/>
  <c r="J1110" i="1"/>
  <c r="C1110" i="1"/>
  <c r="B1110" i="1"/>
  <c r="J1109" i="1"/>
  <c r="C1109" i="1"/>
  <c r="B1109" i="1"/>
  <c r="J1108" i="1"/>
  <c r="C1108" i="1"/>
  <c r="B1108" i="1"/>
  <c r="J1107" i="1"/>
  <c r="C1107" i="1"/>
  <c r="B1107" i="1"/>
  <c r="J1106" i="1"/>
  <c r="C1106" i="1"/>
  <c r="B1106" i="1"/>
  <c r="J1105" i="1"/>
  <c r="C1105" i="1"/>
  <c r="B1105" i="1"/>
  <c r="J1104" i="1"/>
  <c r="C1104" i="1"/>
  <c r="B1104" i="1"/>
  <c r="J1103" i="1"/>
  <c r="C1103" i="1"/>
  <c r="B1103" i="1"/>
  <c r="J1102" i="1"/>
  <c r="C1102" i="1"/>
  <c r="B1102" i="1"/>
  <c r="J1101" i="1"/>
  <c r="C1101" i="1"/>
  <c r="B1101" i="1"/>
  <c r="J1100" i="1"/>
  <c r="C1100" i="1"/>
  <c r="B1100" i="1"/>
  <c r="J1099" i="1"/>
  <c r="C1099" i="1"/>
  <c r="B1099" i="1"/>
  <c r="J1098" i="1"/>
  <c r="C1098" i="1"/>
  <c r="B1098" i="1"/>
  <c r="J1097" i="1"/>
  <c r="C1097" i="1"/>
  <c r="B1097" i="1"/>
  <c r="J1096" i="1"/>
  <c r="C1096" i="1"/>
  <c r="B1096" i="1"/>
  <c r="J1095" i="1"/>
  <c r="C1095" i="1"/>
  <c r="B1095" i="1"/>
  <c r="J1094" i="1"/>
  <c r="C1094" i="1"/>
  <c r="B1094" i="1"/>
  <c r="J1093" i="1"/>
  <c r="C1093" i="1"/>
  <c r="B1093" i="1"/>
  <c r="J1092" i="1"/>
  <c r="C1092" i="1"/>
  <c r="B1092" i="1"/>
  <c r="J1091" i="1"/>
  <c r="C1091" i="1"/>
  <c r="B1091" i="1"/>
  <c r="J1090" i="1"/>
  <c r="C1090" i="1"/>
  <c r="B1090" i="1"/>
  <c r="J1089" i="1"/>
  <c r="C1089" i="1"/>
  <c r="B1089" i="1"/>
  <c r="J1088" i="1"/>
  <c r="C1088" i="1"/>
  <c r="B1088" i="1"/>
  <c r="J1087" i="1"/>
  <c r="C1087" i="1"/>
  <c r="B1087" i="1"/>
  <c r="J1086" i="1"/>
  <c r="C1086" i="1"/>
  <c r="B1086" i="1"/>
  <c r="J1085" i="1"/>
  <c r="C1085" i="1"/>
  <c r="B1085" i="1"/>
  <c r="J1084" i="1"/>
  <c r="C1084" i="1"/>
  <c r="B1084" i="1"/>
  <c r="J1083" i="1"/>
  <c r="C1083" i="1"/>
  <c r="B1083" i="1"/>
  <c r="J1082" i="1"/>
  <c r="C1082" i="1"/>
  <c r="B1082" i="1"/>
  <c r="J1081" i="1"/>
  <c r="C1081" i="1"/>
  <c r="B1081" i="1"/>
  <c r="J1080" i="1"/>
  <c r="C1080" i="1"/>
  <c r="B1080" i="1"/>
  <c r="J1079" i="1"/>
  <c r="C1079" i="1"/>
  <c r="B1079" i="1"/>
  <c r="J1078" i="1"/>
  <c r="C1078" i="1"/>
  <c r="B1078" i="1"/>
  <c r="J1077" i="1"/>
  <c r="C1077" i="1"/>
  <c r="B1077" i="1"/>
  <c r="J1076" i="1"/>
  <c r="C1076" i="1"/>
  <c r="B1076" i="1"/>
  <c r="J1075" i="1"/>
  <c r="C1075" i="1"/>
  <c r="B1075" i="1"/>
  <c r="J1074" i="1"/>
  <c r="C1074" i="1"/>
  <c r="B1074" i="1"/>
  <c r="J1073" i="1"/>
  <c r="C1073" i="1"/>
  <c r="B1073" i="1"/>
  <c r="J1072" i="1"/>
  <c r="C1072" i="1"/>
  <c r="B1072" i="1"/>
  <c r="J1071" i="1"/>
  <c r="C1071" i="1"/>
  <c r="B1071" i="1"/>
  <c r="J1070" i="1"/>
  <c r="C1070" i="1"/>
  <c r="B1070" i="1"/>
  <c r="J1069" i="1"/>
  <c r="C1069" i="1"/>
  <c r="B1069" i="1"/>
  <c r="J1068" i="1"/>
  <c r="C1068" i="1"/>
  <c r="B1068" i="1"/>
  <c r="J1067" i="1"/>
  <c r="C1067" i="1"/>
  <c r="B1067" i="1"/>
  <c r="J1066" i="1"/>
  <c r="C1066" i="1"/>
  <c r="B1066" i="1"/>
  <c r="J1065" i="1"/>
  <c r="C1065" i="1"/>
  <c r="B1065" i="1"/>
  <c r="J1064" i="1"/>
  <c r="C1064" i="1"/>
  <c r="B1064" i="1"/>
  <c r="J1063" i="1"/>
  <c r="C1063" i="1"/>
  <c r="B1063" i="1"/>
  <c r="J1062" i="1"/>
  <c r="C1062" i="1"/>
  <c r="B1062" i="1"/>
  <c r="J1061" i="1"/>
  <c r="C1061" i="1"/>
  <c r="B1061" i="1"/>
  <c r="J1060" i="1"/>
  <c r="C1060" i="1"/>
  <c r="B1060" i="1"/>
  <c r="J1059" i="1"/>
  <c r="C1059" i="1"/>
  <c r="B1059" i="1"/>
  <c r="J1058" i="1"/>
  <c r="C1058" i="1"/>
  <c r="B1058" i="1"/>
  <c r="J1057" i="1"/>
  <c r="C1057" i="1"/>
  <c r="B1057" i="1"/>
  <c r="J1056" i="1"/>
  <c r="C1056" i="1"/>
  <c r="B1056" i="1"/>
  <c r="J1055" i="1"/>
  <c r="C1055" i="1"/>
  <c r="B1055" i="1"/>
  <c r="J1054" i="1"/>
  <c r="C1054" i="1"/>
  <c r="B1054" i="1"/>
  <c r="J1053" i="1"/>
  <c r="C1053" i="1"/>
  <c r="B1053" i="1"/>
  <c r="J1052" i="1"/>
  <c r="C1052" i="1"/>
  <c r="B1052" i="1"/>
  <c r="J1051" i="1"/>
  <c r="C1051" i="1"/>
  <c r="B1051" i="1"/>
  <c r="J1050" i="1"/>
  <c r="C1050" i="1"/>
  <c r="B1050" i="1"/>
  <c r="J1049" i="1"/>
  <c r="C1049" i="1"/>
  <c r="B1049" i="1"/>
  <c r="J1048" i="1"/>
  <c r="C1048" i="1"/>
  <c r="B1048" i="1"/>
  <c r="J1047" i="1"/>
  <c r="C1047" i="1"/>
  <c r="B1047" i="1"/>
  <c r="J1046" i="1"/>
  <c r="C1046" i="1"/>
  <c r="B1046" i="1"/>
  <c r="J1045" i="1"/>
  <c r="C1045" i="1"/>
  <c r="B1045" i="1"/>
  <c r="J1044" i="1"/>
  <c r="C1044" i="1"/>
  <c r="B1044" i="1"/>
  <c r="J1043" i="1"/>
  <c r="C1043" i="1"/>
  <c r="B1043" i="1"/>
  <c r="J1042" i="1"/>
  <c r="C1042" i="1"/>
  <c r="B1042" i="1"/>
  <c r="J1041" i="1"/>
  <c r="C1041" i="1"/>
  <c r="B1041" i="1"/>
  <c r="J1040" i="1"/>
  <c r="C1040" i="1"/>
  <c r="B1040" i="1"/>
  <c r="J1039" i="1"/>
  <c r="C1039" i="1"/>
  <c r="B1039" i="1"/>
  <c r="J1038" i="1"/>
  <c r="C1038" i="1"/>
  <c r="B1038" i="1"/>
  <c r="J1037" i="1"/>
  <c r="C1037" i="1"/>
  <c r="B1037" i="1"/>
  <c r="J1036" i="1"/>
  <c r="C1036" i="1"/>
  <c r="B1036" i="1"/>
  <c r="J1035" i="1"/>
  <c r="C1035" i="1"/>
  <c r="B1035" i="1"/>
  <c r="J1034" i="1"/>
  <c r="C1034" i="1"/>
  <c r="B1034" i="1"/>
  <c r="J1033" i="1"/>
  <c r="C1033" i="1"/>
  <c r="B1033" i="1"/>
  <c r="J1032" i="1"/>
  <c r="C1032" i="1"/>
  <c r="B1032" i="1"/>
  <c r="J1031" i="1"/>
  <c r="C1031" i="1"/>
  <c r="B1031" i="1"/>
  <c r="J1030" i="1"/>
  <c r="C1030" i="1"/>
  <c r="B1030" i="1"/>
  <c r="J1029" i="1"/>
  <c r="C1029" i="1"/>
  <c r="B1029" i="1"/>
  <c r="J1028" i="1"/>
  <c r="C1028" i="1"/>
  <c r="B1028" i="1"/>
  <c r="J1027" i="1"/>
  <c r="C1027" i="1"/>
  <c r="B1027" i="1"/>
  <c r="J1026" i="1"/>
  <c r="C1026" i="1"/>
  <c r="B1026" i="1"/>
  <c r="J1025" i="1"/>
  <c r="C1025" i="1"/>
  <c r="B1025" i="1"/>
  <c r="J1024" i="1"/>
  <c r="C1024" i="1"/>
  <c r="B1024" i="1"/>
  <c r="J1023" i="1"/>
  <c r="C1023" i="1"/>
  <c r="B1023" i="1"/>
  <c r="J1022" i="1"/>
  <c r="C1022" i="1"/>
  <c r="B1022" i="1"/>
  <c r="J1021" i="1"/>
  <c r="C1021" i="1"/>
  <c r="B1021" i="1"/>
  <c r="J1020" i="1"/>
  <c r="C1020" i="1"/>
  <c r="B1020" i="1"/>
  <c r="J1019" i="1"/>
  <c r="C1019" i="1"/>
  <c r="B1019" i="1"/>
  <c r="J1018" i="1"/>
  <c r="C1018" i="1"/>
  <c r="B1018" i="1"/>
  <c r="J1017" i="1"/>
  <c r="C1017" i="1"/>
  <c r="B1017" i="1"/>
  <c r="J1016" i="1"/>
  <c r="C1016" i="1"/>
  <c r="B1016" i="1"/>
  <c r="J1015" i="1"/>
  <c r="C1015" i="1"/>
  <c r="B1015" i="1"/>
  <c r="J1014" i="1"/>
  <c r="C1014" i="1"/>
  <c r="B1014" i="1"/>
  <c r="J1013" i="1"/>
  <c r="C1013" i="1"/>
  <c r="B1013" i="1"/>
  <c r="J1012" i="1"/>
  <c r="C1012" i="1"/>
  <c r="B1012" i="1"/>
  <c r="J1011" i="1"/>
  <c r="C1011" i="1"/>
  <c r="B1011" i="1"/>
  <c r="J1010" i="1"/>
  <c r="C1010" i="1"/>
  <c r="B1010" i="1"/>
  <c r="J1009" i="1"/>
  <c r="C1009" i="1"/>
  <c r="B1009" i="1"/>
  <c r="J1008" i="1"/>
  <c r="C1008" i="1"/>
  <c r="B1008" i="1"/>
  <c r="J1007" i="1"/>
  <c r="C1007" i="1"/>
  <c r="B1007" i="1"/>
  <c r="J1006" i="1"/>
  <c r="C1006" i="1"/>
  <c r="B1006" i="1"/>
  <c r="J1005" i="1"/>
  <c r="C1005" i="1"/>
  <c r="B1005" i="1"/>
  <c r="J1004" i="1"/>
  <c r="C1004" i="1"/>
  <c r="B1004" i="1"/>
  <c r="J1003" i="1"/>
  <c r="C1003" i="1"/>
  <c r="B1003" i="1"/>
  <c r="J1002" i="1"/>
  <c r="C1002" i="1"/>
  <c r="B1002" i="1"/>
  <c r="J1001" i="1"/>
  <c r="C1001" i="1"/>
  <c r="B1001" i="1"/>
  <c r="J1000" i="1"/>
  <c r="C1000" i="1"/>
  <c r="B1000" i="1"/>
  <c r="J999" i="1"/>
  <c r="C999" i="1"/>
  <c r="B999" i="1"/>
  <c r="J998" i="1"/>
  <c r="C998" i="1"/>
  <c r="B998" i="1"/>
  <c r="J997" i="1"/>
  <c r="C997" i="1"/>
  <c r="B997" i="1"/>
  <c r="J996" i="1"/>
  <c r="C996" i="1"/>
  <c r="B996" i="1"/>
  <c r="J995" i="1"/>
  <c r="C995" i="1"/>
  <c r="B995" i="1"/>
  <c r="J994" i="1"/>
  <c r="C994" i="1"/>
  <c r="B994" i="1"/>
  <c r="J993" i="1"/>
  <c r="C993" i="1"/>
  <c r="B993" i="1"/>
  <c r="J992" i="1"/>
  <c r="C992" i="1"/>
  <c r="B992" i="1"/>
  <c r="J991" i="1"/>
  <c r="C991" i="1"/>
  <c r="B991" i="1"/>
  <c r="J990" i="1"/>
  <c r="C990" i="1"/>
  <c r="B990" i="1"/>
  <c r="J989" i="1"/>
  <c r="C989" i="1"/>
  <c r="B989" i="1"/>
  <c r="J988" i="1"/>
  <c r="C988" i="1"/>
  <c r="B988" i="1"/>
  <c r="J987" i="1"/>
  <c r="C987" i="1"/>
  <c r="B987" i="1"/>
  <c r="J986" i="1"/>
  <c r="C986" i="1"/>
  <c r="B986" i="1"/>
  <c r="J985" i="1"/>
  <c r="C985" i="1"/>
  <c r="B985" i="1"/>
  <c r="J984" i="1"/>
  <c r="C984" i="1"/>
  <c r="B984" i="1"/>
  <c r="J983" i="1"/>
  <c r="C983" i="1"/>
  <c r="B983" i="1"/>
  <c r="J982" i="1"/>
  <c r="C982" i="1"/>
  <c r="B982" i="1"/>
  <c r="J981" i="1"/>
  <c r="C981" i="1"/>
  <c r="B981" i="1"/>
  <c r="J980" i="1"/>
  <c r="C980" i="1"/>
  <c r="B980" i="1"/>
  <c r="J979" i="1"/>
  <c r="C979" i="1"/>
  <c r="B979" i="1"/>
  <c r="J978" i="1"/>
  <c r="C978" i="1"/>
  <c r="B978" i="1"/>
  <c r="J977" i="1"/>
  <c r="C977" i="1"/>
  <c r="B977" i="1"/>
  <c r="J976" i="1"/>
  <c r="C976" i="1"/>
  <c r="B976" i="1"/>
  <c r="J975" i="1"/>
  <c r="C975" i="1"/>
  <c r="B975" i="1"/>
  <c r="J974" i="1"/>
  <c r="C974" i="1"/>
  <c r="B974" i="1"/>
  <c r="J973" i="1"/>
  <c r="C973" i="1"/>
  <c r="B973" i="1"/>
  <c r="J972" i="1"/>
  <c r="C972" i="1"/>
  <c r="B972" i="1"/>
  <c r="J971" i="1"/>
  <c r="C971" i="1"/>
  <c r="B971" i="1"/>
  <c r="J970" i="1"/>
  <c r="C970" i="1"/>
  <c r="B970" i="1"/>
  <c r="J969" i="1"/>
  <c r="C969" i="1"/>
  <c r="B969" i="1"/>
  <c r="J968" i="1"/>
  <c r="C968" i="1"/>
  <c r="B968" i="1"/>
  <c r="J967" i="1"/>
  <c r="C967" i="1"/>
  <c r="B967" i="1"/>
  <c r="J966" i="1"/>
  <c r="C966" i="1"/>
  <c r="B966" i="1"/>
  <c r="J965" i="1"/>
  <c r="C965" i="1"/>
  <c r="B965" i="1"/>
  <c r="J964" i="1"/>
  <c r="C964" i="1"/>
  <c r="B964" i="1"/>
  <c r="J963" i="1"/>
  <c r="C963" i="1"/>
  <c r="B963" i="1"/>
  <c r="J962" i="1"/>
  <c r="C962" i="1"/>
  <c r="B962" i="1"/>
  <c r="J961" i="1"/>
  <c r="C961" i="1"/>
  <c r="B961" i="1"/>
  <c r="J960" i="1"/>
  <c r="C960" i="1"/>
  <c r="B960" i="1"/>
  <c r="J959" i="1"/>
  <c r="C959" i="1"/>
  <c r="B959" i="1"/>
  <c r="J958" i="1"/>
  <c r="C958" i="1"/>
  <c r="B958" i="1"/>
  <c r="J957" i="1"/>
  <c r="C957" i="1"/>
  <c r="B957" i="1"/>
  <c r="J956" i="1"/>
  <c r="C956" i="1"/>
  <c r="B956" i="1"/>
  <c r="J955" i="1"/>
  <c r="C955" i="1"/>
  <c r="B955" i="1"/>
  <c r="J954" i="1"/>
  <c r="C954" i="1"/>
  <c r="B954" i="1"/>
  <c r="J953" i="1"/>
  <c r="C953" i="1"/>
  <c r="B953" i="1"/>
  <c r="J952" i="1"/>
  <c r="C952" i="1"/>
  <c r="B952" i="1"/>
  <c r="J951" i="1"/>
  <c r="C951" i="1"/>
  <c r="B951" i="1"/>
  <c r="J950" i="1"/>
  <c r="C950" i="1"/>
  <c r="B950" i="1"/>
  <c r="J949" i="1"/>
  <c r="C949" i="1"/>
  <c r="B949" i="1"/>
  <c r="J948" i="1"/>
  <c r="C948" i="1"/>
  <c r="B948" i="1"/>
  <c r="J947" i="1"/>
  <c r="C947" i="1"/>
  <c r="B947" i="1"/>
  <c r="J946" i="1"/>
  <c r="C946" i="1"/>
  <c r="B946" i="1"/>
  <c r="J945" i="1"/>
  <c r="C945" i="1"/>
  <c r="B945" i="1"/>
  <c r="J944" i="1"/>
  <c r="C944" i="1"/>
  <c r="B944" i="1"/>
  <c r="J943" i="1"/>
  <c r="C943" i="1"/>
  <c r="B943" i="1"/>
  <c r="J942" i="1"/>
  <c r="C942" i="1"/>
  <c r="B942" i="1"/>
  <c r="J941" i="1"/>
  <c r="C941" i="1"/>
  <c r="B941" i="1"/>
  <c r="J940" i="1"/>
  <c r="C940" i="1"/>
  <c r="B940" i="1"/>
  <c r="J939" i="1"/>
  <c r="C939" i="1"/>
  <c r="B939" i="1"/>
  <c r="J938" i="1"/>
  <c r="C938" i="1"/>
  <c r="B938" i="1"/>
  <c r="J937" i="1"/>
  <c r="C937" i="1"/>
  <c r="B937" i="1"/>
  <c r="J936" i="1"/>
  <c r="C936" i="1"/>
  <c r="B936" i="1"/>
  <c r="J935" i="1"/>
  <c r="C935" i="1"/>
  <c r="B935" i="1"/>
  <c r="J934" i="1"/>
  <c r="C934" i="1"/>
  <c r="B934" i="1"/>
  <c r="J933" i="1"/>
  <c r="C933" i="1"/>
  <c r="B933" i="1"/>
  <c r="J932" i="1"/>
  <c r="C932" i="1"/>
  <c r="B932" i="1"/>
  <c r="J931" i="1"/>
  <c r="C931" i="1"/>
  <c r="B931" i="1"/>
  <c r="J930" i="1"/>
  <c r="C930" i="1"/>
  <c r="B930" i="1"/>
  <c r="J929" i="1"/>
  <c r="C929" i="1"/>
  <c r="B929" i="1"/>
  <c r="J928" i="1"/>
  <c r="C928" i="1"/>
  <c r="B928" i="1"/>
  <c r="J927" i="1"/>
  <c r="C927" i="1"/>
  <c r="B927" i="1"/>
  <c r="J926" i="1"/>
  <c r="C926" i="1"/>
  <c r="B926" i="1"/>
  <c r="J925" i="1"/>
  <c r="C925" i="1"/>
  <c r="B925" i="1"/>
  <c r="J924" i="1"/>
  <c r="C924" i="1"/>
  <c r="B924" i="1"/>
  <c r="J923" i="1"/>
  <c r="C923" i="1"/>
  <c r="B923" i="1"/>
  <c r="J922" i="1"/>
  <c r="C922" i="1"/>
  <c r="B922" i="1"/>
  <c r="J921" i="1"/>
  <c r="C921" i="1"/>
  <c r="B921" i="1"/>
  <c r="J920" i="1"/>
  <c r="C920" i="1"/>
  <c r="B920" i="1"/>
  <c r="J919" i="1"/>
  <c r="C919" i="1"/>
  <c r="B919" i="1"/>
  <c r="J918" i="1"/>
  <c r="C918" i="1"/>
  <c r="B918" i="1"/>
  <c r="J917" i="1"/>
  <c r="C917" i="1"/>
  <c r="B917" i="1"/>
  <c r="J916" i="1"/>
  <c r="C916" i="1"/>
  <c r="B916" i="1"/>
  <c r="J915" i="1"/>
  <c r="C915" i="1"/>
  <c r="B915" i="1"/>
  <c r="J914" i="1"/>
  <c r="C914" i="1"/>
  <c r="B914" i="1"/>
  <c r="J913" i="1"/>
  <c r="C913" i="1"/>
  <c r="B913" i="1"/>
  <c r="J912" i="1"/>
  <c r="C912" i="1"/>
  <c r="B912" i="1"/>
  <c r="J911" i="1"/>
  <c r="C911" i="1"/>
  <c r="B911" i="1"/>
  <c r="J910" i="1"/>
  <c r="C910" i="1"/>
  <c r="B910" i="1"/>
  <c r="J909" i="1"/>
  <c r="C909" i="1"/>
  <c r="B909" i="1"/>
  <c r="J908" i="1"/>
  <c r="C908" i="1"/>
  <c r="B908" i="1"/>
  <c r="J907" i="1"/>
  <c r="C907" i="1"/>
  <c r="B907" i="1"/>
  <c r="J906" i="1"/>
  <c r="C906" i="1"/>
  <c r="B906" i="1"/>
  <c r="J905" i="1"/>
  <c r="C905" i="1"/>
  <c r="B905" i="1"/>
  <c r="J904" i="1"/>
  <c r="C904" i="1"/>
  <c r="B904" i="1"/>
  <c r="J903" i="1"/>
  <c r="C903" i="1"/>
  <c r="B903" i="1"/>
  <c r="J902" i="1"/>
  <c r="C902" i="1"/>
  <c r="B902" i="1"/>
  <c r="J901" i="1"/>
  <c r="C901" i="1"/>
  <c r="B901" i="1"/>
  <c r="J900" i="1"/>
  <c r="C900" i="1"/>
  <c r="B900" i="1"/>
  <c r="J899" i="1"/>
  <c r="C899" i="1"/>
  <c r="B899" i="1"/>
  <c r="J898" i="1"/>
  <c r="C898" i="1"/>
  <c r="B898" i="1"/>
  <c r="J897" i="1"/>
  <c r="C897" i="1"/>
  <c r="B897" i="1"/>
  <c r="J896" i="1"/>
  <c r="C896" i="1"/>
  <c r="B896" i="1"/>
  <c r="J895" i="1"/>
  <c r="C895" i="1"/>
  <c r="B895" i="1"/>
  <c r="J894" i="1"/>
  <c r="C894" i="1"/>
  <c r="B894" i="1"/>
  <c r="J893" i="1"/>
  <c r="C893" i="1"/>
  <c r="B893" i="1"/>
  <c r="J892" i="1"/>
  <c r="C892" i="1"/>
  <c r="B892" i="1"/>
  <c r="J891" i="1"/>
  <c r="C891" i="1"/>
  <c r="B891" i="1"/>
  <c r="J890" i="1"/>
  <c r="C890" i="1"/>
  <c r="B890" i="1"/>
  <c r="J889" i="1"/>
  <c r="C889" i="1"/>
  <c r="B889" i="1"/>
  <c r="J888" i="1"/>
  <c r="C888" i="1"/>
  <c r="B888" i="1"/>
  <c r="J887" i="1"/>
  <c r="C887" i="1"/>
  <c r="B887" i="1"/>
  <c r="J886" i="1"/>
  <c r="C886" i="1"/>
  <c r="B886" i="1"/>
  <c r="J885" i="1"/>
  <c r="C885" i="1"/>
  <c r="B885" i="1"/>
  <c r="J884" i="1"/>
  <c r="C884" i="1"/>
  <c r="B884" i="1"/>
  <c r="J883" i="1"/>
  <c r="C883" i="1"/>
  <c r="B883" i="1"/>
  <c r="J882" i="1"/>
  <c r="C882" i="1"/>
  <c r="B882" i="1"/>
  <c r="J881" i="1"/>
  <c r="C881" i="1"/>
  <c r="B881" i="1"/>
  <c r="J880" i="1"/>
  <c r="C880" i="1"/>
  <c r="B880" i="1"/>
  <c r="J879" i="1"/>
  <c r="C879" i="1"/>
  <c r="B879" i="1"/>
  <c r="J878" i="1"/>
  <c r="C878" i="1"/>
  <c r="B878" i="1"/>
  <c r="J877" i="1"/>
  <c r="C877" i="1"/>
  <c r="B877" i="1"/>
  <c r="J876" i="1"/>
  <c r="C876" i="1"/>
  <c r="B876" i="1"/>
  <c r="J875" i="1"/>
  <c r="C875" i="1"/>
  <c r="B875" i="1"/>
  <c r="J874" i="1"/>
  <c r="C874" i="1"/>
  <c r="B874" i="1"/>
  <c r="J873" i="1"/>
  <c r="C873" i="1"/>
  <c r="B873" i="1"/>
  <c r="J872" i="1"/>
  <c r="C872" i="1"/>
  <c r="B872" i="1"/>
  <c r="J871" i="1"/>
  <c r="C871" i="1"/>
  <c r="B871" i="1"/>
  <c r="J870" i="1"/>
  <c r="C870" i="1"/>
  <c r="B870" i="1"/>
  <c r="J869" i="1"/>
  <c r="C869" i="1"/>
  <c r="B869" i="1"/>
  <c r="J868" i="1"/>
  <c r="C868" i="1"/>
  <c r="B868" i="1"/>
  <c r="J867" i="1"/>
  <c r="C867" i="1"/>
  <c r="B867" i="1"/>
  <c r="J866" i="1"/>
  <c r="C866" i="1"/>
  <c r="B866" i="1"/>
  <c r="J865" i="1"/>
  <c r="C865" i="1"/>
  <c r="B865" i="1"/>
  <c r="J864" i="1"/>
  <c r="C864" i="1"/>
  <c r="B864" i="1"/>
  <c r="J863" i="1"/>
  <c r="C863" i="1"/>
  <c r="B863" i="1"/>
  <c r="J862" i="1"/>
  <c r="C862" i="1"/>
  <c r="B862" i="1"/>
  <c r="J861" i="1"/>
  <c r="C861" i="1"/>
  <c r="B861" i="1"/>
  <c r="J860" i="1"/>
  <c r="C860" i="1"/>
  <c r="B860" i="1"/>
  <c r="J859" i="1"/>
  <c r="C859" i="1"/>
  <c r="B859" i="1"/>
  <c r="J858" i="1"/>
  <c r="C858" i="1"/>
  <c r="B858" i="1"/>
  <c r="J857" i="1"/>
  <c r="C857" i="1"/>
  <c r="B857" i="1"/>
  <c r="J856" i="1"/>
  <c r="C856" i="1"/>
  <c r="B856" i="1"/>
  <c r="J855" i="1"/>
  <c r="C855" i="1"/>
  <c r="B855" i="1"/>
  <c r="J854" i="1"/>
  <c r="C854" i="1"/>
  <c r="B854" i="1"/>
  <c r="J853" i="1"/>
  <c r="C853" i="1"/>
  <c r="B853" i="1"/>
  <c r="J852" i="1"/>
  <c r="C852" i="1"/>
  <c r="B852" i="1"/>
  <c r="J851" i="1"/>
  <c r="C851" i="1"/>
  <c r="B851" i="1"/>
  <c r="J850" i="1"/>
  <c r="C850" i="1"/>
  <c r="B850" i="1"/>
  <c r="J849" i="1"/>
  <c r="C849" i="1"/>
  <c r="B849" i="1"/>
  <c r="J848" i="1"/>
  <c r="C848" i="1"/>
  <c r="B848" i="1"/>
  <c r="J847" i="1"/>
  <c r="C847" i="1"/>
  <c r="B847" i="1"/>
  <c r="J846" i="1"/>
  <c r="C846" i="1"/>
  <c r="B846" i="1"/>
  <c r="J845" i="1"/>
  <c r="C845" i="1"/>
  <c r="B845" i="1"/>
  <c r="J844" i="1"/>
  <c r="C844" i="1"/>
  <c r="B844" i="1"/>
  <c r="J843" i="1"/>
  <c r="C843" i="1"/>
  <c r="B843" i="1"/>
  <c r="J842" i="1"/>
  <c r="C842" i="1"/>
  <c r="B842" i="1"/>
  <c r="J841" i="1"/>
  <c r="C841" i="1"/>
  <c r="B841" i="1"/>
  <c r="J840" i="1"/>
  <c r="C840" i="1"/>
  <c r="B840" i="1"/>
  <c r="J839" i="1"/>
  <c r="C839" i="1"/>
  <c r="B839" i="1"/>
  <c r="J838" i="1"/>
  <c r="C838" i="1"/>
  <c r="B838" i="1"/>
  <c r="J837" i="1"/>
  <c r="C837" i="1"/>
  <c r="B837" i="1"/>
  <c r="J836" i="1"/>
  <c r="C836" i="1"/>
  <c r="B836" i="1"/>
  <c r="J835" i="1"/>
  <c r="C835" i="1"/>
  <c r="B835" i="1"/>
  <c r="J834" i="1"/>
  <c r="C834" i="1"/>
  <c r="B834" i="1"/>
  <c r="J833" i="1"/>
  <c r="C833" i="1"/>
  <c r="B833" i="1"/>
  <c r="J832" i="1"/>
  <c r="C832" i="1"/>
  <c r="B832" i="1"/>
  <c r="J831" i="1"/>
  <c r="C831" i="1"/>
  <c r="B831" i="1"/>
  <c r="J830" i="1"/>
  <c r="C830" i="1"/>
  <c r="B830" i="1"/>
  <c r="J829" i="1"/>
  <c r="C829" i="1"/>
  <c r="B829" i="1"/>
  <c r="J828" i="1"/>
  <c r="C828" i="1"/>
  <c r="B828" i="1"/>
  <c r="J827" i="1"/>
  <c r="C827" i="1"/>
  <c r="B827" i="1"/>
  <c r="J826" i="1"/>
  <c r="C826" i="1"/>
  <c r="B826" i="1"/>
  <c r="J825" i="1"/>
  <c r="C825" i="1"/>
  <c r="B825" i="1"/>
  <c r="J824" i="1"/>
  <c r="C824" i="1"/>
  <c r="B824" i="1"/>
  <c r="J823" i="1"/>
  <c r="C823" i="1"/>
  <c r="B823" i="1"/>
  <c r="J822" i="1"/>
  <c r="C822" i="1"/>
  <c r="B822" i="1"/>
  <c r="J821" i="1"/>
  <c r="C821" i="1"/>
  <c r="B821" i="1"/>
  <c r="J820" i="1"/>
  <c r="C820" i="1"/>
  <c r="B820" i="1"/>
  <c r="J819" i="1"/>
  <c r="C819" i="1"/>
  <c r="B819" i="1"/>
  <c r="J818" i="1"/>
  <c r="C818" i="1"/>
  <c r="B818" i="1"/>
  <c r="J817" i="1"/>
  <c r="C817" i="1"/>
  <c r="B817" i="1"/>
  <c r="J816" i="1"/>
  <c r="C816" i="1"/>
  <c r="B816" i="1"/>
  <c r="J815" i="1"/>
  <c r="C815" i="1"/>
  <c r="B815" i="1"/>
  <c r="J814" i="1"/>
  <c r="C814" i="1"/>
  <c r="B814" i="1"/>
  <c r="J813" i="1"/>
  <c r="C813" i="1"/>
  <c r="B813" i="1"/>
  <c r="J812" i="1"/>
  <c r="C812" i="1"/>
  <c r="B812" i="1"/>
  <c r="J811" i="1"/>
  <c r="C811" i="1"/>
  <c r="B811" i="1"/>
  <c r="J810" i="1"/>
  <c r="C810" i="1"/>
  <c r="B810" i="1"/>
  <c r="J809" i="1"/>
  <c r="C809" i="1"/>
  <c r="B809" i="1"/>
  <c r="J808" i="1"/>
  <c r="C808" i="1"/>
  <c r="B808" i="1"/>
  <c r="J807" i="1"/>
  <c r="C807" i="1"/>
  <c r="B807" i="1"/>
  <c r="J806" i="1"/>
  <c r="C806" i="1"/>
  <c r="B806" i="1"/>
  <c r="J805" i="1"/>
  <c r="C805" i="1"/>
  <c r="B805" i="1"/>
  <c r="J804" i="1"/>
  <c r="C804" i="1"/>
  <c r="B804" i="1"/>
  <c r="J803" i="1"/>
  <c r="C803" i="1"/>
  <c r="B803" i="1"/>
  <c r="J802" i="1"/>
  <c r="C802" i="1"/>
  <c r="B802" i="1"/>
  <c r="J801" i="1"/>
  <c r="C801" i="1"/>
  <c r="B801" i="1"/>
  <c r="J800" i="1"/>
  <c r="C800" i="1"/>
  <c r="B800" i="1"/>
  <c r="J799" i="1"/>
  <c r="C799" i="1"/>
  <c r="B799" i="1"/>
  <c r="J798" i="1"/>
  <c r="C798" i="1"/>
  <c r="B798" i="1"/>
  <c r="J797" i="1"/>
  <c r="C797" i="1"/>
  <c r="B797" i="1"/>
  <c r="J796" i="1"/>
  <c r="C796" i="1"/>
  <c r="B796" i="1"/>
  <c r="J795" i="1"/>
  <c r="C795" i="1"/>
  <c r="B795" i="1"/>
  <c r="J794" i="1"/>
  <c r="C794" i="1"/>
  <c r="B794" i="1"/>
  <c r="J793" i="1"/>
  <c r="C793" i="1"/>
  <c r="B793" i="1"/>
  <c r="J792" i="1"/>
  <c r="C792" i="1"/>
  <c r="B792" i="1"/>
  <c r="J791" i="1"/>
  <c r="C791" i="1"/>
  <c r="B791" i="1"/>
  <c r="J790" i="1"/>
  <c r="C790" i="1"/>
  <c r="B790" i="1"/>
  <c r="J789" i="1"/>
  <c r="C789" i="1"/>
  <c r="B789" i="1"/>
  <c r="J788" i="1"/>
  <c r="C788" i="1"/>
  <c r="B788" i="1"/>
  <c r="J787" i="1"/>
  <c r="C787" i="1"/>
  <c r="B787" i="1"/>
  <c r="J786" i="1"/>
  <c r="C786" i="1"/>
  <c r="B786" i="1"/>
  <c r="J785" i="1"/>
  <c r="C785" i="1"/>
  <c r="B785" i="1"/>
  <c r="J784" i="1"/>
  <c r="C784" i="1"/>
  <c r="B784" i="1"/>
  <c r="J783" i="1"/>
  <c r="C783" i="1"/>
  <c r="B783" i="1"/>
  <c r="J782" i="1"/>
  <c r="C782" i="1"/>
  <c r="B782" i="1"/>
  <c r="J781" i="1"/>
  <c r="C781" i="1"/>
  <c r="B781" i="1"/>
  <c r="J780" i="1"/>
  <c r="C780" i="1"/>
  <c r="B780" i="1"/>
  <c r="J779" i="1"/>
  <c r="C779" i="1"/>
  <c r="B779" i="1"/>
  <c r="J778" i="1"/>
  <c r="C778" i="1"/>
  <c r="B778" i="1"/>
  <c r="J777" i="1"/>
  <c r="C777" i="1"/>
  <c r="B777" i="1"/>
  <c r="J776" i="1"/>
  <c r="C776" i="1"/>
  <c r="B776" i="1"/>
  <c r="J775" i="1"/>
  <c r="C775" i="1"/>
  <c r="B775" i="1"/>
  <c r="J774" i="1"/>
  <c r="C774" i="1"/>
  <c r="B774" i="1"/>
  <c r="J773" i="1"/>
  <c r="C773" i="1"/>
  <c r="B773" i="1"/>
  <c r="J772" i="1"/>
  <c r="C772" i="1"/>
  <c r="B772" i="1"/>
  <c r="J771" i="1"/>
  <c r="C771" i="1"/>
  <c r="B771" i="1"/>
  <c r="J770" i="1"/>
  <c r="C770" i="1"/>
  <c r="B770" i="1"/>
  <c r="J769" i="1"/>
  <c r="C769" i="1"/>
  <c r="B769" i="1"/>
  <c r="J768" i="1"/>
  <c r="C768" i="1"/>
  <c r="B768" i="1"/>
  <c r="J767" i="1"/>
  <c r="C767" i="1"/>
  <c r="B767" i="1"/>
  <c r="J766" i="1"/>
  <c r="C766" i="1"/>
  <c r="B766" i="1"/>
  <c r="J765" i="1"/>
  <c r="C765" i="1"/>
  <c r="B765" i="1"/>
  <c r="J764" i="1"/>
  <c r="C764" i="1"/>
  <c r="B764" i="1"/>
  <c r="J763" i="1"/>
  <c r="C763" i="1"/>
  <c r="B763" i="1"/>
  <c r="J762" i="1"/>
  <c r="C762" i="1"/>
  <c r="B762" i="1"/>
  <c r="J761" i="1"/>
  <c r="C761" i="1"/>
  <c r="B761" i="1"/>
  <c r="J760" i="1"/>
  <c r="C760" i="1"/>
  <c r="B760" i="1"/>
  <c r="J759" i="1"/>
  <c r="C759" i="1"/>
  <c r="B759" i="1"/>
  <c r="J758" i="1"/>
  <c r="C758" i="1"/>
  <c r="B758" i="1"/>
  <c r="J757" i="1"/>
  <c r="C757" i="1"/>
  <c r="B757" i="1"/>
  <c r="J756" i="1"/>
  <c r="C756" i="1"/>
  <c r="B756" i="1"/>
  <c r="J755" i="1"/>
  <c r="C755" i="1"/>
  <c r="B755" i="1"/>
  <c r="J754" i="1"/>
  <c r="C754" i="1"/>
  <c r="B754" i="1"/>
  <c r="J753" i="1"/>
  <c r="C753" i="1"/>
  <c r="B753" i="1"/>
  <c r="J752" i="1"/>
  <c r="C752" i="1"/>
  <c r="B752" i="1"/>
  <c r="J751" i="1"/>
  <c r="C751" i="1"/>
  <c r="B751" i="1"/>
  <c r="J750" i="1"/>
  <c r="C750" i="1"/>
  <c r="B750" i="1"/>
  <c r="J749" i="1"/>
  <c r="C749" i="1"/>
  <c r="B749" i="1"/>
  <c r="J748" i="1"/>
  <c r="C748" i="1"/>
  <c r="B748" i="1"/>
  <c r="J747" i="1"/>
  <c r="C747" i="1"/>
  <c r="B747" i="1"/>
  <c r="J746" i="1"/>
  <c r="C746" i="1"/>
  <c r="B746" i="1"/>
  <c r="J745" i="1"/>
  <c r="C745" i="1"/>
  <c r="B745" i="1"/>
  <c r="J744" i="1"/>
  <c r="C744" i="1"/>
  <c r="B744" i="1"/>
  <c r="J743" i="1"/>
  <c r="C743" i="1"/>
  <c r="B743" i="1"/>
  <c r="J742" i="1"/>
  <c r="C742" i="1"/>
  <c r="B742" i="1"/>
  <c r="J741" i="1"/>
  <c r="C741" i="1"/>
  <c r="B741" i="1"/>
  <c r="J740" i="1"/>
  <c r="C740" i="1"/>
  <c r="B740" i="1"/>
  <c r="J739" i="1"/>
  <c r="C739" i="1"/>
  <c r="B739" i="1"/>
  <c r="J738" i="1"/>
  <c r="C738" i="1"/>
  <c r="B738" i="1"/>
  <c r="J737" i="1"/>
  <c r="C737" i="1"/>
  <c r="B737" i="1"/>
  <c r="J736" i="1"/>
  <c r="C736" i="1"/>
  <c r="B736" i="1"/>
  <c r="J735" i="1"/>
  <c r="C735" i="1"/>
  <c r="B735" i="1"/>
  <c r="J734" i="1"/>
  <c r="C734" i="1"/>
  <c r="B734" i="1"/>
  <c r="J733" i="1"/>
  <c r="C733" i="1"/>
  <c r="B733" i="1"/>
  <c r="J732" i="1"/>
  <c r="C732" i="1"/>
  <c r="B732" i="1"/>
  <c r="J731" i="1"/>
  <c r="C731" i="1"/>
  <c r="B731" i="1"/>
  <c r="J730" i="1"/>
  <c r="C730" i="1"/>
  <c r="B730" i="1"/>
  <c r="J729" i="1"/>
  <c r="C729" i="1"/>
  <c r="B729" i="1"/>
  <c r="J728" i="1"/>
  <c r="C728" i="1"/>
  <c r="B728" i="1"/>
  <c r="J727" i="1"/>
  <c r="C727" i="1"/>
  <c r="B727" i="1"/>
  <c r="J726" i="1"/>
  <c r="C726" i="1"/>
  <c r="B726" i="1"/>
  <c r="J725" i="1"/>
  <c r="C725" i="1"/>
  <c r="B725" i="1"/>
  <c r="J724" i="1"/>
  <c r="C724" i="1"/>
  <c r="B724" i="1"/>
  <c r="J723" i="1"/>
  <c r="C723" i="1"/>
  <c r="B723" i="1"/>
  <c r="J722" i="1"/>
  <c r="C722" i="1"/>
  <c r="B722" i="1"/>
  <c r="J721" i="1"/>
  <c r="C721" i="1"/>
  <c r="B721" i="1"/>
  <c r="J720" i="1"/>
  <c r="C720" i="1"/>
  <c r="B720" i="1"/>
  <c r="J719" i="1"/>
  <c r="C719" i="1"/>
  <c r="B719" i="1"/>
  <c r="J718" i="1"/>
  <c r="C718" i="1"/>
  <c r="B718" i="1"/>
  <c r="J717" i="1"/>
  <c r="C717" i="1"/>
  <c r="B717" i="1"/>
  <c r="J716" i="1"/>
  <c r="C716" i="1"/>
  <c r="B716" i="1"/>
  <c r="J715" i="1"/>
  <c r="C715" i="1"/>
  <c r="B715" i="1"/>
  <c r="J714" i="1"/>
  <c r="C714" i="1"/>
  <c r="B714" i="1"/>
  <c r="J713" i="1"/>
  <c r="C713" i="1"/>
  <c r="B713" i="1"/>
  <c r="J712" i="1"/>
  <c r="C712" i="1"/>
  <c r="B712" i="1"/>
  <c r="J711" i="1"/>
  <c r="C711" i="1"/>
  <c r="B711" i="1"/>
  <c r="J710" i="1"/>
  <c r="C710" i="1"/>
  <c r="B710" i="1"/>
  <c r="J709" i="1"/>
  <c r="C709" i="1"/>
  <c r="B709" i="1"/>
  <c r="J708" i="1"/>
  <c r="C708" i="1"/>
  <c r="B708" i="1"/>
  <c r="J707" i="1"/>
  <c r="C707" i="1"/>
  <c r="B707" i="1"/>
  <c r="J706" i="1"/>
  <c r="C706" i="1"/>
  <c r="B706" i="1"/>
  <c r="J705" i="1"/>
  <c r="C705" i="1"/>
  <c r="B705" i="1"/>
  <c r="J704" i="1"/>
  <c r="C704" i="1"/>
  <c r="B704" i="1"/>
  <c r="J703" i="1"/>
  <c r="C703" i="1"/>
  <c r="B703" i="1"/>
  <c r="J702" i="1"/>
  <c r="C702" i="1"/>
  <c r="B702" i="1"/>
  <c r="J701" i="1"/>
  <c r="C701" i="1"/>
  <c r="B701" i="1"/>
  <c r="J700" i="1"/>
  <c r="C700" i="1"/>
  <c r="B700" i="1"/>
  <c r="J699" i="1"/>
  <c r="C699" i="1"/>
  <c r="B699" i="1"/>
  <c r="J698" i="1"/>
  <c r="C698" i="1"/>
  <c r="B698" i="1"/>
  <c r="J697" i="1"/>
  <c r="C697" i="1"/>
  <c r="B697" i="1"/>
  <c r="J696" i="1"/>
  <c r="C696" i="1"/>
  <c r="B696" i="1"/>
  <c r="J695" i="1"/>
  <c r="C695" i="1"/>
  <c r="B695" i="1"/>
  <c r="J694" i="1"/>
  <c r="C694" i="1"/>
  <c r="B694" i="1"/>
  <c r="J693" i="1"/>
  <c r="C693" i="1"/>
  <c r="B693" i="1"/>
  <c r="J692" i="1"/>
  <c r="C692" i="1"/>
  <c r="B692" i="1"/>
  <c r="J691" i="1"/>
  <c r="C691" i="1"/>
  <c r="B691" i="1"/>
  <c r="J690" i="1"/>
  <c r="C690" i="1"/>
  <c r="B690" i="1"/>
  <c r="J689" i="1"/>
  <c r="C689" i="1"/>
  <c r="B689" i="1"/>
  <c r="J688" i="1"/>
  <c r="C688" i="1"/>
  <c r="B688" i="1"/>
  <c r="J687" i="1"/>
  <c r="C687" i="1"/>
  <c r="B687" i="1"/>
  <c r="J686" i="1"/>
  <c r="C686" i="1"/>
  <c r="B686" i="1"/>
  <c r="J685" i="1"/>
  <c r="C685" i="1"/>
  <c r="B685" i="1"/>
  <c r="J684" i="1"/>
  <c r="C684" i="1"/>
  <c r="B684" i="1"/>
  <c r="J683" i="1"/>
  <c r="C683" i="1"/>
  <c r="B683" i="1"/>
  <c r="J682" i="1"/>
  <c r="C682" i="1"/>
  <c r="B682" i="1"/>
  <c r="J681" i="1"/>
  <c r="C681" i="1"/>
  <c r="B681" i="1"/>
  <c r="J680" i="1"/>
  <c r="C680" i="1"/>
  <c r="B680" i="1"/>
  <c r="J679" i="1"/>
  <c r="C679" i="1"/>
  <c r="B679" i="1"/>
  <c r="J678" i="1"/>
  <c r="C678" i="1"/>
  <c r="B678" i="1"/>
  <c r="J677" i="1"/>
  <c r="C677" i="1"/>
  <c r="B677" i="1"/>
  <c r="J676" i="1"/>
  <c r="C676" i="1"/>
  <c r="B676" i="1"/>
  <c r="J675" i="1"/>
  <c r="C675" i="1"/>
  <c r="B675" i="1"/>
  <c r="J674" i="1"/>
  <c r="C674" i="1"/>
  <c r="B674" i="1"/>
  <c r="J673" i="1"/>
  <c r="C673" i="1"/>
  <c r="B673" i="1"/>
  <c r="J672" i="1"/>
  <c r="C672" i="1"/>
  <c r="B672" i="1"/>
  <c r="J671" i="1"/>
  <c r="C671" i="1"/>
  <c r="B671" i="1"/>
  <c r="J670" i="1"/>
  <c r="C670" i="1"/>
  <c r="B670" i="1"/>
  <c r="J669" i="1"/>
  <c r="C669" i="1"/>
  <c r="B669" i="1"/>
  <c r="J668" i="1"/>
  <c r="C668" i="1"/>
  <c r="B668" i="1"/>
  <c r="J667" i="1"/>
  <c r="C667" i="1"/>
  <c r="B667" i="1"/>
  <c r="J666" i="1"/>
  <c r="C666" i="1"/>
  <c r="B666" i="1"/>
  <c r="J665" i="1"/>
  <c r="C665" i="1"/>
  <c r="B665" i="1"/>
  <c r="J664" i="1"/>
  <c r="C664" i="1"/>
  <c r="B664" i="1"/>
  <c r="J663" i="1"/>
  <c r="C663" i="1"/>
  <c r="B663" i="1"/>
  <c r="J662" i="1"/>
  <c r="C662" i="1"/>
  <c r="B662" i="1"/>
  <c r="J661" i="1"/>
  <c r="C661" i="1"/>
  <c r="B661" i="1"/>
  <c r="J660" i="1"/>
  <c r="C660" i="1"/>
  <c r="B660" i="1"/>
  <c r="J659" i="1"/>
  <c r="C659" i="1"/>
  <c r="B659" i="1"/>
  <c r="J658" i="1"/>
  <c r="C658" i="1"/>
  <c r="B658" i="1"/>
  <c r="J657" i="1"/>
  <c r="C657" i="1"/>
  <c r="B657" i="1"/>
  <c r="J656" i="1"/>
  <c r="C656" i="1"/>
  <c r="B656" i="1"/>
  <c r="J655" i="1"/>
  <c r="C655" i="1"/>
  <c r="B655" i="1"/>
  <c r="J654" i="1"/>
  <c r="C654" i="1"/>
  <c r="B654" i="1"/>
  <c r="J653" i="1"/>
  <c r="C653" i="1"/>
  <c r="B653" i="1"/>
  <c r="J652" i="1"/>
  <c r="C652" i="1"/>
  <c r="B652" i="1"/>
  <c r="J651" i="1"/>
  <c r="C651" i="1"/>
  <c r="B651" i="1"/>
  <c r="J650" i="1"/>
  <c r="C650" i="1"/>
  <c r="B650" i="1"/>
  <c r="J649" i="1"/>
  <c r="C649" i="1"/>
  <c r="B649" i="1"/>
  <c r="J648" i="1"/>
  <c r="C648" i="1"/>
  <c r="B648" i="1"/>
  <c r="J647" i="1"/>
  <c r="C647" i="1"/>
  <c r="B647" i="1"/>
  <c r="J646" i="1"/>
  <c r="C646" i="1"/>
  <c r="B646" i="1"/>
  <c r="J645" i="1"/>
  <c r="C645" i="1"/>
  <c r="B645" i="1"/>
  <c r="J644" i="1"/>
  <c r="C644" i="1"/>
  <c r="B644" i="1"/>
  <c r="J643" i="1"/>
  <c r="C643" i="1"/>
  <c r="B643" i="1"/>
  <c r="J642" i="1"/>
  <c r="C642" i="1"/>
  <c r="B642" i="1"/>
  <c r="J641" i="1"/>
  <c r="C641" i="1"/>
  <c r="B641" i="1"/>
  <c r="J640" i="1"/>
  <c r="C640" i="1"/>
  <c r="B640" i="1"/>
  <c r="J639" i="1"/>
  <c r="C639" i="1"/>
  <c r="B639" i="1"/>
  <c r="J638" i="1"/>
  <c r="C638" i="1"/>
  <c r="B638" i="1"/>
  <c r="J637" i="1"/>
  <c r="C637" i="1"/>
  <c r="B637" i="1"/>
  <c r="J636" i="1"/>
  <c r="C636" i="1"/>
  <c r="B636" i="1"/>
  <c r="J635" i="1"/>
  <c r="C635" i="1"/>
  <c r="B635" i="1"/>
  <c r="J634" i="1"/>
  <c r="C634" i="1"/>
  <c r="B634" i="1"/>
  <c r="J633" i="1"/>
  <c r="C633" i="1"/>
  <c r="B633" i="1"/>
  <c r="J632" i="1"/>
  <c r="C632" i="1"/>
  <c r="B632" i="1"/>
  <c r="J631" i="1"/>
  <c r="C631" i="1"/>
  <c r="B631" i="1"/>
  <c r="J630" i="1"/>
  <c r="C630" i="1"/>
  <c r="B630" i="1"/>
  <c r="J629" i="1"/>
  <c r="C629" i="1"/>
  <c r="B629" i="1"/>
  <c r="J628" i="1"/>
  <c r="C628" i="1"/>
  <c r="B628" i="1"/>
  <c r="J627" i="1"/>
  <c r="C627" i="1"/>
  <c r="B627" i="1"/>
  <c r="J626" i="1"/>
  <c r="C626" i="1"/>
  <c r="B626" i="1"/>
  <c r="J625" i="1"/>
  <c r="C625" i="1"/>
  <c r="B625" i="1"/>
  <c r="J624" i="1"/>
  <c r="C624" i="1"/>
  <c r="B624" i="1"/>
  <c r="J623" i="1"/>
  <c r="C623" i="1"/>
  <c r="B623" i="1"/>
  <c r="J622" i="1"/>
  <c r="C622" i="1"/>
  <c r="B622" i="1"/>
  <c r="J621" i="1"/>
  <c r="C621" i="1"/>
  <c r="B621" i="1"/>
  <c r="J620" i="1"/>
  <c r="C620" i="1"/>
  <c r="B620" i="1"/>
  <c r="J619" i="1"/>
  <c r="C619" i="1"/>
  <c r="B619" i="1"/>
  <c r="J618" i="1"/>
  <c r="C618" i="1"/>
  <c r="B618" i="1"/>
  <c r="J617" i="1"/>
  <c r="C617" i="1"/>
  <c r="B617" i="1"/>
  <c r="J616" i="1"/>
  <c r="C616" i="1"/>
  <c r="B616" i="1"/>
  <c r="J615" i="1"/>
  <c r="C615" i="1"/>
  <c r="B615" i="1"/>
  <c r="J614" i="1"/>
  <c r="C614" i="1"/>
  <c r="B614" i="1"/>
  <c r="J613" i="1"/>
  <c r="C613" i="1"/>
  <c r="B613" i="1"/>
  <c r="J612" i="1"/>
  <c r="C612" i="1"/>
  <c r="B612" i="1"/>
  <c r="J611" i="1"/>
  <c r="C611" i="1"/>
  <c r="B611" i="1"/>
  <c r="J610" i="1"/>
  <c r="C610" i="1"/>
  <c r="B610" i="1"/>
  <c r="J609" i="1"/>
  <c r="C609" i="1"/>
  <c r="B609" i="1"/>
  <c r="J608" i="1"/>
  <c r="C608" i="1"/>
  <c r="B608" i="1"/>
  <c r="J607" i="1"/>
  <c r="C607" i="1"/>
  <c r="B607" i="1"/>
  <c r="J606" i="1"/>
  <c r="C606" i="1"/>
  <c r="B606" i="1"/>
  <c r="J605" i="1"/>
  <c r="C605" i="1"/>
  <c r="B605" i="1"/>
  <c r="J604" i="1"/>
  <c r="C604" i="1"/>
  <c r="B604" i="1"/>
  <c r="J603" i="1"/>
  <c r="C603" i="1"/>
  <c r="B603" i="1"/>
  <c r="J602" i="1"/>
  <c r="C602" i="1"/>
  <c r="B602" i="1"/>
  <c r="J601" i="1"/>
  <c r="C601" i="1"/>
  <c r="B601" i="1"/>
  <c r="J600" i="1"/>
  <c r="C600" i="1"/>
  <c r="B600" i="1"/>
  <c r="J599" i="1"/>
  <c r="C599" i="1"/>
  <c r="B599" i="1"/>
  <c r="J598" i="1"/>
  <c r="C598" i="1"/>
  <c r="B598" i="1"/>
  <c r="J597" i="1"/>
  <c r="C597" i="1"/>
  <c r="B597" i="1"/>
  <c r="J596" i="1"/>
  <c r="C596" i="1"/>
  <c r="B596" i="1"/>
  <c r="J595" i="1"/>
  <c r="C595" i="1"/>
  <c r="B595" i="1"/>
  <c r="J594" i="1"/>
  <c r="C594" i="1"/>
  <c r="B594" i="1"/>
  <c r="J593" i="1"/>
  <c r="C593" i="1"/>
  <c r="B593" i="1"/>
  <c r="J592" i="1"/>
  <c r="C592" i="1"/>
  <c r="B592" i="1"/>
  <c r="J591" i="1"/>
  <c r="C591" i="1"/>
  <c r="B591" i="1"/>
  <c r="J590" i="1"/>
  <c r="C590" i="1"/>
  <c r="B590" i="1"/>
  <c r="J589" i="1"/>
  <c r="C589" i="1"/>
  <c r="B589" i="1"/>
  <c r="J588" i="1"/>
  <c r="C588" i="1"/>
  <c r="B588" i="1"/>
  <c r="J587" i="1"/>
  <c r="C587" i="1"/>
  <c r="B587" i="1"/>
  <c r="J586" i="1"/>
  <c r="C586" i="1"/>
  <c r="B586" i="1"/>
  <c r="J585" i="1"/>
  <c r="C585" i="1"/>
  <c r="B585" i="1"/>
  <c r="J584" i="1"/>
  <c r="C584" i="1"/>
  <c r="B584" i="1"/>
  <c r="J583" i="1"/>
  <c r="C583" i="1"/>
  <c r="B583" i="1"/>
  <c r="J582" i="1"/>
  <c r="C582" i="1"/>
  <c r="B582" i="1"/>
  <c r="J581" i="1"/>
  <c r="C581" i="1"/>
  <c r="B581" i="1"/>
  <c r="J580" i="1"/>
  <c r="C580" i="1"/>
  <c r="B580" i="1"/>
  <c r="J579" i="1"/>
  <c r="C579" i="1"/>
  <c r="B579" i="1"/>
  <c r="J578" i="1"/>
  <c r="C578" i="1"/>
  <c r="B578" i="1"/>
  <c r="J577" i="1"/>
  <c r="C577" i="1"/>
  <c r="B577" i="1"/>
  <c r="J576" i="1"/>
  <c r="C576" i="1"/>
  <c r="B576" i="1"/>
  <c r="J575" i="1"/>
  <c r="C575" i="1"/>
  <c r="B575" i="1"/>
  <c r="J574" i="1"/>
  <c r="C574" i="1"/>
  <c r="B574" i="1"/>
  <c r="J573" i="1"/>
  <c r="C573" i="1"/>
  <c r="B573" i="1"/>
  <c r="J572" i="1"/>
  <c r="C572" i="1"/>
  <c r="B572" i="1"/>
  <c r="J571" i="1"/>
  <c r="C571" i="1"/>
  <c r="B571" i="1"/>
  <c r="J570" i="1"/>
  <c r="C570" i="1"/>
  <c r="B570" i="1"/>
  <c r="J569" i="1"/>
  <c r="C569" i="1"/>
  <c r="B569" i="1"/>
  <c r="J568" i="1"/>
  <c r="C568" i="1"/>
  <c r="B568" i="1"/>
  <c r="J567" i="1"/>
  <c r="C567" i="1"/>
  <c r="B567" i="1"/>
  <c r="J566" i="1"/>
  <c r="C566" i="1"/>
  <c r="B566" i="1"/>
  <c r="J565" i="1"/>
  <c r="C565" i="1"/>
  <c r="B565" i="1"/>
  <c r="J564" i="1"/>
  <c r="C564" i="1"/>
  <c r="B564" i="1"/>
  <c r="J563" i="1"/>
  <c r="C563" i="1"/>
  <c r="B563" i="1"/>
  <c r="J562" i="1"/>
  <c r="C562" i="1"/>
  <c r="B562" i="1"/>
  <c r="J561" i="1"/>
  <c r="C561" i="1"/>
  <c r="B561" i="1"/>
  <c r="J560" i="1"/>
  <c r="C560" i="1"/>
  <c r="B560" i="1"/>
  <c r="J559" i="1"/>
  <c r="C559" i="1"/>
  <c r="B559" i="1"/>
  <c r="J558" i="1"/>
  <c r="C558" i="1"/>
  <c r="B558" i="1"/>
  <c r="J557" i="1"/>
  <c r="C557" i="1"/>
  <c r="B557" i="1"/>
  <c r="J556" i="1"/>
  <c r="C556" i="1"/>
  <c r="B556" i="1"/>
  <c r="J555" i="1"/>
  <c r="C555" i="1"/>
  <c r="B555" i="1"/>
  <c r="J554" i="1"/>
  <c r="C554" i="1"/>
  <c r="B554" i="1"/>
  <c r="J553" i="1"/>
  <c r="C553" i="1"/>
  <c r="B553" i="1"/>
  <c r="J552" i="1"/>
  <c r="C552" i="1"/>
  <c r="B552" i="1"/>
  <c r="J551" i="1"/>
  <c r="C551" i="1"/>
  <c r="B551" i="1"/>
  <c r="J550" i="1"/>
  <c r="C550" i="1"/>
  <c r="B550" i="1"/>
  <c r="J549" i="1"/>
  <c r="C549" i="1"/>
  <c r="B549" i="1"/>
  <c r="J548" i="1"/>
  <c r="C548" i="1"/>
  <c r="B548" i="1"/>
  <c r="J547" i="1"/>
  <c r="C547" i="1"/>
  <c r="B547" i="1"/>
  <c r="J546" i="1"/>
  <c r="C546" i="1"/>
  <c r="B546" i="1"/>
  <c r="J545" i="1"/>
  <c r="C545" i="1"/>
  <c r="B545" i="1"/>
  <c r="J544" i="1"/>
  <c r="C544" i="1"/>
  <c r="B544" i="1"/>
  <c r="J543" i="1"/>
  <c r="C543" i="1"/>
  <c r="B543" i="1"/>
  <c r="J542" i="1"/>
  <c r="C542" i="1"/>
  <c r="B542" i="1"/>
  <c r="J541" i="1"/>
  <c r="C541" i="1"/>
  <c r="B541" i="1"/>
  <c r="J540" i="1"/>
  <c r="C540" i="1"/>
  <c r="B540" i="1"/>
  <c r="J539" i="1"/>
  <c r="C539" i="1"/>
  <c r="B539" i="1"/>
  <c r="J538" i="1"/>
  <c r="C538" i="1"/>
  <c r="B538" i="1"/>
  <c r="J537" i="1"/>
  <c r="C537" i="1"/>
  <c r="B537" i="1"/>
  <c r="J536" i="1"/>
  <c r="C536" i="1"/>
  <c r="B536" i="1"/>
  <c r="J535" i="1"/>
  <c r="C535" i="1"/>
  <c r="B535" i="1"/>
  <c r="J534" i="1"/>
  <c r="C534" i="1"/>
  <c r="B534" i="1"/>
  <c r="J533" i="1"/>
  <c r="C533" i="1"/>
  <c r="B533" i="1"/>
  <c r="J532" i="1"/>
  <c r="C532" i="1"/>
  <c r="B532" i="1"/>
  <c r="J531" i="1"/>
  <c r="C531" i="1"/>
  <c r="B531" i="1"/>
  <c r="J530" i="1"/>
  <c r="C530" i="1"/>
  <c r="B530" i="1"/>
  <c r="J529" i="1"/>
  <c r="C529" i="1"/>
  <c r="B529" i="1"/>
  <c r="J528" i="1"/>
  <c r="C528" i="1"/>
  <c r="B528" i="1"/>
  <c r="J527" i="1"/>
  <c r="C527" i="1"/>
  <c r="B527" i="1"/>
  <c r="J526" i="1"/>
  <c r="C526" i="1"/>
  <c r="B526" i="1"/>
  <c r="J525" i="1"/>
  <c r="C525" i="1"/>
  <c r="B525" i="1"/>
  <c r="J524" i="1"/>
  <c r="C524" i="1"/>
  <c r="B524" i="1"/>
  <c r="J523" i="1"/>
  <c r="C523" i="1"/>
  <c r="B523" i="1"/>
  <c r="J522" i="1"/>
  <c r="C522" i="1"/>
  <c r="B522" i="1"/>
  <c r="J521" i="1"/>
  <c r="C521" i="1"/>
  <c r="B521" i="1"/>
  <c r="J520" i="1"/>
  <c r="C520" i="1"/>
  <c r="B520" i="1"/>
  <c r="J519" i="1"/>
  <c r="C519" i="1"/>
  <c r="B519" i="1"/>
  <c r="J518" i="1"/>
  <c r="C518" i="1"/>
  <c r="B518" i="1"/>
  <c r="J517" i="1"/>
  <c r="C517" i="1"/>
  <c r="B517" i="1"/>
  <c r="J516" i="1"/>
  <c r="C516" i="1"/>
  <c r="B516" i="1"/>
  <c r="J515" i="1"/>
  <c r="C515" i="1"/>
  <c r="B515" i="1"/>
  <c r="J514" i="1"/>
  <c r="C514" i="1"/>
  <c r="B514" i="1"/>
  <c r="J513" i="1"/>
  <c r="C513" i="1"/>
  <c r="B513" i="1"/>
  <c r="J512" i="1"/>
  <c r="C512" i="1"/>
  <c r="B512" i="1"/>
  <c r="J511" i="1"/>
  <c r="C511" i="1"/>
  <c r="B511" i="1"/>
  <c r="J510" i="1"/>
  <c r="C510" i="1"/>
  <c r="B510" i="1"/>
  <c r="J509" i="1"/>
  <c r="C509" i="1"/>
  <c r="B509" i="1"/>
  <c r="J508" i="1"/>
  <c r="C508" i="1"/>
  <c r="B508" i="1"/>
  <c r="J507" i="1"/>
  <c r="C507" i="1"/>
  <c r="B507" i="1"/>
  <c r="J506" i="1"/>
  <c r="C506" i="1"/>
  <c r="B506" i="1"/>
  <c r="J505" i="1"/>
  <c r="C505" i="1"/>
  <c r="B505" i="1"/>
  <c r="J504" i="1"/>
  <c r="C504" i="1"/>
  <c r="B504" i="1"/>
  <c r="J503" i="1"/>
  <c r="C503" i="1"/>
  <c r="B503" i="1"/>
  <c r="J502" i="1"/>
  <c r="C502" i="1"/>
  <c r="B502" i="1"/>
  <c r="J501" i="1"/>
  <c r="C501" i="1"/>
  <c r="B501" i="1"/>
  <c r="J500" i="1"/>
  <c r="C500" i="1"/>
  <c r="B500" i="1"/>
  <c r="J499" i="1"/>
  <c r="C499" i="1"/>
  <c r="B499" i="1"/>
  <c r="J498" i="1"/>
  <c r="C498" i="1"/>
  <c r="B498" i="1"/>
  <c r="J497" i="1"/>
  <c r="C497" i="1"/>
  <c r="B497" i="1"/>
  <c r="J496" i="1"/>
  <c r="C496" i="1"/>
  <c r="B496" i="1"/>
  <c r="J495" i="1"/>
  <c r="C495" i="1"/>
  <c r="B495" i="1"/>
  <c r="J494" i="1"/>
  <c r="C494" i="1"/>
  <c r="B494" i="1"/>
  <c r="J493" i="1"/>
  <c r="C493" i="1"/>
  <c r="B493" i="1"/>
  <c r="J492" i="1"/>
  <c r="C492" i="1"/>
  <c r="B492" i="1"/>
  <c r="J491" i="1"/>
  <c r="C491" i="1"/>
  <c r="B491" i="1"/>
  <c r="J490" i="1"/>
  <c r="C490" i="1"/>
  <c r="B490" i="1"/>
  <c r="J489" i="1"/>
  <c r="C489" i="1"/>
  <c r="B489" i="1"/>
  <c r="J488" i="1"/>
  <c r="C488" i="1"/>
  <c r="B488" i="1"/>
  <c r="J487" i="1"/>
  <c r="C487" i="1"/>
  <c r="B487" i="1"/>
  <c r="J486" i="1"/>
  <c r="C486" i="1"/>
  <c r="B486" i="1"/>
  <c r="J485" i="1"/>
  <c r="C485" i="1"/>
  <c r="B485" i="1"/>
  <c r="J484" i="1"/>
  <c r="C484" i="1"/>
  <c r="B484" i="1"/>
  <c r="J483" i="1"/>
  <c r="C483" i="1"/>
  <c r="B483" i="1"/>
  <c r="J482" i="1"/>
  <c r="C482" i="1"/>
  <c r="B482" i="1"/>
  <c r="J481" i="1"/>
  <c r="C481" i="1"/>
  <c r="B481" i="1"/>
  <c r="J480" i="1"/>
  <c r="C480" i="1"/>
  <c r="B480" i="1"/>
  <c r="J479" i="1"/>
  <c r="C479" i="1"/>
  <c r="B479" i="1"/>
  <c r="J478" i="1"/>
  <c r="C478" i="1"/>
  <c r="B478" i="1"/>
  <c r="J477" i="1"/>
  <c r="C477" i="1"/>
  <c r="B477" i="1"/>
  <c r="J476" i="1"/>
  <c r="C476" i="1"/>
  <c r="B476" i="1"/>
  <c r="J475" i="1"/>
  <c r="C475" i="1"/>
  <c r="B475" i="1"/>
  <c r="J474" i="1"/>
  <c r="C474" i="1"/>
  <c r="B474" i="1"/>
  <c r="J473" i="1"/>
  <c r="C473" i="1"/>
  <c r="B473" i="1"/>
  <c r="J472" i="1"/>
  <c r="C472" i="1"/>
  <c r="B472" i="1"/>
  <c r="J471" i="1"/>
  <c r="C471" i="1"/>
  <c r="B471" i="1"/>
  <c r="J470" i="1"/>
  <c r="C470" i="1"/>
  <c r="B470" i="1"/>
  <c r="J469" i="1"/>
  <c r="C469" i="1"/>
  <c r="B469" i="1"/>
  <c r="J468" i="1"/>
  <c r="C468" i="1"/>
  <c r="B468" i="1"/>
  <c r="J467" i="1"/>
  <c r="C467" i="1"/>
  <c r="B467" i="1"/>
  <c r="J466" i="1"/>
  <c r="C466" i="1"/>
  <c r="B466" i="1"/>
  <c r="J465" i="1"/>
  <c r="C465" i="1"/>
  <c r="B465" i="1"/>
  <c r="J464" i="1"/>
  <c r="C464" i="1"/>
  <c r="B464" i="1"/>
  <c r="J463" i="1"/>
  <c r="C463" i="1"/>
  <c r="B463" i="1"/>
  <c r="J462" i="1"/>
  <c r="C462" i="1"/>
  <c r="B462" i="1"/>
  <c r="J461" i="1"/>
  <c r="C461" i="1"/>
  <c r="B461" i="1"/>
  <c r="J460" i="1"/>
  <c r="C460" i="1"/>
  <c r="B460" i="1"/>
  <c r="J459" i="1"/>
  <c r="C459" i="1"/>
  <c r="B459" i="1"/>
  <c r="J458" i="1"/>
  <c r="C458" i="1"/>
  <c r="B458" i="1"/>
  <c r="J457" i="1"/>
  <c r="C457" i="1"/>
  <c r="B457" i="1"/>
  <c r="J456" i="1"/>
  <c r="C456" i="1"/>
  <c r="B456" i="1"/>
  <c r="J455" i="1"/>
  <c r="C455" i="1"/>
  <c r="B455" i="1"/>
  <c r="J454" i="1"/>
  <c r="C454" i="1"/>
  <c r="B454" i="1"/>
  <c r="J453" i="1"/>
  <c r="C453" i="1"/>
  <c r="B453" i="1"/>
  <c r="J452" i="1"/>
  <c r="C452" i="1"/>
  <c r="B452" i="1"/>
  <c r="J451" i="1"/>
  <c r="C451" i="1"/>
  <c r="B451" i="1"/>
  <c r="J450" i="1"/>
  <c r="C450" i="1"/>
  <c r="B450" i="1"/>
  <c r="J449" i="1"/>
  <c r="C449" i="1"/>
  <c r="B449" i="1"/>
  <c r="J448" i="1"/>
  <c r="C448" i="1"/>
  <c r="B448" i="1"/>
  <c r="J447" i="1"/>
  <c r="C447" i="1"/>
  <c r="B447" i="1"/>
  <c r="J446" i="1"/>
  <c r="C446" i="1"/>
  <c r="B446" i="1"/>
  <c r="J445" i="1"/>
  <c r="C445" i="1"/>
  <c r="B445" i="1"/>
  <c r="J444" i="1"/>
  <c r="C444" i="1"/>
  <c r="B444" i="1"/>
  <c r="J443" i="1"/>
  <c r="C443" i="1"/>
  <c r="B443" i="1"/>
  <c r="J442" i="1"/>
  <c r="C442" i="1"/>
  <c r="B442" i="1"/>
  <c r="J441" i="1"/>
  <c r="C441" i="1"/>
  <c r="B441" i="1"/>
  <c r="J440" i="1"/>
  <c r="C440" i="1"/>
  <c r="B440" i="1"/>
  <c r="J439" i="1"/>
  <c r="C439" i="1"/>
  <c r="B439" i="1"/>
  <c r="J438" i="1"/>
  <c r="C438" i="1"/>
  <c r="B438" i="1"/>
  <c r="J437" i="1"/>
  <c r="C437" i="1"/>
  <c r="B437" i="1"/>
  <c r="J436" i="1"/>
  <c r="C436" i="1"/>
  <c r="B436" i="1"/>
  <c r="J435" i="1"/>
  <c r="C435" i="1"/>
  <c r="B435" i="1"/>
  <c r="J434" i="1"/>
  <c r="C434" i="1"/>
  <c r="B434" i="1"/>
  <c r="J433" i="1"/>
  <c r="C433" i="1"/>
  <c r="B433" i="1"/>
  <c r="J432" i="1"/>
  <c r="C432" i="1"/>
  <c r="B432" i="1"/>
  <c r="J431" i="1"/>
  <c r="C431" i="1"/>
  <c r="B431" i="1"/>
  <c r="J430" i="1"/>
  <c r="C430" i="1"/>
  <c r="B430" i="1"/>
  <c r="J429" i="1"/>
  <c r="C429" i="1"/>
  <c r="B429" i="1"/>
  <c r="J428" i="1"/>
  <c r="C428" i="1"/>
  <c r="B428" i="1"/>
  <c r="J427" i="1"/>
  <c r="C427" i="1"/>
  <c r="B427" i="1"/>
  <c r="J426" i="1"/>
  <c r="C426" i="1"/>
  <c r="B426" i="1"/>
  <c r="J425" i="1"/>
  <c r="C425" i="1"/>
  <c r="B425" i="1"/>
  <c r="J424" i="1"/>
  <c r="C424" i="1"/>
  <c r="B424" i="1"/>
  <c r="J423" i="1"/>
  <c r="C423" i="1"/>
  <c r="B423" i="1"/>
  <c r="J422" i="1"/>
  <c r="C422" i="1"/>
  <c r="B422" i="1"/>
  <c r="J421" i="1"/>
  <c r="C421" i="1"/>
  <c r="B421" i="1"/>
  <c r="J420" i="1"/>
  <c r="C420" i="1"/>
  <c r="B420" i="1"/>
  <c r="J419" i="1"/>
  <c r="C419" i="1"/>
  <c r="B419" i="1"/>
  <c r="J418" i="1"/>
  <c r="C418" i="1"/>
  <c r="B418" i="1"/>
  <c r="J417" i="1"/>
  <c r="C417" i="1"/>
  <c r="B417" i="1"/>
  <c r="J416" i="1"/>
  <c r="C416" i="1"/>
  <c r="B416" i="1"/>
  <c r="J415" i="1"/>
  <c r="C415" i="1"/>
  <c r="B415" i="1"/>
  <c r="J414" i="1"/>
  <c r="C414" i="1"/>
  <c r="B414" i="1"/>
  <c r="J413" i="1"/>
  <c r="C413" i="1"/>
  <c r="B413" i="1"/>
  <c r="J412" i="1"/>
  <c r="C412" i="1"/>
  <c r="B412" i="1"/>
  <c r="J411" i="1"/>
  <c r="C411" i="1"/>
  <c r="B411" i="1"/>
  <c r="J410" i="1"/>
  <c r="C410" i="1"/>
  <c r="B410" i="1"/>
  <c r="J409" i="1"/>
  <c r="C409" i="1"/>
  <c r="B409" i="1"/>
  <c r="J408" i="1"/>
  <c r="C408" i="1"/>
  <c r="B408" i="1"/>
  <c r="J407" i="1"/>
  <c r="C407" i="1"/>
  <c r="B407" i="1"/>
  <c r="J406" i="1"/>
  <c r="C406" i="1"/>
  <c r="B406" i="1"/>
  <c r="J405" i="1"/>
  <c r="C405" i="1"/>
  <c r="B405" i="1"/>
  <c r="J404" i="1"/>
  <c r="C404" i="1"/>
  <c r="B404" i="1"/>
  <c r="J403" i="1"/>
  <c r="C403" i="1"/>
  <c r="B403" i="1"/>
  <c r="J402" i="1"/>
  <c r="C402" i="1"/>
  <c r="B402" i="1"/>
  <c r="J401" i="1"/>
  <c r="C401" i="1"/>
  <c r="B401" i="1"/>
  <c r="J400" i="1"/>
  <c r="C400" i="1"/>
  <c r="B400" i="1"/>
  <c r="J399" i="1"/>
  <c r="C399" i="1"/>
  <c r="B399" i="1"/>
  <c r="J398" i="1"/>
  <c r="C398" i="1"/>
  <c r="B398" i="1"/>
  <c r="J397" i="1"/>
  <c r="C397" i="1"/>
  <c r="B397" i="1"/>
  <c r="J396" i="1"/>
  <c r="C396" i="1"/>
  <c r="B396" i="1"/>
  <c r="J395" i="1"/>
  <c r="C395" i="1"/>
  <c r="B395" i="1"/>
  <c r="J394" i="1"/>
  <c r="C394" i="1"/>
  <c r="B394" i="1"/>
  <c r="J393" i="1"/>
  <c r="C393" i="1"/>
  <c r="B393" i="1"/>
  <c r="J392" i="1"/>
  <c r="C392" i="1"/>
  <c r="B392" i="1"/>
  <c r="J391" i="1"/>
  <c r="C391" i="1"/>
  <c r="B391" i="1"/>
  <c r="J390" i="1"/>
  <c r="C390" i="1"/>
  <c r="B390" i="1"/>
  <c r="J389" i="1"/>
  <c r="C389" i="1"/>
  <c r="B389" i="1"/>
  <c r="J388" i="1"/>
  <c r="C388" i="1"/>
  <c r="B388" i="1"/>
  <c r="J387" i="1"/>
  <c r="C387" i="1"/>
  <c r="B387" i="1"/>
  <c r="J386" i="1"/>
  <c r="C386" i="1"/>
  <c r="B386" i="1"/>
  <c r="J385" i="1"/>
  <c r="C385" i="1"/>
  <c r="B385" i="1"/>
  <c r="J384" i="1"/>
  <c r="C384" i="1"/>
  <c r="B384" i="1"/>
  <c r="J383" i="1"/>
  <c r="C383" i="1"/>
  <c r="B383" i="1"/>
  <c r="J382" i="1"/>
  <c r="C382" i="1"/>
  <c r="B382" i="1"/>
  <c r="J381" i="1"/>
  <c r="C381" i="1"/>
  <c r="B381" i="1"/>
  <c r="J380" i="1"/>
  <c r="C380" i="1"/>
  <c r="B380" i="1"/>
  <c r="J379" i="1"/>
  <c r="C379" i="1"/>
  <c r="B379" i="1"/>
  <c r="J378" i="1"/>
  <c r="C378" i="1"/>
  <c r="B378" i="1"/>
  <c r="J377" i="1"/>
  <c r="C377" i="1"/>
  <c r="B377" i="1"/>
  <c r="J376" i="1"/>
  <c r="C376" i="1"/>
  <c r="B376" i="1"/>
  <c r="J375" i="1"/>
  <c r="C375" i="1"/>
  <c r="B375" i="1"/>
  <c r="J374" i="1"/>
  <c r="C374" i="1"/>
  <c r="B374" i="1"/>
  <c r="J373" i="1"/>
  <c r="C373" i="1"/>
  <c r="B373" i="1"/>
  <c r="J372" i="1"/>
  <c r="C372" i="1"/>
  <c r="B372" i="1"/>
  <c r="J371" i="1"/>
  <c r="C371" i="1"/>
  <c r="B371" i="1"/>
  <c r="J370" i="1"/>
  <c r="C370" i="1"/>
  <c r="B370" i="1"/>
  <c r="J369" i="1"/>
  <c r="C369" i="1"/>
  <c r="B369" i="1"/>
  <c r="J368" i="1"/>
  <c r="C368" i="1"/>
  <c r="B368" i="1"/>
  <c r="J367" i="1"/>
  <c r="C367" i="1"/>
  <c r="B367" i="1"/>
  <c r="J366" i="1"/>
  <c r="C366" i="1"/>
  <c r="B366" i="1"/>
  <c r="J365" i="1"/>
  <c r="C365" i="1"/>
  <c r="B365" i="1"/>
  <c r="J364" i="1"/>
  <c r="C364" i="1"/>
  <c r="B364" i="1"/>
  <c r="J363" i="1"/>
  <c r="C363" i="1"/>
  <c r="B363" i="1"/>
  <c r="J362" i="1"/>
  <c r="C362" i="1"/>
  <c r="B362" i="1"/>
  <c r="J361" i="1"/>
  <c r="C361" i="1"/>
  <c r="B361" i="1"/>
  <c r="J360" i="1"/>
  <c r="C360" i="1"/>
  <c r="B360" i="1"/>
  <c r="J359" i="1"/>
  <c r="C359" i="1"/>
  <c r="B359" i="1"/>
  <c r="J358" i="1"/>
  <c r="C358" i="1"/>
  <c r="B358" i="1"/>
  <c r="J357" i="1"/>
  <c r="C357" i="1"/>
  <c r="B357" i="1"/>
  <c r="J356" i="1"/>
  <c r="C356" i="1"/>
  <c r="B356" i="1"/>
  <c r="J355" i="1"/>
  <c r="C355" i="1"/>
  <c r="B355" i="1"/>
  <c r="J354" i="1"/>
  <c r="C354" i="1"/>
  <c r="B354" i="1"/>
  <c r="J353" i="1"/>
  <c r="C353" i="1"/>
  <c r="B353" i="1"/>
  <c r="J352" i="1"/>
  <c r="C352" i="1"/>
  <c r="B352" i="1"/>
  <c r="J351" i="1"/>
  <c r="C351" i="1"/>
  <c r="B351" i="1"/>
  <c r="J350" i="1"/>
  <c r="C350" i="1"/>
  <c r="B350" i="1"/>
  <c r="J349" i="1"/>
  <c r="C349" i="1"/>
  <c r="B349" i="1"/>
  <c r="J348" i="1"/>
  <c r="C348" i="1"/>
  <c r="B348" i="1"/>
  <c r="J347" i="1"/>
  <c r="C347" i="1"/>
  <c r="B347" i="1"/>
  <c r="J346" i="1"/>
  <c r="C346" i="1"/>
  <c r="B346" i="1"/>
  <c r="J345" i="1"/>
  <c r="C345" i="1"/>
  <c r="B345" i="1"/>
  <c r="J344" i="1"/>
  <c r="C344" i="1"/>
  <c r="B344" i="1"/>
  <c r="J343" i="1"/>
  <c r="C343" i="1"/>
  <c r="B343" i="1"/>
  <c r="J342" i="1"/>
  <c r="C342" i="1"/>
  <c r="B342" i="1"/>
  <c r="J341" i="1"/>
  <c r="C341" i="1"/>
  <c r="B341" i="1"/>
  <c r="J340" i="1"/>
  <c r="C340" i="1"/>
  <c r="B340" i="1"/>
  <c r="J339" i="1"/>
  <c r="C339" i="1"/>
  <c r="B339" i="1"/>
  <c r="J338" i="1"/>
  <c r="C338" i="1"/>
  <c r="B338" i="1"/>
  <c r="J337" i="1"/>
  <c r="C337" i="1"/>
  <c r="B337" i="1"/>
  <c r="J336" i="1"/>
  <c r="C336" i="1"/>
  <c r="B336" i="1"/>
  <c r="J335" i="1"/>
  <c r="C335" i="1"/>
  <c r="B335" i="1"/>
  <c r="J334" i="1"/>
  <c r="C334" i="1"/>
  <c r="B334" i="1"/>
  <c r="J333" i="1"/>
  <c r="C333" i="1"/>
  <c r="B333" i="1"/>
  <c r="J332" i="1"/>
  <c r="C332" i="1"/>
  <c r="B332" i="1"/>
  <c r="J331" i="1"/>
  <c r="C331" i="1"/>
  <c r="B331" i="1"/>
  <c r="J330" i="1"/>
  <c r="C330" i="1"/>
  <c r="B330" i="1"/>
  <c r="J329" i="1"/>
  <c r="C329" i="1"/>
  <c r="B329" i="1"/>
  <c r="J328" i="1"/>
  <c r="C328" i="1"/>
  <c r="B328" i="1"/>
  <c r="J327" i="1"/>
  <c r="C327" i="1"/>
  <c r="B327" i="1"/>
  <c r="J326" i="1"/>
  <c r="C326" i="1"/>
  <c r="B326" i="1"/>
  <c r="J325" i="1"/>
  <c r="C325" i="1"/>
  <c r="B325" i="1"/>
  <c r="J324" i="1"/>
  <c r="C324" i="1"/>
  <c r="B324" i="1"/>
  <c r="J323" i="1"/>
  <c r="C323" i="1"/>
  <c r="B323" i="1"/>
  <c r="J322" i="1"/>
  <c r="C322" i="1"/>
  <c r="B322" i="1"/>
  <c r="J321" i="1"/>
  <c r="C321" i="1"/>
  <c r="B321" i="1"/>
  <c r="J320" i="1"/>
  <c r="C320" i="1"/>
  <c r="B320" i="1"/>
  <c r="J319" i="1"/>
  <c r="C319" i="1"/>
  <c r="B319" i="1"/>
  <c r="J318" i="1"/>
  <c r="C318" i="1"/>
  <c r="B318" i="1"/>
  <c r="J317" i="1"/>
  <c r="C317" i="1"/>
  <c r="B317" i="1"/>
  <c r="J316" i="1"/>
  <c r="C316" i="1"/>
  <c r="B316" i="1"/>
  <c r="J315" i="1"/>
  <c r="C315" i="1"/>
  <c r="B315" i="1"/>
  <c r="J314" i="1"/>
  <c r="C314" i="1"/>
  <c r="B314" i="1"/>
  <c r="J313" i="1"/>
  <c r="C313" i="1"/>
  <c r="B313" i="1"/>
  <c r="J312" i="1"/>
  <c r="C312" i="1"/>
  <c r="B312" i="1"/>
  <c r="J311" i="1"/>
  <c r="C311" i="1"/>
  <c r="B311" i="1"/>
  <c r="J310" i="1"/>
  <c r="C310" i="1"/>
  <c r="B310" i="1"/>
  <c r="J309" i="1"/>
  <c r="C309" i="1"/>
  <c r="B309" i="1"/>
  <c r="J308" i="1"/>
  <c r="C308" i="1"/>
  <c r="B308" i="1"/>
  <c r="J307" i="1"/>
  <c r="C307" i="1"/>
  <c r="B307" i="1"/>
  <c r="J306" i="1"/>
  <c r="C306" i="1"/>
  <c r="B306" i="1"/>
  <c r="J305" i="1"/>
  <c r="C305" i="1"/>
  <c r="B305" i="1"/>
  <c r="J304" i="1"/>
  <c r="C304" i="1"/>
  <c r="B304" i="1"/>
  <c r="J303" i="1"/>
  <c r="C303" i="1"/>
  <c r="B303" i="1"/>
  <c r="J302" i="1"/>
  <c r="C302" i="1"/>
  <c r="B302" i="1"/>
  <c r="J301" i="1"/>
  <c r="C301" i="1"/>
  <c r="B301" i="1"/>
  <c r="J300" i="1"/>
  <c r="C300" i="1"/>
  <c r="B300" i="1"/>
  <c r="J299" i="1"/>
  <c r="C299" i="1"/>
  <c r="B299" i="1"/>
  <c r="J298" i="1"/>
  <c r="C298" i="1"/>
  <c r="B298" i="1"/>
  <c r="J297" i="1"/>
  <c r="C297" i="1"/>
  <c r="B297" i="1"/>
  <c r="J296" i="1"/>
  <c r="C296" i="1"/>
  <c r="B296" i="1"/>
  <c r="J295" i="1"/>
  <c r="C295" i="1"/>
  <c r="B295" i="1"/>
  <c r="J294" i="1"/>
  <c r="C294" i="1"/>
  <c r="B294" i="1"/>
  <c r="J293" i="1"/>
  <c r="C293" i="1"/>
  <c r="B293" i="1"/>
  <c r="J292" i="1"/>
  <c r="C292" i="1"/>
  <c r="B292" i="1"/>
  <c r="J291" i="1"/>
  <c r="C291" i="1"/>
  <c r="B291" i="1"/>
  <c r="J290" i="1"/>
  <c r="C290" i="1"/>
  <c r="B290" i="1"/>
  <c r="J289" i="1"/>
  <c r="C289" i="1"/>
  <c r="B289" i="1"/>
  <c r="J288" i="1"/>
  <c r="C288" i="1"/>
  <c r="B288" i="1"/>
  <c r="J287" i="1"/>
  <c r="C287" i="1"/>
  <c r="B287" i="1"/>
  <c r="J286" i="1"/>
  <c r="C286" i="1"/>
  <c r="B286" i="1"/>
  <c r="J285" i="1"/>
  <c r="C285" i="1"/>
  <c r="B285" i="1"/>
  <c r="J284" i="1"/>
  <c r="C284" i="1"/>
  <c r="B284" i="1"/>
  <c r="J283" i="1"/>
  <c r="C283" i="1"/>
  <c r="B283" i="1"/>
  <c r="J282" i="1"/>
  <c r="C282" i="1"/>
  <c r="B282" i="1"/>
  <c r="J281" i="1"/>
  <c r="C281" i="1"/>
  <c r="B281" i="1"/>
  <c r="J280" i="1"/>
  <c r="C280" i="1"/>
  <c r="B280" i="1"/>
  <c r="J279" i="1"/>
  <c r="C279" i="1"/>
  <c r="B279" i="1"/>
  <c r="J278" i="1"/>
  <c r="C278" i="1"/>
  <c r="B278" i="1"/>
  <c r="J277" i="1"/>
  <c r="C277" i="1"/>
  <c r="B277" i="1"/>
  <c r="J276" i="1"/>
  <c r="C276" i="1"/>
  <c r="B276" i="1"/>
  <c r="J275" i="1"/>
  <c r="C275" i="1"/>
  <c r="B275" i="1"/>
  <c r="J274" i="1"/>
  <c r="C274" i="1"/>
  <c r="B274" i="1"/>
  <c r="J273" i="1"/>
  <c r="C273" i="1"/>
  <c r="B273" i="1"/>
  <c r="J272" i="1"/>
  <c r="C272" i="1"/>
  <c r="B272" i="1"/>
  <c r="J271" i="1"/>
  <c r="C271" i="1"/>
  <c r="B271" i="1"/>
  <c r="J270" i="1"/>
  <c r="C270" i="1"/>
  <c r="B270" i="1"/>
  <c r="J269" i="1"/>
  <c r="C269" i="1"/>
  <c r="B269" i="1"/>
  <c r="J268" i="1"/>
  <c r="C268" i="1"/>
  <c r="B268" i="1"/>
  <c r="J267" i="1"/>
  <c r="C267" i="1"/>
  <c r="B267" i="1"/>
  <c r="J266" i="1"/>
  <c r="C266" i="1"/>
  <c r="B266" i="1"/>
  <c r="J265" i="1"/>
  <c r="C265" i="1"/>
  <c r="B265" i="1"/>
  <c r="J264" i="1"/>
  <c r="C264" i="1"/>
  <c r="B264" i="1"/>
  <c r="J263" i="1"/>
  <c r="C263" i="1"/>
  <c r="B263" i="1"/>
  <c r="J262" i="1"/>
  <c r="C262" i="1"/>
  <c r="B262" i="1"/>
  <c r="J261" i="1"/>
  <c r="C261" i="1"/>
  <c r="B261" i="1"/>
  <c r="J260" i="1"/>
  <c r="C260" i="1"/>
  <c r="B260" i="1"/>
  <c r="J259" i="1"/>
  <c r="C259" i="1"/>
  <c r="B259" i="1"/>
  <c r="J258" i="1"/>
  <c r="C258" i="1"/>
  <c r="B258" i="1"/>
  <c r="J257" i="1"/>
  <c r="C257" i="1"/>
  <c r="B257" i="1"/>
  <c r="J256" i="1"/>
  <c r="C256" i="1"/>
  <c r="B256" i="1"/>
  <c r="J255" i="1"/>
  <c r="C255" i="1"/>
  <c r="B255" i="1"/>
  <c r="J254" i="1"/>
  <c r="C254" i="1"/>
  <c r="B254" i="1"/>
  <c r="J253" i="1"/>
  <c r="C253" i="1"/>
  <c r="B253" i="1"/>
  <c r="J252" i="1"/>
  <c r="C252" i="1"/>
  <c r="B252" i="1"/>
  <c r="J251" i="1"/>
  <c r="C251" i="1"/>
  <c r="B251" i="1"/>
  <c r="J250" i="1"/>
  <c r="C250" i="1"/>
  <c r="B250" i="1"/>
  <c r="J249" i="1"/>
  <c r="C249" i="1"/>
  <c r="B249" i="1"/>
  <c r="J248" i="1"/>
  <c r="C248" i="1"/>
  <c r="B248" i="1"/>
  <c r="J247" i="1"/>
  <c r="C247" i="1"/>
  <c r="B247" i="1"/>
  <c r="J246" i="1"/>
  <c r="C246" i="1"/>
  <c r="B246" i="1"/>
  <c r="J245" i="1"/>
  <c r="C245" i="1"/>
  <c r="B245" i="1"/>
  <c r="J244" i="1"/>
  <c r="C244" i="1"/>
  <c r="B244" i="1"/>
  <c r="J243" i="1"/>
  <c r="C243" i="1"/>
  <c r="B243" i="1"/>
  <c r="J242" i="1"/>
  <c r="C242" i="1"/>
  <c r="B242" i="1"/>
  <c r="J241" i="1"/>
  <c r="C241" i="1"/>
  <c r="B241" i="1"/>
  <c r="J240" i="1"/>
  <c r="C240" i="1"/>
  <c r="B240" i="1"/>
  <c r="J239" i="1"/>
  <c r="C239" i="1"/>
  <c r="B239" i="1"/>
  <c r="J238" i="1"/>
  <c r="C238" i="1"/>
  <c r="B238" i="1"/>
  <c r="J237" i="1"/>
  <c r="C237" i="1"/>
  <c r="B237" i="1"/>
  <c r="J236" i="1"/>
  <c r="C236" i="1"/>
  <c r="B236" i="1"/>
  <c r="J235" i="1"/>
  <c r="C235" i="1"/>
  <c r="B235" i="1"/>
  <c r="J234" i="1"/>
  <c r="C234" i="1"/>
  <c r="B234" i="1"/>
  <c r="J233" i="1"/>
  <c r="C233" i="1"/>
  <c r="B233" i="1"/>
  <c r="J232" i="1"/>
  <c r="C232" i="1"/>
  <c r="B232" i="1"/>
  <c r="J231" i="1"/>
  <c r="C231" i="1"/>
  <c r="B231" i="1"/>
  <c r="J230" i="1"/>
  <c r="C230" i="1"/>
  <c r="B230" i="1"/>
  <c r="J229" i="1"/>
  <c r="C229" i="1"/>
  <c r="B229" i="1"/>
  <c r="J228" i="1"/>
  <c r="C228" i="1"/>
  <c r="B228" i="1"/>
  <c r="J227" i="1"/>
  <c r="C227" i="1"/>
  <c r="B227" i="1"/>
  <c r="J226" i="1"/>
  <c r="C226" i="1"/>
  <c r="B226" i="1"/>
  <c r="J225" i="1"/>
  <c r="C225" i="1"/>
  <c r="B225" i="1"/>
  <c r="J224" i="1"/>
  <c r="C224" i="1"/>
  <c r="B224" i="1"/>
  <c r="J223" i="1"/>
  <c r="C223" i="1"/>
  <c r="B223" i="1"/>
  <c r="J222" i="1"/>
  <c r="C222" i="1"/>
  <c r="B222" i="1"/>
  <c r="J221" i="1"/>
  <c r="C221" i="1"/>
  <c r="B221" i="1"/>
  <c r="J220" i="1"/>
  <c r="C220" i="1"/>
  <c r="B220" i="1"/>
  <c r="J219" i="1"/>
  <c r="C219" i="1"/>
  <c r="B219" i="1"/>
  <c r="J218" i="1"/>
  <c r="C218" i="1"/>
  <c r="B218" i="1"/>
  <c r="J217" i="1"/>
  <c r="C217" i="1"/>
  <c r="B217" i="1"/>
  <c r="J216" i="1"/>
  <c r="C216" i="1"/>
  <c r="B216" i="1"/>
  <c r="J215" i="1"/>
  <c r="C215" i="1"/>
  <c r="B215" i="1"/>
  <c r="J214" i="1"/>
  <c r="C214" i="1"/>
  <c r="B214" i="1"/>
  <c r="J213" i="1"/>
  <c r="C213" i="1"/>
  <c r="B213" i="1"/>
  <c r="J212" i="1"/>
  <c r="C212" i="1"/>
  <c r="B212" i="1"/>
  <c r="J211" i="1"/>
  <c r="C211" i="1"/>
  <c r="B211" i="1"/>
  <c r="J210" i="1"/>
  <c r="C210" i="1"/>
  <c r="B210" i="1"/>
  <c r="J209" i="1"/>
  <c r="C209" i="1"/>
  <c r="B209" i="1"/>
  <c r="J208" i="1"/>
  <c r="C208" i="1"/>
  <c r="B208" i="1"/>
  <c r="J207" i="1"/>
  <c r="C207" i="1"/>
  <c r="B207" i="1"/>
  <c r="J206" i="1"/>
  <c r="C206" i="1"/>
  <c r="B206" i="1"/>
  <c r="J205" i="1"/>
  <c r="C205" i="1"/>
  <c r="B205" i="1"/>
  <c r="J204" i="1"/>
  <c r="C204" i="1"/>
  <c r="B204" i="1"/>
  <c r="J203" i="1"/>
  <c r="C203" i="1"/>
  <c r="B203" i="1"/>
  <c r="J202" i="1"/>
  <c r="C202" i="1"/>
  <c r="B202" i="1"/>
  <c r="J201" i="1"/>
  <c r="C201" i="1"/>
  <c r="B201" i="1"/>
  <c r="J200" i="1"/>
  <c r="C200" i="1"/>
  <c r="B200" i="1"/>
  <c r="J199" i="1"/>
  <c r="C199" i="1"/>
  <c r="B199" i="1"/>
  <c r="J198" i="1"/>
  <c r="C198" i="1"/>
  <c r="B198" i="1"/>
  <c r="J197" i="1"/>
  <c r="C197" i="1"/>
  <c r="B197" i="1"/>
  <c r="J196" i="1"/>
  <c r="C196" i="1"/>
  <c r="B196" i="1"/>
  <c r="J195" i="1"/>
  <c r="C195" i="1"/>
  <c r="B195" i="1"/>
  <c r="J194" i="1"/>
  <c r="C194" i="1"/>
  <c r="B194" i="1"/>
  <c r="J193" i="1"/>
  <c r="C193" i="1"/>
  <c r="B193" i="1"/>
  <c r="J192" i="1"/>
  <c r="C192" i="1"/>
  <c r="B192" i="1"/>
  <c r="J191" i="1"/>
  <c r="C191" i="1"/>
  <c r="B191" i="1"/>
  <c r="J190" i="1"/>
  <c r="C190" i="1"/>
  <c r="B190" i="1"/>
  <c r="J189" i="1"/>
  <c r="C189" i="1"/>
  <c r="B189" i="1"/>
  <c r="J188" i="1"/>
  <c r="C188" i="1"/>
  <c r="B188" i="1"/>
  <c r="J187" i="1"/>
  <c r="C187" i="1"/>
  <c r="B187" i="1"/>
  <c r="J186" i="1"/>
  <c r="C186" i="1"/>
  <c r="B186" i="1"/>
  <c r="J185" i="1"/>
  <c r="C185" i="1"/>
  <c r="B185" i="1"/>
  <c r="J184" i="1"/>
  <c r="C184" i="1"/>
  <c r="B184" i="1"/>
  <c r="J183" i="1"/>
  <c r="C183" i="1"/>
  <c r="B183" i="1"/>
  <c r="J182" i="1"/>
  <c r="C182" i="1"/>
  <c r="B182" i="1"/>
  <c r="J181" i="1"/>
  <c r="C181" i="1"/>
  <c r="B181" i="1"/>
  <c r="J180" i="1"/>
  <c r="C180" i="1"/>
  <c r="B180" i="1"/>
  <c r="J179" i="1"/>
  <c r="C179" i="1"/>
  <c r="B179" i="1"/>
  <c r="J178" i="1"/>
  <c r="C178" i="1"/>
  <c r="B178" i="1"/>
  <c r="J177" i="1"/>
  <c r="C177" i="1"/>
  <c r="B177" i="1"/>
  <c r="J176" i="1"/>
  <c r="C176" i="1"/>
  <c r="B176" i="1"/>
  <c r="J175" i="1"/>
  <c r="C175" i="1"/>
  <c r="B175" i="1"/>
  <c r="J174" i="1"/>
  <c r="C174" i="1"/>
  <c r="B174" i="1"/>
  <c r="J173" i="1"/>
  <c r="C173" i="1"/>
  <c r="B173" i="1"/>
  <c r="J172" i="1"/>
  <c r="C172" i="1"/>
  <c r="B172" i="1"/>
  <c r="J171" i="1"/>
  <c r="C171" i="1"/>
  <c r="B171" i="1"/>
  <c r="J170" i="1"/>
  <c r="C170" i="1"/>
  <c r="B170" i="1"/>
  <c r="J169" i="1"/>
  <c r="C169" i="1"/>
  <c r="B169" i="1"/>
  <c r="J168" i="1"/>
  <c r="C168" i="1"/>
  <c r="B168" i="1"/>
  <c r="J167" i="1"/>
  <c r="C167" i="1"/>
  <c r="B167" i="1"/>
  <c r="J166" i="1"/>
  <c r="C166" i="1"/>
  <c r="B166" i="1"/>
  <c r="J165" i="1"/>
  <c r="C165" i="1"/>
  <c r="B165" i="1"/>
  <c r="J164" i="1"/>
  <c r="C164" i="1"/>
  <c r="B164" i="1"/>
  <c r="J163" i="1"/>
  <c r="C163" i="1"/>
  <c r="B163" i="1"/>
  <c r="J162" i="1"/>
  <c r="C162" i="1"/>
  <c r="B162" i="1"/>
  <c r="J161" i="1"/>
  <c r="C161" i="1"/>
  <c r="B161" i="1"/>
  <c r="J160" i="1"/>
  <c r="C160" i="1"/>
  <c r="B160" i="1"/>
  <c r="J159" i="1"/>
  <c r="C159" i="1"/>
  <c r="B159" i="1"/>
  <c r="J158" i="1"/>
  <c r="C158" i="1"/>
  <c r="B158" i="1"/>
  <c r="J157" i="1"/>
  <c r="C157" i="1"/>
  <c r="B157" i="1"/>
  <c r="J156" i="1"/>
  <c r="C156" i="1"/>
  <c r="B156" i="1"/>
  <c r="J155" i="1"/>
  <c r="C155" i="1"/>
  <c r="B155" i="1"/>
  <c r="J154" i="1"/>
  <c r="C154" i="1"/>
  <c r="B154" i="1"/>
  <c r="J153" i="1"/>
  <c r="C153" i="1"/>
  <c r="B153" i="1"/>
  <c r="J152" i="1"/>
  <c r="C152" i="1"/>
  <c r="B152" i="1"/>
  <c r="J151" i="1"/>
  <c r="C151" i="1"/>
  <c r="B151" i="1"/>
  <c r="J150" i="1"/>
  <c r="C150" i="1"/>
  <c r="B150" i="1"/>
  <c r="J149" i="1"/>
  <c r="C149" i="1"/>
  <c r="B149" i="1"/>
  <c r="J148" i="1"/>
  <c r="C148" i="1"/>
  <c r="B148" i="1"/>
  <c r="J147" i="1"/>
  <c r="C147" i="1"/>
  <c r="B147" i="1"/>
  <c r="J146" i="1"/>
  <c r="C146" i="1"/>
  <c r="B146" i="1"/>
  <c r="J145" i="1"/>
  <c r="C145" i="1"/>
  <c r="B145" i="1"/>
  <c r="J144" i="1"/>
  <c r="C144" i="1"/>
  <c r="B144" i="1"/>
  <c r="J143" i="1"/>
  <c r="C143" i="1"/>
  <c r="B143" i="1"/>
  <c r="J142" i="1"/>
  <c r="C142" i="1"/>
  <c r="B142" i="1"/>
  <c r="J141" i="1"/>
  <c r="C141" i="1"/>
  <c r="B141" i="1"/>
  <c r="J140" i="1"/>
  <c r="C140" i="1"/>
  <c r="B140" i="1"/>
  <c r="J139" i="1"/>
  <c r="C139" i="1"/>
  <c r="B139" i="1"/>
  <c r="J138" i="1"/>
  <c r="C138" i="1"/>
  <c r="B138" i="1"/>
  <c r="J137" i="1"/>
  <c r="C137" i="1"/>
  <c r="B137" i="1"/>
  <c r="J136" i="1"/>
  <c r="C136" i="1"/>
  <c r="B136" i="1"/>
  <c r="J135" i="1"/>
  <c r="C135" i="1"/>
  <c r="B135" i="1"/>
  <c r="J134" i="1"/>
  <c r="C134" i="1"/>
  <c r="B134" i="1"/>
  <c r="J133" i="1"/>
  <c r="C133" i="1"/>
  <c r="B133" i="1"/>
  <c r="J132" i="1"/>
  <c r="C132" i="1"/>
  <c r="B132" i="1"/>
  <c r="J131" i="1"/>
  <c r="C131" i="1"/>
  <c r="B131" i="1"/>
  <c r="J130" i="1"/>
  <c r="C130" i="1"/>
  <c r="B130" i="1"/>
  <c r="J129" i="1"/>
  <c r="C129" i="1"/>
  <c r="B129" i="1"/>
  <c r="J128" i="1"/>
  <c r="C128" i="1"/>
  <c r="B128" i="1"/>
  <c r="J127" i="1"/>
  <c r="C127" i="1"/>
  <c r="B127" i="1"/>
  <c r="J126" i="1"/>
  <c r="C126" i="1"/>
  <c r="B126" i="1"/>
  <c r="J125" i="1"/>
  <c r="C125" i="1"/>
  <c r="B125" i="1"/>
  <c r="J124" i="1"/>
  <c r="C124" i="1"/>
  <c r="B124" i="1"/>
  <c r="J123" i="1"/>
  <c r="C123" i="1"/>
  <c r="B123" i="1"/>
  <c r="J122" i="1"/>
  <c r="C122" i="1"/>
  <c r="B122" i="1"/>
  <c r="J121" i="1"/>
  <c r="C121" i="1"/>
  <c r="B121" i="1"/>
  <c r="J120" i="1"/>
  <c r="C120" i="1"/>
  <c r="B120" i="1"/>
  <c r="J119" i="1"/>
  <c r="C119" i="1"/>
  <c r="B119" i="1"/>
  <c r="J118" i="1"/>
  <c r="C118" i="1"/>
  <c r="B118" i="1"/>
  <c r="J117" i="1"/>
  <c r="C117" i="1"/>
  <c r="B117" i="1"/>
  <c r="J116" i="1"/>
  <c r="C116" i="1"/>
  <c r="B116" i="1"/>
  <c r="J115" i="1"/>
  <c r="C115" i="1"/>
  <c r="B115" i="1"/>
  <c r="J114" i="1"/>
  <c r="C114" i="1"/>
  <c r="B114" i="1"/>
  <c r="J113" i="1"/>
  <c r="C113" i="1"/>
  <c r="B113" i="1"/>
  <c r="J112" i="1"/>
  <c r="C112" i="1"/>
  <c r="B112" i="1"/>
  <c r="J111" i="1"/>
  <c r="C111" i="1"/>
  <c r="B111" i="1"/>
  <c r="J110" i="1"/>
  <c r="C110" i="1"/>
  <c r="B110" i="1"/>
  <c r="J109" i="1"/>
  <c r="C109" i="1"/>
  <c r="B109" i="1"/>
  <c r="J108" i="1"/>
  <c r="C108" i="1"/>
  <c r="B108" i="1"/>
  <c r="J107" i="1"/>
  <c r="C107" i="1"/>
  <c r="B107" i="1"/>
  <c r="J106" i="1"/>
  <c r="C106" i="1"/>
  <c r="B106" i="1"/>
  <c r="J105" i="1"/>
  <c r="C105" i="1"/>
  <c r="B105" i="1"/>
  <c r="J104" i="1"/>
  <c r="C104" i="1"/>
  <c r="B104" i="1"/>
  <c r="J103" i="1"/>
  <c r="C103" i="1"/>
  <c r="B103" i="1"/>
  <c r="J102" i="1"/>
  <c r="C102" i="1"/>
  <c r="B102" i="1"/>
  <c r="J101" i="1"/>
  <c r="C101" i="1"/>
  <c r="B101" i="1"/>
  <c r="J100" i="1"/>
  <c r="C100" i="1"/>
  <c r="B100" i="1"/>
  <c r="J99" i="1"/>
  <c r="C99" i="1"/>
  <c r="B99" i="1"/>
  <c r="J98" i="1"/>
  <c r="C98" i="1"/>
  <c r="B98" i="1"/>
  <c r="J97" i="1"/>
  <c r="C97" i="1"/>
  <c r="B97" i="1"/>
  <c r="J96" i="1"/>
  <c r="C96" i="1"/>
  <c r="B96" i="1"/>
  <c r="J95" i="1"/>
  <c r="C95" i="1"/>
  <c r="B95" i="1"/>
  <c r="J94" i="1"/>
  <c r="C94" i="1"/>
  <c r="B94" i="1"/>
  <c r="J93" i="1"/>
  <c r="C93" i="1"/>
  <c r="B93" i="1"/>
  <c r="J92" i="1"/>
  <c r="C92" i="1"/>
  <c r="B92" i="1"/>
  <c r="J91" i="1"/>
  <c r="C91" i="1"/>
  <c r="B91" i="1"/>
  <c r="J90" i="1"/>
  <c r="C90" i="1"/>
  <c r="B90" i="1"/>
  <c r="J89" i="1"/>
  <c r="C89" i="1"/>
  <c r="B89" i="1"/>
  <c r="J88" i="1"/>
  <c r="C88" i="1"/>
  <c r="B88" i="1"/>
  <c r="J87" i="1"/>
  <c r="C87" i="1"/>
  <c r="B87" i="1"/>
  <c r="J86" i="1"/>
  <c r="C86" i="1"/>
  <c r="B86" i="1"/>
  <c r="J85" i="1"/>
  <c r="C85" i="1"/>
  <c r="B85" i="1"/>
  <c r="J84" i="1"/>
  <c r="C84" i="1"/>
  <c r="B84" i="1"/>
  <c r="J83" i="1"/>
  <c r="C83" i="1"/>
  <c r="B83" i="1"/>
  <c r="J82" i="1"/>
  <c r="C82" i="1"/>
  <c r="B82" i="1"/>
  <c r="J81" i="1"/>
  <c r="C81" i="1"/>
  <c r="B81" i="1"/>
  <c r="J80" i="1"/>
  <c r="C80" i="1"/>
  <c r="B80" i="1"/>
  <c r="J79" i="1"/>
  <c r="C79" i="1"/>
  <c r="B79" i="1"/>
  <c r="J78" i="1"/>
  <c r="C78" i="1"/>
  <c r="B78" i="1"/>
  <c r="J77" i="1"/>
  <c r="C77" i="1"/>
  <c r="B77" i="1"/>
  <c r="J76" i="1"/>
  <c r="C76" i="1"/>
  <c r="B76" i="1"/>
  <c r="J75" i="1"/>
  <c r="C75" i="1"/>
  <c r="B75" i="1"/>
  <c r="J74" i="1"/>
  <c r="C74" i="1"/>
  <c r="B74" i="1"/>
  <c r="J73" i="1"/>
  <c r="C73" i="1"/>
  <c r="B73" i="1"/>
  <c r="J72" i="1"/>
  <c r="C72" i="1"/>
  <c r="B72" i="1"/>
  <c r="J71" i="1"/>
  <c r="C71" i="1"/>
  <c r="B71" i="1"/>
  <c r="J70" i="1"/>
  <c r="C70" i="1"/>
  <c r="B70" i="1"/>
  <c r="J69" i="1"/>
  <c r="C69" i="1"/>
  <c r="B69" i="1"/>
  <c r="J68" i="1"/>
  <c r="C68" i="1"/>
  <c r="B68" i="1"/>
  <c r="J67" i="1"/>
  <c r="C67" i="1"/>
  <c r="B67" i="1"/>
  <c r="J66" i="1"/>
  <c r="C66" i="1"/>
  <c r="B66" i="1"/>
  <c r="J65" i="1"/>
  <c r="C65" i="1"/>
  <c r="B65" i="1"/>
  <c r="J64" i="1"/>
  <c r="C64" i="1"/>
  <c r="B64" i="1"/>
  <c r="J63" i="1"/>
  <c r="C63" i="1"/>
  <c r="B63" i="1"/>
  <c r="J62" i="1"/>
  <c r="C62" i="1"/>
  <c r="B62" i="1"/>
  <c r="J61" i="1"/>
  <c r="C61" i="1"/>
  <c r="B61" i="1"/>
  <c r="J60" i="1"/>
  <c r="C60" i="1"/>
  <c r="B60" i="1"/>
  <c r="J59" i="1"/>
  <c r="C59" i="1"/>
  <c r="B59" i="1"/>
  <c r="J58" i="1"/>
  <c r="C58" i="1"/>
  <c r="B58" i="1"/>
  <c r="J57" i="1"/>
  <c r="C57" i="1"/>
  <c r="B57" i="1"/>
  <c r="J56" i="1"/>
  <c r="C56" i="1"/>
  <c r="B56" i="1"/>
  <c r="J55" i="1"/>
  <c r="C55" i="1"/>
  <c r="B55" i="1"/>
  <c r="J54" i="1"/>
  <c r="C54" i="1"/>
  <c r="B54" i="1"/>
  <c r="J53" i="1"/>
  <c r="C53" i="1"/>
  <c r="B53" i="1"/>
  <c r="J52" i="1"/>
  <c r="C52" i="1"/>
  <c r="B52" i="1"/>
  <c r="J51" i="1"/>
  <c r="C51" i="1"/>
  <c r="B51" i="1"/>
  <c r="J50" i="1"/>
  <c r="C50" i="1"/>
  <c r="B50" i="1"/>
  <c r="J49" i="1"/>
  <c r="C49" i="1"/>
  <c r="B49" i="1"/>
  <c r="J48" i="1"/>
  <c r="C48" i="1"/>
  <c r="B48" i="1"/>
  <c r="J47" i="1"/>
  <c r="C47" i="1"/>
  <c r="B47" i="1"/>
  <c r="J46" i="1"/>
  <c r="C46" i="1"/>
  <c r="B46" i="1"/>
  <c r="J45" i="1"/>
  <c r="C45" i="1"/>
  <c r="B45" i="1"/>
  <c r="J44" i="1"/>
  <c r="C44" i="1"/>
  <c r="B44" i="1"/>
  <c r="J43" i="1"/>
  <c r="C43" i="1"/>
  <c r="B43" i="1"/>
  <c r="J42" i="1"/>
  <c r="C42" i="1"/>
  <c r="B42" i="1"/>
  <c r="J41" i="1"/>
  <c r="C41" i="1"/>
  <c r="B41" i="1"/>
  <c r="J40" i="1"/>
  <c r="C40" i="1"/>
  <c r="B40" i="1"/>
  <c r="J39" i="1"/>
  <c r="C39" i="1"/>
  <c r="B39" i="1"/>
  <c r="J38" i="1"/>
  <c r="C38" i="1"/>
  <c r="B38" i="1"/>
  <c r="J37" i="1"/>
  <c r="C37" i="1"/>
  <c r="B37" i="1"/>
  <c r="J36" i="1"/>
  <c r="C36" i="1"/>
  <c r="B36" i="1"/>
  <c r="J35" i="1"/>
  <c r="C35" i="1"/>
  <c r="B35" i="1"/>
  <c r="J34" i="1"/>
  <c r="C34" i="1"/>
  <c r="B34" i="1"/>
  <c r="J33" i="1"/>
  <c r="C33" i="1"/>
  <c r="B33" i="1"/>
  <c r="J32" i="1"/>
  <c r="C32" i="1"/>
  <c r="B32" i="1"/>
  <c r="J31" i="1"/>
  <c r="C31" i="1"/>
  <c r="B31" i="1"/>
  <c r="J30" i="1"/>
  <c r="C30" i="1"/>
  <c r="B30" i="1"/>
  <c r="J29" i="1"/>
  <c r="C29" i="1"/>
  <c r="B29" i="1"/>
  <c r="J28" i="1"/>
  <c r="C28" i="1"/>
  <c r="B28" i="1"/>
  <c r="J27" i="1"/>
  <c r="C27" i="1"/>
  <c r="B27" i="1"/>
  <c r="J26" i="1"/>
  <c r="C26" i="1"/>
  <c r="B26" i="1"/>
  <c r="J25" i="1"/>
  <c r="C25" i="1"/>
  <c r="B25" i="1"/>
  <c r="J24" i="1"/>
  <c r="C24" i="1"/>
  <c r="B24" i="1"/>
  <c r="J23" i="1"/>
  <c r="C23" i="1"/>
  <c r="B23" i="1"/>
  <c r="J22" i="1"/>
  <c r="C22" i="1"/>
  <c r="B22" i="1"/>
  <c r="J21" i="1"/>
  <c r="C21" i="1"/>
  <c r="B21" i="1"/>
  <c r="J20" i="1"/>
  <c r="C20" i="1"/>
  <c r="B20" i="1"/>
  <c r="J19" i="1"/>
  <c r="C19" i="1"/>
  <c r="B19" i="1"/>
  <c r="J18" i="1"/>
  <c r="C18" i="1"/>
  <c r="B18" i="1"/>
  <c r="J17" i="1"/>
  <c r="C17" i="1"/>
  <c r="B17" i="1"/>
  <c r="J16" i="1"/>
  <c r="C16" i="1"/>
  <c r="B16" i="1"/>
  <c r="J15" i="1"/>
  <c r="C15" i="1"/>
  <c r="B15" i="1"/>
  <c r="J14" i="1"/>
  <c r="C14" i="1"/>
  <c r="B14" i="1"/>
  <c r="J13" i="1"/>
  <c r="C13" i="1"/>
  <c r="B13" i="1"/>
  <c r="J12" i="1"/>
  <c r="C12" i="1"/>
  <c r="B12" i="1"/>
  <c r="J11" i="1"/>
  <c r="C11" i="1"/>
  <c r="B11" i="1"/>
  <c r="J10" i="1"/>
  <c r="C10" i="1"/>
  <c r="B10" i="1"/>
  <c r="J9" i="1"/>
  <c r="C9" i="1"/>
  <c r="B9" i="1"/>
  <c r="J8" i="1"/>
  <c r="C8" i="1"/>
  <c r="B8" i="1"/>
  <c r="J7" i="1"/>
  <c r="C7" i="1"/>
  <c r="B7" i="1"/>
  <c r="J6" i="1"/>
  <c r="C6" i="1"/>
  <c r="B6" i="1"/>
  <c r="J5" i="1"/>
  <c r="C5" i="1"/>
  <c r="B5" i="1"/>
  <c r="J4" i="1"/>
  <c r="C4" i="1"/>
  <c r="B4" i="1"/>
  <c r="J3" i="1"/>
  <c r="C3" i="1"/>
  <c r="B3" i="1"/>
  <c r="J2" i="1"/>
  <c r="C2" i="1"/>
  <c r="B2" i="1"/>
  <c r="C22" i="22"/>
  <c r="C23" i="22"/>
  <c r="C24" i="22"/>
  <c r="C25" i="22"/>
  <c r="C26" i="22"/>
  <c r="C27" i="22"/>
  <c r="D27" i="22"/>
  <c r="D23" i="22"/>
  <c r="D22" i="22"/>
  <c r="E24" i="22"/>
  <c r="E26" i="22"/>
  <c r="E22" i="22"/>
  <c r="D26" i="22"/>
  <c r="D25" i="22"/>
  <c r="E23" i="22"/>
  <c r="E25" i="22"/>
  <c r="D24" i="22"/>
  <c r="E27" i="22"/>
</calcChain>
</file>

<file path=xl/sharedStrings.xml><?xml version="1.0" encoding="utf-8"?>
<sst xmlns="http://schemas.openxmlformats.org/spreadsheetml/2006/main" count="15092" uniqueCount="3031">
  <si>
    <t>Sale_Date</t>
  </si>
  <si>
    <t>Month</t>
  </si>
  <si>
    <t>Year</t>
  </si>
  <si>
    <t>Address</t>
  </si>
  <si>
    <t>Town</t>
  </si>
  <si>
    <t>Property_Type</t>
  </si>
  <si>
    <t>Bedrooms</t>
  </si>
  <si>
    <t>Square_Feet</t>
  </si>
  <si>
    <t>Sale_Price</t>
  </si>
  <si>
    <t>Price Per Sq Ft</t>
  </si>
  <si>
    <t>758 Maple Ave</t>
  </si>
  <si>
    <t>Condo</t>
  </si>
  <si>
    <t>294 Pine Rd</t>
  </si>
  <si>
    <t>Waterbury</t>
  </si>
  <si>
    <t>579 Pine Rd</t>
  </si>
  <si>
    <t>New Haven</t>
  </si>
  <si>
    <t>Single Family</t>
  </si>
  <si>
    <t>799 Elm St</t>
  </si>
  <si>
    <t>Apartment</t>
  </si>
  <si>
    <t>436 Maple Ave</t>
  </si>
  <si>
    <t>103 Pine Rd</t>
  </si>
  <si>
    <t>Stamford</t>
  </si>
  <si>
    <t>175 Elm St</t>
  </si>
  <si>
    <t>Norwalk</t>
  </si>
  <si>
    <t>817 Oak St</t>
  </si>
  <si>
    <t>Bridgeport</t>
  </si>
  <si>
    <t>101 Oak St</t>
  </si>
  <si>
    <t>Townhouse</t>
  </si>
  <si>
    <t>674 Elm St</t>
  </si>
  <si>
    <t>Danbury</t>
  </si>
  <si>
    <t>580 Main St</t>
  </si>
  <si>
    <t>158 Maple Ave</t>
  </si>
  <si>
    <t>Hartford</t>
  </si>
  <si>
    <t>794 Pine Rd</t>
  </si>
  <si>
    <t>287 Oak St</t>
  </si>
  <si>
    <t>523 Oak St</t>
  </si>
  <si>
    <t>121 Oak St</t>
  </si>
  <si>
    <t>774 Main St</t>
  </si>
  <si>
    <t>479 Pine Rd</t>
  </si>
  <si>
    <t>473 Oak St</t>
  </si>
  <si>
    <t>871 Pine Rd</t>
  </si>
  <si>
    <t>994 Main St</t>
  </si>
  <si>
    <t>512 Elm St</t>
  </si>
  <si>
    <t>273 Main St</t>
  </si>
  <si>
    <t>429 Oak St</t>
  </si>
  <si>
    <t>970 Pine Rd</t>
  </si>
  <si>
    <t>719 Elm St</t>
  </si>
  <si>
    <t>805 Main St</t>
  </si>
  <si>
    <t>847 Elm St</t>
  </si>
  <si>
    <t>820 Pine Rd</t>
  </si>
  <si>
    <t>211 Maple Ave</t>
  </si>
  <si>
    <t>337 Elm St</t>
  </si>
  <si>
    <t>796 Pine Rd</t>
  </si>
  <si>
    <t>819 Main St</t>
  </si>
  <si>
    <t>581 Oak St</t>
  </si>
  <si>
    <t>744 Maple Ave</t>
  </si>
  <si>
    <t>953 Pine Rd</t>
  </si>
  <si>
    <t>698 Pine Rd</t>
  </si>
  <si>
    <t>689 Pine Rd</t>
  </si>
  <si>
    <t>844 Elm St</t>
  </si>
  <si>
    <t>703 Elm St</t>
  </si>
  <si>
    <t>130 Main St</t>
  </si>
  <si>
    <t>102 Main St</t>
  </si>
  <si>
    <t>384 Oak St</t>
  </si>
  <si>
    <t>412 Pine Rd</t>
  </si>
  <si>
    <t>884 Maple Ave</t>
  </si>
  <si>
    <t>344 Pine Rd</t>
  </si>
  <si>
    <t>957 Oak St</t>
  </si>
  <si>
    <t>265 Pine Rd</t>
  </si>
  <si>
    <t>548 Maple Ave</t>
  </si>
  <si>
    <t>371 Main St</t>
  </si>
  <si>
    <t>873 Pine Rd</t>
  </si>
  <si>
    <t>249 Oak St</t>
  </si>
  <si>
    <t>888 Main St</t>
  </si>
  <si>
    <t>807 Main St</t>
  </si>
  <si>
    <t>412 Maple Ave</t>
  </si>
  <si>
    <t>236 Elm St</t>
  </si>
  <si>
    <t>244 Main St</t>
  </si>
  <si>
    <t>835 Pine Rd</t>
  </si>
  <si>
    <t>989 Pine Rd</t>
  </si>
  <si>
    <t>517 Maple Ave</t>
  </si>
  <si>
    <t>993 Oak St</t>
  </si>
  <si>
    <t>389 Maple Ave</t>
  </si>
  <si>
    <t>353 Pine Rd</t>
  </si>
  <si>
    <t>920 Oak St</t>
  </si>
  <si>
    <t>933 Maple Ave</t>
  </si>
  <si>
    <t>236 Main St</t>
  </si>
  <si>
    <t>111 Elm St</t>
  </si>
  <si>
    <t>631 Maple Ave</t>
  </si>
  <si>
    <t>503 Main St</t>
  </si>
  <si>
    <t>465 Oak St</t>
  </si>
  <si>
    <t>941 Pine Rd</t>
  </si>
  <si>
    <t>717 Main St</t>
  </si>
  <si>
    <t>113 Elm St</t>
  </si>
  <si>
    <t>255 Pine Rd</t>
  </si>
  <si>
    <t>816 Oak St</t>
  </si>
  <si>
    <t>726 Main St</t>
  </si>
  <si>
    <t>759 Elm St</t>
  </si>
  <si>
    <t>711 Pine Rd</t>
  </si>
  <si>
    <t>644 Pine Rd</t>
  </si>
  <si>
    <t>706 Oak St</t>
  </si>
  <si>
    <t>643 Main St</t>
  </si>
  <si>
    <t>106 Oak St</t>
  </si>
  <si>
    <t>258 Pine Rd</t>
  </si>
  <si>
    <t>440 Oak St</t>
  </si>
  <si>
    <t>629 Maple Ave</t>
  </si>
  <si>
    <t>839 Elm St</t>
  </si>
  <si>
    <t>232 Oak St</t>
  </si>
  <si>
    <t>379 Main St</t>
  </si>
  <si>
    <t>809 Oak St</t>
  </si>
  <si>
    <t>522 Oak St</t>
  </si>
  <si>
    <t>734 Main St</t>
  </si>
  <si>
    <t>366 Pine Rd</t>
  </si>
  <si>
    <t>484 Main St</t>
  </si>
  <si>
    <t>882 Elm St</t>
  </si>
  <si>
    <t>558 Oak St</t>
  </si>
  <si>
    <t>718 Maple Ave</t>
  </si>
  <si>
    <t>206 Maple Ave</t>
  </si>
  <si>
    <t>569 Main St</t>
  </si>
  <si>
    <t>639 Elm St</t>
  </si>
  <si>
    <t>613 Oak St</t>
  </si>
  <si>
    <t>167 Oak St</t>
  </si>
  <si>
    <t>608 Maple Ave</t>
  </si>
  <si>
    <t>582 Pine Rd</t>
  </si>
  <si>
    <t>229 Oak St</t>
  </si>
  <si>
    <t>699 Maple Ave</t>
  </si>
  <si>
    <t>666 Elm St</t>
  </si>
  <si>
    <t>619 Oak St</t>
  </si>
  <si>
    <t>747 Elm St</t>
  </si>
  <si>
    <t>525 Pine Rd</t>
  </si>
  <si>
    <t>575 Maple Ave</t>
  </si>
  <si>
    <t>829 Pine Rd</t>
  </si>
  <si>
    <t>759 Pine Rd</t>
  </si>
  <si>
    <t>359 Pine Rd</t>
  </si>
  <si>
    <t>541 Main St</t>
  </si>
  <si>
    <t>688 Oak St</t>
  </si>
  <si>
    <t>454 Oak St</t>
  </si>
  <si>
    <t>581 Pine Rd</t>
  </si>
  <si>
    <t>626 Pine Rd</t>
  </si>
  <si>
    <t>163 Pine Rd</t>
  </si>
  <si>
    <t>395 Elm St</t>
  </si>
  <si>
    <t>348 Elm St</t>
  </si>
  <si>
    <t>944 Elm St</t>
  </si>
  <si>
    <t>407 Pine Rd</t>
  </si>
  <si>
    <t>979 Elm St</t>
  </si>
  <si>
    <t>922 Maple Ave</t>
  </si>
  <si>
    <t>108 Oak St</t>
  </si>
  <si>
    <t>499 Maple Ave</t>
  </si>
  <si>
    <t>409 Pine Rd</t>
  </si>
  <si>
    <t>264 Oak St</t>
  </si>
  <si>
    <t>448 Main St</t>
  </si>
  <si>
    <t>372 Main St</t>
  </si>
  <si>
    <t>360 Oak St</t>
  </si>
  <si>
    <t>433 Pine Rd</t>
  </si>
  <si>
    <t>172 Oak St</t>
  </si>
  <si>
    <t>270 Main St</t>
  </si>
  <si>
    <t>855 Main St</t>
  </si>
  <si>
    <t>306 Maple Ave</t>
  </si>
  <si>
    <t>817 Main St</t>
  </si>
  <si>
    <t>878 Maple Ave</t>
  </si>
  <si>
    <t>271 Main St</t>
  </si>
  <si>
    <t>516 Main St</t>
  </si>
  <si>
    <t>560 Elm St</t>
  </si>
  <si>
    <t>432 Elm St</t>
  </si>
  <si>
    <t>804 Maple Ave</t>
  </si>
  <si>
    <t>818 Elm St</t>
  </si>
  <si>
    <t>170 Elm St</t>
  </si>
  <si>
    <t>282 Main St</t>
  </si>
  <si>
    <t>618 Maple Ave</t>
  </si>
  <si>
    <t>639 Maple Ave</t>
  </si>
  <si>
    <t>895 Elm St</t>
  </si>
  <si>
    <t>563 Elm St</t>
  </si>
  <si>
    <t>377 Pine Rd</t>
  </si>
  <si>
    <t>735 Elm St</t>
  </si>
  <si>
    <t>997 Elm St</t>
  </si>
  <si>
    <t>998 Maple Ave</t>
  </si>
  <si>
    <t>621 Maple Ave</t>
  </si>
  <si>
    <t>852 Main St</t>
  </si>
  <si>
    <t>600 Maple Ave</t>
  </si>
  <si>
    <t>994 Maple Ave</t>
  </si>
  <si>
    <t>472 Elm St</t>
  </si>
  <si>
    <t>917 Maple Ave</t>
  </si>
  <si>
    <t>135 Maple Ave</t>
  </si>
  <si>
    <t>739 Oak St</t>
  </si>
  <si>
    <t>816 Pine Rd</t>
  </si>
  <si>
    <t>962 Pine Rd</t>
  </si>
  <si>
    <t>845 Pine Rd</t>
  </si>
  <si>
    <t>793 Maple Ave</t>
  </si>
  <si>
    <t>905 Maple Ave</t>
  </si>
  <si>
    <t>403 Maple Ave</t>
  </si>
  <si>
    <t>138 Pine Rd</t>
  </si>
  <si>
    <t>177 Main St</t>
  </si>
  <si>
    <t>219 Elm St</t>
  </si>
  <si>
    <t>308 Pine Rd</t>
  </si>
  <si>
    <t>754 Maple Ave</t>
  </si>
  <si>
    <t>833 Maple Ave</t>
  </si>
  <si>
    <t>840 Elm St</t>
  </si>
  <si>
    <t>960 Oak St</t>
  </si>
  <si>
    <t>999 Elm St</t>
  </si>
  <si>
    <t>462 Elm St</t>
  </si>
  <si>
    <t>597 Main St</t>
  </si>
  <si>
    <t>402 Oak St</t>
  </si>
  <si>
    <t>534 Main St</t>
  </si>
  <si>
    <t>649 Maple Ave</t>
  </si>
  <si>
    <t>993 Pine Rd</t>
  </si>
  <si>
    <t>773 Maple Ave</t>
  </si>
  <si>
    <t>765 Maple Ave</t>
  </si>
  <si>
    <t>272 Pine Rd</t>
  </si>
  <si>
    <t>992 Main St</t>
  </si>
  <si>
    <t>117 Pine Rd</t>
  </si>
  <si>
    <t>168 Main St</t>
  </si>
  <si>
    <t>137 Oak St</t>
  </si>
  <si>
    <t>388 Main St</t>
  </si>
  <si>
    <t>745 Pine Rd</t>
  </si>
  <si>
    <t>246 Main St</t>
  </si>
  <si>
    <t>288 Elm St</t>
  </si>
  <si>
    <t>106 Main St</t>
  </si>
  <si>
    <t>146 Pine Rd</t>
  </si>
  <si>
    <t>340 Pine Rd</t>
  </si>
  <si>
    <t>351 Elm St</t>
  </si>
  <si>
    <t>277 Elm St</t>
  </si>
  <si>
    <t>498 Main St</t>
  </si>
  <si>
    <t>755 Main St</t>
  </si>
  <si>
    <t>272 Main St</t>
  </si>
  <si>
    <t>298 Main St</t>
  </si>
  <si>
    <t>178 Pine Rd</t>
  </si>
  <si>
    <t>350 Oak St</t>
  </si>
  <si>
    <t>879 Oak St</t>
  </si>
  <si>
    <t>821 Elm St</t>
  </si>
  <si>
    <t>475 Pine Rd</t>
  </si>
  <si>
    <t>214 Oak St</t>
  </si>
  <si>
    <t>890 Maple Ave</t>
  </si>
  <si>
    <t>830 Maple Ave</t>
  </si>
  <si>
    <t>490 Pine Rd</t>
  </si>
  <si>
    <t>957 Elm St</t>
  </si>
  <si>
    <t>584 Maple Ave</t>
  </si>
  <si>
    <t>263 Main St</t>
  </si>
  <si>
    <t>192 Main St</t>
  </si>
  <si>
    <t>487 Maple Ave</t>
  </si>
  <si>
    <t>457 Maple Ave</t>
  </si>
  <si>
    <t>995 Maple Ave</t>
  </si>
  <si>
    <t>387 Elm St</t>
  </si>
  <si>
    <t>726 Pine Rd</t>
  </si>
  <si>
    <t>156 Pine Rd</t>
  </si>
  <si>
    <t>830 Oak St</t>
  </si>
  <si>
    <t>287 Maple Ave</t>
  </si>
  <si>
    <t>396 Main St</t>
  </si>
  <si>
    <t>245 Oak St</t>
  </si>
  <si>
    <t>197 Elm St</t>
  </si>
  <si>
    <t>324 Maple Ave</t>
  </si>
  <si>
    <t>687 Maple Ave</t>
  </si>
  <si>
    <t>481 Oak St</t>
  </si>
  <si>
    <t>328 Maple Ave</t>
  </si>
  <si>
    <t>222 Maple Ave</t>
  </si>
  <si>
    <t>143 Maple Ave</t>
  </si>
  <si>
    <t>311 Main St</t>
  </si>
  <si>
    <t>805 Oak St</t>
  </si>
  <si>
    <t>214 Pine Rd</t>
  </si>
  <si>
    <t>964 Oak St</t>
  </si>
  <si>
    <t>833 Elm St</t>
  </si>
  <si>
    <t>351 Oak St</t>
  </si>
  <si>
    <t>464 Main St</t>
  </si>
  <si>
    <t>232 Main St</t>
  </si>
  <si>
    <t>765 Elm St</t>
  </si>
  <si>
    <t>560 Maple Ave</t>
  </si>
  <si>
    <t>196 Oak St</t>
  </si>
  <si>
    <t>133 Elm St</t>
  </si>
  <si>
    <t>764 Elm St</t>
  </si>
  <si>
    <t>169 Oak St</t>
  </si>
  <si>
    <t>804 Main St</t>
  </si>
  <si>
    <t>285 Oak St</t>
  </si>
  <si>
    <t>448 Maple Ave</t>
  </si>
  <si>
    <t>294 Oak St</t>
  </si>
  <si>
    <t>394 Maple Ave</t>
  </si>
  <si>
    <t>157 Elm St</t>
  </si>
  <si>
    <t>198 Pine Rd</t>
  </si>
  <si>
    <t>712 Main St</t>
  </si>
  <si>
    <t>761 Pine Rd</t>
  </si>
  <si>
    <t>127 Pine Rd</t>
  </si>
  <si>
    <t>763 Elm St</t>
  </si>
  <si>
    <t>476 Main St</t>
  </si>
  <si>
    <t>732 Main St</t>
  </si>
  <si>
    <t>319 Elm St</t>
  </si>
  <si>
    <t>625 Oak St</t>
  </si>
  <si>
    <t>639 Pine Rd</t>
  </si>
  <si>
    <t>841 Maple Ave</t>
  </si>
  <si>
    <t>253 Maple Ave</t>
  </si>
  <si>
    <t>695 Elm St</t>
  </si>
  <si>
    <t>762 Main St</t>
  </si>
  <si>
    <t>485 Pine Rd</t>
  </si>
  <si>
    <t>531 Maple Ave</t>
  </si>
  <si>
    <t>496 Elm St</t>
  </si>
  <si>
    <t>358 Main St</t>
  </si>
  <si>
    <t>374 Oak St</t>
  </si>
  <si>
    <t>901 Maple Ave</t>
  </si>
  <si>
    <t>860 Main St</t>
  </si>
  <si>
    <t>227 Maple Ave</t>
  </si>
  <si>
    <t>179 Elm St</t>
  </si>
  <si>
    <t>973 Oak St</t>
  </si>
  <si>
    <t>149 Elm St</t>
  </si>
  <si>
    <t>925 Elm St</t>
  </si>
  <si>
    <t>204 Maple Ave</t>
  </si>
  <si>
    <t>586 Main St</t>
  </si>
  <si>
    <t>708 Main St</t>
  </si>
  <si>
    <t>314 Oak St</t>
  </si>
  <si>
    <t>597 Maple Ave</t>
  </si>
  <si>
    <t>683 Oak St</t>
  </si>
  <si>
    <t>661 Elm St</t>
  </si>
  <si>
    <t>831 Pine Rd</t>
  </si>
  <si>
    <t>970 Oak St</t>
  </si>
  <si>
    <t>544 Main St</t>
  </si>
  <si>
    <t>960 Elm St</t>
  </si>
  <si>
    <t>437 Pine Rd</t>
  </si>
  <si>
    <t>766 Oak St</t>
  </si>
  <si>
    <t>381 Maple Ave</t>
  </si>
  <si>
    <t>736 Maple Ave</t>
  </si>
  <si>
    <t>190 Elm St</t>
  </si>
  <si>
    <t>595 Oak St</t>
  </si>
  <si>
    <t>443 Main St</t>
  </si>
  <si>
    <t>598 Maple Ave</t>
  </si>
  <si>
    <t>828 Maple Ave</t>
  </si>
  <si>
    <t>268 Elm St</t>
  </si>
  <si>
    <t>481 Maple Ave</t>
  </si>
  <si>
    <t>634 Elm St</t>
  </si>
  <si>
    <t>119 Maple Ave</t>
  </si>
  <si>
    <t>467 Oak St</t>
  </si>
  <si>
    <t>768 Pine Rd</t>
  </si>
  <si>
    <t>528 Main St</t>
  </si>
  <si>
    <t>722 Pine Rd</t>
  </si>
  <si>
    <t>755 Pine Rd</t>
  </si>
  <si>
    <t>296 Pine Rd</t>
  </si>
  <si>
    <t>888 Pine Rd</t>
  </si>
  <si>
    <t>358 Maple Ave</t>
  </si>
  <si>
    <t>293 Oak St</t>
  </si>
  <si>
    <t>295 Maple Ave</t>
  </si>
  <si>
    <t>863 Pine Rd</t>
  </si>
  <si>
    <t>258 Elm St</t>
  </si>
  <si>
    <t>347 Main St</t>
  </si>
  <si>
    <t>822 Main St</t>
  </si>
  <si>
    <t>873 Maple Ave</t>
  </si>
  <si>
    <t>274 Elm St</t>
  </si>
  <si>
    <t>123 Main St</t>
  </si>
  <si>
    <t>929 Maple Ave</t>
  </si>
  <si>
    <t>490 Maple Ave</t>
  </si>
  <si>
    <t>529 Maple Ave</t>
  </si>
  <si>
    <t>255 Maple Ave</t>
  </si>
  <si>
    <t>767 Maple Ave</t>
  </si>
  <si>
    <t>850 Pine Rd</t>
  </si>
  <si>
    <t>373 Pine Rd</t>
  </si>
  <si>
    <t>405 Maple Ave</t>
  </si>
  <si>
    <t>125 Elm St</t>
  </si>
  <si>
    <t>289 Pine Rd</t>
  </si>
  <si>
    <t>406 Elm St</t>
  </si>
  <si>
    <t>852 Maple Ave</t>
  </si>
  <si>
    <t>823 Oak St</t>
  </si>
  <si>
    <t>306 Pine Rd</t>
  </si>
  <si>
    <t>903 Maple Ave</t>
  </si>
  <si>
    <t>445 Maple Ave</t>
  </si>
  <si>
    <t>253 Main St</t>
  </si>
  <si>
    <t>183 Maple Ave</t>
  </si>
  <si>
    <t>290 Pine Rd</t>
  </si>
  <si>
    <t>636 Pine Rd</t>
  </si>
  <si>
    <t>790 Maple Ave</t>
  </si>
  <si>
    <t>515 Elm St</t>
  </si>
  <si>
    <t>970 Maple Ave</t>
  </si>
  <si>
    <t>273 Maple Ave</t>
  </si>
  <si>
    <t>914 Elm St</t>
  </si>
  <si>
    <t>937 Main St</t>
  </si>
  <si>
    <t>704 Oak St</t>
  </si>
  <si>
    <t>499 Elm St</t>
  </si>
  <si>
    <t>154 Maple Ave</t>
  </si>
  <si>
    <t>165 Maple Ave</t>
  </si>
  <si>
    <t>397 Oak St</t>
  </si>
  <si>
    <t>687 Oak St</t>
  </si>
  <si>
    <t>491 Maple Ave</t>
  </si>
  <si>
    <t>907 Maple Ave</t>
  </si>
  <si>
    <t>543 Oak St</t>
  </si>
  <si>
    <t>902 Maple Ave</t>
  </si>
  <si>
    <t>951 Elm St</t>
  </si>
  <si>
    <t>513 Elm St</t>
  </si>
  <si>
    <t>532 Main St</t>
  </si>
  <si>
    <t>741 Maple Ave</t>
  </si>
  <si>
    <t>143 Pine Rd</t>
  </si>
  <si>
    <t>326 Pine Rd</t>
  </si>
  <si>
    <t>436 Main St</t>
  </si>
  <si>
    <t>138 Maple Ave</t>
  </si>
  <si>
    <t>514 Maple Ave</t>
  </si>
  <si>
    <t>250 Main St</t>
  </si>
  <si>
    <t>209 Maple Ave</t>
  </si>
  <si>
    <t>530 Pine Rd</t>
  </si>
  <si>
    <t>913 Maple Ave</t>
  </si>
  <si>
    <t>430 Maple Ave</t>
  </si>
  <si>
    <t>296 Maple Ave</t>
  </si>
  <si>
    <t>889 Maple Ave</t>
  </si>
  <si>
    <t>489 Pine Rd</t>
  </si>
  <si>
    <t>187 Pine Rd</t>
  </si>
  <si>
    <t>858 Main St</t>
  </si>
  <si>
    <t>875 Elm St</t>
  </si>
  <si>
    <t>537 Oak St</t>
  </si>
  <si>
    <t>763 Maple Ave</t>
  </si>
  <si>
    <t>417 Elm St</t>
  </si>
  <si>
    <t>896 Elm St</t>
  </si>
  <si>
    <t>574 Maple Ave</t>
  </si>
  <si>
    <t>573 Oak St</t>
  </si>
  <si>
    <t>669 Oak St</t>
  </si>
  <si>
    <t>525 Oak St</t>
  </si>
  <si>
    <t>324 Main St</t>
  </si>
  <si>
    <t>571 Main St</t>
  </si>
  <si>
    <t>797 Oak St</t>
  </si>
  <si>
    <t>624 Maple Ave</t>
  </si>
  <si>
    <t>824 Maple Ave</t>
  </si>
  <si>
    <t>682 Maple Ave</t>
  </si>
  <si>
    <t>783 Elm St</t>
  </si>
  <si>
    <t>735 Oak St</t>
  </si>
  <si>
    <t>680 Maple Ave</t>
  </si>
  <si>
    <t>991 Oak St</t>
  </si>
  <si>
    <t>266 Oak St</t>
  </si>
  <si>
    <t>849 Oak St</t>
  </si>
  <si>
    <t>168 Oak St</t>
  </si>
  <si>
    <t>619 Pine Rd</t>
  </si>
  <si>
    <t>586 Elm St</t>
  </si>
  <si>
    <t>466 Oak St</t>
  </si>
  <si>
    <t>883 Pine Rd</t>
  </si>
  <si>
    <t>220 Oak St</t>
  </si>
  <si>
    <t>665 Elm St</t>
  </si>
  <si>
    <t>417 Pine Rd</t>
  </si>
  <si>
    <t>793 Oak St</t>
  </si>
  <si>
    <t>778 Maple Ave</t>
  </si>
  <si>
    <t>883 Main St</t>
  </si>
  <si>
    <t>557 Pine Rd</t>
  </si>
  <si>
    <t>442 Elm St</t>
  </si>
  <si>
    <t>141 Elm St</t>
  </si>
  <si>
    <t>954 Oak St</t>
  </si>
  <si>
    <t>915 Elm St</t>
  </si>
  <si>
    <t>614 Pine Rd</t>
  </si>
  <si>
    <t>521 Oak St</t>
  </si>
  <si>
    <t>488 Maple Ave</t>
  </si>
  <si>
    <t>753 Pine Rd</t>
  </si>
  <si>
    <t>719 Pine Rd</t>
  </si>
  <si>
    <t>791 Main St</t>
  </si>
  <si>
    <t>756 Oak St</t>
  </si>
  <si>
    <t>869 Main St</t>
  </si>
  <si>
    <t>430 Elm St</t>
  </si>
  <si>
    <t>346 Maple Ave</t>
  </si>
  <si>
    <t>455 Oak St</t>
  </si>
  <si>
    <t>745 Elm St</t>
  </si>
  <si>
    <t>290 Oak St</t>
  </si>
  <si>
    <t>927 Elm St</t>
  </si>
  <si>
    <t>758 Elm St</t>
  </si>
  <si>
    <t>838 Oak St</t>
  </si>
  <si>
    <t>457 Oak St</t>
  </si>
  <si>
    <t>750 Elm St</t>
  </si>
  <si>
    <t>819 Oak St</t>
  </si>
  <si>
    <t>230 Elm St</t>
  </si>
  <si>
    <t>846 Main St</t>
  </si>
  <si>
    <t>456 Main St</t>
  </si>
  <si>
    <t>391 Elm St</t>
  </si>
  <si>
    <t>790 Pine Rd</t>
  </si>
  <si>
    <t>207 Pine Rd</t>
  </si>
  <si>
    <t>969 Elm St</t>
  </si>
  <si>
    <t>713 Pine Rd</t>
  </si>
  <si>
    <t>447 Elm St</t>
  </si>
  <si>
    <t>146 Oak St</t>
  </si>
  <si>
    <t>914 Oak St</t>
  </si>
  <si>
    <t>818 Main St</t>
  </si>
  <si>
    <t>578 Elm St</t>
  </si>
  <si>
    <t>530 Main St</t>
  </si>
  <si>
    <t>572 Pine Rd</t>
  </si>
  <si>
    <t>747 Maple Ave</t>
  </si>
  <si>
    <t>239 Oak St</t>
  </si>
  <si>
    <t>884 Pine Rd</t>
  </si>
  <si>
    <t>610 Oak St</t>
  </si>
  <si>
    <t>110 Elm St</t>
  </si>
  <si>
    <t>917 Pine Rd</t>
  </si>
  <si>
    <t>947 Oak St</t>
  </si>
  <si>
    <t>976 Maple Ave</t>
  </si>
  <si>
    <t>510 Elm St</t>
  </si>
  <si>
    <t>700 Main St</t>
  </si>
  <si>
    <t>813 Main St</t>
  </si>
  <si>
    <t>812 Pine Rd</t>
  </si>
  <si>
    <t>244 Pine Rd</t>
  </si>
  <si>
    <t>512 Main St</t>
  </si>
  <si>
    <t>868 Main St</t>
  </si>
  <si>
    <t>791 Oak St</t>
  </si>
  <si>
    <t>646 Maple Ave</t>
  </si>
  <si>
    <t>997 Pine Rd</t>
  </si>
  <si>
    <t>156 Oak St</t>
  </si>
  <si>
    <t>615 Main St</t>
  </si>
  <si>
    <t>330 Oak St</t>
  </si>
  <si>
    <t>528 Pine Rd</t>
  </si>
  <si>
    <t>723 Maple Ave</t>
  </si>
  <si>
    <t>802 Elm St</t>
  </si>
  <si>
    <t>526 Oak St</t>
  </si>
  <si>
    <t>177 Maple Ave</t>
  </si>
  <si>
    <t>381 Oak St</t>
  </si>
  <si>
    <t>160 Maple Ave</t>
  </si>
  <si>
    <t>507 Main St</t>
  </si>
  <si>
    <t>567 Pine Rd</t>
  </si>
  <si>
    <t>620 Oak St</t>
  </si>
  <si>
    <t>784 Oak St</t>
  </si>
  <si>
    <t>777 Oak St</t>
  </si>
  <si>
    <t>532 Elm St</t>
  </si>
  <si>
    <t>572 Oak St</t>
  </si>
  <si>
    <t>201 Oak St</t>
  </si>
  <si>
    <t>385 Oak St</t>
  </si>
  <si>
    <t>122 Pine Rd</t>
  </si>
  <si>
    <t>375 Main St</t>
  </si>
  <si>
    <t>251 Oak St</t>
  </si>
  <si>
    <t>349 Maple Ave</t>
  </si>
  <si>
    <t>359 Oak St</t>
  </si>
  <si>
    <t>903 Elm St</t>
  </si>
  <si>
    <t>871 Main St</t>
  </si>
  <si>
    <t>929 Main St</t>
  </si>
  <si>
    <t>902 Main St</t>
  </si>
  <si>
    <t>812 Maple Ave</t>
  </si>
  <si>
    <t>550 Maple Ave</t>
  </si>
  <si>
    <t>131 Main St</t>
  </si>
  <si>
    <t>842 Oak St</t>
  </si>
  <si>
    <t>589 Main St</t>
  </si>
  <si>
    <t>257 Maple Ave</t>
  </si>
  <si>
    <t>678 Pine Rd</t>
  </si>
  <si>
    <t>886 Pine Rd</t>
  </si>
  <si>
    <t>865 Main St</t>
  </si>
  <si>
    <t>594 Pine Rd</t>
  </si>
  <si>
    <t>608 Elm St</t>
  </si>
  <si>
    <t>447 Oak St</t>
  </si>
  <si>
    <t>321 Pine Rd</t>
  </si>
  <si>
    <t>479 Elm St</t>
  </si>
  <si>
    <t>620 Pine Rd</t>
  </si>
  <si>
    <t>565 Pine Rd</t>
  </si>
  <si>
    <t>162 Oak St</t>
  </si>
  <si>
    <t>895 Pine Rd</t>
  </si>
  <si>
    <t>500 Main St</t>
  </si>
  <si>
    <t>248 Maple Ave</t>
  </si>
  <si>
    <t>196 Elm St</t>
  </si>
  <si>
    <t>597 Elm St</t>
  </si>
  <si>
    <t>565 Maple Ave</t>
  </si>
  <si>
    <t>170 Pine Rd</t>
  </si>
  <si>
    <t>394 Oak St</t>
  </si>
  <si>
    <t>922 Main St</t>
  </si>
  <si>
    <t>492 Elm St</t>
  </si>
  <si>
    <t>116 Pine Rd</t>
  </si>
  <si>
    <t>476 Pine Rd</t>
  </si>
  <si>
    <t>407 Main St</t>
  </si>
  <si>
    <t>567 Main St</t>
  </si>
  <si>
    <t>932 Maple Ave</t>
  </si>
  <si>
    <t>628 Main St</t>
  </si>
  <si>
    <t>409 Elm St</t>
  </si>
  <si>
    <t>284 Elm St</t>
  </si>
  <si>
    <t>363 Elm St</t>
  </si>
  <si>
    <t>822 Elm St</t>
  </si>
  <si>
    <t>436 Pine Rd</t>
  </si>
  <si>
    <t>642 Main St</t>
  </si>
  <si>
    <t>149 Pine Rd</t>
  </si>
  <si>
    <t>595 Pine Rd</t>
  </si>
  <si>
    <t>525 Main St</t>
  </si>
  <si>
    <t>474 Main St</t>
  </si>
  <si>
    <t>666 Oak St</t>
  </si>
  <si>
    <t>452 Maple Ave</t>
  </si>
  <si>
    <t>504 Pine Rd</t>
  </si>
  <si>
    <t>440 Pine Rd</t>
  </si>
  <si>
    <t>779 Oak St</t>
  </si>
  <si>
    <t>268 Pine Rd</t>
  </si>
  <si>
    <t>145 Pine Rd</t>
  </si>
  <si>
    <t>980 Maple Ave</t>
  </si>
  <si>
    <t>679 Maple Ave</t>
  </si>
  <si>
    <t>221 Pine Rd</t>
  </si>
  <si>
    <t>557 Main St</t>
  </si>
  <si>
    <t>315 Pine Rd</t>
  </si>
  <si>
    <t>341 Elm St</t>
  </si>
  <si>
    <t>986 Maple Ave</t>
  </si>
  <si>
    <t>450 Pine Rd</t>
  </si>
  <si>
    <t>781 Elm St</t>
  </si>
  <si>
    <t>926 Main St</t>
  </si>
  <si>
    <t>950 Maple Ave</t>
  </si>
  <si>
    <t>537 Elm St</t>
  </si>
  <si>
    <t>276 Pine Rd</t>
  </si>
  <si>
    <t>124 Oak St</t>
  </si>
  <si>
    <t>958 Oak St</t>
  </si>
  <si>
    <t>675 Main St</t>
  </si>
  <si>
    <t>546 Pine Rd</t>
  </si>
  <si>
    <t>577 Pine Rd</t>
  </si>
  <si>
    <t>345 Elm St</t>
  </si>
  <si>
    <t>517 Elm St</t>
  </si>
  <si>
    <t>558 Main St</t>
  </si>
  <si>
    <t>774 Maple Ave</t>
  </si>
  <si>
    <t>717 Pine Rd</t>
  </si>
  <si>
    <t>667 Elm St</t>
  </si>
  <si>
    <t>213 Main St</t>
  </si>
  <si>
    <t>286 Oak St</t>
  </si>
  <si>
    <t>513 Maple Ave</t>
  </si>
  <si>
    <t>959 Main St</t>
  </si>
  <si>
    <t>485 Elm St</t>
  </si>
  <si>
    <t>612 Main St</t>
  </si>
  <si>
    <t>532 Maple Ave</t>
  </si>
  <si>
    <t>377 Maple Ave</t>
  </si>
  <si>
    <t>889 Main St</t>
  </si>
  <si>
    <t>244 Oak St</t>
  </si>
  <si>
    <t>461 Oak St</t>
  </si>
  <si>
    <t>283 Maple Ave</t>
  </si>
  <si>
    <t>237 Pine Rd</t>
  </si>
  <si>
    <t>420 Elm St</t>
  </si>
  <si>
    <t>584 Pine Rd</t>
  </si>
  <si>
    <t>787 Main St</t>
  </si>
  <si>
    <t>416 Oak St</t>
  </si>
  <si>
    <t>281 Elm St</t>
  </si>
  <si>
    <t>486 Elm St</t>
  </si>
  <si>
    <t>748 Elm St</t>
  </si>
  <si>
    <t>482 Maple Ave</t>
  </si>
  <si>
    <t>991 Maple Ave</t>
  </si>
  <si>
    <t>673 Maple Ave</t>
  </si>
  <si>
    <t>498 Oak St</t>
  </si>
  <si>
    <t>918 Pine Rd</t>
  </si>
  <si>
    <t>690 Main St</t>
  </si>
  <si>
    <t>142 Pine Rd</t>
  </si>
  <si>
    <t>781 Maple Ave</t>
  </si>
  <si>
    <t>238 Oak St</t>
  </si>
  <si>
    <t>316 Maple Ave</t>
  </si>
  <si>
    <t>256 Pine Rd</t>
  </si>
  <si>
    <t>587 Pine Rd</t>
  </si>
  <si>
    <t>414 Maple Ave</t>
  </si>
  <si>
    <t>905 Pine Rd</t>
  </si>
  <si>
    <t>317 Main St</t>
  </si>
  <si>
    <t>166 Main St</t>
  </si>
  <si>
    <t>776 Maple Ave</t>
  </si>
  <si>
    <t>334 Pine Rd</t>
  </si>
  <si>
    <t>177 Oak St</t>
  </si>
  <si>
    <t>631 Elm St</t>
  </si>
  <si>
    <t>458 Maple Ave</t>
  </si>
  <si>
    <t>482 Main St</t>
  </si>
  <si>
    <t>966 Maple Ave</t>
  </si>
  <si>
    <t>851 Maple Ave</t>
  </si>
  <si>
    <t>716 Pine Rd</t>
  </si>
  <si>
    <t>749 Maple Ave</t>
  </si>
  <si>
    <t>344 Elm St</t>
  </si>
  <si>
    <t>107 Pine Rd</t>
  </si>
  <si>
    <t>365 Main St</t>
  </si>
  <si>
    <t>749 Oak St</t>
  </si>
  <si>
    <t>620 Maple Ave</t>
  </si>
  <si>
    <t>538 Main St</t>
  </si>
  <si>
    <t>861 Main St</t>
  </si>
  <si>
    <t>308 Maple Ave</t>
  </si>
  <si>
    <t>300 Elm St</t>
  </si>
  <si>
    <t>305 Main St</t>
  </si>
  <si>
    <t>245 Elm St</t>
  </si>
  <si>
    <t>903 Pine Rd</t>
  </si>
  <si>
    <t>324 Pine Rd</t>
  </si>
  <si>
    <t>719 Maple Ave</t>
  </si>
  <si>
    <t>204 Elm St</t>
  </si>
  <si>
    <t>745 Maple Ave</t>
  </si>
  <si>
    <t>216 Oak St</t>
  </si>
  <si>
    <t>803 Elm St</t>
  </si>
  <si>
    <t>228 Main St</t>
  </si>
  <si>
    <t>214 Maple Ave</t>
  </si>
  <si>
    <t>614 Maple Ave</t>
  </si>
  <si>
    <t>935 Maple Ave</t>
  </si>
  <si>
    <t>217 Oak St</t>
  </si>
  <si>
    <t>630 Maple Ave</t>
  </si>
  <si>
    <t>557 Oak St</t>
  </si>
  <si>
    <t>172 Elm St</t>
  </si>
  <si>
    <t>369 Elm St</t>
  </si>
  <si>
    <t>338 Elm St</t>
  </si>
  <si>
    <t>840 Oak St</t>
  </si>
  <si>
    <t>515 Maple Ave</t>
  </si>
  <si>
    <t>638 Main St</t>
  </si>
  <si>
    <t>461 Elm St</t>
  </si>
  <si>
    <t>275 Oak St</t>
  </si>
  <si>
    <t>240 Elm St</t>
  </si>
  <si>
    <t>696 Main St</t>
  </si>
  <si>
    <t>494 Oak St</t>
  </si>
  <si>
    <t>838 Main St</t>
  </si>
  <si>
    <t>625 Pine Rd</t>
  </si>
  <si>
    <t>319 Maple Ave</t>
  </si>
  <si>
    <t>251 Pine Rd</t>
  </si>
  <si>
    <t>271 Pine Rd</t>
  </si>
  <si>
    <t>402 Maple Ave</t>
  </si>
  <si>
    <t>617 Oak St</t>
  </si>
  <si>
    <t>306 Oak St</t>
  </si>
  <si>
    <t>630 Oak St</t>
  </si>
  <si>
    <t>887 Main St</t>
  </si>
  <si>
    <t>118 Pine Rd</t>
  </si>
  <si>
    <t>549 Main St</t>
  </si>
  <si>
    <t>759 Main St</t>
  </si>
  <si>
    <t>655 Pine Rd</t>
  </si>
  <si>
    <t>720 Elm St</t>
  </si>
  <si>
    <t>536 Maple Ave</t>
  </si>
  <si>
    <t>916 Elm St</t>
  </si>
  <si>
    <t>679 Oak St</t>
  </si>
  <si>
    <t>579 Oak St</t>
  </si>
  <si>
    <t>107 Main St</t>
  </si>
  <si>
    <t>736 Pine Rd</t>
  </si>
  <si>
    <t>842 Main St</t>
  </si>
  <si>
    <t>530 Oak St</t>
  </si>
  <si>
    <t>772 Elm St</t>
  </si>
  <si>
    <t>327 Oak St</t>
  </si>
  <si>
    <t>659 Main St</t>
  </si>
  <si>
    <t>387 Oak St</t>
  </si>
  <si>
    <t>234 Main St</t>
  </si>
  <si>
    <t>489 Main St</t>
  </si>
  <si>
    <t>936 Elm St</t>
  </si>
  <si>
    <t>264 Pine Rd</t>
  </si>
  <si>
    <t>186 Elm St</t>
  </si>
  <si>
    <t>364 Elm St</t>
  </si>
  <si>
    <t>365 Maple Ave</t>
  </si>
  <si>
    <t>229 Pine Rd</t>
  </si>
  <si>
    <t>151 Pine Rd</t>
  </si>
  <si>
    <t>145 Maple Ave</t>
  </si>
  <si>
    <t>658 Maple Ave</t>
  </si>
  <si>
    <t>352 Elm St</t>
  </si>
  <si>
    <t>897 Pine Rd</t>
  </si>
  <si>
    <t>505 Pine Rd</t>
  </si>
  <si>
    <t>672 Oak St</t>
  </si>
  <si>
    <t>143 Elm St</t>
  </si>
  <si>
    <t>261 Main St</t>
  </si>
  <si>
    <t>840 Main St</t>
  </si>
  <si>
    <t>386 Pine Rd</t>
  </si>
  <si>
    <t>449 Main St</t>
  </si>
  <si>
    <t>831 Elm St</t>
  </si>
  <si>
    <t>401 Main St</t>
  </si>
  <si>
    <t>714 Main St</t>
  </si>
  <si>
    <t>912 Elm St</t>
  </si>
  <si>
    <t>572 Main St</t>
  </si>
  <si>
    <t>406 Oak St</t>
  </si>
  <si>
    <t>594 Oak St</t>
  </si>
  <si>
    <t>122 Main St</t>
  </si>
  <si>
    <t>535 Elm St</t>
  </si>
  <si>
    <t>806 Elm St</t>
  </si>
  <si>
    <t>351 Main St</t>
  </si>
  <si>
    <t>495 Main St</t>
  </si>
  <si>
    <t>536 Pine Rd</t>
  </si>
  <si>
    <t>376 Elm St</t>
  </si>
  <si>
    <t>386 Elm St</t>
  </si>
  <si>
    <t>332 Main St</t>
  </si>
  <si>
    <t>353 Maple Ave</t>
  </si>
  <si>
    <t>705 Main St</t>
  </si>
  <si>
    <t>100 Oak St</t>
  </si>
  <si>
    <t>612 Elm St</t>
  </si>
  <si>
    <t>368 Main St</t>
  </si>
  <si>
    <t>783 Maple Ave</t>
  </si>
  <si>
    <t>188 Pine Rd</t>
  </si>
  <si>
    <t>418 Oak St</t>
  </si>
  <si>
    <t>645 Main St</t>
  </si>
  <si>
    <t>924 Maple Ave</t>
  </si>
  <si>
    <t>140 Maple Ave</t>
  </si>
  <si>
    <t>574 Main St</t>
  </si>
  <si>
    <t>251 Main St</t>
  </si>
  <si>
    <t>521 Main St</t>
  </si>
  <si>
    <t>491 Elm St</t>
  </si>
  <si>
    <t>189 Elm St</t>
  </si>
  <si>
    <t>928 Oak St</t>
  </si>
  <si>
    <t>931 Elm St</t>
  </si>
  <si>
    <t>511 Oak St</t>
  </si>
  <si>
    <t>335 Oak St</t>
  </si>
  <si>
    <t>163 Oak St</t>
  </si>
  <si>
    <t>796 Elm St</t>
  </si>
  <si>
    <t>654 Elm St</t>
  </si>
  <si>
    <t>111 Oak St</t>
  </si>
  <si>
    <t>506 Main St</t>
  </si>
  <si>
    <t>415 Pine Rd</t>
  </si>
  <si>
    <t>847 Maple Ave</t>
  </si>
  <si>
    <t>425 Oak St</t>
  </si>
  <si>
    <t>439 Pine Rd</t>
  </si>
  <si>
    <t>353 Oak St</t>
  </si>
  <si>
    <t>154 Oak St</t>
  </si>
  <si>
    <t>155 Maple Ave</t>
  </si>
  <si>
    <t>353 Elm St</t>
  </si>
  <si>
    <t>303 Oak St</t>
  </si>
  <si>
    <t>855 Pine Rd</t>
  </si>
  <si>
    <t>449 Oak St</t>
  </si>
  <si>
    <t>647 Main St</t>
  </si>
  <si>
    <t>150 Maple Ave</t>
  </si>
  <si>
    <t>131 Elm St</t>
  </si>
  <si>
    <t>210 Oak St</t>
  </si>
  <si>
    <t>230 Maple Ave</t>
  </si>
  <si>
    <t>609 Oak St</t>
  </si>
  <si>
    <t>688 Main St</t>
  </si>
  <si>
    <t>566 Maple Ave</t>
  </si>
  <si>
    <t>109 Pine Rd</t>
  </si>
  <si>
    <t>221 Main St</t>
  </si>
  <si>
    <t>275 Pine Rd</t>
  </si>
  <si>
    <t>549 Pine Rd</t>
  </si>
  <si>
    <t>370 Pine Rd</t>
  </si>
  <si>
    <t>898 Main St</t>
  </si>
  <si>
    <t>502 Oak St</t>
  </si>
  <si>
    <t>427 Main St</t>
  </si>
  <si>
    <t>392 Maple Ave</t>
  </si>
  <si>
    <t>862 Elm St</t>
  </si>
  <si>
    <t>352 Maple Ave</t>
  </si>
  <si>
    <t>894 Maple Ave</t>
  </si>
  <si>
    <t>468 Oak St</t>
  </si>
  <si>
    <t>470 Maple Ave</t>
  </si>
  <si>
    <t>671 Maple Ave</t>
  </si>
  <si>
    <t>487 Pine Rd</t>
  </si>
  <si>
    <t>585 Main St</t>
  </si>
  <si>
    <t>535 Pine Rd</t>
  </si>
  <si>
    <t>260 Main St</t>
  </si>
  <si>
    <t>657 Elm St</t>
  </si>
  <si>
    <t>193 Maple Ave</t>
  </si>
  <si>
    <t>441 Oak St</t>
  </si>
  <si>
    <t>740 Elm St</t>
  </si>
  <si>
    <t>782 Elm St</t>
  </si>
  <si>
    <t>944 Main St</t>
  </si>
  <si>
    <t>158 Pine Rd</t>
  </si>
  <si>
    <t>729 Oak St</t>
  </si>
  <si>
    <t>476 Elm St</t>
  </si>
  <si>
    <t>359 Main St</t>
  </si>
  <si>
    <t>252 Pine Rd</t>
  </si>
  <si>
    <t>605 Maple Ave</t>
  </si>
  <si>
    <t>946 Maple Ave</t>
  </si>
  <si>
    <t>452 Elm St</t>
  </si>
  <si>
    <t>996 Elm St</t>
  </si>
  <si>
    <t>793 Elm St</t>
  </si>
  <si>
    <t>266 Elm St</t>
  </si>
  <si>
    <t>834 Oak St</t>
  </si>
  <si>
    <t>518 Pine Rd</t>
  </si>
  <si>
    <t>777 Main St</t>
  </si>
  <si>
    <t>210 Pine Rd</t>
  </si>
  <si>
    <t>642 Oak St</t>
  </si>
  <si>
    <t>413 Elm St</t>
  </si>
  <si>
    <t>600 Elm St</t>
  </si>
  <si>
    <t>451 Maple Ave</t>
  </si>
  <si>
    <t>428 Elm St</t>
  </si>
  <si>
    <t>797 Main St</t>
  </si>
  <si>
    <t>637 Pine Rd</t>
  </si>
  <si>
    <t>150 Oak St</t>
  </si>
  <si>
    <t>625 Elm St</t>
  </si>
  <si>
    <t>732 Maple Ave</t>
  </si>
  <si>
    <t>807 Elm St</t>
  </si>
  <si>
    <t>278 Maple Ave</t>
  </si>
  <si>
    <t>496 Oak St</t>
  </si>
  <si>
    <t>404 Oak St</t>
  </si>
  <si>
    <t>382 Oak St</t>
  </si>
  <si>
    <t>896 Maple Ave</t>
  </si>
  <si>
    <t>928 Main St</t>
  </si>
  <si>
    <t>141 Maple Ave</t>
  </si>
  <si>
    <t>956 Maple Ave</t>
  </si>
  <si>
    <t>159 Maple Ave</t>
  </si>
  <si>
    <t>552 Oak St</t>
  </si>
  <si>
    <t>848 Oak St</t>
  </si>
  <si>
    <t>632 Pine Rd</t>
  </si>
  <si>
    <t>368 Elm St</t>
  </si>
  <si>
    <t>717 Oak St</t>
  </si>
  <si>
    <t>153 Maple Ave</t>
  </si>
  <si>
    <t>204 Pine Rd</t>
  </si>
  <si>
    <t>333 Oak St</t>
  </si>
  <si>
    <t>804 Elm St</t>
  </si>
  <si>
    <t>953 Elm St</t>
  </si>
  <si>
    <t>291 Oak St</t>
  </si>
  <si>
    <t>213 Maple Ave</t>
  </si>
  <si>
    <t>392 Oak St</t>
  </si>
  <si>
    <t>807 Oak St</t>
  </si>
  <si>
    <t>922 Oak St</t>
  </si>
  <si>
    <t>782 Oak St</t>
  </si>
  <si>
    <t>228 Pine Rd</t>
  </si>
  <si>
    <t>207 Main St</t>
  </si>
  <si>
    <t>497 Main St</t>
  </si>
  <si>
    <t>404 Main St</t>
  </si>
  <si>
    <t>743 Main St</t>
  </si>
  <si>
    <t>569 Oak St</t>
  </si>
  <si>
    <t>367 Pine Rd</t>
  </si>
  <si>
    <t>553 Main St</t>
  </si>
  <si>
    <t>744 Pine Rd</t>
  </si>
  <si>
    <t>416 Elm St</t>
  </si>
  <si>
    <t>472 Pine Rd</t>
  </si>
  <si>
    <t>132 Pine Rd</t>
  </si>
  <si>
    <t>568 Maple Ave</t>
  </si>
  <si>
    <t>697 Maple Ave</t>
  </si>
  <si>
    <t>437 Oak St</t>
  </si>
  <si>
    <t>670 Maple Ave</t>
  </si>
  <si>
    <t>270 Maple Ave</t>
  </si>
  <si>
    <t>812 Elm St</t>
  </si>
  <si>
    <t>288 Oak St</t>
  </si>
  <si>
    <t>149 Main St</t>
  </si>
  <si>
    <t>638 Maple Ave</t>
  </si>
  <si>
    <t>935 Elm St</t>
  </si>
  <si>
    <t>994 Oak St</t>
  </si>
  <si>
    <t>421 Pine Rd</t>
  </si>
  <si>
    <t>170 Oak St</t>
  </si>
  <si>
    <t>869 Pine Rd</t>
  </si>
  <si>
    <t>191 Elm St</t>
  </si>
  <si>
    <t>674 Oak St</t>
  </si>
  <si>
    <t>454 Maple Ave</t>
  </si>
  <si>
    <t>257 Pine Rd</t>
  </si>
  <si>
    <t>471 Elm St</t>
  </si>
  <si>
    <t>744 Oak St</t>
  </si>
  <si>
    <t>967 Main St</t>
  </si>
  <si>
    <t>288 Maple Ave</t>
  </si>
  <si>
    <t>151 Maple Ave</t>
  </si>
  <si>
    <t>224 Oak St</t>
  </si>
  <si>
    <t>441 Elm St</t>
  </si>
  <si>
    <t>506 Elm St</t>
  </si>
  <si>
    <t>129 Main St</t>
  </si>
  <si>
    <t>455 Elm St</t>
  </si>
  <si>
    <t>417 Oak St</t>
  </si>
  <si>
    <t>419 Pine Rd</t>
  </si>
  <si>
    <t>473 Main St</t>
  </si>
  <si>
    <t>591 Maple Ave</t>
  </si>
  <si>
    <t>435 Main St</t>
  </si>
  <si>
    <t>934 Oak St</t>
  </si>
  <si>
    <t>918 Elm St</t>
  </si>
  <si>
    <t>553 Maple Ave</t>
  </si>
  <si>
    <t>234 Pine Rd</t>
  </si>
  <si>
    <t>406 Maple Ave</t>
  </si>
  <si>
    <t>259 Main St</t>
  </si>
  <si>
    <t>904 Elm St</t>
  </si>
  <si>
    <t>916 Oak St</t>
  </si>
  <si>
    <t>711 Elm St</t>
  </si>
  <si>
    <t>668 Main St</t>
  </si>
  <si>
    <t>603 Elm St</t>
  </si>
  <si>
    <t>189 Main St</t>
  </si>
  <si>
    <t>742 Maple Ave</t>
  </si>
  <si>
    <t>963 Oak St</t>
  </si>
  <si>
    <t>467 Elm St</t>
  </si>
  <si>
    <t>548 Pine Rd</t>
  </si>
  <si>
    <t>943 Main St</t>
  </si>
  <si>
    <t>172 Maple Ave</t>
  </si>
  <si>
    <t>531 Main St</t>
  </si>
  <si>
    <t>267 Pine Rd</t>
  </si>
  <si>
    <t>513 Oak St</t>
  </si>
  <si>
    <t>143 Oak St</t>
  </si>
  <si>
    <t>956 Oak St</t>
  </si>
  <si>
    <t>343 Elm St</t>
  </si>
  <si>
    <t>478 Elm St</t>
  </si>
  <si>
    <t>352 Pine Rd</t>
  </si>
  <si>
    <t>709 Oak St</t>
  </si>
  <si>
    <t>337 Oak St</t>
  </si>
  <si>
    <t>650 Pine Rd</t>
  </si>
  <si>
    <t>652 Maple Ave</t>
  </si>
  <si>
    <t>426 Oak St</t>
  </si>
  <si>
    <t>174 Main St</t>
  </si>
  <si>
    <t>975 Maple Ave</t>
  </si>
  <si>
    <t>411 Maple Ave</t>
  </si>
  <si>
    <t>803 Main St</t>
  </si>
  <si>
    <t>985 Oak St</t>
  </si>
  <si>
    <t>116 Main St</t>
  </si>
  <si>
    <t>219 Pine Rd</t>
  </si>
  <si>
    <t>521 Maple Ave</t>
  </si>
  <si>
    <t>431 Elm St</t>
  </si>
  <si>
    <t>442 Maple Ave</t>
  </si>
  <si>
    <t>942 Oak St</t>
  </si>
  <si>
    <t>864 Pine Rd</t>
  </si>
  <si>
    <t>507 Elm St</t>
  </si>
  <si>
    <t>566 Oak St</t>
  </si>
  <si>
    <t>512 Oak St</t>
  </si>
  <si>
    <t>344 Oak St</t>
  </si>
  <si>
    <t>148 Main St</t>
  </si>
  <si>
    <t>631 Oak St</t>
  </si>
  <si>
    <t>321 Main St</t>
  </si>
  <si>
    <t>686 Oak St</t>
  </si>
  <si>
    <t>467 Pine Rd</t>
  </si>
  <si>
    <t>253 Oak St</t>
  </si>
  <si>
    <t>511 Elm St</t>
  </si>
  <si>
    <t>854 Pine Rd</t>
  </si>
  <si>
    <t>227 Elm St</t>
  </si>
  <si>
    <t>379 Maple Ave</t>
  </si>
  <si>
    <t>991 Main St</t>
  </si>
  <si>
    <t>451 Main St</t>
  </si>
  <si>
    <t>890 Pine Rd</t>
  </si>
  <si>
    <t>286 Main St</t>
  </si>
  <si>
    <t>688 Pine Rd</t>
  </si>
  <si>
    <t>621 Main St</t>
  </si>
  <si>
    <t>599 Pine Rd</t>
  </si>
  <si>
    <t>420 Oak St</t>
  </si>
  <si>
    <t>113 Maple Ave</t>
  </si>
  <si>
    <t>215 Main St</t>
  </si>
  <si>
    <t>392 Pine Rd</t>
  </si>
  <si>
    <t>519 Main St</t>
  </si>
  <si>
    <t>919 Pine Rd</t>
  </si>
  <si>
    <t>102 Maple Ave</t>
  </si>
  <si>
    <t>681 Elm St</t>
  </si>
  <si>
    <t>243 Main St</t>
  </si>
  <si>
    <t>550 Oak St</t>
  </si>
  <si>
    <t>396 Pine Rd</t>
  </si>
  <si>
    <t>389 Oak St</t>
  </si>
  <si>
    <t>818 Pine Rd</t>
  </si>
  <si>
    <t>430 Pine Rd</t>
  </si>
  <si>
    <t>708 Pine Rd</t>
  </si>
  <si>
    <t>920 Main St</t>
  </si>
  <si>
    <t>983 Pine Rd</t>
  </si>
  <si>
    <t>958 Main St</t>
  </si>
  <si>
    <t>932 Oak St</t>
  </si>
  <si>
    <t>658 Elm St</t>
  </si>
  <si>
    <t>648 Maple Ave</t>
  </si>
  <si>
    <t>114 Maple Ave</t>
  </si>
  <si>
    <t>110 Maple Ave</t>
  </si>
  <si>
    <t>738 Main St</t>
  </si>
  <si>
    <t>978 Oak St</t>
  </si>
  <si>
    <t>400 Pine Rd</t>
  </si>
  <si>
    <t>659 Pine Rd</t>
  </si>
  <si>
    <t>175 Oak St</t>
  </si>
  <si>
    <t>890 Elm St</t>
  </si>
  <si>
    <t>565 Elm St</t>
  </si>
  <si>
    <t>699 Pine Rd</t>
  </si>
  <si>
    <t>503 Oak St</t>
  </si>
  <si>
    <t>511 Pine Rd</t>
  </si>
  <si>
    <t>333 Main St</t>
  </si>
  <si>
    <t>587 Elm St</t>
  </si>
  <si>
    <t>355 Main St</t>
  </si>
  <si>
    <t>262 Maple Ave</t>
  </si>
  <si>
    <t>733 Main St</t>
  </si>
  <si>
    <t>646 Elm St</t>
  </si>
  <si>
    <t>139 Oak St</t>
  </si>
  <si>
    <t>173 Pine Rd</t>
  </si>
  <si>
    <t>485 Main St</t>
  </si>
  <si>
    <t>454 Elm St</t>
  </si>
  <si>
    <t>853 Maple Ave</t>
  </si>
  <si>
    <t>838 Elm St</t>
  </si>
  <si>
    <t>973 Elm St</t>
  </si>
  <si>
    <t>546 Oak St</t>
  </si>
  <si>
    <t>873 Oak St</t>
  </si>
  <si>
    <t>737 Oak St</t>
  </si>
  <si>
    <t>416 Maple Ave</t>
  </si>
  <si>
    <t>927 Main St</t>
  </si>
  <si>
    <t>468 Elm St</t>
  </si>
  <si>
    <t>132 Maple Ave</t>
  </si>
  <si>
    <t>711 Oak St</t>
  </si>
  <si>
    <t>295 Pine Rd</t>
  </si>
  <si>
    <t>186 Main St</t>
  </si>
  <si>
    <t>635 Pine Rd</t>
  </si>
  <si>
    <t>181 Main St</t>
  </si>
  <si>
    <t>423 Oak St</t>
  </si>
  <si>
    <t>627 Pine Rd</t>
  </si>
  <si>
    <t>907 Pine Rd</t>
  </si>
  <si>
    <t>489 Maple Ave</t>
  </si>
  <si>
    <t>495 Pine Rd</t>
  </si>
  <si>
    <t>339 Elm St</t>
  </si>
  <si>
    <t>291 Pine Rd</t>
  </si>
  <si>
    <t>146 Main St</t>
  </si>
  <si>
    <t>271 Elm St</t>
  </si>
  <si>
    <t>928 Pine Rd</t>
  </si>
  <si>
    <t>304 Elm St</t>
  </si>
  <si>
    <t>378 Elm St</t>
  </si>
  <si>
    <t>970 Main St</t>
  </si>
  <si>
    <t>185 Main St</t>
  </si>
  <si>
    <t>182 Oak St</t>
  </si>
  <si>
    <t>891 Oak St</t>
  </si>
  <si>
    <t>541 Elm St</t>
  </si>
  <si>
    <t>175 Pine Rd</t>
  </si>
  <si>
    <t>872 Maple Ave</t>
  </si>
  <si>
    <t>936 Oak St</t>
  </si>
  <si>
    <t>514 Pine Rd</t>
  </si>
  <si>
    <t>418 Maple Ave</t>
  </si>
  <si>
    <t>523 Maple Ave</t>
  </si>
  <si>
    <t>879 Elm St</t>
  </si>
  <si>
    <t>612 Maple Ave</t>
  </si>
  <si>
    <t>877 Elm St</t>
  </si>
  <si>
    <t>855 Oak St</t>
  </si>
  <si>
    <t>715 Maple Ave</t>
  </si>
  <si>
    <t>483 Main St</t>
  </si>
  <si>
    <t>858 Maple Ave</t>
  </si>
  <si>
    <t>807 Maple Ave</t>
  </si>
  <si>
    <t>505 Elm St</t>
  </si>
  <si>
    <t>708 Maple Ave</t>
  </si>
  <si>
    <t>547 Pine Rd</t>
  </si>
  <si>
    <t>707 Oak St</t>
  </si>
  <si>
    <t>753 Main St</t>
  </si>
  <si>
    <t>276 Main St</t>
  </si>
  <si>
    <t>411 Pine Rd</t>
  </si>
  <si>
    <t>351 Pine Rd</t>
  </si>
  <si>
    <t>561 Elm St</t>
  </si>
  <si>
    <t>543 Main St</t>
  </si>
  <si>
    <t>534 Oak St</t>
  </si>
  <si>
    <t>861 Maple Ave</t>
  </si>
  <si>
    <t>829 Oak St</t>
  </si>
  <si>
    <t>858 Pine Rd</t>
  </si>
  <si>
    <t>136 Oak St</t>
  </si>
  <si>
    <t>109 Main St</t>
  </si>
  <si>
    <t>872 Pine Rd</t>
  </si>
  <si>
    <t>182 Pine Rd</t>
  </si>
  <si>
    <t>185 Oak St</t>
  </si>
  <si>
    <t>197 Oak St</t>
  </si>
  <si>
    <t>769 Maple Ave</t>
  </si>
  <si>
    <t>933 Oak St</t>
  </si>
  <si>
    <t>245 Pine Rd</t>
  </si>
  <si>
    <t>510 Main St</t>
  </si>
  <si>
    <t>195 Elm St</t>
  </si>
  <si>
    <t>167 Elm St</t>
  </si>
  <si>
    <t>227 Main St</t>
  </si>
  <si>
    <t>901 Elm St</t>
  </si>
  <si>
    <t>499 Pine Rd</t>
  </si>
  <si>
    <t>460 Maple Ave</t>
  </si>
  <si>
    <t>211 Oak St</t>
  </si>
  <si>
    <t>613 Elm St</t>
  </si>
  <si>
    <t>269 Oak St</t>
  </si>
  <si>
    <t>799 Maple Ave</t>
  </si>
  <si>
    <t>461 Maple Ave</t>
  </si>
  <si>
    <t>297 Pine Rd</t>
  </si>
  <si>
    <t>135 Pine Rd</t>
  </si>
  <si>
    <t>674 Pine Rd</t>
  </si>
  <si>
    <t>644 Main St</t>
  </si>
  <si>
    <t>453 Main St</t>
  </si>
  <si>
    <t>949 Oak St</t>
  </si>
  <si>
    <t>453 Pine Rd</t>
  </si>
  <si>
    <t>280 Oak St</t>
  </si>
  <si>
    <t>133 Maple Ave</t>
  </si>
  <si>
    <t>609 Elm St</t>
  </si>
  <si>
    <t>563 Pine Rd</t>
  </si>
  <si>
    <t>419 Elm St</t>
  </si>
  <si>
    <t>668 Elm St</t>
  </si>
  <si>
    <t>708 Elm St</t>
  </si>
  <si>
    <t>778 Oak St</t>
  </si>
  <si>
    <t>331 Oak St</t>
  </si>
  <si>
    <t>259 Pine Rd</t>
  </si>
  <si>
    <t>484 Elm St</t>
  </si>
  <si>
    <t>301 Oak St</t>
  </si>
  <si>
    <t>798 Maple Ave</t>
  </si>
  <si>
    <t>291 Elm St</t>
  </si>
  <si>
    <t>799 Pine Rd</t>
  </si>
  <si>
    <t>835 Maple Ave</t>
  </si>
  <si>
    <t>423 Elm St</t>
  </si>
  <si>
    <t>779 Main St</t>
  </si>
  <si>
    <t>376 Pine Rd</t>
  </si>
  <si>
    <t>969 Main St</t>
  </si>
  <si>
    <t>647 Elm St</t>
  </si>
  <si>
    <t>264 Main St</t>
  </si>
  <si>
    <t>308 Main St</t>
  </si>
  <si>
    <t>767 Pine Rd</t>
  </si>
  <si>
    <t>929 Pine Rd</t>
  </si>
  <si>
    <t>465 Main St</t>
  </si>
  <si>
    <t>844 Maple Ave</t>
  </si>
  <si>
    <t>593 Main St</t>
  </si>
  <si>
    <t>930 Pine Rd</t>
  </si>
  <si>
    <t>763 Pine Rd</t>
  </si>
  <si>
    <t>410 Pine Rd</t>
  </si>
  <si>
    <t>309 Maple Ave</t>
  </si>
  <si>
    <t>492 Maple Ave</t>
  </si>
  <si>
    <t>141 Main St</t>
  </si>
  <si>
    <t>174 Oak St</t>
  </si>
  <si>
    <t>154 Pine Rd</t>
  </si>
  <si>
    <t>377 Elm St</t>
  </si>
  <si>
    <t>936 Pine Rd</t>
  </si>
  <si>
    <t>618 Main St</t>
  </si>
  <si>
    <t>328 Pine Rd</t>
  </si>
  <si>
    <t>130 Elm St</t>
  </si>
  <si>
    <t>771 Elm St</t>
  </si>
  <si>
    <t>938 Main St</t>
  </si>
  <si>
    <t>941 Maple Ave</t>
  </si>
  <si>
    <t>130 Pine Rd</t>
  </si>
  <si>
    <t>463 Elm St</t>
  </si>
  <si>
    <t>702 Main St</t>
  </si>
  <si>
    <t>931 Pine Rd</t>
  </si>
  <si>
    <t>510 Pine Rd</t>
  </si>
  <si>
    <t>694 Pine Rd</t>
  </si>
  <si>
    <t>307 Pine Rd</t>
  </si>
  <si>
    <t>975 Oak St</t>
  </si>
  <si>
    <t>320 Elm St</t>
  </si>
  <si>
    <t>898 Pine Rd</t>
  </si>
  <si>
    <t>184 Elm St</t>
  </si>
  <si>
    <t>846 Oak St</t>
  </si>
  <si>
    <t>501 Oak St</t>
  </si>
  <si>
    <t>201 Main St</t>
  </si>
  <si>
    <t>242 Elm St</t>
  </si>
  <si>
    <t>501 Pine Rd</t>
  </si>
  <si>
    <t>291 Maple Ave</t>
  </si>
  <si>
    <t>364 Pine Rd</t>
  </si>
  <si>
    <t>945 Maple Ave</t>
  </si>
  <si>
    <t>212 Main St</t>
  </si>
  <si>
    <t>828 Elm St</t>
  </si>
  <si>
    <t>551 Maple Ave</t>
  </si>
  <si>
    <t>138 Elm St</t>
  </si>
  <si>
    <t>139 Pine Rd</t>
  </si>
  <si>
    <t>885 Maple Ave</t>
  </si>
  <si>
    <t>523 Elm St</t>
  </si>
  <si>
    <t>199 Main St</t>
  </si>
  <si>
    <t>849 Main St</t>
  </si>
  <si>
    <t>966 Pine Rd</t>
  </si>
  <si>
    <t>303 Pine Rd</t>
  </si>
  <si>
    <t>183 Main St</t>
  </si>
  <si>
    <t>646 Oak St</t>
  </si>
  <si>
    <t>738 Maple Ave</t>
  </si>
  <si>
    <t>716 Maple Ave</t>
  </si>
  <si>
    <t>783 Oak St</t>
  </si>
  <si>
    <t>147 Main St</t>
  </si>
  <si>
    <t>401 Elm St</t>
  </si>
  <si>
    <t>385 Main St</t>
  </si>
  <si>
    <t>333 Elm St</t>
  </si>
  <si>
    <t>494 Elm St</t>
  </si>
  <si>
    <t>219 Main St</t>
  </si>
  <si>
    <t>866 Main St</t>
  </si>
  <si>
    <t>694 Elm St</t>
  </si>
  <si>
    <t>516 Oak St</t>
  </si>
  <si>
    <t>934 Elm St</t>
  </si>
  <si>
    <t>274 Oak St</t>
  </si>
  <si>
    <t>995 Oak St</t>
  </si>
  <si>
    <t>126 Elm St</t>
  </si>
  <si>
    <t>765 Pine Rd</t>
  </si>
  <si>
    <t>444 Elm St</t>
  </si>
  <si>
    <t>949 Main St</t>
  </si>
  <si>
    <t>561 Pine Rd</t>
  </si>
  <si>
    <t>813 Pine Rd</t>
  </si>
  <si>
    <t>931 Maple Ave</t>
  </si>
  <si>
    <t>438 Pine Rd</t>
  </si>
  <si>
    <t>728 Oak St</t>
  </si>
  <si>
    <t>376 Oak St</t>
  </si>
  <si>
    <t>347 Oak St</t>
  </si>
  <si>
    <t>510 Oak St</t>
  </si>
  <si>
    <t>361 Main St</t>
  </si>
  <si>
    <t>189 Maple Ave</t>
  </si>
  <si>
    <t>450 Oak St</t>
  </si>
  <si>
    <t>706 Elm St</t>
  </si>
  <si>
    <t>808 Elm St</t>
  </si>
  <si>
    <t>691 Pine Rd</t>
  </si>
  <si>
    <t>465 Elm St</t>
  </si>
  <si>
    <t>145 Elm St</t>
  </si>
  <si>
    <t>939 Maple Ave</t>
  </si>
  <si>
    <t>283 Main St</t>
  </si>
  <si>
    <t>488 Elm St</t>
  </si>
  <si>
    <t>356 Main St</t>
  </si>
  <si>
    <t>752 Main St</t>
  </si>
  <si>
    <t>325 Main St</t>
  </si>
  <si>
    <t>268 Main St</t>
  </si>
  <si>
    <t>960 Pine Rd</t>
  </si>
  <si>
    <t>765 Main St</t>
  </si>
  <si>
    <t>627 Maple Ave</t>
  </si>
  <si>
    <t>760 Elm St</t>
  </si>
  <si>
    <t>462 Maple Ave</t>
  </si>
  <si>
    <t>336 Maple Ave</t>
  </si>
  <si>
    <t>499 Main St</t>
  </si>
  <si>
    <t>930 Main St</t>
  </si>
  <si>
    <t>640 Oak St</t>
  </si>
  <si>
    <t>456 Maple Ave</t>
  </si>
  <si>
    <t>153 Oak St</t>
  </si>
  <si>
    <t>293 Main St</t>
  </si>
  <si>
    <t>567 Oak St</t>
  </si>
  <si>
    <t>681 Main St</t>
  </si>
  <si>
    <t>121 Maple Ave</t>
  </si>
  <si>
    <t>725 Maple Ave</t>
  </si>
  <si>
    <t>953 Main St</t>
  </si>
  <si>
    <t>120 Elm St</t>
  </si>
  <si>
    <t>669 Main St</t>
  </si>
  <si>
    <t>658 Main St</t>
  </si>
  <si>
    <t>323 Elm St</t>
  </si>
  <si>
    <t>572 Elm St</t>
  </si>
  <si>
    <t>376 Maple Ave</t>
  </si>
  <si>
    <t>385 Elm St</t>
  </si>
  <si>
    <t>525 Elm St</t>
  </si>
  <si>
    <t>655 Main St</t>
  </si>
  <si>
    <t>495 Elm St</t>
  </si>
  <si>
    <t>833 Pine Rd</t>
  </si>
  <si>
    <t>212 Maple Ave</t>
  </si>
  <si>
    <t>192 Pine Rd</t>
  </si>
  <si>
    <t>254 Pine Rd</t>
  </si>
  <si>
    <t>551 Main St</t>
  </si>
  <si>
    <t>554 Elm St</t>
  </si>
  <si>
    <t>653 Main St</t>
  </si>
  <si>
    <t>271 Maple Ave</t>
  </si>
  <si>
    <t>241 Pine Rd</t>
  </si>
  <si>
    <t>455 Main St</t>
  </si>
  <si>
    <t>884 Elm St</t>
  </si>
  <si>
    <t>670 Pine Rd</t>
  </si>
  <si>
    <t>120 Maple Ave</t>
  </si>
  <si>
    <t>751 Main St</t>
  </si>
  <si>
    <t>338 Pine Rd</t>
  </si>
  <si>
    <t>254 Oak St</t>
  </si>
  <si>
    <t>712 Maple Ave</t>
  </si>
  <si>
    <t>712 Pine Rd</t>
  </si>
  <si>
    <t>516 Elm St</t>
  </si>
  <si>
    <t>415 Main St</t>
  </si>
  <si>
    <t>794 Elm St</t>
  </si>
  <si>
    <t>195 Oak St</t>
  </si>
  <si>
    <t>293 Elm St</t>
  </si>
  <si>
    <t>722 Oak St</t>
  </si>
  <si>
    <t>963 Main St</t>
  </si>
  <si>
    <t>294 Main St</t>
  </si>
  <si>
    <t>357 Elm St</t>
  </si>
  <si>
    <t>563 Oak St</t>
  </si>
  <si>
    <t>868 Pine Rd</t>
  </si>
  <si>
    <t>311 Pine Rd</t>
  </si>
  <si>
    <t>950 Elm St</t>
  </si>
  <si>
    <t>142 Main St</t>
  </si>
  <si>
    <t>398 Maple Ave</t>
  </si>
  <si>
    <t>784 Pine Rd</t>
  </si>
  <si>
    <t>600 Pine Rd</t>
  </si>
  <si>
    <t>164 Elm St</t>
  </si>
  <si>
    <t>318 Elm St</t>
  </si>
  <si>
    <t>578 Oak St</t>
  </si>
  <si>
    <t>557 Maple Ave</t>
  </si>
  <si>
    <t>590 Pine Rd</t>
  </si>
  <si>
    <t>296 Main St</t>
  </si>
  <si>
    <t>295 Oak St</t>
  </si>
  <si>
    <t>752 Pine Rd</t>
  </si>
  <si>
    <t>649 Pine Rd</t>
  </si>
  <si>
    <t>763 Main St</t>
  </si>
  <si>
    <t>307 Oak St</t>
  </si>
  <si>
    <t>995 Main St</t>
  </si>
  <si>
    <t>610 Elm St</t>
  </si>
  <si>
    <t>519 Pine Rd</t>
  </si>
  <si>
    <t>413 Maple Ave</t>
  </si>
  <si>
    <t>875 Maple Ave</t>
  </si>
  <si>
    <t>948 Pine Rd</t>
  </si>
  <si>
    <t>300 Pine Rd</t>
  </si>
  <si>
    <t>102 Pine Rd</t>
  </si>
  <si>
    <t>789 Elm St</t>
  </si>
  <si>
    <t>208 Maple Ave</t>
  </si>
  <si>
    <t>397 Maple Ave</t>
  </si>
  <si>
    <t>108 Elm St</t>
  </si>
  <si>
    <t>641 Elm St</t>
  </si>
  <si>
    <t>274 Pine Rd</t>
  </si>
  <si>
    <t>888 Maple Ave</t>
  </si>
  <si>
    <t>730 Oak St</t>
  </si>
  <si>
    <t>615 Pine Rd</t>
  </si>
  <si>
    <t>868 Maple Ave</t>
  </si>
  <si>
    <t>879 Maple Ave</t>
  </si>
  <si>
    <t>119 Elm St</t>
  </si>
  <si>
    <t>702 Oak St</t>
  </si>
  <si>
    <t>650 Elm St</t>
  </si>
  <si>
    <t>803 Oak St</t>
  </si>
  <si>
    <t>272 Maple Ave</t>
  </si>
  <si>
    <t>320 Main St</t>
  </si>
  <si>
    <t>740 Main St</t>
  </si>
  <si>
    <t>662 Maple Ave</t>
  </si>
  <si>
    <t>247 Main St</t>
  </si>
  <si>
    <t>697 Pine Rd</t>
  </si>
  <si>
    <t>225 Oak St</t>
  </si>
  <si>
    <t>439 Oak St</t>
  </si>
  <si>
    <t>284 Maple Ave</t>
  </si>
  <si>
    <t>480 Pine Rd</t>
  </si>
  <si>
    <t>477 Pine Rd</t>
  </si>
  <si>
    <t>863 Main St</t>
  </si>
  <si>
    <t>113 Pine Rd</t>
  </si>
  <si>
    <t>895 Maple Ave</t>
  </si>
  <si>
    <t>338 Main St</t>
  </si>
  <si>
    <t>705 Pine Rd</t>
  </si>
  <si>
    <t>447 Pine Rd</t>
  </si>
  <si>
    <t>518 Oak St</t>
  </si>
  <si>
    <t>564 Elm St</t>
  </si>
  <si>
    <t>791 Pine Rd</t>
  </si>
  <si>
    <t>254 Elm St</t>
  </si>
  <si>
    <t>794 Oak St</t>
  </si>
  <si>
    <t>155 Elm St</t>
  </si>
  <si>
    <t>876 Main St</t>
  </si>
  <si>
    <t>844 Main St</t>
  </si>
  <si>
    <t>558 Elm St</t>
  </si>
  <si>
    <t>513 Pine Rd</t>
  </si>
  <si>
    <t>359 Maple Ave</t>
  </si>
  <si>
    <t>640 Pine Rd</t>
  </si>
  <si>
    <t>354 Main St</t>
  </si>
  <si>
    <t>985 Pine Rd</t>
  </si>
  <si>
    <t>885 Oak St</t>
  </si>
  <si>
    <t>941 Elm St</t>
  </si>
  <si>
    <t>680 Pine Rd</t>
  </si>
  <si>
    <t>888 Oak St</t>
  </si>
  <si>
    <t>964 Elm St</t>
  </si>
  <si>
    <t>294 Elm St</t>
  </si>
  <si>
    <t>418 Pine Rd</t>
  </si>
  <si>
    <t>692 Maple Ave</t>
  </si>
  <si>
    <t>609 Pine Rd</t>
  </si>
  <si>
    <t>251 Maple Ave</t>
  </si>
  <si>
    <t>662 Main St</t>
  </si>
  <si>
    <t>951 Main St</t>
  </si>
  <si>
    <t>607 Maple Ave</t>
  </si>
  <si>
    <t>246 Pine Rd</t>
  </si>
  <si>
    <t>425 Elm St</t>
  </si>
  <si>
    <t>886 Elm St</t>
  </si>
  <si>
    <t>204 Main St</t>
  </si>
  <si>
    <t>328 Oak St</t>
  </si>
  <si>
    <t>647 Oak St</t>
  </si>
  <si>
    <t>756 Elm St</t>
  </si>
  <si>
    <t>412 Elm St</t>
  </si>
  <si>
    <t>247 Elm St</t>
  </si>
  <si>
    <t>860 Pine Rd</t>
  </si>
  <si>
    <t>626 Elm St</t>
  </si>
  <si>
    <t>630 Pine Rd</t>
  </si>
  <si>
    <t>623 Pine Rd</t>
  </si>
  <si>
    <t>408 Main St</t>
  </si>
  <si>
    <t>443 Maple Ave</t>
  </si>
  <si>
    <t>300 Maple Ave</t>
  </si>
  <si>
    <t>168 Elm St</t>
  </si>
  <si>
    <t>893 Pine Rd</t>
  </si>
  <si>
    <t>912 Maple Ave</t>
  </si>
  <si>
    <t>363 Oak St</t>
  </si>
  <si>
    <t>175 Main St</t>
  </si>
  <si>
    <t>451 Pine Rd</t>
  </si>
  <si>
    <t>845 Elm St</t>
  </si>
  <si>
    <t>281 Pine Rd</t>
  </si>
  <si>
    <t>134 Pine Rd</t>
  </si>
  <si>
    <t>975 Elm St</t>
  </si>
  <si>
    <t>597 Oak St</t>
  </si>
  <si>
    <t>785 Elm St</t>
  </si>
  <si>
    <t>762 Elm St</t>
  </si>
  <si>
    <t>956 Pine Rd</t>
  </si>
  <si>
    <t>466 Maple Ave</t>
  </si>
  <si>
    <t>790 Elm St</t>
  </si>
  <si>
    <t>980 Main St</t>
  </si>
  <si>
    <t>157 Pine Rd</t>
  </si>
  <si>
    <t>701 Pine Rd</t>
  </si>
  <si>
    <t>633 Pine Rd</t>
  </si>
  <si>
    <t>726 Maple Ave</t>
  </si>
  <si>
    <t>417 Main St</t>
  </si>
  <si>
    <t>494 Main St</t>
  </si>
  <si>
    <t>941 Oak St</t>
  </si>
  <si>
    <t>194 Elm St</t>
  </si>
  <si>
    <t>354 Elm St</t>
  </si>
  <si>
    <t>930 Elm St</t>
  </si>
  <si>
    <t>433 Maple Ave</t>
  </si>
  <si>
    <t>916 Main St</t>
  </si>
  <si>
    <t>976 Elm St</t>
  </si>
  <si>
    <t>627 Elm St</t>
  </si>
  <si>
    <t>721 Pine Rd</t>
  </si>
  <si>
    <t>164 Oak St</t>
  </si>
  <si>
    <t>252 Oak St</t>
  </si>
  <si>
    <t>389 Pine Rd</t>
  </si>
  <si>
    <t>897 Maple Ave</t>
  </si>
  <si>
    <t>145 Main St</t>
  </si>
  <si>
    <t>727 Elm St</t>
  </si>
  <si>
    <t>543 Elm St</t>
  </si>
  <si>
    <t>313 Oak St</t>
  </si>
  <si>
    <t>226 Maple Ave</t>
  </si>
  <si>
    <t>315 Maple Ave</t>
  </si>
  <si>
    <t>416 Main St</t>
  </si>
  <si>
    <t>919 Elm St</t>
  </si>
  <si>
    <t>611 Maple Ave</t>
  </si>
  <si>
    <t>112 Main St</t>
  </si>
  <si>
    <t>333 Pine Rd</t>
  </si>
  <si>
    <t>132 Main St</t>
  </si>
  <si>
    <t>477 Main St</t>
  </si>
  <si>
    <t>129 Elm St</t>
  </si>
  <si>
    <t>610 Pine Rd</t>
  </si>
  <si>
    <t>174 Maple Ave</t>
  </si>
  <si>
    <t>615 Elm St</t>
  </si>
  <si>
    <t>915 Pine Rd</t>
  </si>
  <si>
    <t>894 Elm St</t>
  </si>
  <si>
    <t>596 Oak St</t>
  </si>
  <si>
    <t>343 Oak St</t>
  </si>
  <si>
    <t>475 Elm St</t>
  </si>
  <si>
    <t>383 Maple Ave</t>
  </si>
  <si>
    <t>737 Pine Rd</t>
  </si>
  <si>
    <t>970 Elm St</t>
  </si>
  <si>
    <t>103 Main St</t>
  </si>
  <si>
    <t>540 Maple Ave</t>
  </si>
  <si>
    <t>282 Oak St</t>
  </si>
  <si>
    <t>857 Oak St</t>
  </si>
  <si>
    <t>857 Pine Rd</t>
  </si>
  <si>
    <t>987 Pine Rd</t>
  </si>
  <si>
    <t>167 Pine Rd</t>
  </si>
  <si>
    <t>448 Pine Rd</t>
  </si>
  <si>
    <t>672 Main St</t>
  </si>
  <si>
    <t>381 Elm St</t>
  </si>
  <si>
    <t>913 Pine Rd</t>
  </si>
  <si>
    <t>332 Oak St</t>
  </si>
  <si>
    <t>824 Main St</t>
  </si>
  <si>
    <t>766 Maple Ave</t>
  </si>
  <si>
    <t>754 Oak St</t>
  </si>
  <si>
    <t>283 Elm St</t>
  </si>
  <si>
    <t>509 Elm St</t>
  </si>
  <si>
    <t>861 Elm St</t>
  </si>
  <si>
    <t>267 Maple Ave</t>
  </si>
  <si>
    <t>518 Elm St</t>
  </si>
  <si>
    <t>115 Oak St</t>
  </si>
  <si>
    <t>701 Maple Ave</t>
  </si>
  <si>
    <t>975 Main St</t>
  </si>
  <si>
    <t>834 Elm St</t>
  </si>
  <si>
    <t>114 Main St</t>
  </si>
  <si>
    <t>604 Main St</t>
  </si>
  <si>
    <t>858 Oak St</t>
  </si>
  <si>
    <t>504 Oak St</t>
  </si>
  <si>
    <t>996 Pine Rd</t>
  </si>
  <si>
    <t>990 Elm St</t>
  </si>
  <si>
    <t>932 Pine Rd</t>
  </si>
  <si>
    <t>697 Elm St</t>
  </si>
  <si>
    <t>984 Maple Ave</t>
  </si>
  <si>
    <t>471 Main St</t>
  </si>
  <si>
    <t>691 Oak St</t>
  </si>
  <si>
    <t>468 Maple Ave</t>
  </si>
  <si>
    <t>323 Oak St</t>
  </si>
  <si>
    <t>758 Pine Rd</t>
  </si>
  <si>
    <t>320 Maple Ave</t>
  </si>
  <si>
    <t>190 Maple Ave</t>
  </si>
  <si>
    <t>146 Elm St</t>
  </si>
  <si>
    <t>769 Pine Rd</t>
  </si>
  <si>
    <t>595 Main St</t>
  </si>
  <si>
    <t>972 Oak St</t>
  </si>
  <si>
    <t>519 Oak St</t>
  </si>
  <si>
    <t>457 Pine Rd</t>
  </si>
  <si>
    <t>239 Main St</t>
  </si>
  <si>
    <t>978 Pine Rd</t>
  </si>
  <si>
    <t>456 Pine Rd</t>
  </si>
  <si>
    <t>497 Maple Ave</t>
  </si>
  <si>
    <t>721 Main St</t>
  </si>
  <si>
    <t>848 Main St</t>
  </si>
  <si>
    <t>263 Maple Ave</t>
  </si>
  <si>
    <t>867 Oak St</t>
  </si>
  <si>
    <t>478 Main St</t>
  </si>
  <si>
    <t>105 Main St</t>
  </si>
  <si>
    <t>181 Pine Rd</t>
  </si>
  <si>
    <t>634 Maple Ave</t>
  </si>
  <si>
    <t>898 Oak St</t>
  </si>
  <si>
    <t>772 Main St</t>
  </si>
  <si>
    <t>937 Oak St</t>
  </si>
  <si>
    <t>151 Main St</t>
  </si>
  <si>
    <t>629 Pine Rd</t>
  </si>
  <si>
    <t>636 Maple Ave</t>
  </si>
  <si>
    <t>881 Main St</t>
  </si>
  <si>
    <t>293 Pine Rd</t>
  </si>
  <si>
    <t>141 Pine Rd</t>
  </si>
  <si>
    <t>910 Maple Ave</t>
  </si>
  <si>
    <t>253 Elm St</t>
  </si>
  <si>
    <t>268 Maple Ave</t>
  </si>
  <si>
    <t>864 Elm St</t>
  </si>
  <si>
    <t>532 Pine Rd</t>
  </si>
  <si>
    <t>820 Elm St</t>
  </si>
  <si>
    <t>349 Oak St</t>
  </si>
  <si>
    <t>944 Pine Rd</t>
  </si>
  <si>
    <t>495 Maple Ave</t>
  </si>
  <si>
    <t>968 Oak St</t>
  </si>
  <si>
    <t>370 Maple Ave</t>
  </si>
  <si>
    <t>107 Elm St</t>
  </si>
  <si>
    <t>710 Oak St</t>
  </si>
  <si>
    <t>162 Elm St</t>
  </si>
  <si>
    <t>233 Maple Ave</t>
  </si>
  <si>
    <t>974 Main St</t>
  </si>
  <si>
    <t>989 Elm St</t>
  </si>
  <si>
    <t>398 Oak St</t>
  </si>
  <si>
    <t>458 Pine Rd</t>
  </si>
  <si>
    <t>853 Main St</t>
  </si>
  <si>
    <t>252 Elm St</t>
  </si>
  <si>
    <t>131 Maple Ave</t>
  </si>
  <si>
    <t>211 Main St</t>
  </si>
  <si>
    <t>534 Maple Ave</t>
  </si>
  <si>
    <t>907 Oak St</t>
  </si>
  <si>
    <t>234 Elm St</t>
  </si>
  <si>
    <t>203 Elm St</t>
  </si>
  <si>
    <t>122 Maple Ave</t>
  </si>
  <si>
    <t>516 Maple Ave</t>
  </si>
  <si>
    <t>221 Elm St</t>
  </si>
  <si>
    <t>961 Pine Rd</t>
  </si>
  <si>
    <t>421 Elm St</t>
  </si>
  <si>
    <t>309 Pine Rd</t>
  </si>
  <si>
    <t>211 Elm St</t>
  </si>
  <si>
    <t>302 Oak St</t>
  </si>
  <si>
    <t>609 Maple Ave</t>
  </si>
  <si>
    <t>279 Elm St</t>
  </si>
  <si>
    <t>873 Main St</t>
  </si>
  <si>
    <t>935 Pine Rd</t>
  </si>
  <si>
    <t>768 Main St</t>
  </si>
  <si>
    <t>398 Pine Rd</t>
  </si>
  <si>
    <t>730 Pine Rd</t>
  </si>
  <si>
    <t>957 Main St</t>
  </si>
  <si>
    <t>956 Elm St</t>
  </si>
  <si>
    <t>192 Oak St</t>
  </si>
  <si>
    <t>620 Main St</t>
  </si>
  <si>
    <t>812 Main St</t>
  </si>
  <si>
    <t>939 Main St</t>
  </si>
  <si>
    <t>905 Oak St</t>
  </si>
  <si>
    <t>704 Pine Rd</t>
  </si>
  <si>
    <t>934 Pine Rd</t>
  </si>
  <si>
    <t>773 Pine Rd</t>
  </si>
  <si>
    <t>119 Pine Rd</t>
  </si>
  <si>
    <t>699 Oak St</t>
  </si>
  <si>
    <t>392 Elm St</t>
  </si>
  <si>
    <t>703 Oak St</t>
  </si>
  <si>
    <t>469 Main St</t>
  </si>
  <si>
    <t>796 Maple Ave</t>
  </si>
  <si>
    <t>891 Pine Rd</t>
  </si>
  <si>
    <t>830 Elm St</t>
  </si>
  <si>
    <t>538 Pine Rd</t>
  </si>
  <si>
    <t>427 Pine Rd</t>
  </si>
  <si>
    <t>671 Oak St</t>
  </si>
  <si>
    <t>422 Elm St</t>
  </si>
  <si>
    <t>860 Oak St</t>
  </si>
  <si>
    <t>159 Elm St</t>
  </si>
  <si>
    <t>398 Main St</t>
  </si>
  <si>
    <t>526 Elm St</t>
  </si>
  <si>
    <t>521 Pine Rd</t>
  </si>
  <si>
    <t>307 Maple Ave</t>
  </si>
  <si>
    <t>651 Main St</t>
  </si>
  <si>
    <t>432 Maple Ave</t>
  </si>
  <si>
    <t>626 Oak St</t>
  </si>
  <si>
    <t>691 Elm St</t>
  </si>
  <si>
    <t>927 Oak St</t>
  </si>
  <si>
    <t>329 Oak St</t>
  </si>
  <si>
    <t>253 Pine Rd</t>
  </si>
  <si>
    <t>396 Maple Ave</t>
  </si>
  <si>
    <t>767 Elm St</t>
  </si>
  <si>
    <t>428 Main St</t>
  </si>
  <si>
    <t>413 Pine Rd</t>
  </si>
  <si>
    <t>745 Oak St</t>
  </si>
  <si>
    <t>371 Oak St</t>
  </si>
  <si>
    <t>322 Oak St</t>
  </si>
  <si>
    <t>332 Pine Rd</t>
  </si>
  <si>
    <t>410 Elm St</t>
  </si>
  <si>
    <t>307 Elm St</t>
  </si>
  <si>
    <t>766 Main St</t>
  </si>
  <si>
    <t>126 Main St</t>
  </si>
  <si>
    <t>220 Elm St</t>
  </si>
  <si>
    <t>882 Pine Rd</t>
  </si>
  <si>
    <t>161 Maple Ave</t>
  </si>
  <si>
    <t>440 Elm St</t>
  </si>
  <si>
    <t>670 Elm St</t>
  </si>
  <si>
    <t>287 Main St</t>
  </si>
  <si>
    <t>360 Maple Ave</t>
  </si>
  <si>
    <t>621 Oak St</t>
  </si>
  <si>
    <t>685 Elm St</t>
  </si>
  <si>
    <t>732 Oak St</t>
  </si>
  <si>
    <t>191 Maple Ave</t>
  </si>
  <si>
    <t>754 Main St</t>
  </si>
  <si>
    <t>631 Main St</t>
  </si>
  <si>
    <t>182 Maple Ave</t>
  </si>
  <si>
    <t>669 Elm St</t>
  </si>
  <si>
    <t>309 Oak St</t>
  </si>
  <si>
    <t>223 Oak St</t>
  </si>
  <si>
    <t>533 Pine Rd</t>
  </si>
  <si>
    <t>502 Pine Rd</t>
  </si>
  <si>
    <t>336 Pine Rd</t>
  </si>
  <si>
    <t>856 Main St</t>
  </si>
  <si>
    <t>514 Main St</t>
  </si>
  <si>
    <t>808 Main St</t>
  </si>
  <si>
    <t>721 Oak St</t>
  </si>
  <si>
    <t>648 Oak St</t>
  </si>
  <si>
    <t>977 Main St</t>
  </si>
  <si>
    <t>546 Elm St</t>
  </si>
  <si>
    <t>349 Pine Rd</t>
  </si>
  <si>
    <t>134 Oak St</t>
  </si>
  <si>
    <t>256 Oak St</t>
  </si>
  <si>
    <t>316 Pine Rd</t>
  </si>
  <si>
    <t>880 Oak St</t>
  </si>
  <si>
    <t>453 Maple Ave</t>
  </si>
  <si>
    <t>607 Pine Rd</t>
  </si>
  <si>
    <t>631 Pine Rd</t>
  </si>
  <si>
    <t>173 Maple Ave</t>
  </si>
  <si>
    <t>560 Pine Rd</t>
  </si>
  <si>
    <t>154 Elm St</t>
  </si>
  <si>
    <t>676 Oak St</t>
  </si>
  <si>
    <t>508 Maple Ave</t>
  </si>
  <si>
    <t>229 Maple Ave</t>
  </si>
  <si>
    <t>881 Oak St</t>
  </si>
  <si>
    <t>367 Maple Ave</t>
  </si>
  <si>
    <t>393 Pine Rd</t>
  </si>
  <si>
    <t>616 Maple Ave</t>
  </si>
  <si>
    <t>650 Oak St</t>
  </si>
  <si>
    <t>998 Oak St</t>
  </si>
  <si>
    <t>721 Elm St</t>
  </si>
  <si>
    <t>693 Pine Rd</t>
  </si>
  <si>
    <t>167 Main St</t>
  </si>
  <si>
    <t>114 Pine Rd</t>
  </si>
  <si>
    <t>133 Pine Rd</t>
  </si>
  <si>
    <t>304 Oak St</t>
  </si>
  <si>
    <t>280 Maple Ave</t>
  </si>
  <si>
    <t>406 Pine Rd</t>
  </si>
  <si>
    <t>452 Oak St</t>
  </si>
  <si>
    <t>772 Maple Ave</t>
  </si>
  <si>
    <t>148 Maple Ave</t>
  </si>
  <si>
    <t>619 Maple Ave</t>
  </si>
  <si>
    <t>419 Maple Ave</t>
  </si>
  <si>
    <t>881 Elm St</t>
  </si>
  <si>
    <t>260 Oak St</t>
  </si>
  <si>
    <t>705 Maple Ave</t>
  </si>
  <si>
    <t>768 Maple Ave</t>
  </si>
  <si>
    <t>565 Oak St</t>
  </si>
  <si>
    <t>684 Main St</t>
  </si>
  <si>
    <t>974 Maple Ave</t>
  </si>
  <si>
    <t>887 Pine Rd</t>
  </si>
  <si>
    <t>561 Oak St</t>
  </si>
  <si>
    <t>570 Oak St</t>
  </si>
  <si>
    <t>212 Pine Rd</t>
  </si>
  <si>
    <t>459 Maple Ave</t>
  </si>
  <si>
    <t>626 Maple Ave</t>
  </si>
  <si>
    <t>174 Elm St</t>
  </si>
  <si>
    <t>196 Maple Ave</t>
  </si>
  <si>
    <t>846 Pine Rd</t>
  </si>
  <si>
    <t>240 Maple Ave</t>
  </si>
  <si>
    <t>901 Oak St</t>
  </si>
  <si>
    <t>585 Oak St</t>
  </si>
  <si>
    <t>584 Oak St</t>
  </si>
  <si>
    <t>486 Oak St</t>
  </si>
  <si>
    <t>399 Elm St</t>
  </si>
  <si>
    <t>627 Oak St</t>
  </si>
  <si>
    <t>540 Pine Rd</t>
  </si>
  <si>
    <t>264 Maple Ave</t>
  </si>
  <si>
    <t>445 Oak St</t>
  </si>
  <si>
    <t>911 Main St</t>
  </si>
  <si>
    <t>629 Oak St</t>
  </si>
  <si>
    <t>199 Oak St</t>
  </si>
  <si>
    <t>906 Elm St</t>
  </si>
  <si>
    <t>917 Oak St</t>
  </si>
  <si>
    <t>854 Main St</t>
  </si>
  <si>
    <t>624 Elm St</t>
  </si>
  <si>
    <t>503 Pine Rd</t>
  </si>
  <si>
    <t>422 Oak St</t>
  </si>
  <si>
    <t>641 Main St</t>
  </si>
  <si>
    <t>764 Main St</t>
  </si>
  <si>
    <t>243 Pine Rd</t>
  </si>
  <si>
    <t>555 Oak St</t>
  </si>
  <si>
    <t>858 Elm St</t>
  </si>
  <si>
    <t>256 Main St</t>
  </si>
  <si>
    <t>509 Pine Rd</t>
  </si>
  <si>
    <t>690 Elm St</t>
  </si>
  <si>
    <t>703 Main St</t>
  </si>
  <si>
    <t>137 Pine Rd</t>
  </si>
  <si>
    <t>945 Oak St</t>
  </si>
  <si>
    <t>468 Pine Rd</t>
  </si>
  <si>
    <t>770 Maple Ave</t>
  </si>
  <si>
    <t>570 Pine Rd</t>
  </si>
  <si>
    <t>213 Oak St</t>
  </si>
  <si>
    <t>651 Elm St</t>
  </si>
  <si>
    <t>114 Oak St</t>
  </si>
  <si>
    <t>192 Maple Ave</t>
  </si>
  <si>
    <t>180 Elm St</t>
  </si>
  <si>
    <t>796 Main St</t>
  </si>
  <si>
    <t>123 Pine Rd</t>
  </si>
  <si>
    <t>373 Oak St</t>
  </si>
  <si>
    <t>971 Main St</t>
  </si>
  <si>
    <t>810 Maple Ave</t>
  </si>
  <si>
    <t>955 Pine Rd</t>
  </si>
  <si>
    <t>601 Maple Ave</t>
  </si>
  <si>
    <t>199 Maple Ave</t>
  </si>
  <si>
    <t>977 Maple Ave</t>
  </si>
  <si>
    <t>384 Maple Ave</t>
  </si>
  <si>
    <t>197 Main St</t>
  </si>
  <si>
    <t>394 Pine Rd</t>
  </si>
  <si>
    <t>164 Main St</t>
  </si>
  <si>
    <t>633 Oak St</t>
  </si>
  <si>
    <t>694 Maple Ave</t>
  </si>
  <si>
    <t>111 Main St</t>
  </si>
  <si>
    <t>411 Oak St</t>
  </si>
  <si>
    <t>104 Pine Rd</t>
  </si>
  <si>
    <t>990 Maple Ave</t>
  </si>
  <si>
    <t>994 Pine Rd</t>
  </si>
  <si>
    <t>993 Main St</t>
  </si>
  <si>
    <t>526 Main St</t>
  </si>
  <si>
    <t>185 Maple Ave</t>
  </si>
  <si>
    <t>910 Pine Rd</t>
  </si>
  <si>
    <t>144 Elm St</t>
  </si>
  <si>
    <t>598 Pine Rd</t>
  </si>
  <si>
    <t>552 Elm St</t>
  </si>
  <si>
    <t>762 Oak St</t>
  </si>
  <si>
    <t>717 Elm St</t>
  </si>
  <si>
    <t>707 Elm St</t>
  </si>
  <si>
    <t>777 Elm St</t>
  </si>
  <si>
    <t>953 Maple Ave</t>
  </si>
  <si>
    <t>350 Elm St</t>
  </si>
  <si>
    <t>198 Main St</t>
  </si>
  <si>
    <t>597 Pine Rd</t>
  </si>
  <si>
    <t>134 Maple Ave</t>
  </si>
  <si>
    <t>268 Oak St</t>
  </si>
  <si>
    <t>176 Maple Ave</t>
  </si>
  <si>
    <t>856 Pine Rd</t>
  </si>
  <si>
    <t>679 Pine Rd</t>
  </si>
  <si>
    <t>177 Elm St</t>
  </si>
  <si>
    <t>318 Pine Rd</t>
  </si>
  <si>
    <t>799 Oak St</t>
  </si>
  <si>
    <t>251 Elm St</t>
  </si>
  <si>
    <t>865 Maple Ave</t>
  </si>
  <si>
    <t>346 Main St</t>
  </si>
  <si>
    <t>677 Pine Rd</t>
  </si>
  <si>
    <t>814 Elm St</t>
  </si>
  <si>
    <t>337 Pine Rd</t>
  </si>
  <si>
    <t>593 Elm St</t>
  </si>
  <si>
    <t>312 Pine Rd</t>
  </si>
  <si>
    <t>687 Pine Rd</t>
  </si>
  <si>
    <t>987 Oak St</t>
  </si>
  <si>
    <t>194 Oak St</t>
  </si>
  <si>
    <t>549 Oak St</t>
  </si>
  <si>
    <t>921 Pine Rd</t>
  </si>
  <si>
    <t>610 Main St</t>
  </si>
  <si>
    <t>583 Oak St</t>
  </si>
  <si>
    <t>603 Main St</t>
  </si>
  <si>
    <t>961 Elm St</t>
  </si>
  <si>
    <t>808 Pine Rd</t>
  </si>
  <si>
    <t>414 Main St</t>
  </si>
  <si>
    <t>749 Main St</t>
  </si>
  <si>
    <t>522 Elm St</t>
  </si>
  <si>
    <t>707 Main St</t>
  </si>
  <si>
    <t>140 Elm St</t>
  </si>
  <si>
    <t>940 Pine Rd</t>
  </si>
  <si>
    <t>151 Oak St</t>
  </si>
  <si>
    <t>398 Elm St</t>
  </si>
  <si>
    <t>162 Pine Rd</t>
  </si>
  <si>
    <t>135 Oak St</t>
  </si>
  <si>
    <t>422 Maple Ave</t>
  </si>
  <si>
    <t>368 Pine Rd</t>
  </si>
  <si>
    <t>535 Oak St</t>
  </si>
  <si>
    <t>114 Elm St</t>
  </si>
  <si>
    <t>778 Main St</t>
  </si>
  <si>
    <t>474 Maple Ave</t>
  </si>
  <si>
    <t>739 Pine Rd</t>
  </si>
  <si>
    <t>709 Elm St</t>
  </si>
  <si>
    <t>314 Main St</t>
  </si>
  <si>
    <t>853 Elm St</t>
  </si>
  <si>
    <t>160 Oak St</t>
  </si>
  <si>
    <t>632 Elm St</t>
  </si>
  <si>
    <t>102 Elm St</t>
  </si>
  <si>
    <t>877 Main St</t>
  </si>
  <si>
    <t>218 Elm St</t>
  </si>
  <si>
    <t>292 Oak St</t>
  </si>
  <si>
    <t>748 Main St</t>
  </si>
  <si>
    <t>734 Maple Ave</t>
  </si>
  <si>
    <t>594 Main St</t>
  </si>
  <si>
    <t>171 Pine Rd</t>
  </si>
  <si>
    <t>128 Main St</t>
  </si>
  <si>
    <t>178 Main St</t>
  </si>
  <si>
    <t>713 Oak St</t>
  </si>
  <si>
    <t>221 Oak St</t>
  </si>
  <si>
    <t>747 Main St</t>
  </si>
  <si>
    <t>729 Elm St</t>
  </si>
  <si>
    <t>989 Oak St</t>
  </si>
  <si>
    <t>304 Maple Ave</t>
  </si>
  <si>
    <t>235 Oak St</t>
  </si>
  <si>
    <t>838 Pine Rd</t>
  </si>
  <si>
    <t>299 Maple Ave</t>
  </si>
  <si>
    <t>505 Main St</t>
  </si>
  <si>
    <t>139 Elm St</t>
  </si>
  <si>
    <t>188 Elm St</t>
  </si>
  <si>
    <t>488 Oak St</t>
  </si>
  <si>
    <t>372 Elm St</t>
  </si>
  <si>
    <t>503 Maple Ave</t>
  </si>
  <si>
    <t>100 Pine Rd</t>
  </si>
  <si>
    <t>672 Elm St</t>
  </si>
  <si>
    <t>548 Oak St</t>
  </si>
  <si>
    <t>769 Main St</t>
  </si>
  <si>
    <t>123 Oak St</t>
  </si>
  <si>
    <t>824 Oak St</t>
  </si>
  <si>
    <t>493 Pine Rd</t>
  </si>
  <si>
    <t>202 Maple Ave</t>
  </si>
  <si>
    <t>149 Oak St</t>
  </si>
  <si>
    <t>915 Maple Ave</t>
  </si>
  <si>
    <t>297 Maple Ave</t>
  </si>
  <si>
    <t>730 Maple Ave</t>
  </si>
  <si>
    <t>843 Elm St</t>
  </si>
  <si>
    <t>329 Maple Ave</t>
  </si>
  <si>
    <t>412 Oak St</t>
  </si>
  <si>
    <t>271 Oak St</t>
  </si>
  <si>
    <t>746 Oak St</t>
  </si>
  <si>
    <t>438 Elm St</t>
  </si>
  <si>
    <t>750 Maple Ave</t>
  </si>
  <si>
    <t>210 Elm St</t>
  </si>
  <si>
    <t>542 Pine Rd</t>
  </si>
  <si>
    <t>816 Maple Ave</t>
  </si>
  <si>
    <t>440 Main St</t>
  </si>
  <si>
    <t>237 Maple Ave</t>
  </si>
  <si>
    <t>602 Oak St</t>
  </si>
  <si>
    <t>997 Maple Ave</t>
  </si>
  <si>
    <t>577 Oak St</t>
  </si>
  <si>
    <t>896 Main St</t>
  </si>
  <si>
    <t>393 Main St</t>
  </si>
  <si>
    <t>701 Oak St</t>
  </si>
  <si>
    <t>552 Maple Ave</t>
  </si>
  <si>
    <t>148 Oak St</t>
  </si>
  <si>
    <t>497 Elm St</t>
  </si>
  <si>
    <t>130 Oak St</t>
  </si>
  <si>
    <t>856 Elm St</t>
  </si>
  <si>
    <t>910 Main St</t>
  </si>
  <si>
    <t>447 Maple Ave</t>
  </si>
  <si>
    <t>998 Elm St</t>
  </si>
  <si>
    <t>156 Main St</t>
  </si>
  <si>
    <t>904 Pine Rd</t>
  </si>
  <si>
    <t>533 Elm St</t>
  </si>
  <si>
    <t>339 Main St</t>
  </si>
  <si>
    <t>981 Elm St</t>
  </si>
  <si>
    <t>823 Pine Rd</t>
  </si>
  <si>
    <t>462 Oak St</t>
  </si>
  <si>
    <t>884 Oak St</t>
  </si>
  <si>
    <t>452 Main St</t>
  </si>
  <si>
    <t>971 Pine Rd</t>
  </si>
  <si>
    <t>459 Elm St</t>
  </si>
  <si>
    <t>191 Pine Rd</t>
  </si>
  <si>
    <t>538 Maple Ave</t>
  </si>
  <si>
    <t>863 Maple Ave</t>
  </si>
  <si>
    <t>277 Oak St</t>
  </si>
  <si>
    <t>524 Pine Rd</t>
  </si>
  <si>
    <t>917 Elm St</t>
  </si>
  <si>
    <t>228 Oak St</t>
  </si>
  <si>
    <t>686 Pine Rd</t>
  </si>
  <si>
    <t>386 Main St</t>
  </si>
  <si>
    <t>715 Elm St</t>
  </si>
  <si>
    <t>654 Maple Ave</t>
  </si>
  <si>
    <t>382 Maple Ave</t>
  </si>
  <si>
    <t>230 Oak St</t>
  </si>
  <si>
    <t>142 Elm St</t>
  </si>
  <si>
    <t>614 Oak St</t>
  </si>
  <si>
    <t>929 Elm St</t>
  </si>
  <si>
    <t>474 Pine Rd</t>
  </si>
  <si>
    <t>113 Main St</t>
  </si>
  <si>
    <t>288 Main St</t>
  </si>
  <si>
    <t>494 Maple Ave</t>
  </si>
  <si>
    <t>582 Oak St</t>
  </si>
  <si>
    <t>801 Pine Rd</t>
  </si>
  <si>
    <t>336 Main St</t>
  </si>
  <si>
    <t>506 Maple Ave</t>
  </si>
  <si>
    <t>455 Pine Rd</t>
  </si>
  <si>
    <t>277 Main St</t>
  </si>
  <si>
    <t>676 Pine Rd</t>
  </si>
  <si>
    <t>429 Elm St</t>
  </si>
  <si>
    <t>280 Pine Rd</t>
  </si>
  <si>
    <t>160 Elm St</t>
  </si>
  <si>
    <t>318 Main St</t>
  </si>
  <si>
    <t>539 Maple Ave</t>
  </si>
  <si>
    <t>402 Main St</t>
  </si>
  <si>
    <t>401 Pine Rd</t>
  </si>
  <si>
    <t>914 Maple Ave</t>
  </si>
  <si>
    <t>735 Maple Ave</t>
  </si>
  <si>
    <t>299 Pine Rd</t>
  </si>
  <si>
    <t>239 Maple Ave</t>
  </si>
  <si>
    <t>966 Elm St</t>
  </si>
  <si>
    <t>161 Elm St</t>
  </si>
  <si>
    <t>512 Pine Rd</t>
  </si>
  <si>
    <t>981 Main St</t>
  </si>
  <si>
    <t>770 Pine Rd</t>
  </si>
  <si>
    <t>859 Pine Rd</t>
  </si>
  <si>
    <t>671 Elm St</t>
  </si>
  <si>
    <t>739 Maple Ave</t>
  </si>
  <si>
    <t>755 Maple Ave</t>
  </si>
  <si>
    <t>803 Maple Ave</t>
  </si>
  <si>
    <t>141 Oak St</t>
  </si>
  <si>
    <t>702 Pine Rd</t>
  </si>
  <si>
    <t>491 Oak St</t>
  </si>
  <si>
    <t>589 Elm St</t>
  </si>
  <si>
    <t>971 Maple Ave</t>
  </si>
  <si>
    <t>311 Maple Ave</t>
  </si>
  <si>
    <t>678 Maple Ave</t>
  </si>
  <si>
    <t>704 Maple Ave</t>
  </si>
  <si>
    <t>225 Elm St</t>
  </si>
  <si>
    <t>678 Main St</t>
  </si>
  <si>
    <t>962 Maple Ave</t>
  </si>
  <si>
    <t>926 Maple Ave</t>
  </si>
  <si>
    <t>477 Oak St</t>
  </si>
  <si>
    <t>292 Maple Ave</t>
  </si>
  <si>
    <t>136 Pine Rd</t>
  </si>
  <si>
    <t>545 Maple Ave</t>
  </si>
  <si>
    <t>605 Main St</t>
  </si>
  <si>
    <t>282 Elm St</t>
  </si>
  <si>
    <t>822 Maple Ave</t>
  </si>
  <si>
    <t>490 Oak St</t>
  </si>
  <si>
    <t>833 Oak St</t>
  </si>
  <si>
    <t>836 Oak St</t>
  </si>
  <si>
    <t>593 Pine Rd</t>
  </si>
  <si>
    <t>978 Maple Ave</t>
  </si>
  <si>
    <t>370 Oak St</t>
  </si>
  <si>
    <t>259 Elm St</t>
  </si>
  <si>
    <t>557 Elm St</t>
  </si>
  <si>
    <t>517 Pine Rd</t>
  </si>
  <si>
    <t>125 Pine Rd</t>
  </si>
  <si>
    <t>873 Elm St</t>
  </si>
  <si>
    <t>360 Main St</t>
  </si>
  <si>
    <t>666 Main St</t>
  </si>
  <si>
    <t>529 Main St</t>
  </si>
  <si>
    <t>387 Maple Ave</t>
  </si>
  <si>
    <t>125 Maple Ave</t>
  </si>
  <si>
    <t>435 Elm St</t>
  </si>
  <si>
    <t>513 Main St</t>
  </si>
  <si>
    <t>815 Maple Ave</t>
  </si>
  <si>
    <t>207 Maple Ave</t>
  </si>
  <si>
    <t>649 Main St</t>
  </si>
  <si>
    <t>673 Oak St</t>
  </si>
  <si>
    <t>694 Main St</t>
  </si>
  <si>
    <t>684 Maple Ave</t>
  </si>
  <si>
    <t>792 Elm St</t>
  </si>
  <si>
    <t>409 Oak St</t>
  </si>
  <si>
    <t>286 Pine Rd</t>
  </si>
  <si>
    <t>842 Elm St</t>
  </si>
  <si>
    <t>454 Pine Rd</t>
  </si>
  <si>
    <t>120 Oak St</t>
  </si>
  <si>
    <t>372 Pine Rd</t>
  </si>
  <si>
    <t>132 Oak St</t>
  </si>
  <si>
    <t>657 Maple Ave</t>
  </si>
  <si>
    <t>575 Pine Rd</t>
  </si>
  <si>
    <t>689 Oak St</t>
  </si>
  <si>
    <t>966 Oak St</t>
  </si>
  <si>
    <t>505 Maple Ave</t>
  </si>
  <si>
    <t>878 Elm St</t>
  </si>
  <si>
    <t>269 Main St</t>
  </si>
  <si>
    <t>955 Oak St</t>
  </si>
  <si>
    <t>500 Oak St</t>
  </si>
  <si>
    <t>915 Main St</t>
  </si>
  <si>
    <t>356 Pine Rd</t>
  </si>
  <si>
    <t>350 Maple Ave</t>
  </si>
  <si>
    <t>422 Pine Rd</t>
  </si>
  <si>
    <t>283 Oak St</t>
  </si>
  <si>
    <t>731 Oak St</t>
  </si>
  <si>
    <t>602 Maple Ave</t>
  </si>
  <si>
    <t>588 Main St</t>
  </si>
  <si>
    <t>963 Pine Rd</t>
  </si>
  <si>
    <t>908 Main St</t>
  </si>
  <si>
    <t>759 Oak St</t>
  </si>
  <si>
    <t>158 Oak St</t>
  </si>
  <si>
    <t>222 Main St</t>
  </si>
  <si>
    <t>856 Oak St</t>
  </si>
  <si>
    <t>697 Main St</t>
  </si>
  <si>
    <t>389 Elm St</t>
  </si>
  <si>
    <t>504 Main St</t>
  </si>
  <si>
    <t>206 Main St</t>
  </si>
  <si>
    <t>867 Pine Rd</t>
  </si>
  <si>
    <t>596 Elm St</t>
  </si>
  <si>
    <t>632 Main St</t>
  </si>
  <si>
    <t>723 Elm St</t>
  </si>
  <si>
    <t>484 Oak St</t>
  </si>
  <si>
    <t>289 Elm St</t>
  </si>
  <si>
    <t>832 Oak St</t>
  </si>
  <si>
    <t>109 Elm St</t>
  </si>
  <si>
    <t>181 Elm St</t>
  </si>
  <si>
    <t>656 Elm St</t>
  </si>
  <si>
    <t>959 Oak St</t>
  </si>
  <si>
    <t>298 Maple Ave</t>
  </si>
  <si>
    <t>171 Oak St</t>
  </si>
  <si>
    <t>813 Oak St</t>
  </si>
  <si>
    <t>602 Main St</t>
  </si>
  <si>
    <t>837 Maple Ave</t>
  </si>
  <si>
    <t>361 Elm St</t>
  </si>
  <si>
    <t>536 Oak St</t>
  </si>
  <si>
    <t>547 Main St</t>
  </si>
  <si>
    <t>799 Main St</t>
  </si>
  <si>
    <t>580 Elm St</t>
  </si>
  <si>
    <t>836 Elm St</t>
  </si>
  <si>
    <t>157 Maple Ave</t>
  </si>
  <si>
    <t>708 Oak St</t>
  </si>
  <si>
    <t>171 Main St</t>
  </si>
  <si>
    <t>277 Pine Rd</t>
  </si>
  <si>
    <t>726 Oak St</t>
  </si>
  <si>
    <t>604 Pine Rd</t>
  </si>
  <si>
    <t>364 Maple Ave</t>
  </si>
  <si>
    <t>565 Main St</t>
  </si>
  <si>
    <t>371 Maple Ave</t>
  </si>
  <si>
    <t>798 Elm St</t>
  </si>
  <si>
    <t>612 Oak St</t>
  </si>
  <si>
    <t>833 Main St</t>
  </si>
  <si>
    <t>219 Oak St</t>
  </si>
  <si>
    <t>773 Oak St</t>
  </si>
  <si>
    <t>329 Elm St</t>
  </si>
  <si>
    <t>696 Pine Rd</t>
  </si>
  <si>
    <t>188 Main St</t>
  </si>
  <si>
    <t>731 Elm St</t>
  </si>
  <si>
    <t>355 Elm St</t>
  </si>
  <si>
    <t>872 Main St</t>
  </si>
  <si>
    <t>854 Elm St</t>
  </si>
  <si>
    <t>490 Main St</t>
  </si>
  <si>
    <t>258 Oak St</t>
  </si>
  <si>
    <t>669 Pine Rd</t>
  </si>
  <si>
    <t>738 Pine Rd</t>
  </si>
  <si>
    <t>780 Oak St</t>
  </si>
  <si>
    <t>747 Pine Rd</t>
  </si>
  <si>
    <t>698 Main St</t>
  </si>
  <si>
    <t>834 Maple Ave</t>
  </si>
  <si>
    <t>916 Pine Rd</t>
  </si>
  <si>
    <t>946 Pine Rd</t>
  </si>
  <si>
    <t>195 Main St</t>
  </si>
  <si>
    <t>229 Main St</t>
  </si>
  <si>
    <t>663 Main St</t>
  </si>
  <si>
    <t>686 Maple Ave</t>
  </si>
  <si>
    <t>878 Pine Rd</t>
  </si>
  <si>
    <t>370 Elm St</t>
  </si>
  <si>
    <t>792 Oak St</t>
  </si>
  <si>
    <t>201 Pine Rd</t>
  </si>
  <si>
    <t>134 Main St</t>
  </si>
  <si>
    <t>624 Main St</t>
  </si>
  <si>
    <t>924 Elm St</t>
  </si>
  <si>
    <t>902 Pine Rd</t>
  </si>
  <si>
    <t>798 Pine Rd</t>
  </si>
  <si>
    <t>322 Pine Rd</t>
  </si>
  <si>
    <t>989 Main St</t>
  </si>
  <si>
    <t>220 Pine Rd</t>
  </si>
  <si>
    <t>526 Pine Rd</t>
  </si>
  <si>
    <t>551 Pine Rd</t>
  </si>
  <si>
    <t>564 Oak St</t>
  </si>
  <si>
    <t>555 Maple Ave</t>
  </si>
  <si>
    <t>132 Elm St</t>
  </si>
  <si>
    <t>224 Main St</t>
  </si>
  <si>
    <t>809 Maple Ave</t>
  </si>
  <si>
    <t>764 Maple Ave</t>
  </si>
  <si>
    <t>667 Pine Rd</t>
  </si>
  <si>
    <t>437 Maple Ave</t>
  </si>
  <si>
    <t>165 Pine Rd</t>
  </si>
  <si>
    <t>303 Elm St</t>
  </si>
  <si>
    <t>810 Pine Rd</t>
  </si>
  <si>
    <t>643 Maple Ave</t>
  </si>
  <si>
    <t>355 Maple Ave</t>
  </si>
  <si>
    <t>710 Main St</t>
  </si>
  <si>
    <t>407 Maple Ave</t>
  </si>
  <si>
    <t>922 Pine Rd</t>
  </si>
  <si>
    <t>188 Oak St</t>
  </si>
  <si>
    <t>181 Maple Ave</t>
  </si>
  <si>
    <t>644 Oak St</t>
  </si>
  <si>
    <t>549 Maple Ave</t>
  </si>
  <si>
    <t>677 Oak St</t>
  </si>
  <si>
    <t>509 Oak St</t>
  </si>
  <si>
    <t>948 Main St</t>
  </si>
  <si>
    <t>205 Elm St</t>
  </si>
  <si>
    <t>118 Oak St</t>
  </si>
  <si>
    <t>530 Maple Ave</t>
  </si>
  <si>
    <t>595 Maple Ave</t>
  </si>
  <si>
    <t>232 Elm St</t>
  </si>
  <si>
    <t>551 Oak St</t>
  </si>
  <si>
    <t>909 Main St</t>
  </si>
  <si>
    <t>366 Elm St</t>
  </si>
  <si>
    <t>579 Elm St</t>
  </si>
  <si>
    <t>317 Pine Rd</t>
  </si>
  <si>
    <t>119 Main St</t>
  </si>
  <si>
    <t>630 Main St</t>
  </si>
  <si>
    <t>701 Elm St</t>
  </si>
  <si>
    <t>663 Pine Rd</t>
  </si>
  <si>
    <t>715 Pine Rd</t>
  </si>
  <si>
    <t>666 Maple Ave</t>
  </si>
  <si>
    <t>781 Oak St</t>
  </si>
  <si>
    <t>306 Main St</t>
  </si>
  <si>
    <t>433 Oak St</t>
  </si>
  <si>
    <t>305 Oak St</t>
  </si>
  <si>
    <t>383 Main St</t>
  </si>
  <si>
    <t>349 Elm St</t>
  </si>
  <si>
    <t>504 Elm St</t>
  </si>
  <si>
    <t>683 Main St</t>
  </si>
  <si>
    <t>432 Main St</t>
  </si>
  <si>
    <t>864 Main St</t>
  </si>
  <si>
    <t>943 Pine Rd</t>
  </si>
  <si>
    <t>334 Elm St</t>
  </si>
  <si>
    <t>646 Pine Rd</t>
  </si>
  <si>
    <t>786 Elm St</t>
  </si>
  <si>
    <t>302 Maple Ave</t>
  </si>
  <si>
    <t>835 Oak St</t>
  </si>
  <si>
    <t>387 Pine Rd</t>
  </si>
  <si>
    <t>415 Maple Ave</t>
  </si>
  <si>
    <t>365 Pine Rd</t>
  </si>
  <si>
    <t>471 Pine Rd</t>
  </si>
  <si>
    <t>904 Maple Ave</t>
  </si>
  <si>
    <t>951 Oak St</t>
  </si>
  <si>
    <t>569 Pine Rd</t>
  </si>
  <si>
    <t>871 Elm St</t>
  </si>
  <si>
    <t>231 Maple Ave</t>
  </si>
  <si>
    <t>303 Maple Ave</t>
  </si>
  <si>
    <t>397 Elm St</t>
  </si>
  <si>
    <t>496 Pine Rd</t>
  </si>
  <si>
    <t>130 Maple Ave</t>
  </si>
  <si>
    <t>150 Elm St</t>
  </si>
  <si>
    <t>531 Elm St</t>
  </si>
  <si>
    <t>952 Elm St</t>
  </si>
  <si>
    <t>771 Oak St</t>
  </si>
  <si>
    <t>866 Maple Ave</t>
  </si>
  <si>
    <t>969 Oak St</t>
  </si>
  <si>
    <t>573 Main St</t>
  </si>
  <si>
    <t>921 Oak St</t>
  </si>
  <si>
    <t>635 Elm St</t>
  </si>
  <si>
    <t>738 Oak St</t>
  </si>
  <si>
    <t>476 Oak St</t>
  </si>
  <si>
    <t>307 Main St</t>
  </si>
  <si>
    <t>642 Pine Rd</t>
  </si>
  <si>
    <t>596 Maple Ave</t>
  </si>
  <si>
    <t>604 Oak St</t>
  </si>
  <si>
    <t>730 Main St</t>
  </si>
  <si>
    <t>861 Oak St</t>
  </si>
  <si>
    <t>821 Oak St</t>
  </si>
  <si>
    <t>223 Pine Rd</t>
  </si>
  <si>
    <t>825 Elm St</t>
  </si>
  <si>
    <t>540 Elm St</t>
  </si>
  <si>
    <t>377 Oak St</t>
  </si>
  <si>
    <t>514 Oak St</t>
  </si>
  <si>
    <t>731 Main St</t>
  </si>
  <si>
    <t>806 Oak St</t>
  </si>
  <si>
    <t>664 Maple Ave</t>
  </si>
  <si>
    <t>869 Elm St</t>
  </si>
  <si>
    <t>210 Maple Ave</t>
  </si>
  <si>
    <t>667 Main St</t>
  </si>
  <si>
    <t>982 Elm St</t>
  </si>
  <si>
    <t>473 Elm St</t>
  </si>
  <si>
    <t>112 Elm St</t>
  </si>
  <si>
    <t>418 Main St</t>
  </si>
  <si>
    <t>483 Oak St</t>
  </si>
  <si>
    <t>736 Oak St</t>
  </si>
  <si>
    <t>891 Elm St</t>
  </si>
  <si>
    <t>961 Main St</t>
  </si>
  <si>
    <t>967 Elm St</t>
  </si>
  <si>
    <t>193 Pine Rd</t>
  </si>
  <si>
    <t>837 Pine Rd</t>
  </si>
  <si>
    <t>864 Maple Ave</t>
  </si>
  <si>
    <t>325 Pine Rd</t>
  </si>
  <si>
    <t>668 Pine Rd</t>
  </si>
  <si>
    <t>129 Maple Ave</t>
  </si>
  <si>
    <t>867 Main St</t>
  </si>
  <si>
    <t>596 Main St</t>
  </si>
  <si>
    <t>279 Pine Rd</t>
  </si>
  <si>
    <t>124 Elm St</t>
  </si>
  <si>
    <t>413 Main St</t>
  </si>
  <si>
    <t>276 Maple Ave</t>
  </si>
  <si>
    <t>913 Elm St</t>
  </si>
  <si>
    <t>558 Pine Rd</t>
  </si>
  <si>
    <t>817 Maple Ave</t>
  </si>
  <si>
    <t>658 Oak St</t>
  </si>
  <si>
    <t>984 Main St</t>
  </si>
  <si>
    <t>867 Maple Ave</t>
  </si>
  <si>
    <t>874 Pine Rd</t>
  </si>
  <si>
    <t>135 Elm St</t>
  </si>
  <si>
    <t>990 Oak St</t>
  </si>
  <si>
    <t>274 Main St</t>
  </si>
  <si>
    <t>448 Elm St</t>
  </si>
  <si>
    <t>568 Elm St</t>
  </si>
  <si>
    <t>450 Maple Ave</t>
  </si>
  <si>
    <t>272 Oak St</t>
  </si>
  <si>
    <t>820 Maple Ave</t>
  </si>
  <si>
    <t>456 Elm St</t>
  </si>
  <si>
    <t>233 Elm St</t>
  </si>
  <si>
    <t>899 Elm St</t>
  </si>
  <si>
    <t>637 Oak St</t>
  </si>
  <si>
    <t>841 Main St</t>
  </si>
  <si>
    <t>608 Main St</t>
  </si>
  <si>
    <t>313 Maple Ave</t>
  </si>
  <si>
    <t>825 Main St</t>
  </si>
  <si>
    <t>617 Main St</t>
  </si>
  <si>
    <t>203 Maple Ave</t>
  </si>
  <si>
    <t>822 Pine Rd</t>
  </si>
  <si>
    <t>930 Oak St</t>
  </si>
  <si>
    <t>938 Oak St</t>
  </si>
  <si>
    <t>447 Main St</t>
  </si>
  <si>
    <t>202 Elm St</t>
  </si>
  <si>
    <t>653 Elm St</t>
  </si>
  <si>
    <t>625 Maple Ave</t>
  </si>
  <si>
    <t>704 Main St</t>
  </si>
  <si>
    <t>562 Main St</t>
  </si>
  <si>
    <t>690 Oak St</t>
  </si>
  <si>
    <t>908 Elm St</t>
  </si>
  <si>
    <t>837 Oak St</t>
  </si>
  <si>
    <t>999 Maple Ave</t>
  </si>
  <si>
    <t>387 Main St</t>
  </si>
  <si>
    <t>832 Pine Rd</t>
  </si>
  <si>
    <t>224 Pine Rd</t>
  </si>
  <si>
    <t>829 Main St</t>
  </si>
  <si>
    <t>590 Elm St</t>
  </si>
  <si>
    <t>585 Maple Ave</t>
  </si>
  <si>
    <t>369 Pine Rd</t>
  </si>
  <si>
    <t>783 Pine Rd</t>
  </si>
  <si>
    <t>401 Oak St</t>
  </si>
  <si>
    <t>814 Main St</t>
  </si>
  <si>
    <t>487 Elm St</t>
  </si>
  <si>
    <t>771 Main St</t>
  </si>
  <si>
    <t>987 Main St</t>
  </si>
  <si>
    <t>342 Maple Ave</t>
  </si>
  <si>
    <t>110 Oak St</t>
  </si>
  <si>
    <t>379 Oak St</t>
  </si>
  <si>
    <t>897 Main St</t>
  </si>
  <si>
    <t>482 Pine Rd</t>
  </si>
  <si>
    <t>394 Main St</t>
  </si>
  <si>
    <t>562 Elm St</t>
  </si>
  <si>
    <t>928 Elm St</t>
  </si>
  <si>
    <t>575 Elm St</t>
  </si>
  <si>
    <t>560 Oak St</t>
  </si>
  <si>
    <t>323 Main St</t>
  </si>
  <si>
    <t>595 Elm St</t>
  </si>
  <si>
    <t>302 Main St</t>
  </si>
  <si>
    <t>527 Pine Rd</t>
  </si>
  <si>
    <t>784 Elm St</t>
  </si>
  <si>
    <t>834 Pine Rd</t>
  </si>
  <si>
    <t>397 Main St</t>
  </si>
  <si>
    <t>916 Maple Ave</t>
  </si>
  <si>
    <t>869 Maple Ave</t>
  </si>
  <si>
    <t>535 Maple Ave</t>
  </si>
  <si>
    <t>797 Pine Rd</t>
  </si>
  <si>
    <t>891 Main St</t>
  </si>
  <si>
    <t>748 Oak St</t>
  </si>
  <si>
    <t>279 Oak St</t>
  </si>
  <si>
    <t>467 Maple Ave</t>
  </si>
  <si>
    <t>265 Oak St</t>
  </si>
  <si>
    <t>102 Oak St</t>
  </si>
  <si>
    <t>942 Elm St</t>
  </si>
  <si>
    <t>520 Oak St</t>
  </si>
  <si>
    <t>587 Oak St</t>
  </si>
  <si>
    <t>652 Pine Rd</t>
  </si>
  <si>
    <t>965 Pine Rd</t>
  </si>
  <si>
    <t>441 Pine Rd</t>
  </si>
  <si>
    <t>344 Main St</t>
  </si>
  <si>
    <t>362 Oak St</t>
  </si>
  <si>
    <t>329 Main St</t>
  </si>
  <si>
    <t>795 Main St</t>
  </si>
  <si>
    <t>106 Maple Ave</t>
  </si>
  <si>
    <t>540 Main St</t>
  </si>
  <si>
    <t>424 Elm St</t>
  </si>
  <si>
    <t>422 Main St</t>
  </si>
  <si>
    <t>846 Maple Ave</t>
  </si>
  <si>
    <t>736 Main St</t>
  </si>
  <si>
    <t>675 Oak St</t>
  </si>
  <si>
    <t>959 Pine Rd</t>
  </si>
  <si>
    <t>539 Pine Rd</t>
  </si>
  <si>
    <t>215 Pine Rd</t>
  </si>
  <si>
    <t>600 Main St</t>
  </si>
  <si>
    <t>925 Maple Ave</t>
  </si>
  <si>
    <t>564 Main St</t>
  </si>
  <si>
    <t>853 Oak St</t>
  </si>
  <si>
    <t>910 Elm St</t>
  </si>
  <si>
    <t>259 Maple Ave</t>
  </si>
  <si>
    <t>395 Main St</t>
  </si>
  <si>
    <t>331 Pine Rd</t>
  </si>
  <si>
    <t>741 Oak St</t>
  </si>
  <si>
    <t>563 Main St</t>
  </si>
  <si>
    <t>310 Oak St</t>
  </si>
  <si>
    <t>619 Elm St</t>
  </si>
  <si>
    <t>216 Maple Ave</t>
  </si>
  <si>
    <t>852 Pine Rd</t>
  </si>
  <si>
    <t>168 Pine Rd</t>
  </si>
  <si>
    <t>232 Pine Rd</t>
  </si>
  <si>
    <t>644 Maple Ave</t>
  </si>
  <si>
    <t>478 Maple Ave</t>
  </si>
  <si>
    <t>550 Pine Rd</t>
  </si>
  <si>
    <t>460 Oak St</t>
  </si>
  <si>
    <t>633 Elm St</t>
  </si>
  <si>
    <t>362 Elm St</t>
  </si>
  <si>
    <t>463 Pine Rd</t>
  </si>
  <si>
    <t>342 Pine Rd</t>
  </si>
  <si>
    <t>373 Maple Ave</t>
  </si>
  <si>
    <t>294 Maple Ave</t>
  </si>
  <si>
    <t>690 Maple Ave</t>
  </si>
  <si>
    <t>671 Pine Rd</t>
  </si>
  <si>
    <t>981 Oak St</t>
  </si>
  <si>
    <t>433 Elm St</t>
  </si>
  <si>
    <t>537 Maple Ave</t>
  </si>
  <si>
    <t>405 Elm St</t>
  </si>
  <si>
    <t>969 Maple Ave</t>
  </si>
  <si>
    <t>660 Maple Ave</t>
  </si>
  <si>
    <t>656 Maple Ave</t>
  </si>
  <si>
    <t>479 Oak St</t>
  </si>
  <si>
    <t>279 Main St</t>
  </si>
  <si>
    <t>544 Pine Rd</t>
  </si>
  <si>
    <t>536 Main St</t>
  </si>
  <si>
    <t>310 Main St</t>
  </si>
  <si>
    <t>857 Maple Ave</t>
  </si>
  <si>
    <t>645 Maple Ave</t>
  </si>
  <si>
    <t>243 Elm St</t>
  </si>
  <si>
    <t>943 Elm St</t>
  </si>
  <si>
    <t>637 Main St</t>
  </si>
  <si>
    <t>140 Pine Rd</t>
  </si>
  <si>
    <t>426 Elm St</t>
  </si>
  <si>
    <t>173 Oak St</t>
  </si>
  <si>
    <t>982 Main St</t>
  </si>
  <si>
    <t>718 Elm St</t>
  </si>
  <si>
    <t>517 Oak St</t>
  </si>
  <si>
    <t>317 Oak St</t>
  </si>
  <si>
    <t>868 Oak St</t>
  </si>
  <si>
    <t>112 Pine Rd</t>
  </si>
  <si>
    <t>269 Maple Ave</t>
  </si>
  <si>
    <t>386 Maple Ave</t>
  </si>
  <si>
    <t>576 Pine Rd</t>
  </si>
  <si>
    <t>218 Main St</t>
  </si>
  <si>
    <t>682 Pine Rd</t>
  </si>
  <si>
    <t>155 Pine Rd</t>
  </si>
  <si>
    <t>520 Elm St</t>
  </si>
  <si>
    <t>126 Pine Rd</t>
  </si>
  <si>
    <t>781 Main St</t>
  </si>
  <si>
    <t>942 Maple Ave</t>
  </si>
  <si>
    <t>696 Elm St</t>
  </si>
  <si>
    <t>343 Pine Rd</t>
  </si>
  <si>
    <t>961 Oak St</t>
  </si>
  <si>
    <t>967 Maple Ave</t>
  </si>
  <si>
    <t>325 Maple Ave</t>
  </si>
  <si>
    <t>801 Elm St</t>
  </si>
  <si>
    <t>369 Oak St</t>
  </si>
  <si>
    <t>211 Pine Rd</t>
  </si>
  <si>
    <t>342 Main St</t>
  </si>
  <si>
    <t>814 Oak St</t>
  </si>
  <si>
    <t>791 Elm St</t>
  </si>
  <si>
    <t>341 Oak St</t>
  </si>
  <si>
    <t>295 Main St</t>
  </si>
  <si>
    <t>324 Oak St</t>
  </si>
  <si>
    <t>587 Main St</t>
  </si>
  <si>
    <t>227 Oak St</t>
  </si>
  <si>
    <t>914 Main St</t>
  </si>
  <si>
    <t>682 Main St</t>
  </si>
  <si>
    <t>432 Oak St</t>
  </si>
  <si>
    <t>810 Elm St</t>
  </si>
  <si>
    <t>763 Oak St</t>
  </si>
  <si>
    <t>519 Elm St</t>
  </si>
  <si>
    <t>529 Pine Rd</t>
  </si>
  <si>
    <t>554 Oak St</t>
  </si>
  <si>
    <t>660 Elm St</t>
  </si>
  <si>
    <t>826 Elm St</t>
  </si>
  <si>
    <t>310 Elm St</t>
  </si>
  <si>
    <t>561 Maple Ave</t>
  </si>
  <si>
    <t>435 Maple Ave</t>
  </si>
  <si>
    <t>893 Elm St</t>
  </si>
  <si>
    <t>327 Maple Ave</t>
  </si>
  <si>
    <t>716 Oak St</t>
  </si>
  <si>
    <t>688 Maple Ave</t>
  </si>
  <si>
    <t>488 Main St</t>
  </si>
  <si>
    <t>582 Main St</t>
  </si>
  <si>
    <t>936 Main St</t>
  </si>
  <si>
    <t>172 Main St</t>
  </si>
  <si>
    <t>832 Main St</t>
  </si>
  <si>
    <t>743 Pine Rd</t>
  </si>
  <si>
    <t>957 Maple Ave</t>
  </si>
  <si>
    <t>955 Main St</t>
  </si>
  <si>
    <t>803 Pine Rd</t>
  </si>
  <si>
    <t>656 Main St</t>
  </si>
  <si>
    <t>955 Elm St</t>
  </si>
  <si>
    <t>636 Elm St</t>
  </si>
  <si>
    <t>818 Oak St</t>
  </si>
  <si>
    <t>622 Maple Ave</t>
  </si>
  <si>
    <t>718 Main St</t>
  </si>
  <si>
    <t>265 Main St</t>
  </si>
  <si>
    <t>358 Oak St</t>
  </si>
  <si>
    <t>113 Oak St</t>
  </si>
  <si>
    <t>137 Maple Ave</t>
  </si>
  <si>
    <t>327 Pine Rd</t>
  </si>
  <si>
    <t>908 Pine Rd</t>
  </si>
  <si>
    <t>502 Elm St</t>
  </si>
  <si>
    <t>179 Main St</t>
  </si>
  <si>
    <t>954 Pine Rd</t>
  </si>
  <si>
    <t>991 Elm St</t>
  </si>
  <si>
    <t>640 Maple Ave</t>
  </si>
  <si>
    <t>226 Pine Rd</t>
  </si>
  <si>
    <t>111 Maple Ave</t>
  </si>
  <si>
    <t>285 Elm St</t>
  </si>
  <si>
    <t>496 Maple Ave</t>
  </si>
  <si>
    <t>237 Main St</t>
  </si>
  <si>
    <t>647 Maple Ave</t>
  </si>
  <si>
    <t>661 Oak St</t>
  </si>
  <si>
    <t>541 Pine Rd</t>
  </si>
  <si>
    <t>972 Maple Ave</t>
  </si>
  <si>
    <t>514 Elm St</t>
  </si>
  <si>
    <t>265 Elm St</t>
  </si>
  <si>
    <t>704 Elm St</t>
  </si>
  <si>
    <t>583 Pine Rd</t>
  </si>
  <si>
    <t>356 Elm St</t>
  </si>
  <si>
    <t>606 Pine Rd</t>
  </si>
  <si>
    <t>416 Pine Rd</t>
  </si>
  <si>
    <t>706 Main St</t>
  </si>
  <si>
    <t>926 Elm St</t>
  </si>
  <si>
    <t>444 Oak St</t>
  </si>
  <si>
    <t>209 Oak St</t>
  </si>
  <si>
    <t>315 Elm St</t>
  </si>
  <si>
    <t>383 Pine Rd</t>
  </si>
  <si>
    <t>305 Maple Ave</t>
  </si>
  <si>
    <t>524 Maple Ave</t>
  </si>
  <si>
    <t>959 Maple Ave</t>
  </si>
  <si>
    <t>560 Main St</t>
  </si>
  <si>
    <t>743 Elm St</t>
  </si>
  <si>
    <t>330 Pine Rd</t>
  </si>
  <si>
    <t>186 Maple Ave</t>
  </si>
  <si>
    <t>664 Pine Rd</t>
  </si>
  <si>
    <t>685 Maple Ave</t>
  </si>
  <si>
    <t>962 Elm St</t>
  </si>
  <si>
    <t>646 Main St</t>
  </si>
  <si>
    <t>239 Pine Rd</t>
  </si>
  <si>
    <t>544 Maple Ave</t>
  </si>
  <si>
    <t>566 Pine Rd</t>
  </si>
  <si>
    <t>464 Pine Rd</t>
  </si>
  <si>
    <t>751 Oak St</t>
  </si>
  <si>
    <t>843 Maple Ave</t>
  </si>
  <si>
    <t>860 Elm St</t>
  </si>
  <si>
    <t>355 Oak St</t>
  </si>
  <si>
    <t>944 Maple Ave</t>
  </si>
  <si>
    <t>635 Main St</t>
  </si>
  <si>
    <t>811 Elm St</t>
  </si>
  <si>
    <t>559 Pine Rd</t>
  </si>
  <si>
    <t>549 Elm St</t>
  </si>
  <si>
    <t>368 Oak St</t>
  </si>
  <si>
    <t>198 Maple Ave</t>
  </si>
  <si>
    <t>551 Elm St</t>
  </si>
  <si>
    <t>323 Pine Rd</t>
  </si>
  <si>
    <t>282 Maple Ave</t>
  </si>
  <si>
    <t>663 Oak St</t>
  </si>
  <si>
    <t>397 Pine Rd</t>
  </si>
  <si>
    <t>472 Maple Ave</t>
  </si>
  <si>
    <t>510 Maple Ave</t>
  </si>
  <si>
    <t>546 Maple Ave</t>
  </si>
  <si>
    <t>181 Oak St</t>
  </si>
  <si>
    <t>414 Elm St</t>
  </si>
  <si>
    <t>410 Maple Ave</t>
  </si>
  <si>
    <t>123 Elm St</t>
  </si>
  <si>
    <t>608 Oak St</t>
  </si>
  <si>
    <t>270 Elm St</t>
  </si>
  <si>
    <t>391 Oak St</t>
  </si>
  <si>
    <t>937 Maple Ave</t>
  </si>
  <si>
    <t>188 Maple Ave</t>
  </si>
  <si>
    <t>534 Pine Rd</t>
  </si>
  <si>
    <t>361 Maple Ave</t>
  </si>
  <si>
    <t>699 Elm St</t>
  </si>
  <si>
    <t>689 Maple Ave</t>
  </si>
  <si>
    <t>226 Main St</t>
  </si>
  <si>
    <t>948 Oak St</t>
  </si>
  <si>
    <t>480 Main St</t>
  </si>
  <si>
    <t>187 Main St</t>
  </si>
  <si>
    <t>682 Oak St</t>
  </si>
  <si>
    <t>430 Main St</t>
  </si>
  <si>
    <t>590 Maple Ave</t>
  </si>
  <si>
    <t>662 Pine Rd</t>
  </si>
  <si>
    <t>707 Pine Rd</t>
  </si>
  <si>
    <t>482 Elm St</t>
  </si>
  <si>
    <t>116 Elm St</t>
  </si>
  <si>
    <t>439 Elm St</t>
  </si>
  <si>
    <t>921 Maple Ave</t>
  </si>
  <si>
    <t>921 Main St</t>
  </si>
  <si>
    <t>691 Maple Ave</t>
  </si>
  <si>
    <t>340 Maple Ave</t>
  </si>
  <si>
    <t>977 Oak St</t>
  </si>
  <si>
    <t>103 Oak St</t>
  </si>
  <si>
    <t>164 Maple Ave</t>
  </si>
  <si>
    <t>839 Maple Ave</t>
  </si>
  <si>
    <t>797 Maple Ave</t>
  </si>
  <si>
    <t>337 Maple Ave</t>
  </si>
  <si>
    <t>983 Oak St</t>
  </si>
  <si>
    <t>152 Maple Ave</t>
  </si>
  <si>
    <t>200 Maple Ave</t>
  </si>
  <si>
    <t>929 Oak St</t>
  </si>
  <si>
    <t>980 Oak St</t>
  </si>
  <si>
    <t>725 Elm St</t>
  </si>
  <si>
    <t>524 Main St</t>
  </si>
  <si>
    <t>598 Main St</t>
  </si>
  <si>
    <t>140 Oak St</t>
  </si>
  <si>
    <t>687 Main St</t>
  </si>
  <si>
    <t>275 Maple Ave</t>
  </si>
  <si>
    <t>275 Elm St</t>
  </si>
  <si>
    <t>357 Main St</t>
  </si>
  <si>
    <t>282 Pine Rd</t>
  </si>
  <si>
    <t>667 Oak St</t>
  </si>
  <si>
    <t>209 Main St</t>
  </si>
  <si>
    <t>852 Oak St</t>
  </si>
  <si>
    <t>728 Main St</t>
  </si>
  <si>
    <t>427 Maple Ave</t>
  </si>
  <si>
    <t>872 Oak St</t>
  </si>
  <si>
    <t>609 Main St</t>
  </si>
  <si>
    <t>101 Main St</t>
  </si>
  <si>
    <t>811 Main St</t>
  </si>
  <si>
    <t>611 Elm St</t>
  </si>
  <si>
    <t>626 Main St</t>
  </si>
  <si>
    <t>727 Pine Rd</t>
  </si>
  <si>
    <t>396 Oak St</t>
  </si>
  <si>
    <t>787 Elm St</t>
  </si>
  <si>
    <t>695 Main St</t>
  </si>
  <si>
    <t>494 Pine Rd</t>
  </si>
  <si>
    <t>689 Main St</t>
  </si>
  <si>
    <t>618 Pine Rd</t>
  </si>
  <si>
    <t>116 Oak St</t>
  </si>
  <si>
    <t>402 Pine Rd</t>
  </si>
  <si>
    <t>724 Main St</t>
  </si>
  <si>
    <t>875 Main St</t>
  </si>
  <si>
    <t>798 Main St</t>
  </si>
  <si>
    <t>968 Pine Rd</t>
  </si>
  <si>
    <t>939 Pine Rd</t>
  </si>
  <si>
    <t>663 Elm St</t>
  </si>
  <si>
    <t>907 Elm St</t>
  </si>
  <si>
    <t>127 Main St</t>
  </si>
  <si>
    <t>345 Main St</t>
  </si>
  <si>
    <t>169 Elm St</t>
  </si>
  <si>
    <t>278 Oak St</t>
  </si>
  <si>
    <t>698 Maple Ave</t>
  </si>
  <si>
    <t>900 Main St</t>
  </si>
  <si>
    <t>945 Pine Rd</t>
  </si>
  <si>
    <t>276 Oak St</t>
  </si>
  <si>
    <t>893 Maple Ave</t>
  </si>
  <si>
    <t>802 Maple Ave</t>
  </si>
  <si>
    <t>703 Maple Ave</t>
  </si>
  <si>
    <t>545 Oak St</t>
  </si>
  <si>
    <t>112 Oak St</t>
  </si>
  <si>
    <t>452 Pine Rd</t>
  </si>
  <si>
    <t>360 Pine Rd</t>
  </si>
  <si>
    <t>776 Elm St</t>
  </si>
  <si>
    <t>780 Elm St</t>
  </si>
  <si>
    <t>684 Pine Rd</t>
  </si>
  <si>
    <t>203 Main St</t>
  </si>
  <si>
    <t>937 Elm St</t>
  </si>
  <si>
    <t>341 Main St</t>
  </si>
  <si>
    <t>424 Oak St</t>
  </si>
  <si>
    <t>673 Main St</t>
  </si>
  <si>
    <t>780 Pine Rd</t>
  </si>
  <si>
    <t>938 Pine Rd</t>
  </si>
  <si>
    <t>501 Maple Ave</t>
  </si>
  <si>
    <t>427 Oak St</t>
  </si>
  <si>
    <t>599 Main St</t>
  </si>
  <si>
    <t>791 Maple Ave</t>
  </si>
  <si>
    <t>643 Elm St</t>
  </si>
  <si>
    <t>867 Elm St</t>
  </si>
  <si>
    <t>129 Pine Rd</t>
  </si>
  <si>
    <t>923 Pine Rd</t>
  </si>
  <si>
    <t>383 Oak St</t>
  </si>
  <si>
    <t>505 Oak St</t>
  </si>
  <si>
    <t>169 Maple Ave</t>
  </si>
  <si>
    <t>575 Main St</t>
  </si>
  <si>
    <t>740 Oak St</t>
  </si>
  <si>
    <t>795 Oak St</t>
  </si>
  <si>
    <t>504 Maple Ave</t>
  </si>
  <si>
    <t>559 Maple Ave</t>
  </si>
  <si>
    <t>160 Main St</t>
  </si>
  <si>
    <t>324 Elm St</t>
  </si>
  <si>
    <t>284 Pine Rd</t>
  </si>
  <si>
    <t>238 Maple Ave</t>
  </si>
  <si>
    <t>421 Oak St</t>
  </si>
  <si>
    <t>995 Pine Rd</t>
  </si>
  <si>
    <t>576 Main St</t>
  </si>
  <si>
    <t>242 Pine Rd</t>
  </si>
  <si>
    <t>820 Main St</t>
  </si>
  <si>
    <t>317 Maple Ave</t>
  </si>
  <si>
    <t>914 Pine Rd</t>
  </si>
  <si>
    <t>637 Maple Ave</t>
  </si>
  <si>
    <t>865 Oak St</t>
  </si>
  <si>
    <t>972 Pine Rd</t>
  </si>
  <si>
    <t>386 Oak St</t>
  </si>
  <si>
    <t>194 Maple Ave</t>
  </si>
  <si>
    <t>634 Oak St</t>
  </si>
  <si>
    <t>734 Pine Rd</t>
  </si>
  <si>
    <t>640 Main St</t>
  </si>
  <si>
    <t>242 Main St</t>
  </si>
  <si>
    <t>615 Oak St</t>
  </si>
  <si>
    <t>433 Main St</t>
  </si>
  <si>
    <t>341 Pine Rd</t>
  </si>
  <si>
    <t>841 Pine Rd</t>
  </si>
  <si>
    <t>118 Maple Ave</t>
  </si>
  <si>
    <t>785 Maple Ave</t>
  </si>
  <si>
    <t>628 Oak St</t>
  </si>
  <si>
    <t>611 Oak St</t>
  </si>
  <si>
    <t>297 Oak St</t>
  </si>
  <si>
    <t>179 Oak St</t>
  </si>
  <si>
    <t>325 Elm St</t>
  </si>
  <si>
    <t>901 Pine Rd</t>
  </si>
  <si>
    <t>599 Elm St</t>
  </si>
  <si>
    <t>965 Oak St</t>
  </si>
  <si>
    <t>230 Pine Rd</t>
  </si>
  <si>
    <t>411 Elm St</t>
  </si>
  <si>
    <t>241 Maple Ave</t>
  </si>
  <si>
    <t>695 Pine Rd</t>
  </si>
  <si>
    <t>851 Elm St</t>
  </si>
  <si>
    <t>128 Maple Ave</t>
  </si>
  <si>
    <t>675 Pine Rd</t>
  </si>
  <si>
    <t>338 Maple Ave</t>
  </si>
  <si>
    <t>956 Main St</t>
  </si>
  <si>
    <t>984 Oak St</t>
  </si>
  <si>
    <t>104 Main St</t>
  </si>
  <si>
    <t>171 Maple Ave</t>
  </si>
  <si>
    <t>173 Main St</t>
  </si>
  <si>
    <t>953 Oak St</t>
  </si>
  <si>
    <t>862 Pine Rd</t>
  </si>
  <si>
    <t>714 Pine Rd</t>
  </si>
  <si>
    <t>266 Maple Ave</t>
  </si>
  <si>
    <t>462 Pine Rd</t>
  </si>
  <si>
    <t>391 Main St</t>
  </si>
  <si>
    <t>218 Pine Rd</t>
  </si>
  <si>
    <t>843 Oak St</t>
  </si>
  <si>
    <t>183 Oak St</t>
  </si>
  <si>
    <t>160 Pine Rd</t>
  </si>
  <si>
    <t>616 Main St</t>
  </si>
  <si>
    <t>733 Elm St</t>
  </si>
  <si>
    <t>267 Oak St</t>
  </si>
  <si>
    <t>267 Elm St</t>
  </si>
  <si>
    <t>776 Pine Rd</t>
  </si>
  <si>
    <t>420 Pine Rd</t>
  </si>
  <si>
    <t>218 Maple Ave</t>
  </si>
  <si>
    <t>326 Maple Ave</t>
  </si>
  <si>
    <t>905 Elm St</t>
  </si>
  <si>
    <t>784 Maple Ave</t>
  </si>
  <si>
    <t>775 Elm St</t>
  </si>
  <si>
    <t>223 Main St</t>
  </si>
  <si>
    <t>265 Maple Ave</t>
  </si>
  <si>
    <t>942 Main St</t>
  </si>
  <si>
    <t>792 Main St</t>
  </si>
  <si>
    <t>171 Elm St</t>
  </si>
  <si>
    <t>497 Oak St</t>
  </si>
  <si>
    <t>287 Pine Rd</t>
  </si>
  <si>
    <t>725 Oak St</t>
  </si>
  <si>
    <t>949 Elm St</t>
  </si>
  <si>
    <t>530 Elm St</t>
  </si>
  <si>
    <t>918 Oak St</t>
  </si>
  <si>
    <t>711 Maple Ave</t>
  </si>
  <si>
    <t>473 Maple Ave</t>
  </si>
  <si>
    <t>623 Main St</t>
  </si>
  <si>
    <t>877 Oak St</t>
  </si>
  <si>
    <t>316 Main St</t>
  </si>
  <si>
    <t>865 Pine Rd</t>
  </si>
  <si>
    <t>932 Main St</t>
  </si>
  <si>
    <t>940 Oak St</t>
  </si>
  <si>
    <t>348 Main St</t>
  </si>
  <si>
    <t>270 Pine Rd</t>
  </si>
  <si>
    <t>293 Maple Ave</t>
  </si>
  <si>
    <t>258 Maple Ave</t>
  </si>
  <si>
    <t>368 Maple Ave</t>
  </si>
  <si>
    <t>733 Oak St</t>
  </si>
  <si>
    <t>828 Oak St</t>
  </si>
  <si>
    <t>204 Oak St</t>
  </si>
  <si>
    <t>202 Oak St</t>
  </si>
  <si>
    <t>347 Elm St</t>
  </si>
  <si>
    <t>498 Maple Ave</t>
  </si>
  <si>
    <t>289 Oak St</t>
  </si>
  <si>
    <t>911 Oak St</t>
  </si>
  <si>
    <t>128 Pine Rd</t>
  </si>
  <si>
    <t>574 Pine Rd</t>
  </si>
  <si>
    <t>260 Maple Ave</t>
  </si>
  <si>
    <t>174 Pine Rd</t>
  </si>
  <si>
    <t>190 Oak St</t>
  </si>
  <si>
    <t>652 Main St</t>
  </si>
  <si>
    <t>710 Pine Rd</t>
  </si>
  <si>
    <t>543 Pine Rd</t>
  </si>
  <si>
    <t>326 Elm St</t>
  </si>
  <si>
    <t>336 Elm St</t>
  </si>
  <si>
    <t>428 Oak St</t>
  </si>
  <si>
    <t>485 Maple Ave</t>
  </si>
  <si>
    <t>340 Main St</t>
  </si>
  <si>
    <t>337 Main St</t>
  </si>
  <si>
    <t>811 Maple Ave</t>
  </si>
  <si>
    <t>654 Oak St</t>
  </si>
  <si>
    <t>235 Pine Rd</t>
  </si>
  <si>
    <t>986 Main St</t>
  </si>
  <si>
    <t>538 Oak St</t>
  </si>
  <si>
    <t>699 Main St</t>
  </si>
  <si>
    <t>176 Pine Rd</t>
  </si>
  <si>
    <t>185 Pine Rd</t>
  </si>
  <si>
    <t>380 Pine Rd</t>
  </si>
  <si>
    <t>920 Pine Rd</t>
  </si>
  <si>
    <t>295 Elm St</t>
  </si>
  <si>
    <t>947 Main St</t>
  </si>
  <si>
    <t>854 Maple Ave</t>
  </si>
  <si>
    <t>235 Elm St</t>
  </si>
  <si>
    <t>771 Pine Rd</t>
  </si>
  <si>
    <t>110 Pine Rd</t>
  </si>
  <si>
    <t>947 Elm St</t>
  </si>
  <si>
    <t>134 Elm St</t>
  </si>
  <si>
    <t>887 Maple Ave</t>
  </si>
  <si>
    <t>357 Oak St</t>
  </si>
  <si>
    <t>603 Maple Ave</t>
  </si>
  <si>
    <t>493 Oak St</t>
  </si>
  <si>
    <t>215 Elm St</t>
  </si>
  <si>
    <t>345 Oak St</t>
  </si>
  <si>
    <t>638 Pine Rd</t>
  </si>
  <si>
    <t>107 Oak St</t>
  </si>
  <si>
    <t>828 Pine Rd</t>
  </si>
  <si>
    <t>900 Pine Rd</t>
  </si>
  <si>
    <t>850 Elm St</t>
  </si>
  <si>
    <t>458 Elm St</t>
  </si>
  <si>
    <t>289 Main St</t>
  </si>
  <si>
    <t>176 Oak St</t>
  </si>
  <si>
    <t>527 Oak St</t>
  </si>
  <si>
    <t>899 Oak St</t>
  </si>
  <si>
    <t>628 Pine Rd</t>
  </si>
  <si>
    <t>479 Maple Ave</t>
  </si>
  <si>
    <t>408 Maple Ave</t>
  </si>
  <si>
    <t>378 Main St</t>
  </si>
  <si>
    <t>125 Oak St</t>
  </si>
  <si>
    <t>562 Pine Rd</t>
  </si>
  <si>
    <t>761 Maple Ave</t>
  </si>
  <si>
    <t>788 Pine Rd</t>
  </si>
  <si>
    <t>635 Maple Ave</t>
  </si>
  <si>
    <t>800 Oak St</t>
  </si>
  <si>
    <t>351 Maple Ave</t>
  </si>
  <si>
    <t>110 Main St</t>
  </si>
  <si>
    <t>755 Oak St</t>
  </si>
  <si>
    <t>598 Elm St</t>
  </si>
  <si>
    <t>905 Main St</t>
  </si>
  <si>
    <t>126 Maple Ave</t>
  </si>
  <si>
    <t>248 Pine Rd</t>
  </si>
  <si>
    <t>848 Pine Rd</t>
  </si>
  <si>
    <t>702 Maple Ave</t>
  </si>
  <si>
    <t>915 Oak St</t>
  </si>
  <si>
    <t>157 Oak St</t>
  </si>
  <si>
    <t>698 Oak St</t>
  </si>
  <si>
    <t>262 Main St</t>
  </si>
  <si>
    <t>478 Oak St</t>
  </si>
  <si>
    <t>880 Main St</t>
  </si>
  <si>
    <t>593 Maple Ave</t>
  </si>
  <si>
    <t>808 Oak St</t>
  </si>
  <si>
    <t>639 Oak St</t>
  </si>
  <si>
    <t>709 Maple Ave</t>
  </si>
  <si>
    <t>576 Elm St</t>
  </si>
  <si>
    <t>830 Main St</t>
  </si>
  <si>
    <t>593 Oak St</t>
  </si>
  <si>
    <t>940 Elm St</t>
  </si>
  <si>
    <t>263 Elm St</t>
  </si>
  <si>
    <t>500 Maple Ave</t>
  </si>
  <si>
    <t>773 Main St</t>
  </si>
  <si>
    <t>230 Main St</t>
  </si>
  <si>
    <t>815 Elm St</t>
  </si>
  <si>
    <t>342 Oak St</t>
  </si>
  <si>
    <t>561 Main St</t>
  </si>
  <si>
    <t>399 Oak St</t>
  </si>
  <si>
    <t>697 Oak St</t>
  </si>
  <si>
    <t>506 Oak St</t>
  </si>
  <si>
    <t>227 Pine Rd</t>
  </si>
  <si>
    <t>716 Elm St</t>
  </si>
  <si>
    <t>363 Maple Ave</t>
  </si>
  <si>
    <t>731 Maple Ave</t>
  </si>
  <si>
    <t>187 Elm St</t>
  </si>
  <si>
    <t>864 Oak St</t>
  </si>
  <si>
    <t>150 Pine Rd</t>
  </si>
  <si>
    <t>552 Pine Rd</t>
  </si>
  <si>
    <t>583 Main St</t>
  </si>
  <si>
    <t>373 Main St</t>
  </si>
  <si>
    <t>555 Pine Rd</t>
  </si>
  <si>
    <t>607 Oak St</t>
  </si>
  <si>
    <t>874 Oak St</t>
  </si>
  <si>
    <t>445 Main St</t>
  </si>
  <si>
    <t>954 Maple Ave</t>
  </si>
  <si>
    <t>566 Main St</t>
  </si>
  <si>
    <t>315 Oak St</t>
  </si>
  <si>
    <t>149 Maple Ave</t>
  </si>
  <si>
    <t>892 Pine Rd</t>
  </si>
  <si>
    <t>139 Main St</t>
  </si>
  <si>
    <t>815 Pine Rd</t>
  </si>
  <si>
    <t>770 Main St</t>
  </si>
  <si>
    <t>574 Elm St</t>
  </si>
  <si>
    <t>450 Elm St</t>
  </si>
  <si>
    <t>115 Elm St</t>
  </si>
  <si>
    <t>326 Oak St</t>
  </si>
  <si>
    <t>999 Main St</t>
  </si>
  <si>
    <t>610 Maple Ave</t>
  </si>
  <si>
    <t>841 Elm St</t>
  </si>
  <si>
    <t>683 Pine Rd</t>
  </si>
  <si>
    <t>756 Main St</t>
  </si>
  <si>
    <t>484 Maple Ave</t>
  </si>
  <si>
    <t>389 Main St</t>
  </si>
  <si>
    <t>144 Pine Rd</t>
  </si>
  <si>
    <t>880 Maple Ave</t>
  </si>
  <si>
    <t>139 Maple Ave</t>
  </si>
  <si>
    <t>573 Maple Ave</t>
  </si>
  <si>
    <t>395 Pine Rd</t>
  </si>
  <si>
    <t>861 Pine Rd</t>
  </si>
  <si>
    <t>424 Main St</t>
  </si>
  <si>
    <t>591 Main St</t>
  </si>
  <si>
    <t>909 Maple Ave</t>
  </si>
  <si>
    <t>729 Pine Rd</t>
  </si>
  <si>
    <t>737 Elm St</t>
  </si>
  <si>
    <t>594 Maple Ave</t>
  </si>
  <si>
    <t>604 Maple Ave</t>
  </si>
  <si>
    <t>176 Main St</t>
  </si>
  <si>
    <t>570 Main St</t>
  </si>
  <si>
    <t>385 Maple Ave</t>
  </si>
  <si>
    <t>677 Main St</t>
  </si>
  <si>
    <t>354 Pine Rd</t>
  </si>
  <si>
    <t>827 Elm St</t>
  </si>
  <si>
    <t>217 Maple Ave</t>
  </si>
  <si>
    <t>163 Main St</t>
  </si>
  <si>
    <t>777 Maple Ave</t>
  </si>
  <si>
    <t>979 Maple Ave</t>
  </si>
  <si>
    <t>343 Main St</t>
  </si>
  <si>
    <t>406 Main St</t>
  </si>
  <si>
    <t>662 Elm St</t>
  </si>
  <si>
    <t>150 Main St</t>
  </si>
  <si>
    <t>702 Elm St</t>
  </si>
  <si>
    <t>179 Maple Ave</t>
  </si>
  <si>
    <t>234 Oak St</t>
  </si>
  <si>
    <t>374 Main St</t>
  </si>
  <si>
    <t>714 Maple Ave</t>
  </si>
  <si>
    <t>520 Pine Rd</t>
  </si>
  <si>
    <t>925 Main St</t>
  </si>
  <si>
    <t>466 Pine Rd</t>
  </si>
  <si>
    <t>349 Main St</t>
  </si>
  <si>
    <t>612 Pine Rd</t>
  </si>
  <si>
    <t>640 Elm St</t>
  </si>
  <si>
    <t>436 Oak St</t>
  </si>
  <si>
    <t>543 Maple Ave</t>
  </si>
  <si>
    <t>105 Elm St</t>
  </si>
  <si>
    <t>125 Main St</t>
  </si>
  <si>
    <t>811 Oak St</t>
  </si>
  <si>
    <t>441 Main St</t>
  </si>
  <si>
    <t>450 Main St</t>
  </si>
  <si>
    <t>453 Oak St</t>
  </si>
  <si>
    <t>859 Main St</t>
  </si>
  <si>
    <t>414 Oak St</t>
  </si>
  <si>
    <t>760 Oak St</t>
  </si>
  <si>
    <t>261 Pine Rd</t>
  </si>
  <si>
    <t>153 Pine Rd</t>
  </si>
  <si>
    <t>451 Elm St</t>
  </si>
  <si>
    <t>161 Main St</t>
  </si>
  <si>
    <t>685 Oak St</t>
  </si>
  <si>
    <t>425 Pine Rd</t>
  </si>
  <si>
    <t>520 Main St</t>
  </si>
  <si>
    <t>375 Pine Rd</t>
  </si>
  <si>
    <t>790 Main St</t>
  </si>
  <si>
    <t>826 Oak St</t>
  </si>
  <si>
    <t>545 Pine Rd</t>
  </si>
  <si>
    <t>379 Pine Rd</t>
  </si>
  <si>
    <t>898 Elm St</t>
  </si>
  <si>
    <t>949 Pine Rd</t>
  </si>
  <si>
    <t>889 Elm St</t>
  </si>
  <si>
    <t>374 Elm St</t>
  </si>
  <si>
    <t>474 Oak St</t>
  </si>
  <si>
    <t>734 Elm St</t>
  </si>
  <si>
    <t>323 Maple Ave</t>
  </si>
  <si>
    <t>743 Oak St</t>
  </si>
  <si>
    <t>492 Main St</t>
  </si>
  <si>
    <t>769 Oak St</t>
  </si>
  <si>
    <t>249 Pine Rd</t>
  </si>
  <si>
    <t>136 Elm St</t>
  </si>
  <si>
    <t>998 Pine Rd</t>
  </si>
  <si>
    <t>205 Maple Ave</t>
  </si>
  <si>
    <t>995 Elm St</t>
  </si>
  <si>
    <t>290 Main St</t>
  </si>
  <si>
    <t>878 Oak St</t>
  </si>
  <si>
    <t>457 Main St</t>
  </si>
  <si>
    <t>428 Pine Rd</t>
  </si>
  <si>
    <t>604 Elm St</t>
  </si>
  <si>
    <t>614 Elm St</t>
  </si>
  <si>
    <t>193 Elm St</t>
  </si>
  <si>
    <t>262 Oak St</t>
  </si>
  <si>
    <t>642 Elm St</t>
  </si>
  <si>
    <t>682 Elm St</t>
  </si>
  <si>
    <t>518 Main St</t>
  </si>
  <si>
    <t>650 Main St</t>
  </si>
  <si>
    <t>103 Elm St</t>
  </si>
  <si>
    <t>870 Oak St</t>
  </si>
  <si>
    <t>400 Main St</t>
  </si>
  <si>
    <t>380 Oak St</t>
  </si>
  <si>
    <t>923 Oak St</t>
  </si>
  <si>
    <t>844 Pine Rd</t>
  </si>
  <si>
    <t>892 Maple Ave</t>
  </si>
  <si>
    <t>339 Oak St</t>
  </si>
  <si>
    <t>664 Oak St</t>
  </si>
  <si>
    <t>939 Elm St</t>
  </si>
  <si>
    <t>900 Elm St</t>
  </si>
  <si>
    <t>831 Main St</t>
  </si>
  <si>
    <t>564 Pine Rd</t>
  </si>
  <si>
    <t>573 Elm St</t>
  </si>
  <si>
    <t>205 Pine Rd</t>
  </si>
  <si>
    <t>902 Oak St</t>
  </si>
  <si>
    <t>106 Pine Rd</t>
  </si>
  <si>
    <t>127 Elm St</t>
  </si>
  <si>
    <t>625 Main St</t>
  </si>
  <si>
    <t>674 Main St</t>
  </si>
  <si>
    <t>222 Pine Rd</t>
  </si>
  <si>
    <t>577 Maple Ave</t>
  </si>
  <si>
    <t>159 Pine Rd</t>
  </si>
  <si>
    <t>773 Elm St</t>
  </si>
  <si>
    <t>958 Elm St</t>
  </si>
  <si>
    <t>166 Pine Rd</t>
  </si>
  <si>
    <t>290 Elm St</t>
  </si>
  <si>
    <t>499 Oak St</t>
  </si>
  <si>
    <t>775 Main St</t>
  </si>
  <si>
    <t>434 Main St</t>
  </si>
  <si>
    <t>901 Main St</t>
  </si>
  <si>
    <t>225 Maple Ave</t>
  </si>
  <si>
    <t>692 Elm St</t>
  </si>
  <si>
    <t>616 Pine Rd</t>
  </si>
  <si>
    <t>934 Main St</t>
  </si>
  <si>
    <t>431 Main St</t>
  </si>
  <si>
    <t>446 Elm St</t>
  </si>
  <si>
    <t>384 Main St</t>
  </si>
  <si>
    <t>255 Elm St</t>
  </si>
  <si>
    <t>540 Oak St</t>
  </si>
  <si>
    <t>219 Maple Ave</t>
  </si>
  <si>
    <t>239 Elm St</t>
  </si>
  <si>
    <t>352 Oak St</t>
  </si>
  <si>
    <t>492 Oak St</t>
  </si>
  <si>
    <t>621 Elm St</t>
  </si>
  <si>
    <t>412 Main St</t>
  </si>
  <si>
    <t>659 Maple Ave</t>
  </si>
  <si>
    <t>164 Pine Rd</t>
  </si>
  <si>
    <t>960 Main St</t>
  </si>
  <si>
    <t>709 Pine Rd</t>
  </si>
  <si>
    <t>964 Main St</t>
  </si>
  <si>
    <t>562 Maple Ave</t>
  </si>
  <si>
    <t>378 Maple Ave</t>
  </si>
  <si>
    <t>437 Elm St</t>
  </si>
  <si>
    <t>493 Main St</t>
  </si>
  <si>
    <t>752 Maple Ave</t>
  </si>
  <si>
    <t>301 Main St</t>
  </si>
  <si>
    <t>119 Oak St</t>
  </si>
  <si>
    <t>657 Main St</t>
  </si>
  <si>
    <t>409 Maple Ave</t>
  </si>
  <si>
    <t>112 Maple Ave</t>
  </si>
  <si>
    <t>483 Elm St</t>
  </si>
  <si>
    <t>623 Maple Ave</t>
  </si>
  <si>
    <t>622 Elm St</t>
  </si>
  <si>
    <t>430 Oak St</t>
  </si>
  <si>
    <t>720 Pine Rd</t>
  </si>
  <si>
    <t>471 Maple Ave</t>
  </si>
  <si>
    <t>897 Oak St</t>
  </si>
  <si>
    <t>939 Oak St</t>
  </si>
  <si>
    <t>863 Oak St</t>
  </si>
  <si>
    <t>800 Maple Ave</t>
  </si>
  <si>
    <t>659 Oak St</t>
  </si>
  <si>
    <t>233 Main St</t>
  </si>
  <si>
    <t>444 Main St</t>
  </si>
  <si>
    <t>840 Maple Ave</t>
  </si>
  <si>
    <t>605 Elm St</t>
  </si>
  <si>
    <t>967 Oak St</t>
  </si>
  <si>
    <t>404 Elm St</t>
  </si>
  <si>
    <t>946 Main St</t>
  </si>
  <si>
    <t>652 Oak St</t>
  </si>
  <si>
    <t>476 Maple Ave</t>
  </si>
  <si>
    <t>335 Pine Rd</t>
  </si>
  <si>
    <t>512 Maple Ave</t>
  </si>
  <si>
    <t>766 Elm St</t>
  </si>
  <si>
    <t>200 Elm St</t>
  </si>
  <si>
    <t>262 Pine Rd</t>
  </si>
  <si>
    <t>622 Oak St</t>
  </si>
  <si>
    <t>927 Maple Ave</t>
  </si>
  <si>
    <t>636 Main St</t>
  </si>
  <si>
    <t>735 Main St</t>
  </si>
  <si>
    <t>511 Main St</t>
  </si>
  <si>
    <t>374 Pine Rd</t>
  </si>
  <si>
    <t>783 Main St</t>
  </si>
  <si>
    <t>819 Elm St</t>
  </si>
  <si>
    <t>913 Oak St</t>
  </si>
  <si>
    <t>260 Elm St</t>
  </si>
  <si>
    <t>126 Oak St</t>
  </si>
  <si>
    <t>732 Pine Rd</t>
  </si>
  <si>
    <t>290 Maple Ave</t>
  </si>
  <si>
    <t>247 Maple Ave</t>
  </si>
  <si>
    <t>163 Maple Ave</t>
  </si>
  <si>
    <t>934 Maple Ave</t>
  </si>
  <si>
    <t>894 Oak St</t>
  </si>
  <si>
    <t>943 Oak St</t>
  </si>
  <si>
    <t>965 Main St</t>
  </si>
  <si>
    <t>680 Main St</t>
  </si>
  <si>
    <t>829 Maple Ave</t>
  </si>
  <si>
    <t>517 Main St</t>
  </si>
  <si>
    <t>197 Pine Rd</t>
  </si>
  <si>
    <t>660 Pine Rd</t>
  </si>
  <si>
    <t>617 Pine Rd</t>
  </si>
  <si>
    <t>854 Oak St</t>
  </si>
  <si>
    <t>409 Main St</t>
  </si>
  <si>
    <t>651 Oak St</t>
  </si>
  <si>
    <t>508 Oak St</t>
  </si>
  <si>
    <t>127 Maple Ave</t>
  </si>
  <si>
    <t>886 Main St</t>
  </si>
  <si>
    <t>751 Pine Rd</t>
  </si>
  <si>
    <t>301 Pine Rd</t>
  </si>
  <si>
    <t>313 Pine Rd</t>
  </si>
  <si>
    <t>785 Pine Rd</t>
  </si>
  <si>
    <t>314 Maple Ave</t>
  </si>
  <si>
    <t>781 Pine Rd</t>
  </si>
  <si>
    <t>183 Elm St</t>
  </si>
  <si>
    <t>744 Main St</t>
  </si>
  <si>
    <t>481 Elm St</t>
  </si>
  <si>
    <t>391 Pine Rd</t>
  </si>
  <si>
    <t>746 Main St</t>
  </si>
  <si>
    <t>542 Maple Ave</t>
  </si>
  <si>
    <t>275 Main St</t>
  </si>
  <si>
    <t>596 Pine Rd</t>
  </si>
  <si>
    <t>361 Pine Rd</t>
  </si>
  <si>
    <t>681 Oak St</t>
  </si>
  <si>
    <t>988 Oak St</t>
  </si>
  <si>
    <t>486 Main St</t>
  </si>
  <si>
    <t>235 Main St</t>
  </si>
  <si>
    <t>909 Oak St</t>
  </si>
  <si>
    <t>152 Pine Rd</t>
  </si>
  <si>
    <t>158 Elm St</t>
  </si>
  <si>
    <t>800 Elm St</t>
  </si>
  <si>
    <t>438 Main St</t>
  </si>
  <si>
    <t>335 Maple Ave</t>
  </si>
  <si>
    <t>463 Oak St</t>
  </si>
  <si>
    <t>410 Oak St</t>
  </si>
  <si>
    <t>509 Maple Ave</t>
  </si>
  <si>
    <t>710 Maple Ave</t>
  </si>
  <si>
    <t>Row Labels</t>
  </si>
  <si>
    <t>Grand Total</t>
  </si>
  <si>
    <t>Average of Sale_Price</t>
  </si>
  <si>
    <t>Count of Sale_Price</t>
  </si>
  <si>
    <t>Forecast(Average of Sale_Price)</t>
  </si>
  <si>
    <t>Lower Confidence Bound(Average of Sale_Price)</t>
  </si>
  <si>
    <t>Upper Confidence Bound(Average of Sale_Price)</t>
  </si>
  <si>
    <t>Ave</t>
  </si>
  <si>
    <t>Average of Price Per Sq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</si>
</sst>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3">
    <border>
      <left/>
      <right/>
      <top/>
      <bottom/>
      <diagonal/>
    </border>
    <border>
      <left/>
      <right/>
      <top style="thin">
        <color auto="1"/>
      </top>
      <bottom/>
      <diagonal/>
    </border>
    <border>
      <left style="thin">
        <color auto="1"/>
      </left>
      <right/>
      <top/>
      <bottom/>
      <diagonal/>
    </border>
  </borders>
  <cellStyleXfs count="1">
    <xf numFmtId="0" fontId="0" fillId="0" borderId="0"/>
  </cellStyleXfs>
  <cellXfs count="17">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2" borderId="1" xfId="0" applyNumberFormat="1" applyFill="1" applyBorder="1"/>
    <xf numFmtId="0" fontId="0" fillId="2" borderId="1" xfId="0" applyFill="1" applyBorder="1"/>
    <xf numFmtId="164" fontId="0" fillId="2" borderId="1" xfId="0" applyNumberFormat="1" applyFill="1" applyBorder="1"/>
    <xf numFmtId="14" fontId="0" fillId="0" borderId="0" xfId="0" applyNumberFormat="1"/>
    <xf numFmtId="14" fontId="0" fillId="2" borderId="0" xfId="0" applyNumberFormat="1" applyFill="1"/>
    <xf numFmtId="164" fontId="0" fillId="2" borderId="0" xfId="0" applyNumberFormat="1" applyFill="1"/>
    <xf numFmtId="14" fontId="1" fillId="0" borderId="2" xfId="0" applyNumberFormat="1" applyFont="1" applyBorder="1" applyAlignment="1">
      <alignment horizontal="center" vertical="top"/>
    </xf>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2" fontId="0" fillId="0" borderId="0" xfId="0" applyNumberFormat="1"/>
    <xf numFmtId="3" fontId="0" fillId="0" borderId="0" xfId="0" applyNumberFormat="1"/>
    <xf numFmtId="0" fontId="0" fillId="0" borderId="0" xfId="0" applyNumberFormat="1"/>
  </cellXfs>
  <cellStyles count="1">
    <cellStyle name="Normal" xfId="0" builtinId="0"/>
  </cellStyles>
  <dxfs count="242">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numFmt numFmtId="4" formatCode="#,##0.00"/>
    </dxf>
    <dxf>
      <numFmt numFmtId="2" formatCode="0.00"/>
    </dxf>
    <dxf>
      <numFmt numFmtId="2" formatCode="0.00"/>
    </dxf>
    <dxf>
      <numFmt numFmtId="3" formatCode="#,##0"/>
    </dxf>
    <dxf>
      <font>
        <b val="0"/>
        <i val="0"/>
        <strike val="0"/>
        <condense val="0"/>
        <extend val="0"/>
        <outline val="0"/>
        <shadow val="0"/>
        <u val="none"/>
        <vertAlign val="baseline"/>
        <sz val="11"/>
        <color theme="1"/>
        <name val="Calibri"/>
        <family val="2"/>
        <scheme val="minor"/>
      </font>
      <numFmt numFmtId="164" formatCode="[$$-409]#,##0.00"/>
    </dxf>
    <dxf>
      <font>
        <b val="0"/>
        <i val="0"/>
        <strike val="0"/>
        <condense val="0"/>
        <extend val="0"/>
        <outline val="0"/>
        <shadow val="0"/>
        <u val="none"/>
        <vertAlign val="baseline"/>
        <sz val="11"/>
        <color theme="1"/>
        <name val="Calibri"/>
        <family val="2"/>
        <scheme val="minor"/>
      </font>
      <numFmt numFmtId="164" formatCode="[$$-409]#,##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border outline="0">
        <top style="thin">
          <color auto="1"/>
        </top>
        <bottom style="thin">
          <color theme="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409]#,##0.00"/>
    </dxf>
    <dxf>
      <numFmt numFmtId="164" formatCode="[$$-409]#,##0.00"/>
    </dxf>
    <dxf>
      <numFmt numFmtId="164" formatCode="[$$-409]#,##0.00"/>
    </dxf>
    <dxf>
      <font>
        <b/>
        <i val="0"/>
        <sz val="12"/>
        <color theme="1" tint="0.14996795556505021"/>
        <name val="Calibri"/>
        <family val="2"/>
        <scheme val="minor"/>
      </font>
      <fill>
        <patternFill>
          <bgColor theme="9" tint="-0.24994659260841701"/>
        </patternFill>
      </fill>
      <border>
        <left style="thin">
          <color theme="1"/>
        </left>
        <right style="thin">
          <color theme="1"/>
        </right>
        <top style="thin">
          <color theme="1"/>
        </top>
        <bottom style="thin">
          <color theme="1"/>
        </bottom>
      </border>
    </dxf>
    <dxf>
      <font>
        <b val="0"/>
        <i val="0"/>
        <sz val="11"/>
        <color theme="5" tint="-0.24994659260841701"/>
        <name val="Calibri"/>
        <family val="2"/>
        <scheme val="minor"/>
      </font>
      <fill>
        <patternFill patternType="solid">
          <fgColor theme="0"/>
          <bgColor theme="9" tint="0.79998168889431442"/>
        </patternFill>
      </fill>
      <border diagonalUp="0" diagonalDown="0">
        <left style="thin">
          <color theme="9" tint="0.79998168889431442"/>
        </left>
        <right style="thin">
          <color theme="9" tint="0.79998168889431442"/>
        </right>
        <top style="thin">
          <color theme="9" tint="0.79998168889431442"/>
        </top>
        <bottom style="thin">
          <color theme="9" tint="0.79998168889431442"/>
        </bottom>
        <vertical/>
        <horizontal/>
      </border>
    </dxf>
    <dxf>
      <font>
        <b/>
        <i val="0"/>
        <sz val="12"/>
        <color theme="0"/>
        <name val="Calibri"/>
        <family val="2"/>
        <scheme val="minor"/>
      </font>
      <fill>
        <patternFill>
          <bgColor theme="4" tint="-0.499984740745262"/>
        </patternFill>
      </fill>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11"/>
        <color theme="1" tint="0.14996795556505021"/>
        <name val="Calibri"/>
        <family val="2"/>
        <scheme val="minor"/>
      </font>
      <fill>
        <patternFill patternType="solid">
          <fgColor theme="0"/>
          <bgColor theme="0" tint="-4.9989318521683403E-2"/>
        </patternFill>
      </fill>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i val="0"/>
        <sz val="11"/>
        <color theme="0"/>
        <name val="Calibri"/>
        <family val="2"/>
        <scheme val="minor"/>
      </font>
      <fill>
        <patternFill>
          <bgColor theme="4" tint="-0.499984740745262"/>
        </patternFill>
      </fill>
      <border>
        <left style="thin">
          <color theme="4" tint="-0.499984740745262"/>
        </left>
        <right style="thin">
          <color theme="4" tint="-0.499984740745262"/>
        </right>
        <top style="thin">
          <color theme="4" tint="-0.499984740745262"/>
        </top>
        <bottom style="thin">
          <color theme="4" tint="-0.499984740745262"/>
        </bottom>
      </border>
    </dxf>
    <dxf>
      <fill>
        <patternFill>
          <bgColor theme="0" tint="-4.9989318521683403E-2"/>
        </patternFill>
      </fill>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s>
  <tableStyles count="4" defaultTableStyle="TableStyleMedium2" defaultPivotStyle="PivotStyleLight16">
    <tableStyle name="Slicer Style 1" pivot="0" table="0" count="9" xr9:uid="{B63A0858-7EF9-4B6E-B198-0A1FC1106B6E}">
      <tableStyleElement type="wholeTable" dxfId="241"/>
      <tableStyleElement type="headerRow" dxfId="240"/>
    </tableStyle>
    <tableStyle name="Slicer Style 2" pivot="0" table="0" count="2" xr9:uid="{9C2E9AC1-88EE-4220-87F1-5064F1D07669}"/>
    <tableStyle name="Timeline Style 1" pivot="0" table="0" count="9" xr9:uid="{00198CCD-57F5-4C43-9793-CEDC163ACCE6}">
      <tableStyleElement type="wholeTable" dxfId="239"/>
      <tableStyleElement type="headerRow" dxfId="238"/>
    </tableStyle>
    <tableStyle name="Timeline Style 1 2" pivot="0" table="0" count="9" xr9:uid="{FE17AFB8-0879-4533-90F7-9EB3BAAB9592}">
      <tableStyleElement type="wholeTable" dxfId="237"/>
      <tableStyleElement type="headerRow" dxfId="236"/>
    </tableStyle>
  </tableStyles>
  <colors>
    <mruColors>
      <color rgb="FF82A1D8"/>
      <color rgb="FF678CCF"/>
      <color rgb="FF67A9FF"/>
      <color rgb="FFC02000"/>
      <color rgb="FF888280"/>
      <color rgb="FF517D33"/>
      <color rgb="FFEAC8EA"/>
      <color rgb="FFDDD5DD"/>
    </mruColors>
  </colors>
  <extLst>
    <ext xmlns:x14="http://schemas.microsoft.com/office/spreadsheetml/2009/9/main" uri="{46F421CA-312F-682f-3DD2-61675219B42D}">
      <x14:dxfs count="9">
        <dxf>
          <fill>
            <patternFill>
              <bgColor rgb="FFC00000"/>
            </patternFill>
          </fill>
        </dxf>
        <dxf>
          <font>
            <b val="0"/>
            <i val="0"/>
            <sz val="11"/>
            <name val="Calibri"/>
            <family val="2"/>
            <scheme val="minor"/>
          </font>
          <border>
            <left style="thin">
              <color auto="1"/>
            </left>
            <right style="thin">
              <color auto="1"/>
            </right>
            <top style="thin">
              <color auto="1"/>
            </top>
            <bottom style="thin">
              <color auto="1"/>
            </bottom>
          </border>
        </dxf>
        <dxf>
          <fill>
            <patternFill>
              <bgColor theme="7" tint="0.79998168889431442"/>
            </patternFill>
          </fill>
          <border>
            <left style="thin">
              <color theme="7" tint="0.79998168889431442"/>
            </left>
            <right style="thin">
              <color theme="7" tint="0.79998168889431442"/>
            </right>
            <top style="thin">
              <color theme="7" tint="0.79998168889431442"/>
            </top>
            <bottom style="thin">
              <color theme="7" tint="0.79998168889431442"/>
            </bottom>
          </border>
        </dxf>
        <dxf>
          <fill>
            <patternFill>
              <bgColor rgb="FF678CCF"/>
            </patternFill>
          </fill>
          <border>
            <left style="thin">
              <color rgb="FF678CCF"/>
            </left>
            <right style="thin">
              <color rgb="FF678CCF"/>
            </right>
            <top style="thin">
              <color rgb="FF678CCF"/>
            </top>
            <bottom style="thin">
              <color rgb="FF678CCF"/>
            </bottom>
          </border>
        </dxf>
        <dxf>
          <font>
            <b val="0"/>
            <i val="0"/>
            <sz val="11"/>
            <name val="Calibri"/>
            <family val="2"/>
            <scheme val="minor"/>
          </font>
          <fill>
            <patternFill>
              <bgColor theme="7" tint="0.59996337778862885"/>
            </patternFill>
          </fill>
          <border>
            <left style="thin">
              <color theme="7" tint="0.59996337778862885"/>
            </left>
            <right style="thin">
              <color theme="7" tint="0.59996337778862885"/>
            </right>
            <top style="thin">
              <color theme="7" tint="0.59996337778862885"/>
            </top>
            <bottom style="thin">
              <color theme="7" tint="0.59996337778862885"/>
            </bottom>
          </border>
        </dxf>
        <dxf>
          <font>
            <b val="0"/>
            <i val="0"/>
            <strike val="0"/>
            <sz val="11"/>
            <name val="Calibri"/>
            <family val="2"/>
            <scheme val="minor"/>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11"/>
            <name val="Calibri"/>
            <family val="2"/>
            <scheme val="minor"/>
          </font>
          <fill>
            <patternFill>
              <bgColor theme="4" tint="0.59996337778862885"/>
            </patternFill>
          </fill>
          <border>
            <left style="thin">
              <color theme="4" tint="0.59996337778862885"/>
            </left>
            <right style="thin">
              <color theme="4" tint="0.59996337778862885"/>
            </right>
            <top style="thin">
              <color theme="4" tint="0.59996337778862885"/>
            </top>
            <bottom style="thin">
              <color theme="4" tint="0.59996337778862885"/>
            </bottom>
          </border>
        </dxf>
        <dxf>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SelectedItemWithNoData" dxfId="2"/>
          </x14:slicerStyleElements>
        </x14:slicerStyle>
        <x14:slicerStyle name="Slicer Style 2">
          <x14:slicerStyleElements>
            <x14:slicerStyleElement type="unselectedItemWithNoData" dxfId="1"/>
            <x14:slicerStyleElement type="hoveredSelectedItemWithData" dxfId="0"/>
          </x14:slicerStyleElements>
        </x14:slicerStyle>
      </x14:slicerStyles>
    </ext>
    <ext xmlns:x15="http://schemas.microsoft.com/office/spreadsheetml/2010/11/main" uri="{A0A4C193-F2C1-4fcb-8827-314CF55A85BB}">
      <x15:dxfs count="14">
        <dxf>
          <fill>
            <patternFill patternType="solid">
              <bgColor theme="1"/>
            </patternFill>
          </fill>
        </dxf>
        <dxf>
          <fill>
            <patternFill patternType="solid">
              <fgColor theme="0" tint="-0.14996795556505021"/>
              <bgColor theme="9" tint="0.39994506668294322"/>
            </patternFill>
          </fill>
          <border>
            <left style="thin">
              <color theme="9" tint="0.39994506668294322"/>
            </left>
            <right style="thin">
              <color theme="9" tint="0.39994506668294322"/>
            </right>
            <top style="thin">
              <color theme="9" tint="0.39994506668294322"/>
            </top>
            <bottom style="thin">
              <color theme="9" tint="0.39994506668294322"/>
            </bottom>
          </border>
        </dxf>
        <dxf>
          <fill>
            <patternFill patternType="solid">
              <fgColor theme="0"/>
              <bgColor theme="9" tint="-0.24994659260841701"/>
            </patternFill>
          </fill>
          <border>
            <left style="thin">
              <color theme="9" tint="-0.24994659260841701"/>
            </left>
            <right style="thin">
              <color theme="9" tint="-0.24994659260841701"/>
            </right>
            <top style="thin">
              <color theme="9" tint="-0.24994659260841701"/>
            </top>
            <bottom style="thin">
              <color theme="9" tint="-0.24994659260841701"/>
            </bottom>
          </border>
        </dxf>
        <dxf>
          <font>
            <b val="0"/>
            <i val="0"/>
            <sz val="11"/>
            <color theme="5" tint="-0.24994659260841701"/>
            <name val="Calibri"/>
            <family val="2"/>
            <scheme val="minor"/>
          </font>
        </dxf>
        <dxf>
          <font>
            <b val="0"/>
            <i val="0"/>
            <sz val="11"/>
            <color theme="5" tint="-0.24994659260841701"/>
            <name val="Calibri"/>
            <family val="2"/>
            <scheme val="minor"/>
          </font>
        </dxf>
        <dxf>
          <font>
            <b/>
            <i val="0"/>
            <sz val="11"/>
            <color theme="5" tint="-0.24994659260841701"/>
            <name val="Calibri"/>
            <family val="2"/>
            <scheme val="minor"/>
          </font>
        </dxf>
        <dxf>
          <font>
            <b/>
            <i val="0"/>
            <sz val="11"/>
            <color theme="5" tint="-0.24994659260841701"/>
            <name val="Calibri"/>
            <family val="2"/>
            <scheme val="minor"/>
          </font>
        </dxf>
        <dxf>
          <fill>
            <patternFill patternType="solid">
              <bgColor theme="0"/>
            </patternFill>
          </fill>
        </dxf>
        <dxf>
          <fill>
            <patternFill patternType="solid">
              <fgColor theme="0" tint="-0.1498764000366222"/>
              <bgColor rgb="FF678CCF"/>
            </patternFill>
          </fill>
          <border>
            <left style="thin">
              <color theme="4" tint="0.39994506668294322"/>
            </left>
            <right style="thin">
              <color theme="4" tint="0.39994506668294322"/>
            </right>
            <top style="thin">
              <color theme="4" tint="0.39994506668294322"/>
            </top>
            <bottom style="thin">
              <color theme="4" tint="0.39994506668294322"/>
            </bottom>
          </border>
        </dxf>
        <dxf>
          <fill>
            <patternFill patternType="solid">
              <fgColor theme="0"/>
              <bgColor theme="4" tint="-0.499984740745262"/>
            </patternFill>
          </fill>
          <border>
            <left style="thin">
              <color theme="4" tint="-0.499984740745262"/>
            </left>
            <right style="thin">
              <color theme="4" tint="-0.499984740745262"/>
            </right>
            <top style="thin">
              <color theme="4" tint="-0.499984740745262"/>
            </top>
            <bottom style="thin">
              <color theme="4" tint="-0.499984740745262"/>
            </bottom>
          </border>
        </dxf>
        <dxf>
          <font>
            <b val="0"/>
            <i val="0"/>
            <sz val="11"/>
            <color theme="1" tint="0.14996795556505021"/>
            <name val="Calibri"/>
            <family val="2"/>
            <scheme val="minor"/>
          </font>
        </dxf>
        <dxf>
          <font>
            <b val="0"/>
            <i val="0"/>
            <sz val="11"/>
            <color theme="1" tint="0.14996795556505021"/>
            <name val="Calibri"/>
            <family val="2"/>
            <scheme val="minor"/>
          </font>
        </dxf>
        <dxf>
          <font>
            <b/>
            <i val="0"/>
            <sz val="11"/>
            <color theme="1" tint="0.14996795556505021"/>
            <name val="Calibri"/>
            <family val="2"/>
            <scheme val="minor"/>
          </font>
        </dxf>
        <dxf>
          <font>
            <b/>
            <i val="0"/>
            <sz val="11"/>
            <color theme="1" tint="0.14996795556505021"/>
            <name val="Calibri"/>
            <family val="2"/>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[Real_Estate_Market_Analysis.xlsx]AveragePropertyPriceByTown!PivotTable2</c:name>
    <c:fmtId val="1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t>Average</a:t>
            </a:r>
            <a:r>
              <a:rPr lang="en-US" sz="1600" b="1" baseline="0"/>
              <a:t> Property Price by Town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641880015593"/>
          <c:y val="0.14549881428946176"/>
          <c:w val="0.71869296347351952"/>
          <c:h val="0.67650211615596678"/>
        </c:manualLayout>
      </c:layout>
      <c:barChart>
        <c:barDir val="bar"/>
        <c:grouping val="clustered"/>
        <c:varyColors val="0"/>
        <c:ser>
          <c:idx val="0"/>
          <c:order val="0"/>
          <c:tx>
            <c:strRef>
              <c:f>AveragePropertyPriceByTown!$B$3</c:f>
              <c:strCache>
                <c:ptCount val="1"/>
                <c:pt idx="0">
                  <c:v>Total</c:v>
                </c:pt>
              </c:strCache>
            </c:strRef>
          </c:tx>
          <c:spPr>
            <a:solidFill>
              <a:schemeClr val="accent1">
                <a:lumMod val="50000"/>
              </a:schemeClr>
            </a:solidFill>
            <a:ln>
              <a:noFill/>
            </a:ln>
            <a:effectLst/>
          </c:spPr>
          <c:invertIfNegative val="0"/>
          <c:cat>
            <c:strRef>
              <c:f>AveragePropertyPriceByTown!$A$4:$A$11</c:f>
              <c:strCache>
                <c:ptCount val="7"/>
                <c:pt idx="0">
                  <c:v>New Haven</c:v>
                </c:pt>
                <c:pt idx="1">
                  <c:v>Bridgeport</c:v>
                </c:pt>
                <c:pt idx="2">
                  <c:v>Hartford</c:v>
                </c:pt>
                <c:pt idx="3">
                  <c:v>Waterbury</c:v>
                </c:pt>
                <c:pt idx="4">
                  <c:v>Danbury</c:v>
                </c:pt>
                <c:pt idx="5">
                  <c:v>Stamford</c:v>
                </c:pt>
                <c:pt idx="6">
                  <c:v>Norwalk</c:v>
                </c:pt>
              </c:strCache>
            </c:strRef>
          </c:cat>
          <c:val>
            <c:numRef>
              <c:f>AveragePropertyPriceByTown!$B$4:$B$11</c:f>
              <c:numCache>
                <c:formatCode>[$$-409]#,##0.00</c:formatCode>
                <c:ptCount val="7"/>
                <c:pt idx="0">
                  <c:v>490024.88877755508</c:v>
                </c:pt>
                <c:pt idx="1">
                  <c:v>493043.44012605044</c:v>
                </c:pt>
                <c:pt idx="2">
                  <c:v>501577.1843971631</c:v>
                </c:pt>
                <c:pt idx="3">
                  <c:v>503075.79466119094</c:v>
                </c:pt>
                <c:pt idx="4">
                  <c:v>505984.5653923541</c:v>
                </c:pt>
                <c:pt idx="5">
                  <c:v>508894.34689922479</c:v>
                </c:pt>
                <c:pt idx="6">
                  <c:v>519384.56681034481</c:v>
                </c:pt>
              </c:numCache>
            </c:numRef>
          </c:val>
          <c:extLst>
            <c:ext xmlns:c16="http://schemas.microsoft.com/office/drawing/2014/chart" uri="{C3380CC4-5D6E-409C-BE32-E72D297353CC}">
              <c16:uniqueId val="{00000000-F8BD-4CFE-ABAA-B698AD7830DA}"/>
            </c:ext>
          </c:extLst>
        </c:ser>
        <c:dLbls>
          <c:showLegendKey val="0"/>
          <c:showVal val="0"/>
          <c:showCatName val="0"/>
          <c:showSerName val="0"/>
          <c:showPercent val="0"/>
          <c:showBubbleSize val="0"/>
        </c:dLbls>
        <c:gapWidth val="219"/>
        <c:axId val="515360671"/>
        <c:axId val="515378431"/>
      </c:barChart>
      <c:catAx>
        <c:axId val="515360671"/>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Town</a:t>
                </a:r>
              </a:p>
            </c:rich>
          </c:tx>
          <c:layout>
            <c:manualLayout>
              <c:xMode val="edge"/>
              <c:yMode val="edge"/>
              <c:x val="3.2646758867581192E-2"/>
              <c:y val="0.390861607569373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15378431"/>
        <c:crosses val="autoZero"/>
        <c:auto val="1"/>
        <c:lblAlgn val="ctr"/>
        <c:lblOffset val="100"/>
        <c:noMultiLvlLbl val="0"/>
      </c:catAx>
      <c:valAx>
        <c:axId val="515378431"/>
        <c:scaling>
          <c:orientation val="minMax"/>
          <c:min val="0"/>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Average of Sale Price</a:t>
                </a:r>
              </a:p>
            </c:rich>
          </c:tx>
          <c:layout>
            <c:manualLayout>
              <c:xMode val="edge"/>
              <c:yMode val="edge"/>
              <c:x val="0.42314631982464551"/>
              <c:y val="0.91455891009841905"/>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1536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solidFill>
            <a:sysClr val="windowText" lastClr="000000"/>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[Real_Estate_Market_Analysis.xlsx]PropertySalesDistribution!PivotTable3</c:name>
    <c:fmtId val="20"/>
  </c:pivotSource>
  <c:chart>
    <c:title>
      <c:tx>
        <c:rich>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r>
              <a:rPr lang="en-US" sz="1600" b="1"/>
              <a:t>Property</a:t>
            </a:r>
            <a:r>
              <a:rPr lang="en-US" sz="1600" b="1" baseline="0"/>
              <a:t> Sales Distribution</a:t>
            </a:r>
            <a:endParaRPr lang="en-US" sz="1600" b="1"/>
          </a:p>
        </c:rich>
      </c:tx>
      <c:layout>
        <c:manualLayout>
          <c:xMode val="edge"/>
          <c:yMode val="edge"/>
          <c:x val="0.33622684427874505"/>
          <c:y val="2.807015605471631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03885007035156"/>
          <c:y val="0.16328417345366497"/>
          <c:w val="0.7175880305404122"/>
          <c:h val="0.64123571610559471"/>
        </c:manualLayout>
      </c:layout>
      <c:barChart>
        <c:barDir val="bar"/>
        <c:grouping val="clustered"/>
        <c:varyColors val="0"/>
        <c:ser>
          <c:idx val="0"/>
          <c:order val="0"/>
          <c:tx>
            <c:strRef>
              <c:f>PropertySalesDistribution!$B$3</c:f>
              <c:strCache>
                <c:ptCount val="1"/>
                <c:pt idx="0">
                  <c:v>Total</c:v>
                </c:pt>
              </c:strCache>
            </c:strRef>
          </c:tx>
          <c:spPr>
            <a:solidFill>
              <a:schemeClr val="accent1">
                <a:lumMod val="50000"/>
              </a:schemeClr>
            </a:solidFill>
            <a:ln>
              <a:noFill/>
            </a:ln>
            <a:effectLst/>
          </c:spPr>
          <c:invertIfNegative val="0"/>
          <c:cat>
            <c:strRef>
              <c:f>PropertySalesDistribution!$A$4:$A$8</c:f>
              <c:strCache>
                <c:ptCount val="4"/>
                <c:pt idx="0">
                  <c:v>Single Family</c:v>
                </c:pt>
                <c:pt idx="1">
                  <c:v>Condo</c:v>
                </c:pt>
                <c:pt idx="2">
                  <c:v>Apartment</c:v>
                </c:pt>
                <c:pt idx="3">
                  <c:v>Townhouse</c:v>
                </c:pt>
              </c:strCache>
            </c:strRef>
          </c:cat>
          <c:val>
            <c:numRef>
              <c:f>PropertySalesDistribution!$B$4:$B$8</c:f>
              <c:numCache>
                <c:formatCode>General</c:formatCode>
                <c:ptCount val="4"/>
                <c:pt idx="0">
                  <c:v>1209</c:v>
                </c:pt>
                <c:pt idx="1">
                  <c:v>1215</c:v>
                </c:pt>
                <c:pt idx="2">
                  <c:v>1221</c:v>
                </c:pt>
                <c:pt idx="3">
                  <c:v>1256</c:v>
                </c:pt>
              </c:numCache>
            </c:numRef>
          </c:val>
          <c:extLst>
            <c:ext xmlns:c16="http://schemas.microsoft.com/office/drawing/2014/chart" uri="{C3380CC4-5D6E-409C-BE32-E72D297353CC}">
              <c16:uniqueId val="{00000000-75E3-4AAD-B48C-BFD4446156E4}"/>
            </c:ext>
          </c:extLst>
        </c:ser>
        <c:dLbls>
          <c:showLegendKey val="0"/>
          <c:showVal val="0"/>
          <c:showCatName val="0"/>
          <c:showSerName val="0"/>
          <c:showPercent val="0"/>
          <c:showBubbleSize val="0"/>
        </c:dLbls>
        <c:gapWidth val="182"/>
        <c:axId val="1891634575"/>
        <c:axId val="1891631215"/>
      </c:barChart>
      <c:catAx>
        <c:axId val="1891634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Property Type</a:t>
                </a:r>
              </a:p>
            </c:rich>
          </c:tx>
          <c:layout>
            <c:manualLayout>
              <c:xMode val="edge"/>
              <c:yMode val="edge"/>
              <c:x val="2.0148595894723585E-2"/>
              <c:y val="0.347501036054703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de-DE"/>
          </a:p>
        </c:txPr>
        <c:crossAx val="1891631215"/>
        <c:crosses val="autoZero"/>
        <c:auto val="1"/>
        <c:lblAlgn val="ctr"/>
        <c:lblOffset val="100"/>
        <c:noMultiLvlLbl val="0"/>
      </c:catAx>
      <c:valAx>
        <c:axId val="1891631215"/>
        <c:scaling>
          <c:orientation val="minMax"/>
          <c:min val="0"/>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Count of Sale Price</a:t>
                </a:r>
              </a:p>
            </c:rich>
          </c:tx>
          <c:layout>
            <c:manualLayout>
              <c:xMode val="edge"/>
              <c:yMode val="edge"/>
              <c:x val="0.4318634613175571"/>
              <c:y val="0.909047925249713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de-DE"/>
          </a:p>
        </c:txPr>
        <c:crossAx val="189163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solidFill>
            <a:schemeClr val="tx1">
              <a:lumMod val="95000"/>
              <a:lumOff val="5000"/>
            </a:schemeClr>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[Real_Estate_Market_Analysis.xlsx]AveragePropertyPricePerSqFt!PivotTable1</c:name>
    <c:fmtId val="47"/>
  </c:pivotSource>
  <c:chart>
    <c:title>
      <c:tx>
        <c:rich>
          <a:bodyPr rot="0" spcFirstLastPara="1" vertOverflow="ellipsis" vert="horz" wrap="square" anchor="ctr" anchorCtr="1"/>
          <a:lstStyle/>
          <a:p>
            <a:pPr algn="ctr" rtl="0">
              <a:defRPr sz="1600" b="1" i="0" u="none" strike="noStrike" kern="1200" spc="0" baseline="0">
                <a:solidFill>
                  <a:sysClr val="windowText" lastClr="000000"/>
                </a:solidFill>
                <a:latin typeface="+mn-lt"/>
                <a:ea typeface="+mn-ea"/>
                <a:cs typeface="+mn-cs"/>
              </a:defRPr>
            </a:pPr>
            <a:r>
              <a:rPr lang="en-US" sz="1600" b="1"/>
              <a:t>Average Property Price per Square Foot by Town</a:t>
            </a:r>
          </a:p>
        </c:rich>
      </c:tx>
      <c:layout>
        <c:manualLayout>
          <c:xMode val="edge"/>
          <c:yMode val="edge"/>
          <c:x val="0.18110338504544285"/>
          <c:y val="2.8870216523376433E-2"/>
        </c:manualLayout>
      </c:layout>
      <c:overlay val="0"/>
      <c:spPr>
        <a:noFill/>
        <a:ln>
          <a:noFill/>
        </a:ln>
        <a:effectLst/>
      </c:spPr>
      <c:txPr>
        <a:bodyPr rot="0" spcFirstLastPara="1" vertOverflow="ellipsis" vert="horz" wrap="square" anchor="ctr" anchorCtr="1"/>
        <a:lstStyle/>
        <a:p>
          <a:pPr algn="ctr" rtl="0">
            <a:defRPr sz="1600" b="1" i="0" u="none" strike="noStrike" kern="1200" spc="0" baseline="0">
              <a:solidFill>
                <a:sysClr val="windowText" lastClr="000000"/>
              </a:solidFill>
              <a:latin typeface="+mn-lt"/>
              <a:ea typeface="+mn-ea"/>
              <a:cs typeface="+mn-cs"/>
            </a:defRPr>
          </a:pPr>
          <a:endParaRPr lang="de-DE"/>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4796877858236"/>
          <c:y val="0.16448854785051115"/>
          <c:w val="0.6967872034863567"/>
          <c:h val="0.63577801776109544"/>
        </c:manualLayout>
      </c:layout>
      <c:barChart>
        <c:barDir val="bar"/>
        <c:grouping val="clustered"/>
        <c:varyColors val="0"/>
        <c:ser>
          <c:idx val="0"/>
          <c:order val="0"/>
          <c:tx>
            <c:strRef>
              <c:f>AveragePropertyPricePerSqFt!$B$3</c:f>
              <c:strCache>
                <c:ptCount val="1"/>
                <c:pt idx="0">
                  <c:v>Total</c:v>
                </c:pt>
              </c:strCache>
            </c:strRef>
          </c:tx>
          <c:spPr>
            <a:solidFill>
              <a:schemeClr val="accent1">
                <a:lumMod val="50000"/>
              </a:schemeClr>
            </a:solidFill>
            <a:ln>
              <a:noFill/>
            </a:ln>
            <a:effectLst/>
          </c:spPr>
          <c:invertIfNegative val="0"/>
          <c:cat>
            <c:strRef>
              <c:f>AveragePropertyPricePerSqFt!$A$4:$A$11</c:f>
              <c:strCache>
                <c:ptCount val="7"/>
                <c:pt idx="0">
                  <c:v>New Haven</c:v>
                </c:pt>
                <c:pt idx="1">
                  <c:v>Danbury</c:v>
                </c:pt>
                <c:pt idx="2">
                  <c:v>Bridgeport</c:v>
                </c:pt>
                <c:pt idx="3">
                  <c:v>Waterbury</c:v>
                </c:pt>
                <c:pt idx="4">
                  <c:v>Hartford</c:v>
                </c:pt>
                <c:pt idx="5">
                  <c:v>Norwalk</c:v>
                </c:pt>
                <c:pt idx="6">
                  <c:v>Stamford</c:v>
                </c:pt>
              </c:strCache>
            </c:strRef>
          </c:cat>
          <c:val>
            <c:numRef>
              <c:f>AveragePropertyPricePerSqFt!$B$4:$B$11</c:f>
              <c:numCache>
                <c:formatCode>[$$-409]#,##0.00</c:formatCode>
                <c:ptCount val="7"/>
                <c:pt idx="0">
                  <c:v>259.04309416595157</c:v>
                </c:pt>
                <c:pt idx="1">
                  <c:v>259.09382021680364</c:v>
                </c:pt>
                <c:pt idx="2">
                  <c:v>260.55320245308434</c:v>
                </c:pt>
                <c:pt idx="3">
                  <c:v>266.13523489788321</c:v>
                </c:pt>
                <c:pt idx="4">
                  <c:v>269.80365215130814</c:v>
                </c:pt>
                <c:pt idx="5">
                  <c:v>275.75740508256149</c:v>
                </c:pt>
                <c:pt idx="6">
                  <c:v>276.91919817333803</c:v>
                </c:pt>
              </c:numCache>
            </c:numRef>
          </c:val>
          <c:extLst>
            <c:ext xmlns:c16="http://schemas.microsoft.com/office/drawing/2014/chart" uri="{C3380CC4-5D6E-409C-BE32-E72D297353CC}">
              <c16:uniqueId val="{00000000-C968-40A1-BE36-E2FCEBB5A930}"/>
            </c:ext>
          </c:extLst>
        </c:ser>
        <c:dLbls>
          <c:showLegendKey val="0"/>
          <c:showVal val="0"/>
          <c:showCatName val="0"/>
          <c:showSerName val="0"/>
          <c:showPercent val="0"/>
          <c:showBubbleSize val="0"/>
        </c:dLbls>
        <c:gapWidth val="182"/>
        <c:axId val="1073427919"/>
        <c:axId val="1217213567"/>
      </c:barChart>
      <c:catAx>
        <c:axId val="1073427919"/>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Town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217213567"/>
        <c:crosses val="autoZero"/>
        <c:auto val="1"/>
        <c:lblAlgn val="ctr"/>
        <c:lblOffset val="100"/>
        <c:noMultiLvlLbl val="0"/>
      </c:catAx>
      <c:valAx>
        <c:axId val="1217213567"/>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Average Price per Sq Ft</a:t>
                </a:r>
              </a:p>
            </c:rich>
          </c:tx>
          <c:layout>
            <c:manualLayout>
              <c:xMode val="edge"/>
              <c:yMode val="edge"/>
              <c:x val="0.43016211908556745"/>
              <c:y val="0.9069178103735701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07342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solidFill>
            <a:sysClr val="windowText" lastClr="000000"/>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2000" b="1"/>
              <a:t>Average Property Price Forecast</a:t>
            </a:r>
          </a:p>
        </c:rich>
      </c:tx>
      <c:layout>
        <c:manualLayout>
          <c:xMode val="edge"/>
          <c:yMode val="edge"/>
          <c:x val="0.30549126546024408"/>
          <c:y val="6.2222218139399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manualLayout>
          <c:layoutTarget val="inner"/>
          <c:xMode val="edge"/>
          <c:yMode val="edge"/>
          <c:x val="0.1657857255976822"/>
          <c:y val="0.18893690798751694"/>
          <c:w val="0.77380158201938298"/>
          <c:h val="0.5500589534082051"/>
        </c:manualLayout>
      </c:layout>
      <c:lineChart>
        <c:grouping val="standard"/>
        <c:varyColors val="0"/>
        <c:ser>
          <c:idx val="0"/>
          <c:order val="0"/>
          <c:tx>
            <c:strRef>
              <c:f>PriceForcastModel!$B$1</c:f>
              <c:strCache>
                <c:ptCount val="1"/>
                <c:pt idx="0">
                  <c:v>Average of Sale_Price</c:v>
                </c:pt>
              </c:strCache>
            </c:strRef>
          </c:tx>
          <c:spPr>
            <a:ln w="28575" cap="rnd">
              <a:solidFill>
                <a:schemeClr val="accent1">
                  <a:lumMod val="50000"/>
                </a:schemeClr>
              </a:solidFill>
              <a:round/>
            </a:ln>
            <a:effectLst/>
          </c:spPr>
          <c:marker>
            <c:symbol val="none"/>
          </c:marker>
          <c:val>
            <c:numRef>
              <c:f>PriceForcastModel!$B$2:$B$27</c:f>
              <c:numCache>
                <c:formatCode>[$$-409]#,##0.00</c:formatCode>
                <c:ptCount val="26"/>
                <c:pt idx="0">
                  <c:v>497700.0991735537</c:v>
                </c:pt>
                <c:pt idx="1">
                  <c:v>495067.00873362448</c:v>
                </c:pt>
                <c:pt idx="2">
                  <c:v>502913.31512605044</c:v>
                </c:pt>
                <c:pt idx="3">
                  <c:v>509024.56569343066</c:v>
                </c:pt>
                <c:pt idx="4">
                  <c:v>501520.86973180075</c:v>
                </c:pt>
                <c:pt idx="5">
                  <c:v>512843.98455598456</c:v>
                </c:pt>
                <c:pt idx="6">
                  <c:v>494836.43333333335</c:v>
                </c:pt>
                <c:pt idx="7">
                  <c:v>506165.29910714284</c:v>
                </c:pt>
                <c:pt idx="8">
                  <c:v>489313.42748091603</c:v>
                </c:pt>
                <c:pt idx="9">
                  <c:v>516065.82608695654</c:v>
                </c:pt>
                <c:pt idx="10">
                  <c:v>506498.72834645672</c:v>
                </c:pt>
                <c:pt idx="11">
                  <c:v>473714.02092050208</c:v>
                </c:pt>
                <c:pt idx="12">
                  <c:v>492512.07480314962</c:v>
                </c:pt>
                <c:pt idx="13">
                  <c:v>488231.08898305084</c:v>
                </c:pt>
                <c:pt idx="14">
                  <c:v>503163.19282511208</c:v>
                </c:pt>
                <c:pt idx="15">
                  <c:v>510499.88211382116</c:v>
                </c:pt>
                <c:pt idx="16">
                  <c:v>518142.97468354431</c:v>
                </c:pt>
                <c:pt idx="17">
                  <c:v>514430.99613899615</c:v>
                </c:pt>
                <c:pt idx="18">
                  <c:v>478898.90438247012</c:v>
                </c:pt>
                <c:pt idx="19">
                  <c:v>500313.44855967077</c:v>
                </c:pt>
              </c:numCache>
            </c:numRef>
          </c:val>
          <c:smooth val="0"/>
          <c:extLst>
            <c:ext xmlns:c16="http://schemas.microsoft.com/office/drawing/2014/chart" uri="{C3380CC4-5D6E-409C-BE32-E72D297353CC}">
              <c16:uniqueId val="{00000000-7C91-4089-B28D-1C4130CA4D08}"/>
            </c:ext>
          </c:extLst>
        </c:ser>
        <c:ser>
          <c:idx val="1"/>
          <c:order val="1"/>
          <c:tx>
            <c:strRef>
              <c:f>PriceForcastModel!$C$1</c:f>
              <c:strCache>
                <c:ptCount val="1"/>
                <c:pt idx="0">
                  <c:v>Forecast(Average of Sale_Price)</c:v>
                </c:pt>
              </c:strCache>
            </c:strRef>
          </c:tx>
          <c:spPr>
            <a:ln w="25400" cap="rnd">
              <a:solidFill>
                <a:schemeClr val="accent2"/>
              </a:solidFill>
              <a:round/>
            </a:ln>
            <a:effectLst/>
          </c:spPr>
          <c:marker>
            <c:symbol val="none"/>
          </c:marker>
          <c:cat>
            <c:numRef>
              <c:f>PriceForcastModel!$A$2:$A$27</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PriceForcastModel!$C$2:$C$27</c:f>
              <c:numCache>
                <c:formatCode>General</c:formatCode>
                <c:ptCount val="26"/>
                <c:pt idx="19" formatCode="[$$-409]#,##0.00">
                  <c:v>500313.44855967077</c:v>
                </c:pt>
                <c:pt idx="20" formatCode="[$$-409]#,##0.00">
                  <c:v>497142.5963615973</c:v>
                </c:pt>
                <c:pt idx="21" formatCode="[$$-409]#,##0.00">
                  <c:v>497137.8054353394</c:v>
                </c:pt>
                <c:pt idx="22" formatCode="[$$-409]#,##0.00">
                  <c:v>497133.01450908149</c:v>
                </c:pt>
                <c:pt idx="23" formatCode="[$$-409]#,##0.00">
                  <c:v>497128.22358282359</c:v>
                </c:pt>
                <c:pt idx="24" formatCode="[$$-409]#,##0.00">
                  <c:v>497123.43265656562</c:v>
                </c:pt>
                <c:pt idx="25" formatCode="[$$-409]#,##0.00">
                  <c:v>497118.64173030772</c:v>
                </c:pt>
              </c:numCache>
            </c:numRef>
          </c:val>
          <c:smooth val="0"/>
          <c:extLst>
            <c:ext xmlns:c16="http://schemas.microsoft.com/office/drawing/2014/chart" uri="{C3380CC4-5D6E-409C-BE32-E72D297353CC}">
              <c16:uniqueId val="{00000001-7C91-4089-B28D-1C4130CA4D08}"/>
            </c:ext>
          </c:extLst>
        </c:ser>
        <c:ser>
          <c:idx val="2"/>
          <c:order val="2"/>
          <c:tx>
            <c:strRef>
              <c:f>PriceForcastModel!$D$1</c:f>
              <c:strCache>
                <c:ptCount val="1"/>
                <c:pt idx="0">
                  <c:v>Lower Confidence Bound(Average of Sale_Price)</c:v>
                </c:pt>
              </c:strCache>
            </c:strRef>
          </c:tx>
          <c:spPr>
            <a:ln w="12700" cap="rnd">
              <a:solidFill>
                <a:srgbClr val="ED7D31"/>
              </a:solidFill>
              <a:prstDash val="solid"/>
              <a:round/>
            </a:ln>
            <a:effectLst/>
          </c:spPr>
          <c:marker>
            <c:symbol val="none"/>
          </c:marker>
          <c:cat>
            <c:numRef>
              <c:f>PriceForcastModel!$A$2:$A$27</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PriceForcastModel!$D$2:$D$27</c:f>
              <c:numCache>
                <c:formatCode>General</c:formatCode>
                <c:ptCount val="26"/>
                <c:pt idx="19" formatCode="[$$-409]#,##0.00">
                  <c:v>500313.44855967077</c:v>
                </c:pt>
                <c:pt idx="20" formatCode="[$$-409]#,##0.00">
                  <c:v>473258.91721036518</c:v>
                </c:pt>
                <c:pt idx="21" formatCode="[$$-409]#,##0.00">
                  <c:v>473254.01880779292</c:v>
                </c:pt>
                <c:pt idx="22" formatCode="[$$-409]#,##0.00">
                  <c:v>473249.03681372583</c:v>
                </c:pt>
                <c:pt idx="23" formatCode="[$$-409]#,##0.00">
                  <c:v>473243.94734707614</c:v>
                </c:pt>
                <c:pt idx="24" formatCode="[$$-409]#,##0.00">
                  <c:v>473238.72652920953</c:v>
                </c:pt>
                <c:pt idx="25" formatCode="[$$-409]#,##0.00">
                  <c:v>473233.35048513924</c:v>
                </c:pt>
              </c:numCache>
            </c:numRef>
          </c:val>
          <c:smooth val="0"/>
          <c:extLst>
            <c:ext xmlns:c16="http://schemas.microsoft.com/office/drawing/2014/chart" uri="{C3380CC4-5D6E-409C-BE32-E72D297353CC}">
              <c16:uniqueId val="{00000002-7C91-4089-B28D-1C4130CA4D08}"/>
            </c:ext>
          </c:extLst>
        </c:ser>
        <c:ser>
          <c:idx val="3"/>
          <c:order val="3"/>
          <c:tx>
            <c:strRef>
              <c:f>PriceForcastModel!$E$1</c:f>
              <c:strCache>
                <c:ptCount val="1"/>
                <c:pt idx="0">
                  <c:v>Upper Confidence Bound(Average of Sale_Price)</c:v>
                </c:pt>
              </c:strCache>
            </c:strRef>
          </c:tx>
          <c:spPr>
            <a:ln w="12700" cap="rnd">
              <a:solidFill>
                <a:srgbClr val="ED7D31"/>
              </a:solidFill>
              <a:prstDash val="solid"/>
              <a:round/>
            </a:ln>
            <a:effectLst/>
          </c:spPr>
          <c:marker>
            <c:symbol val="none"/>
          </c:marker>
          <c:cat>
            <c:numRef>
              <c:f>PriceForcastModel!$A$2:$A$27</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PriceForcastModel!$E$2:$E$27</c:f>
              <c:numCache>
                <c:formatCode>General</c:formatCode>
                <c:ptCount val="26"/>
                <c:pt idx="19" formatCode="[$$-409]#,##0.00">
                  <c:v>500313.44855967077</c:v>
                </c:pt>
                <c:pt idx="20" formatCode="[$$-409]#,##0.00">
                  <c:v>521026.27551282942</c:v>
                </c:pt>
                <c:pt idx="21" formatCode="[$$-409]#,##0.00">
                  <c:v>521021.59206288587</c:v>
                </c:pt>
                <c:pt idx="22" formatCode="[$$-409]#,##0.00">
                  <c:v>521016.99220443715</c:v>
                </c:pt>
                <c:pt idx="23" formatCode="[$$-409]#,##0.00">
                  <c:v>521012.49981857103</c:v>
                </c:pt>
                <c:pt idx="24" formatCode="[$$-409]#,##0.00">
                  <c:v>521008.13878392172</c:v>
                </c:pt>
                <c:pt idx="25" formatCode="[$$-409]#,##0.00">
                  <c:v>521003.9329754762</c:v>
                </c:pt>
              </c:numCache>
            </c:numRef>
          </c:val>
          <c:smooth val="0"/>
          <c:extLst>
            <c:ext xmlns:c16="http://schemas.microsoft.com/office/drawing/2014/chart" uri="{C3380CC4-5D6E-409C-BE32-E72D297353CC}">
              <c16:uniqueId val="{00000003-7C91-4089-B28D-1C4130CA4D08}"/>
            </c:ext>
          </c:extLst>
        </c:ser>
        <c:dLbls>
          <c:showLegendKey val="0"/>
          <c:showVal val="0"/>
          <c:showCatName val="0"/>
          <c:showSerName val="0"/>
          <c:showPercent val="0"/>
          <c:showBubbleSize val="0"/>
        </c:dLbls>
        <c:smooth val="0"/>
        <c:axId val="2035921743"/>
        <c:axId val="2035919343"/>
      </c:lineChart>
      <c:catAx>
        <c:axId val="203592174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035919343"/>
        <c:crosses val="autoZero"/>
        <c:auto val="1"/>
        <c:lblAlgn val="ctr"/>
        <c:lblOffset val="100"/>
        <c:noMultiLvlLbl val="0"/>
      </c:catAx>
      <c:valAx>
        <c:axId val="2035919343"/>
        <c:scaling>
          <c:orientation val="minMax"/>
        </c:scaling>
        <c:delete val="0"/>
        <c:axPos val="l"/>
        <c:majorGridlines>
          <c:spPr>
            <a:ln w="9525" cap="flat" cmpd="sng" algn="ctr">
              <a:solidFill>
                <a:schemeClr val="bg1"/>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035921743"/>
        <c:crosses val="autoZero"/>
        <c:crossBetween val="between"/>
      </c:valAx>
      <c:spPr>
        <a:noFill/>
        <a:ln>
          <a:noFill/>
        </a:ln>
        <a:effectLst/>
      </c:spPr>
    </c:plotArea>
    <c:legend>
      <c:legendPos val="b"/>
      <c:layout>
        <c:manualLayout>
          <c:xMode val="edge"/>
          <c:yMode val="edge"/>
          <c:x val="0.15538533058639847"/>
          <c:y val="0.85964021043480687"/>
          <c:w val="0.70592764207020209"/>
          <c:h val="6.442956947535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solidFill>
            <a:sysClr val="windowText" lastClr="000000"/>
          </a:solidFill>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[Real_Estate_Market_Analysis.xlsx]NumberOfPropertySalesByTown!PivotTable2</c:name>
    <c:fmtId val="1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t>Number</a:t>
            </a:r>
            <a:r>
              <a:rPr lang="en-US" sz="1600" b="1" baseline="0"/>
              <a:t> of Property Sales by Town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6378447977021"/>
          <c:y val="0.18474564988929312"/>
          <c:w val="0.70112655588296868"/>
          <c:h val="0.66070246427529888"/>
        </c:manualLayout>
      </c:layout>
      <c:barChart>
        <c:barDir val="bar"/>
        <c:grouping val="clustered"/>
        <c:varyColors val="0"/>
        <c:ser>
          <c:idx val="0"/>
          <c:order val="0"/>
          <c:tx>
            <c:strRef>
              <c:f>NumberOfPropertySalesByTown!$B$3</c:f>
              <c:strCache>
                <c:ptCount val="1"/>
                <c:pt idx="0">
                  <c:v>Total</c:v>
                </c:pt>
              </c:strCache>
            </c:strRef>
          </c:tx>
          <c:spPr>
            <a:solidFill>
              <a:schemeClr val="accent1">
                <a:lumMod val="50000"/>
              </a:schemeClr>
            </a:solidFill>
            <a:ln>
              <a:noFill/>
            </a:ln>
            <a:effectLst/>
          </c:spPr>
          <c:invertIfNegative val="0"/>
          <c:cat>
            <c:strRef>
              <c:f>NumberOfPropertySalesByTown!$A$4:$A$11</c:f>
              <c:strCache>
                <c:ptCount val="7"/>
                <c:pt idx="0">
                  <c:v>Norwalk</c:v>
                </c:pt>
                <c:pt idx="1">
                  <c:v>Waterbury</c:v>
                </c:pt>
                <c:pt idx="2">
                  <c:v>Danbury</c:v>
                </c:pt>
                <c:pt idx="3">
                  <c:v>Stamford</c:v>
                </c:pt>
                <c:pt idx="4">
                  <c:v>Bridgeport</c:v>
                </c:pt>
                <c:pt idx="5">
                  <c:v>Hartford</c:v>
                </c:pt>
                <c:pt idx="6">
                  <c:v>New Haven</c:v>
                </c:pt>
              </c:strCache>
            </c:strRef>
          </c:cat>
          <c:val>
            <c:numRef>
              <c:f>NumberOfPropertySalesByTown!$B$4:$B$11</c:f>
              <c:numCache>
                <c:formatCode>General</c:formatCode>
                <c:ptCount val="7"/>
                <c:pt idx="0">
                  <c:v>464</c:v>
                </c:pt>
                <c:pt idx="1">
                  <c:v>487</c:v>
                </c:pt>
                <c:pt idx="2">
                  <c:v>497</c:v>
                </c:pt>
                <c:pt idx="3">
                  <c:v>516</c:v>
                </c:pt>
                <c:pt idx="4">
                  <c:v>952</c:v>
                </c:pt>
                <c:pt idx="5">
                  <c:v>987</c:v>
                </c:pt>
                <c:pt idx="6">
                  <c:v>998</c:v>
                </c:pt>
              </c:numCache>
            </c:numRef>
          </c:val>
          <c:extLst>
            <c:ext xmlns:c16="http://schemas.microsoft.com/office/drawing/2014/chart" uri="{C3380CC4-5D6E-409C-BE32-E72D297353CC}">
              <c16:uniqueId val="{00000000-457D-4311-9E19-B5B80CF4F167}"/>
            </c:ext>
          </c:extLst>
        </c:ser>
        <c:dLbls>
          <c:showLegendKey val="0"/>
          <c:showVal val="0"/>
          <c:showCatName val="0"/>
          <c:showSerName val="0"/>
          <c:showPercent val="0"/>
          <c:showBubbleSize val="0"/>
        </c:dLbls>
        <c:gapWidth val="182"/>
        <c:axId val="152515551"/>
        <c:axId val="152520831"/>
      </c:barChart>
      <c:catAx>
        <c:axId val="152515551"/>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Town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52520831"/>
        <c:crosses val="autoZero"/>
        <c:auto val="1"/>
        <c:lblAlgn val="ctr"/>
        <c:lblOffset val="100"/>
        <c:noMultiLvlLbl val="0"/>
      </c:catAx>
      <c:valAx>
        <c:axId val="152520831"/>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Count of Sale_Price</a:t>
                </a:r>
              </a:p>
            </c:rich>
          </c:tx>
          <c:layout>
            <c:manualLayout>
              <c:xMode val="edge"/>
              <c:yMode val="edge"/>
              <c:x val="0.43045021979614512"/>
              <c:y val="0.9166666666666666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5251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solidFill>
            <a:sysClr val="windowText" lastClr="000000"/>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[Real_Estate_Market_Analysis.xlsx]AveragePriceByYear!PivotTable1</c:name>
    <c:fmtId val="41"/>
  </c:pivotSource>
  <c:chart>
    <c:title>
      <c:tx>
        <c:rich>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r>
              <a:rPr lang="en-US" sz="1600" b="1"/>
              <a:t>Average Property Price Trend</a:t>
            </a:r>
          </a:p>
        </c:rich>
      </c:tx>
      <c:layout>
        <c:manualLayout>
          <c:xMode val="edge"/>
          <c:yMode val="edge"/>
          <c:x val="0.34869258530183733"/>
          <c:y val="4.178416281526554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00738188976382"/>
          <c:y val="0.1980605209351517"/>
          <c:w val="0.74543640611917794"/>
          <c:h val="0.65796806338032376"/>
        </c:manualLayout>
      </c:layout>
      <c:lineChart>
        <c:grouping val="standard"/>
        <c:varyColors val="0"/>
        <c:ser>
          <c:idx val="0"/>
          <c:order val="0"/>
          <c:tx>
            <c:strRef>
              <c:f>AveragePriceByYear!$B$3</c:f>
              <c:strCache>
                <c:ptCount val="1"/>
                <c:pt idx="0">
                  <c:v>Total</c:v>
                </c:pt>
              </c:strCache>
            </c:strRef>
          </c:tx>
          <c:spPr>
            <a:ln w="28575" cap="rnd">
              <a:solidFill>
                <a:schemeClr val="accent1">
                  <a:lumMod val="50000"/>
                </a:schemeClr>
              </a:solidFill>
              <a:round/>
            </a:ln>
            <a:effectLst/>
          </c:spPr>
          <c:marker>
            <c:symbol val="none"/>
          </c:marker>
          <c:cat>
            <c:strRef>
              <c:f>AveragePriceByYear!$A$4:$A$24</c:f>
              <c:strCache>
                <c:ptCount val="2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strCache>
            </c:strRef>
          </c:cat>
          <c:val>
            <c:numRef>
              <c:f>AveragePriceByYear!$B$4:$B$24</c:f>
              <c:numCache>
                <c:formatCode>[$$-409]#,##0.00</c:formatCode>
                <c:ptCount val="20"/>
                <c:pt idx="0">
                  <c:v>497700.0991735537</c:v>
                </c:pt>
                <c:pt idx="1">
                  <c:v>495067.00873362448</c:v>
                </c:pt>
                <c:pt idx="2">
                  <c:v>502913.31512605044</c:v>
                </c:pt>
                <c:pt idx="3">
                  <c:v>509024.56569343066</c:v>
                </c:pt>
                <c:pt idx="4">
                  <c:v>501520.86973180075</c:v>
                </c:pt>
                <c:pt idx="5">
                  <c:v>512843.98455598456</c:v>
                </c:pt>
                <c:pt idx="6">
                  <c:v>494836.43333333335</c:v>
                </c:pt>
                <c:pt idx="7">
                  <c:v>506165.29910714284</c:v>
                </c:pt>
                <c:pt idx="8">
                  <c:v>489313.42748091603</c:v>
                </c:pt>
                <c:pt idx="9">
                  <c:v>516065.82608695654</c:v>
                </c:pt>
                <c:pt idx="10">
                  <c:v>506498.72834645672</c:v>
                </c:pt>
                <c:pt idx="11">
                  <c:v>473714.02092050208</c:v>
                </c:pt>
                <c:pt idx="12">
                  <c:v>492512.07480314962</c:v>
                </c:pt>
                <c:pt idx="13">
                  <c:v>488231.08898305084</c:v>
                </c:pt>
                <c:pt idx="14">
                  <c:v>503163.19282511208</c:v>
                </c:pt>
                <c:pt idx="15">
                  <c:v>510499.88211382116</c:v>
                </c:pt>
                <c:pt idx="16">
                  <c:v>518142.97468354431</c:v>
                </c:pt>
                <c:pt idx="17">
                  <c:v>514430.99613899615</c:v>
                </c:pt>
                <c:pt idx="18">
                  <c:v>478898.90438247012</c:v>
                </c:pt>
                <c:pt idx="19">
                  <c:v>500313.44855967077</c:v>
                </c:pt>
              </c:numCache>
            </c:numRef>
          </c:val>
          <c:smooth val="0"/>
          <c:extLst>
            <c:ext xmlns:c16="http://schemas.microsoft.com/office/drawing/2014/chart" uri="{C3380CC4-5D6E-409C-BE32-E72D297353CC}">
              <c16:uniqueId val="{00000000-F6BE-4C48-9357-0015B51EF418}"/>
            </c:ext>
          </c:extLst>
        </c:ser>
        <c:dLbls>
          <c:showLegendKey val="0"/>
          <c:showVal val="0"/>
          <c:showCatName val="0"/>
          <c:showSerName val="0"/>
          <c:showPercent val="0"/>
          <c:showBubbleSize val="0"/>
        </c:dLbls>
        <c:smooth val="0"/>
        <c:axId val="412317407"/>
        <c:axId val="412318847"/>
      </c:lineChart>
      <c:catAx>
        <c:axId val="41231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95000"/>
                    <a:lumOff val="5000"/>
                  </a:schemeClr>
                </a:solidFill>
                <a:latin typeface="+mn-lt"/>
                <a:ea typeface="+mn-ea"/>
                <a:cs typeface="+mn-cs"/>
              </a:defRPr>
            </a:pPr>
            <a:endParaRPr lang="de-DE"/>
          </a:p>
        </c:txPr>
        <c:crossAx val="412318847"/>
        <c:crosses val="autoZero"/>
        <c:auto val="1"/>
        <c:lblAlgn val="ctr"/>
        <c:lblOffset val="100"/>
        <c:noMultiLvlLbl val="0"/>
      </c:catAx>
      <c:valAx>
        <c:axId val="41231884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Average Sale Price</a:t>
                </a:r>
              </a:p>
            </c:rich>
          </c:tx>
          <c:layout>
            <c:manualLayout>
              <c:xMode val="edge"/>
              <c:yMode val="edge"/>
              <c:x val="1.8273632039594794E-2"/>
              <c:y val="0.322293076544588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de-DE"/>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de-DE"/>
          </a:p>
        </c:txPr>
        <c:crossAx val="412317407"/>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solidFill>
            <a:schemeClr val="tx1">
              <a:lumMod val="95000"/>
              <a:lumOff val="5000"/>
            </a:schemeClr>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[Real_Estate_Market_Analysis.xlsx]NumberOfPropertySalesByYear!PivotTable1</c:name>
    <c:fmtId val="1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baseline="0"/>
              <a:t>Number of Property Sales by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6459973753282"/>
          <c:y val="0.20022948702092866"/>
          <c:w val="0.73499163385826771"/>
          <c:h val="0.65723811683225464"/>
        </c:manualLayout>
      </c:layout>
      <c:lineChart>
        <c:grouping val="standard"/>
        <c:varyColors val="0"/>
        <c:ser>
          <c:idx val="0"/>
          <c:order val="0"/>
          <c:tx>
            <c:strRef>
              <c:f>NumberOfPropertySalesByYear!$B$3</c:f>
              <c:strCache>
                <c:ptCount val="1"/>
                <c:pt idx="0">
                  <c:v>Total</c:v>
                </c:pt>
              </c:strCache>
            </c:strRef>
          </c:tx>
          <c:spPr>
            <a:ln w="28575" cap="rnd">
              <a:solidFill>
                <a:schemeClr val="accent1">
                  <a:lumMod val="50000"/>
                </a:schemeClr>
              </a:solidFill>
              <a:round/>
            </a:ln>
            <a:effectLst/>
          </c:spPr>
          <c:marker>
            <c:symbol val="none"/>
          </c:marker>
          <c:cat>
            <c:strRef>
              <c:f>NumberOfPropertySalesByYear!$A$4:$A$24</c:f>
              <c:strCache>
                <c:ptCount val="20"/>
                <c:pt idx="0">
                  <c:v>2004</c:v>
                </c:pt>
                <c:pt idx="1">
                  <c:v>2009</c:v>
                </c:pt>
                <c:pt idx="2">
                  <c:v>2005</c:v>
                </c:pt>
                <c:pt idx="3">
                  <c:v>2006</c:v>
                </c:pt>
                <c:pt idx="4">
                  <c:v>2018</c:v>
                </c:pt>
                <c:pt idx="5">
                  <c:v>2013</c:v>
                </c:pt>
                <c:pt idx="6">
                  <c:v>2011</c:v>
                </c:pt>
                <c:pt idx="7">
                  <c:v>2019</c:v>
                </c:pt>
                <c:pt idx="8">
                  <c:v>2016</c:v>
                </c:pt>
                <c:pt idx="9">
                  <c:v>2020</c:v>
                </c:pt>
                <c:pt idx="10">
                  <c:v>2001</c:v>
                </c:pt>
                <c:pt idx="11">
                  <c:v>2007</c:v>
                </c:pt>
                <c:pt idx="12">
                  <c:v>2012</c:v>
                </c:pt>
                <c:pt idx="13">
                  <c:v>2003</c:v>
                </c:pt>
                <c:pt idx="14">
                  <c:v>2017</c:v>
                </c:pt>
                <c:pt idx="15">
                  <c:v>2014</c:v>
                </c:pt>
                <c:pt idx="16">
                  <c:v>2010</c:v>
                </c:pt>
                <c:pt idx="17">
                  <c:v>2002</c:v>
                </c:pt>
                <c:pt idx="18">
                  <c:v>2008</c:v>
                </c:pt>
                <c:pt idx="19">
                  <c:v>2015</c:v>
                </c:pt>
              </c:strCache>
            </c:strRef>
          </c:cat>
          <c:val>
            <c:numRef>
              <c:f>NumberOfPropertySalesByYear!$B$4:$B$24</c:f>
              <c:numCache>
                <c:formatCode>General</c:formatCode>
                <c:ptCount val="20"/>
                <c:pt idx="0">
                  <c:v>274</c:v>
                </c:pt>
                <c:pt idx="1">
                  <c:v>262</c:v>
                </c:pt>
                <c:pt idx="2">
                  <c:v>261</c:v>
                </c:pt>
                <c:pt idx="3">
                  <c:v>259</c:v>
                </c:pt>
                <c:pt idx="4">
                  <c:v>259</c:v>
                </c:pt>
                <c:pt idx="5">
                  <c:v>254</c:v>
                </c:pt>
                <c:pt idx="6">
                  <c:v>254</c:v>
                </c:pt>
                <c:pt idx="7">
                  <c:v>251</c:v>
                </c:pt>
                <c:pt idx="8">
                  <c:v>246</c:v>
                </c:pt>
                <c:pt idx="9">
                  <c:v>243</c:v>
                </c:pt>
                <c:pt idx="10">
                  <c:v>242</c:v>
                </c:pt>
                <c:pt idx="11">
                  <c:v>240</c:v>
                </c:pt>
                <c:pt idx="12">
                  <c:v>239</c:v>
                </c:pt>
                <c:pt idx="13">
                  <c:v>238</c:v>
                </c:pt>
                <c:pt idx="14">
                  <c:v>237</c:v>
                </c:pt>
                <c:pt idx="15">
                  <c:v>236</c:v>
                </c:pt>
                <c:pt idx="16">
                  <c:v>230</c:v>
                </c:pt>
                <c:pt idx="17">
                  <c:v>229</c:v>
                </c:pt>
                <c:pt idx="18">
                  <c:v>224</c:v>
                </c:pt>
                <c:pt idx="19">
                  <c:v>223</c:v>
                </c:pt>
              </c:numCache>
            </c:numRef>
          </c:val>
          <c:smooth val="0"/>
          <c:extLst>
            <c:ext xmlns:c16="http://schemas.microsoft.com/office/drawing/2014/chart" uri="{C3380CC4-5D6E-409C-BE32-E72D297353CC}">
              <c16:uniqueId val="{00000000-11C8-49E7-A6BE-0C573B5F316D}"/>
            </c:ext>
          </c:extLst>
        </c:ser>
        <c:dLbls>
          <c:showLegendKey val="0"/>
          <c:showVal val="0"/>
          <c:showCatName val="0"/>
          <c:showSerName val="0"/>
          <c:showPercent val="0"/>
          <c:showBubbleSize val="0"/>
        </c:dLbls>
        <c:smooth val="0"/>
        <c:axId val="412265567"/>
        <c:axId val="412270367"/>
      </c:lineChart>
      <c:catAx>
        <c:axId val="41226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412270367"/>
        <c:crosses val="autoZero"/>
        <c:auto val="1"/>
        <c:lblAlgn val="ctr"/>
        <c:lblOffset val="100"/>
        <c:noMultiLvlLbl val="0"/>
      </c:catAx>
      <c:valAx>
        <c:axId val="41227036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Count of Sales Price</a:t>
                </a:r>
              </a:p>
            </c:rich>
          </c:tx>
          <c:layout>
            <c:manualLayout>
              <c:xMode val="edge"/>
              <c:yMode val="edge"/>
              <c:x val="3.0530832914502714E-2"/>
              <c:y val="0.336781342011467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41226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solidFill>
            <a:sysClr val="windowText" lastClr="000000"/>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76201</xdr:colOff>
      <xdr:row>12</xdr:row>
      <xdr:rowOff>108857</xdr:rowOff>
    </xdr:from>
    <xdr:to>
      <xdr:col>41</xdr:col>
      <xdr:colOff>0</xdr:colOff>
      <xdr:row>21</xdr:row>
      <xdr:rowOff>54429</xdr:rowOff>
    </xdr:to>
    <mc:AlternateContent xmlns:mc="http://schemas.openxmlformats.org/markup-compatibility/2006" xmlns:tsle="http://schemas.microsoft.com/office/drawing/2012/timeslicer">
      <mc:Choice Requires="tsle">
        <xdr:graphicFrame macro="">
          <xdr:nvGraphicFramePr>
            <xdr:cNvPr id="3" name="Sale_Date">
              <a:extLst>
                <a:ext uri="{FF2B5EF4-FFF2-40B4-BE49-F238E27FC236}">
                  <a16:creationId xmlns:a16="http://schemas.microsoft.com/office/drawing/2014/main" id="{1DF092D8-C2EC-4361-AA72-85B17B3D4668}"/>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76200" y="2198914"/>
              <a:ext cx="24397605" cy="1611086"/>
            </a:xfrm>
            <a:prstGeom prst="rect">
              <a:avLst/>
            </a:prstGeom>
            <a:solidFill>
              <a:prstClr val="white"/>
            </a:solidFill>
            <a:ln w="1">
              <a:solidFill>
                <a:prstClr val="green"/>
              </a:solidFill>
            </a:ln>
          </xdr:spPr>
          <xdr:txBody>
            <a:bodyPr vertOverflow="clip" horzOverflow="clip"/>
            <a:lstStyle/>
            <a:p>
              <a:r>
                <a:rPr lang="de-DE" sz="1100"/>
                <a:t>Timeline: Works in Excel 2013 or higher. Do not move or resize.</a:t>
              </a:r>
            </a:p>
          </xdr:txBody>
        </xdr:sp>
      </mc:Fallback>
    </mc:AlternateContent>
    <xdr:clientData/>
  </xdr:twoCellAnchor>
  <xdr:twoCellAnchor>
    <xdr:from>
      <xdr:col>0</xdr:col>
      <xdr:colOff>76200</xdr:colOff>
      <xdr:row>40</xdr:row>
      <xdr:rowOff>108857</xdr:rowOff>
    </xdr:from>
    <xdr:to>
      <xdr:col>9</xdr:col>
      <xdr:colOff>598714</xdr:colOff>
      <xdr:row>57</xdr:row>
      <xdr:rowOff>0</xdr:rowOff>
    </xdr:to>
    <xdr:graphicFrame macro="">
      <xdr:nvGraphicFramePr>
        <xdr:cNvPr id="5" name="Chart 4">
          <a:extLst>
            <a:ext uri="{FF2B5EF4-FFF2-40B4-BE49-F238E27FC236}">
              <a16:creationId xmlns:a16="http://schemas.microsoft.com/office/drawing/2014/main" id="{116766BB-D4E8-417D-B170-C2B0644C9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355668</xdr:colOff>
      <xdr:row>40</xdr:row>
      <xdr:rowOff>101375</xdr:rowOff>
    </xdr:from>
    <xdr:to>
      <xdr:col>28</xdr:col>
      <xdr:colOff>10886</xdr:colOff>
      <xdr:row>57</xdr:row>
      <xdr:rowOff>32657</xdr:rowOff>
    </xdr:to>
    <xdr:graphicFrame macro="">
      <xdr:nvGraphicFramePr>
        <xdr:cNvPr id="8" name="Chart 7">
          <a:extLst>
            <a:ext uri="{FF2B5EF4-FFF2-40B4-BE49-F238E27FC236}">
              <a16:creationId xmlns:a16="http://schemas.microsoft.com/office/drawing/2014/main" id="{5E6DA670-3302-4D6A-8731-423165E76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272144</xdr:colOff>
      <xdr:row>6</xdr:row>
      <xdr:rowOff>32657</xdr:rowOff>
    </xdr:from>
    <xdr:to>
      <xdr:col>41</xdr:col>
      <xdr:colOff>0</xdr:colOff>
      <xdr:row>12</xdr:row>
      <xdr:rowOff>54428</xdr:rowOff>
    </xdr:to>
    <mc:AlternateContent xmlns:mc="http://schemas.openxmlformats.org/markup-compatibility/2006">
      <mc:Choice xmlns:a14="http://schemas.microsoft.com/office/drawing/2010/main" Requires="a14">
        <xdr:graphicFrame macro="">
          <xdr:nvGraphicFramePr>
            <xdr:cNvPr id="9" name="Property_Type">
              <a:extLst>
                <a:ext uri="{FF2B5EF4-FFF2-40B4-BE49-F238E27FC236}">
                  <a16:creationId xmlns:a16="http://schemas.microsoft.com/office/drawing/2014/main" id="{BD912003-B818-4D5D-B42F-4ABE9305AD2F}"/>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dr:sp macro="" textlink="">
          <xdr:nvSpPr>
            <xdr:cNvPr id="0" name=""/>
            <xdr:cNvSpPr>
              <a:spLocks noTextEdit="1"/>
            </xdr:cNvSpPr>
          </xdr:nvSpPr>
          <xdr:spPr>
            <a:xfrm>
              <a:off x="21695230" y="1012371"/>
              <a:ext cx="2775856" cy="1132114"/>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43543</xdr:colOff>
      <xdr:row>1</xdr:row>
      <xdr:rowOff>43543</xdr:rowOff>
    </xdr:from>
    <xdr:to>
      <xdr:col>40</xdr:col>
      <xdr:colOff>587827</xdr:colOff>
      <xdr:row>5</xdr:row>
      <xdr:rowOff>103021</xdr:rowOff>
    </xdr:to>
    <xdr:sp macro="" textlink="">
      <xdr:nvSpPr>
        <xdr:cNvPr id="10" name="Rectangle 9">
          <a:extLst>
            <a:ext uri="{FF2B5EF4-FFF2-40B4-BE49-F238E27FC236}">
              <a16:creationId xmlns:a16="http://schemas.microsoft.com/office/drawing/2014/main" id="{EB258F1B-938D-1845-9EA3-C261B817EC30}"/>
            </a:ext>
          </a:extLst>
        </xdr:cNvPr>
        <xdr:cNvSpPr/>
      </xdr:nvSpPr>
      <xdr:spPr>
        <a:xfrm>
          <a:off x="43543" y="97972"/>
          <a:ext cx="24405770" cy="799706"/>
        </a:xfrm>
        <a:prstGeom prst="rect">
          <a:avLst/>
        </a:prstGeom>
        <a:solidFill>
          <a:schemeClr val="accent1">
            <a:lumMod val="5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de-DE" sz="2800" b="1">
              <a:solidFill>
                <a:schemeClr val="bg1">
                  <a:lumMod val="95000"/>
                </a:schemeClr>
              </a:solidFill>
            </a:rPr>
            <a:t>REAL</a:t>
          </a:r>
          <a:r>
            <a:rPr lang="de-DE" sz="2800" b="1" baseline="0">
              <a:solidFill>
                <a:schemeClr val="bg1">
                  <a:lumMod val="95000"/>
                </a:schemeClr>
              </a:solidFill>
            </a:rPr>
            <a:t> ESTATE MARKET ANALYSIS DASHBOARD (2001 - 2020)</a:t>
          </a:r>
          <a:endParaRPr lang="de-DE" sz="2800" b="1">
            <a:solidFill>
              <a:schemeClr val="bg1">
                <a:lumMod val="95000"/>
              </a:schemeClr>
            </a:solidFill>
          </a:endParaRPr>
        </a:p>
      </xdr:txBody>
    </xdr:sp>
    <xdr:clientData/>
  </xdr:twoCellAnchor>
  <xdr:twoCellAnchor>
    <xdr:from>
      <xdr:col>10</xdr:col>
      <xdr:colOff>130628</xdr:colOff>
      <xdr:row>40</xdr:row>
      <xdr:rowOff>108857</xdr:rowOff>
    </xdr:from>
    <xdr:to>
      <xdr:col>19</xdr:col>
      <xdr:colOff>217713</xdr:colOff>
      <xdr:row>57</xdr:row>
      <xdr:rowOff>0</xdr:rowOff>
    </xdr:to>
    <xdr:graphicFrame macro="">
      <xdr:nvGraphicFramePr>
        <xdr:cNvPr id="14" name="Chart 13">
          <a:extLst>
            <a:ext uri="{FF2B5EF4-FFF2-40B4-BE49-F238E27FC236}">
              <a16:creationId xmlns:a16="http://schemas.microsoft.com/office/drawing/2014/main" id="{06B1454F-328F-4499-B199-9BEDC500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119740</xdr:colOff>
      <xdr:row>21</xdr:row>
      <xdr:rowOff>174172</xdr:rowOff>
    </xdr:from>
    <xdr:to>
      <xdr:col>41</xdr:col>
      <xdr:colOff>-1</xdr:colOff>
      <xdr:row>57</xdr:row>
      <xdr:rowOff>-1</xdr:rowOff>
    </xdr:to>
    <xdr:graphicFrame macro="">
      <xdr:nvGraphicFramePr>
        <xdr:cNvPr id="15" name="Chart 14">
          <a:extLst>
            <a:ext uri="{FF2B5EF4-FFF2-40B4-BE49-F238E27FC236}">
              <a16:creationId xmlns:a16="http://schemas.microsoft.com/office/drawing/2014/main" id="{80AFD98F-325D-409D-9357-495032B91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364671</xdr:colOff>
      <xdr:row>21</xdr:row>
      <xdr:rowOff>161925</xdr:rowOff>
    </xdr:from>
    <xdr:to>
      <xdr:col>28</xdr:col>
      <xdr:colOff>0</xdr:colOff>
      <xdr:row>40</xdr:row>
      <xdr:rowOff>0</xdr:rowOff>
    </xdr:to>
    <xdr:graphicFrame macro="">
      <xdr:nvGraphicFramePr>
        <xdr:cNvPr id="16" name="Chart 15">
          <a:extLst>
            <a:ext uri="{FF2B5EF4-FFF2-40B4-BE49-F238E27FC236}">
              <a16:creationId xmlns:a16="http://schemas.microsoft.com/office/drawing/2014/main" id="{F33E3AC1-68AF-445C-B4B0-32C8C09DE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6</xdr:row>
      <xdr:rowOff>0</xdr:rowOff>
    </xdr:from>
    <xdr:to>
      <xdr:col>5</xdr:col>
      <xdr:colOff>555170</xdr:colOff>
      <xdr:row>12</xdr:row>
      <xdr:rowOff>0</xdr:rowOff>
    </xdr:to>
    <xdr:sp macro="" textlink="">
      <xdr:nvSpPr>
        <xdr:cNvPr id="19" name="Rectangle: Rounded Corners 18">
          <a:extLst>
            <a:ext uri="{FF2B5EF4-FFF2-40B4-BE49-F238E27FC236}">
              <a16:creationId xmlns:a16="http://schemas.microsoft.com/office/drawing/2014/main" id="{F5CCC2B4-49E5-29D6-1E48-268647C07BDD}"/>
            </a:ext>
          </a:extLst>
        </xdr:cNvPr>
        <xdr:cNvSpPr/>
      </xdr:nvSpPr>
      <xdr:spPr>
        <a:xfrm>
          <a:off x="87086" y="979714"/>
          <a:ext cx="2993570" cy="1110343"/>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solidFill>
              <a:schemeClr val="bg1"/>
            </a:solidFill>
          </a:endParaRPr>
        </a:p>
      </xdr:txBody>
    </xdr:sp>
    <xdr:clientData/>
  </xdr:twoCellAnchor>
  <xdr:twoCellAnchor>
    <xdr:from>
      <xdr:col>7</xdr:col>
      <xdr:colOff>0</xdr:colOff>
      <xdr:row>6</xdr:row>
      <xdr:rowOff>0</xdr:rowOff>
    </xdr:from>
    <xdr:to>
      <xdr:col>11</xdr:col>
      <xdr:colOff>566056</xdr:colOff>
      <xdr:row>12</xdr:row>
      <xdr:rowOff>0</xdr:rowOff>
    </xdr:to>
    <xdr:sp macro="" textlink="">
      <xdr:nvSpPr>
        <xdr:cNvPr id="27" name="Rectangle: Rounded Corners 26">
          <a:extLst>
            <a:ext uri="{FF2B5EF4-FFF2-40B4-BE49-F238E27FC236}">
              <a16:creationId xmlns:a16="http://schemas.microsoft.com/office/drawing/2014/main" id="{40C1F3DB-5428-4996-8CCE-CAA8ED960D8B}"/>
            </a:ext>
          </a:extLst>
        </xdr:cNvPr>
        <xdr:cNvSpPr/>
      </xdr:nvSpPr>
      <xdr:spPr>
        <a:xfrm>
          <a:off x="3744686" y="979714"/>
          <a:ext cx="3004456" cy="1110343"/>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19</xdr:col>
      <xdr:colOff>0</xdr:colOff>
      <xdr:row>6</xdr:row>
      <xdr:rowOff>0</xdr:rowOff>
    </xdr:from>
    <xdr:to>
      <xdr:col>23</xdr:col>
      <xdr:colOff>446314</xdr:colOff>
      <xdr:row>12</xdr:row>
      <xdr:rowOff>0</xdr:rowOff>
    </xdr:to>
    <xdr:sp macro="" textlink="">
      <xdr:nvSpPr>
        <xdr:cNvPr id="29" name="Rectangle: Rounded Corners 28">
          <a:extLst>
            <a:ext uri="{FF2B5EF4-FFF2-40B4-BE49-F238E27FC236}">
              <a16:creationId xmlns:a16="http://schemas.microsoft.com/office/drawing/2014/main" id="{287CA651-128F-4A71-AF29-5420B997E163}"/>
            </a:ext>
          </a:extLst>
        </xdr:cNvPr>
        <xdr:cNvSpPr/>
      </xdr:nvSpPr>
      <xdr:spPr>
        <a:xfrm>
          <a:off x="11059886" y="979714"/>
          <a:ext cx="2884714" cy="1110343"/>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381001</xdr:colOff>
      <xdr:row>8</xdr:row>
      <xdr:rowOff>32658</xdr:rowOff>
    </xdr:from>
    <xdr:to>
      <xdr:col>5</xdr:col>
      <xdr:colOff>65317</xdr:colOff>
      <xdr:row>10</xdr:row>
      <xdr:rowOff>163287</xdr:rowOff>
    </xdr:to>
    <xdr:sp macro="" textlink="KPI_Calculations!$A$2">
      <xdr:nvSpPr>
        <xdr:cNvPr id="31" name="TextBox 30">
          <a:extLst>
            <a:ext uri="{FF2B5EF4-FFF2-40B4-BE49-F238E27FC236}">
              <a16:creationId xmlns:a16="http://schemas.microsoft.com/office/drawing/2014/main" id="{C0DE9865-CBFE-2DFC-4980-42D5F1B6801D}"/>
            </a:ext>
          </a:extLst>
        </xdr:cNvPr>
        <xdr:cNvSpPr txBox="1"/>
      </xdr:nvSpPr>
      <xdr:spPr>
        <a:xfrm>
          <a:off x="468087" y="1382487"/>
          <a:ext cx="2122716" cy="500743"/>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6300B4-6817-43B5-87F5-A346DA019F8D}" type="TxLink">
            <a:rPr lang="en-US" sz="2800" b="1" i="0" u="none" strike="noStrike">
              <a:solidFill>
                <a:schemeClr val="bg1">
                  <a:lumMod val="95000"/>
                </a:schemeClr>
              </a:solidFill>
              <a:latin typeface="Calibri"/>
              <a:ea typeface="Calibri"/>
              <a:cs typeface="Calibri"/>
            </a:rPr>
            <a:pPr algn="ctr"/>
            <a:t>$500,619.27</a:t>
          </a:fld>
          <a:endParaRPr lang="en-US" sz="2800" b="1">
            <a:solidFill>
              <a:schemeClr val="bg1">
                <a:lumMod val="95000"/>
              </a:schemeClr>
            </a:solidFill>
          </a:endParaRPr>
        </a:p>
      </xdr:txBody>
    </xdr:sp>
    <xdr:clientData/>
  </xdr:twoCellAnchor>
  <xdr:twoCellAnchor>
    <xdr:from>
      <xdr:col>1</xdr:col>
      <xdr:colOff>391887</xdr:colOff>
      <xdr:row>6</xdr:row>
      <xdr:rowOff>119742</xdr:rowOff>
    </xdr:from>
    <xdr:to>
      <xdr:col>5</xdr:col>
      <xdr:colOff>43545</xdr:colOff>
      <xdr:row>8</xdr:row>
      <xdr:rowOff>21769</xdr:rowOff>
    </xdr:to>
    <xdr:sp macro="" textlink="AveragePriceByYear!$B$24">
      <xdr:nvSpPr>
        <xdr:cNvPr id="32" name="TextBox 31">
          <a:extLst>
            <a:ext uri="{FF2B5EF4-FFF2-40B4-BE49-F238E27FC236}">
              <a16:creationId xmlns:a16="http://schemas.microsoft.com/office/drawing/2014/main" id="{D4CB016E-06C4-49DA-AE0A-5AFB96AA12B2}"/>
            </a:ext>
          </a:extLst>
        </xdr:cNvPr>
        <xdr:cNvSpPr txBox="1"/>
      </xdr:nvSpPr>
      <xdr:spPr>
        <a:xfrm>
          <a:off x="478973" y="1099456"/>
          <a:ext cx="2090058" cy="272142"/>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400" b="1" baseline="0">
              <a:solidFill>
                <a:schemeClr val="bg1">
                  <a:lumMod val="95000"/>
                </a:schemeClr>
              </a:solidFill>
            </a:rPr>
            <a:t>AVERAGE HOUSE PRICE</a:t>
          </a:r>
          <a:endParaRPr lang="de-DE" sz="1400" b="1">
            <a:solidFill>
              <a:schemeClr val="bg1">
                <a:lumMod val="95000"/>
              </a:schemeClr>
            </a:solidFill>
          </a:endParaRPr>
        </a:p>
      </xdr:txBody>
    </xdr:sp>
    <xdr:clientData/>
  </xdr:twoCellAnchor>
  <xdr:twoCellAnchor editAs="oneCell">
    <xdr:from>
      <xdr:col>12</xdr:col>
      <xdr:colOff>337458</xdr:colOff>
      <xdr:row>1</xdr:row>
      <xdr:rowOff>21771</xdr:rowOff>
    </xdr:from>
    <xdr:to>
      <xdr:col>13</xdr:col>
      <xdr:colOff>435430</xdr:colOff>
      <xdr:row>4</xdr:row>
      <xdr:rowOff>130628</xdr:rowOff>
    </xdr:to>
    <xdr:pic>
      <xdr:nvPicPr>
        <xdr:cNvPr id="34" name="Graphic 33" descr="House with solid fill">
          <a:extLst>
            <a:ext uri="{FF2B5EF4-FFF2-40B4-BE49-F238E27FC236}">
              <a16:creationId xmlns:a16="http://schemas.microsoft.com/office/drawing/2014/main" id="{03837FAE-EAF7-F1E7-6357-5E06C2FBC68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130144" y="76200"/>
          <a:ext cx="707572" cy="664028"/>
        </a:xfrm>
        <a:prstGeom prst="rect">
          <a:avLst/>
        </a:prstGeom>
      </xdr:spPr>
    </xdr:pic>
    <xdr:clientData/>
  </xdr:twoCellAnchor>
  <xdr:twoCellAnchor>
    <xdr:from>
      <xdr:col>8</xdr:col>
      <xdr:colOff>152400</xdr:colOff>
      <xdr:row>7</xdr:row>
      <xdr:rowOff>174171</xdr:rowOff>
    </xdr:from>
    <xdr:to>
      <xdr:col>10</xdr:col>
      <xdr:colOff>104776</xdr:colOff>
      <xdr:row>10</xdr:row>
      <xdr:rowOff>107496</xdr:rowOff>
    </xdr:to>
    <xdr:sp macro="" textlink="KPI_Calculations!$A$9">
      <xdr:nvSpPr>
        <xdr:cNvPr id="11" name="TextBox 10">
          <a:extLst>
            <a:ext uri="{FF2B5EF4-FFF2-40B4-BE49-F238E27FC236}">
              <a16:creationId xmlns:a16="http://schemas.microsoft.com/office/drawing/2014/main" id="{50F5EE9A-E9DE-4883-A957-424E3AAB9C64}"/>
            </a:ext>
          </a:extLst>
        </xdr:cNvPr>
        <xdr:cNvSpPr txBox="1"/>
      </xdr:nvSpPr>
      <xdr:spPr>
        <a:xfrm>
          <a:off x="4506686" y="1338942"/>
          <a:ext cx="1171576" cy="488497"/>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D10CBE-368B-4EA4-8AEC-1A5171278E79}" type="TxLink">
            <a:rPr lang="en-US" sz="3200" b="1" i="0" u="none" strike="noStrike">
              <a:solidFill>
                <a:schemeClr val="bg1">
                  <a:lumMod val="95000"/>
                </a:schemeClr>
              </a:solidFill>
              <a:latin typeface="Calibri"/>
              <a:ea typeface="Calibri"/>
              <a:cs typeface="Calibri"/>
            </a:rPr>
            <a:pPr algn="ctr"/>
            <a:t>4,901</a:t>
          </a:fld>
          <a:endParaRPr lang="de-DE" sz="3200" b="1">
            <a:solidFill>
              <a:schemeClr val="bg1">
                <a:lumMod val="95000"/>
              </a:schemeClr>
            </a:solidFill>
          </a:endParaRPr>
        </a:p>
      </xdr:txBody>
    </xdr:sp>
    <xdr:clientData/>
  </xdr:twoCellAnchor>
  <xdr:twoCellAnchor>
    <xdr:from>
      <xdr:col>1</xdr:col>
      <xdr:colOff>27214</xdr:colOff>
      <xdr:row>21</xdr:row>
      <xdr:rowOff>176797</xdr:rowOff>
    </xdr:from>
    <xdr:to>
      <xdr:col>10</xdr:col>
      <xdr:colOff>0</xdr:colOff>
      <xdr:row>40</xdr:row>
      <xdr:rowOff>0</xdr:rowOff>
    </xdr:to>
    <xdr:graphicFrame macro="">
      <xdr:nvGraphicFramePr>
        <xdr:cNvPr id="2" name="Chart 1">
          <a:extLst>
            <a:ext uri="{FF2B5EF4-FFF2-40B4-BE49-F238E27FC236}">
              <a16:creationId xmlns:a16="http://schemas.microsoft.com/office/drawing/2014/main" id="{5025A686-2E4D-499A-A1E5-25BC27DB6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6</xdr:row>
      <xdr:rowOff>0</xdr:rowOff>
    </xdr:from>
    <xdr:to>
      <xdr:col>18</xdr:col>
      <xdr:colOff>-1</xdr:colOff>
      <xdr:row>12</xdr:row>
      <xdr:rowOff>0</xdr:rowOff>
    </xdr:to>
    <xdr:sp macro="" textlink="">
      <xdr:nvSpPr>
        <xdr:cNvPr id="28" name="Rectangle: Rounded Corners 27">
          <a:extLst>
            <a:ext uri="{FF2B5EF4-FFF2-40B4-BE49-F238E27FC236}">
              <a16:creationId xmlns:a16="http://schemas.microsoft.com/office/drawing/2014/main" id="{18E2AE4E-369F-46DB-850E-AC71A2C8A643}"/>
            </a:ext>
          </a:extLst>
        </xdr:cNvPr>
        <xdr:cNvSpPr/>
      </xdr:nvSpPr>
      <xdr:spPr>
        <a:xfrm>
          <a:off x="7402286" y="979714"/>
          <a:ext cx="3047999" cy="1110343"/>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119743</xdr:colOff>
      <xdr:row>21</xdr:row>
      <xdr:rowOff>174172</xdr:rowOff>
    </xdr:from>
    <xdr:to>
      <xdr:col>19</xdr:col>
      <xdr:colOff>234043</xdr:colOff>
      <xdr:row>40</xdr:row>
      <xdr:rowOff>12247</xdr:rowOff>
    </xdr:to>
    <xdr:graphicFrame macro="">
      <xdr:nvGraphicFramePr>
        <xdr:cNvPr id="4" name="Chart 3">
          <a:extLst>
            <a:ext uri="{FF2B5EF4-FFF2-40B4-BE49-F238E27FC236}">
              <a16:creationId xmlns:a16="http://schemas.microsoft.com/office/drawing/2014/main" id="{31BBDEB3-FF0E-4775-9C5B-450CB7A94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379642</xdr:colOff>
      <xdr:row>6</xdr:row>
      <xdr:rowOff>144234</xdr:rowOff>
    </xdr:from>
    <xdr:to>
      <xdr:col>11</xdr:col>
      <xdr:colOff>31300</xdr:colOff>
      <xdr:row>8</xdr:row>
      <xdr:rowOff>46261</xdr:rowOff>
    </xdr:to>
    <xdr:sp macro="" textlink="AveragePriceByYear!$B$24">
      <xdr:nvSpPr>
        <xdr:cNvPr id="12" name="TextBox 11">
          <a:extLst>
            <a:ext uri="{FF2B5EF4-FFF2-40B4-BE49-F238E27FC236}">
              <a16:creationId xmlns:a16="http://schemas.microsoft.com/office/drawing/2014/main" id="{043C7320-0C93-4607-9484-0856F4922176}"/>
            </a:ext>
          </a:extLst>
        </xdr:cNvPr>
        <xdr:cNvSpPr txBox="1"/>
      </xdr:nvSpPr>
      <xdr:spPr>
        <a:xfrm>
          <a:off x="4124328" y="1123948"/>
          <a:ext cx="2090058" cy="272142"/>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400" b="1" baseline="0">
              <a:solidFill>
                <a:schemeClr val="bg1">
                  <a:lumMod val="95000"/>
                </a:schemeClr>
              </a:solidFill>
            </a:rPr>
            <a:t>TOTAL HOUSES SOLD</a:t>
          </a:r>
          <a:endParaRPr lang="de-DE" sz="1400" b="1">
            <a:solidFill>
              <a:schemeClr val="bg1">
                <a:lumMod val="95000"/>
              </a:schemeClr>
            </a:solidFill>
          </a:endParaRPr>
        </a:p>
      </xdr:txBody>
    </xdr:sp>
    <xdr:clientData/>
  </xdr:twoCellAnchor>
  <xdr:twoCellAnchor>
    <xdr:from>
      <xdr:col>13</xdr:col>
      <xdr:colOff>424544</xdr:colOff>
      <xdr:row>6</xdr:row>
      <xdr:rowOff>141513</xdr:rowOff>
    </xdr:from>
    <xdr:to>
      <xdr:col>17</xdr:col>
      <xdr:colOff>76202</xdr:colOff>
      <xdr:row>8</xdr:row>
      <xdr:rowOff>43540</xdr:rowOff>
    </xdr:to>
    <xdr:sp macro="" textlink="AveragePriceByYear!$B$24">
      <xdr:nvSpPr>
        <xdr:cNvPr id="13" name="TextBox 12">
          <a:extLst>
            <a:ext uri="{FF2B5EF4-FFF2-40B4-BE49-F238E27FC236}">
              <a16:creationId xmlns:a16="http://schemas.microsoft.com/office/drawing/2014/main" id="{DA433ED2-6E53-4AAD-935E-E1ECF7E82C06}"/>
            </a:ext>
          </a:extLst>
        </xdr:cNvPr>
        <xdr:cNvSpPr txBox="1"/>
      </xdr:nvSpPr>
      <xdr:spPr>
        <a:xfrm>
          <a:off x="7826830" y="1121227"/>
          <a:ext cx="2090058" cy="272142"/>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400" b="1" baseline="0">
              <a:solidFill>
                <a:schemeClr val="bg1">
                  <a:lumMod val="95000"/>
                </a:schemeClr>
              </a:solidFill>
            </a:rPr>
            <a:t>HIGHEST PRICE  PER Sq Ft</a:t>
          </a:r>
          <a:endParaRPr lang="de-DE" sz="1400" b="1">
            <a:solidFill>
              <a:schemeClr val="bg1">
                <a:lumMod val="95000"/>
              </a:schemeClr>
            </a:solidFill>
          </a:endParaRPr>
        </a:p>
      </xdr:txBody>
    </xdr:sp>
    <xdr:clientData/>
  </xdr:twoCellAnchor>
  <xdr:twoCellAnchor>
    <xdr:from>
      <xdr:col>14</xdr:col>
      <xdr:colOff>304800</xdr:colOff>
      <xdr:row>8</xdr:row>
      <xdr:rowOff>21769</xdr:rowOff>
    </xdr:from>
    <xdr:to>
      <xdr:col>16</xdr:col>
      <xdr:colOff>257176</xdr:colOff>
      <xdr:row>11</xdr:row>
      <xdr:rowOff>21769</xdr:rowOff>
    </xdr:to>
    <xdr:sp macro="" textlink="KPI_Calculations!$B$17">
      <xdr:nvSpPr>
        <xdr:cNvPr id="17" name="TextBox 16">
          <a:extLst>
            <a:ext uri="{FF2B5EF4-FFF2-40B4-BE49-F238E27FC236}">
              <a16:creationId xmlns:a16="http://schemas.microsoft.com/office/drawing/2014/main" id="{5B43D491-F8A1-4370-9087-8F1937A6444E}"/>
            </a:ext>
          </a:extLst>
        </xdr:cNvPr>
        <xdr:cNvSpPr txBox="1"/>
      </xdr:nvSpPr>
      <xdr:spPr>
        <a:xfrm>
          <a:off x="8316686" y="1371598"/>
          <a:ext cx="1171576" cy="555171"/>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131276-FA9C-4DDE-9165-9A75CCD092D2}" type="TxLink">
            <a:rPr lang="en-US" sz="3200" b="1" i="0" u="none" strike="noStrike">
              <a:solidFill>
                <a:schemeClr val="bg1">
                  <a:lumMod val="95000"/>
                </a:schemeClr>
              </a:solidFill>
              <a:latin typeface="Calibri"/>
              <a:ea typeface="Calibri"/>
              <a:cs typeface="Calibri"/>
            </a:rPr>
            <a:pPr algn="ctr"/>
            <a:t>276.92</a:t>
          </a:fld>
          <a:endParaRPr lang="de-DE" sz="3200" b="1" i="0" u="none" strike="noStrike">
            <a:solidFill>
              <a:schemeClr val="bg1">
                <a:lumMod val="95000"/>
              </a:schemeClr>
            </a:solidFill>
            <a:latin typeface="Calibri"/>
            <a:ea typeface="Calibri"/>
            <a:cs typeface="Calibri"/>
          </a:endParaRPr>
        </a:p>
      </xdr:txBody>
    </xdr:sp>
    <xdr:clientData/>
  </xdr:twoCellAnchor>
  <xdr:twoCellAnchor>
    <xdr:from>
      <xdr:col>19</xdr:col>
      <xdr:colOff>478971</xdr:colOff>
      <xdr:row>6</xdr:row>
      <xdr:rowOff>141515</xdr:rowOff>
    </xdr:from>
    <xdr:to>
      <xdr:col>23</xdr:col>
      <xdr:colOff>130629</xdr:colOff>
      <xdr:row>8</xdr:row>
      <xdr:rowOff>43542</xdr:rowOff>
    </xdr:to>
    <xdr:sp macro="" textlink="AveragePriceByYear!$B$24">
      <xdr:nvSpPr>
        <xdr:cNvPr id="18" name="TextBox 17">
          <a:extLst>
            <a:ext uri="{FF2B5EF4-FFF2-40B4-BE49-F238E27FC236}">
              <a16:creationId xmlns:a16="http://schemas.microsoft.com/office/drawing/2014/main" id="{CD5ABC8E-94BF-4413-970D-FB0667439164}"/>
            </a:ext>
          </a:extLst>
        </xdr:cNvPr>
        <xdr:cNvSpPr txBox="1"/>
      </xdr:nvSpPr>
      <xdr:spPr>
        <a:xfrm>
          <a:off x="11538857" y="1121229"/>
          <a:ext cx="2090058" cy="272142"/>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400" b="1" baseline="0">
              <a:solidFill>
                <a:schemeClr val="bg1">
                  <a:lumMod val="95000"/>
                </a:schemeClr>
              </a:solidFill>
            </a:rPr>
            <a:t>MOST EXPENSIVE TOWN</a:t>
          </a:r>
          <a:endParaRPr lang="de-DE" sz="1400" b="1">
            <a:solidFill>
              <a:schemeClr val="bg1">
                <a:lumMod val="95000"/>
              </a:schemeClr>
            </a:solidFill>
          </a:endParaRPr>
        </a:p>
      </xdr:txBody>
    </xdr:sp>
    <xdr:clientData/>
  </xdr:twoCellAnchor>
  <xdr:twoCellAnchor>
    <xdr:from>
      <xdr:col>19</xdr:col>
      <xdr:colOff>468084</xdr:colOff>
      <xdr:row>8</xdr:row>
      <xdr:rowOff>21771</xdr:rowOff>
    </xdr:from>
    <xdr:to>
      <xdr:col>23</xdr:col>
      <xdr:colOff>43542</xdr:colOff>
      <xdr:row>10</xdr:row>
      <xdr:rowOff>140154</xdr:rowOff>
    </xdr:to>
    <xdr:sp macro="" textlink="KPI_Calculations!$A$34">
      <xdr:nvSpPr>
        <xdr:cNvPr id="20" name="TextBox 19">
          <a:extLst>
            <a:ext uri="{FF2B5EF4-FFF2-40B4-BE49-F238E27FC236}">
              <a16:creationId xmlns:a16="http://schemas.microsoft.com/office/drawing/2014/main" id="{3D042BD7-1923-4BDF-9905-0A0C0591D2C4}"/>
            </a:ext>
          </a:extLst>
        </xdr:cNvPr>
        <xdr:cNvSpPr txBox="1"/>
      </xdr:nvSpPr>
      <xdr:spPr>
        <a:xfrm>
          <a:off x="11527970" y="1371600"/>
          <a:ext cx="2013858" cy="488497"/>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AA230F-0EB8-4F56-9DD5-43E56C4021A5}" type="TxLink">
            <a:rPr lang="en-US" sz="2800" b="1" i="0" u="none" strike="noStrike">
              <a:solidFill>
                <a:schemeClr val="bg1">
                  <a:lumMod val="95000"/>
                </a:schemeClr>
              </a:solidFill>
              <a:latin typeface="Calibri"/>
              <a:ea typeface="Calibri"/>
              <a:cs typeface="Calibri"/>
            </a:rPr>
            <a:pPr algn="ctr"/>
            <a:t>Norwalk</a:t>
          </a:fld>
          <a:endParaRPr lang="en-US" sz="2800" b="1" i="0" u="none" strike="noStrike">
            <a:solidFill>
              <a:schemeClr val="bg1">
                <a:lumMod val="95000"/>
              </a:schemeClr>
            </a:solidFill>
            <a:latin typeface="Calibri"/>
            <a:ea typeface="Calibri"/>
            <a:cs typeface="Calibri"/>
          </a:endParaRPr>
        </a:p>
      </xdr:txBody>
    </xdr:sp>
    <xdr:clientData/>
  </xdr:twoCellAnchor>
  <xdr:twoCellAnchor editAs="oneCell">
    <xdr:from>
      <xdr:col>29</xdr:col>
      <xdr:colOff>533400</xdr:colOff>
      <xdr:row>6</xdr:row>
      <xdr:rowOff>10887</xdr:rowOff>
    </xdr:from>
    <xdr:to>
      <xdr:col>36</xdr:col>
      <xdr:colOff>141514</xdr:colOff>
      <xdr:row>12</xdr:row>
      <xdr:rowOff>43543</xdr:rowOff>
    </xdr:to>
    <mc:AlternateContent xmlns:mc="http://schemas.openxmlformats.org/markup-compatibility/2006" xmlns:a14="http://schemas.microsoft.com/office/drawing/2010/main">
      <mc:Choice Requires="a14">
        <xdr:graphicFrame macro="">
          <xdr:nvGraphicFramePr>
            <xdr:cNvPr id="6" name="Town">
              <a:extLst>
                <a:ext uri="{FF2B5EF4-FFF2-40B4-BE49-F238E27FC236}">
                  <a16:creationId xmlns:a16="http://schemas.microsoft.com/office/drawing/2014/main" id="{9A46D5B0-C0CE-4457-BA90-12B34975F3E7}"/>
                </a:ext>
              </a:extLst>
            </xdr:cNvPr>
            <xdr:cNvGraphicFramePr/>
          </xdr:nvGraphicFramePr>
          <xdr:xfrm>
            <a:off x="0" y="0"/>
            <a:ext cx="0" cy="0"/>
          </xdr:xfrm>
          <a:graphic>
            <a:graphicData uri="http://schemas.microsoft.com/office/drawing/2010/slicer">
              <sle:slicer xmlns:sle="http://schemas.microsoft.com/office/drawing/2010/slicer" name="Town"/>
            </a:graphicData>
          </a:graphic>
        </xdr:graphicFrame>
      </mc:Choice>
      <mc:Fallback xmlns="">
        <xdr:sp macro="" textlink="">
          <xdr:nvSpPr>
            <xdr:cNvPr id="0" name=""/>
            <xdr:cNvSpPr>
              <a:spLocks noTextEdit="1"/>
            </xdr:cNvSpPr>
          </xdr:nvSpPr>
          <xdr:spPr>
            <a:xfrm>
              <a:off x="16589828" y="990601"/>
              <a:ext cx="4833258" cy="124097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0</xdr:colOff>
      <xdr:row>6</xdr:row>
      <xdr:rowOff>0</xdr:rowOff>
    </xdr:from>
    <xdr:to>
      <xdr:col>29</xdr:col>
      <xdr:colOff>446314</xdr:colOff>
      <xdr:row>12</xdr:row>
      <xdr:rowOff>0</xdr:rowOff>
    </xdr:to>
    <xdr:sp macro="" textlink="">
      <xdr:nvSpPr>
        <xdr:cNvPr id="7" name="Rectangle: Rounded Corners 6">
          <a:extLst>
            <a:ext uri="{FF2B5EF4-FFF2-40B4-BE49-F238E27FC236}">
              <a16:creationId xmlns:a16="http://schemas.microsoft.com/office/drawing/2014/main" id="{8B61703C-4B17-4712-9BEA-C30969D4C98A}"/>
            </a:ext>
          </a:extLst>
        </xdr:cNvPr>
        <xdr:cNvSpPr/>
      </xdr:nvSpPr>
      <xdr:spPr>
        <a:xfrm>
          <a:off x="14717486" y="979714"/>
          <a:ext cx="2884714" cy="1110343"/>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25</xdr:col>
      <xdr:colOff>391886</xdr:colOff>
      <xdr:row>6</xdr:row>
      <xdr:rowOff>130629</xdr:rowOff>
    </xdr:from>
    <xdr:to>
      <xdr:col>29</xdr:col>
      <xdr:colOff>43544</xdr:colOff>
      <xdr:row>8</xdr:row>
      <xdr:rowOff>32656</xdr:rowOff>
    </xdr:to>
    <xdr:sp macro="" textlink="AveragePriceByYear!$B$24">
      <xdr:nvSpPr>
        <xdr:cNvPr id="21" name="TextBox 20">
          <a:extLst>
            <a:ext uri="{FF2B5EF4-FFF2-40B4-BE49-F238E27FC236}">
              <a16:creationId xmlns:a16="http://schemas.microsoft.com/office/drawing/2014/main" id="{322243FE-8DE3-49B3-8466-1C523720BAD5}"/>
            </a:ext>
          </a:extLst>
        </xdr:cNvPr>
        <xdr:cNvSpPr txBox="1"/>
      </xdr:nvSpPr>
      <xdr:spPr>
        <a:xfrm>
          <a:off x="15109372" y="1110343"/>
          <a:ext cx="2090058" cy="272142"/>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400" b="1" baseline="0">
              <a:solidFill>
                <a:schemeClr val="bg1">
                  <a:lumMod val="95000"/>
                </a:schemeClr>
              </a:solidFill>
            </a:rPr>
            <a:t>TOP SELLING TOWN</a:t>
          </a:r>
          <a:endParaRPr lang="de-DE" sz="1400" b="1">
            <a:solidFill>
              <a:schemeClr val="bg1">
                <a:lumMod val="95000"/>
              </a:schemeClr>
            </a:solidFill>
          </a:endParaRPr>
        </a:p>
      </xdr:txBody>
    </xdr:sp>
    <xdr:clientData/>
  </xdr:twoCellAnchor>
  <xdr:twoCellAnchor>
    <xdr:from>
      <xdr:col>25</xdr:col>
      <xdr:colOff>424543</xdr:colOff>
      <xdr:row>8</xdr:row>
      <xdr:rowOff>21771</xdr:rowOff>
    </xdr:from>
    <xdr:to>
      <xdr:col>29</xdr:col>
      <xdr:colOff>1</xdr:colOff>
      <xdr:row>10</xdr:row>
      <xdr:rowOff>140154</xdr:rowOff>
    </xdr:to>
    <xdr:sp macro="" textlink="KPI_Calculations!$A$50">
      <xdr:nvSpPr>
        <xdr:cNvPr id="22" name="TextBox 21">
          <a:extLst>
            <a:ext uri="{FF2B5EF4-FFF2-40B4-BE49-F238E27FC236}">
              <a16:creationId xmlns:a16="http://schemas.microsoft.com/office/drawing/2014/main" id="{167A5EFC-9A0B-4BD0-B485-CEE1FEFB75E3}"/>
            </a:ext>
          </a:extLst>
        </xdr:cNvPr>
        <xdr:cNvSpPr txBox="1"/>
      </xdr:nvSpPr>
      <xdr:spPr>
        <a:xfrm>
          <a:off x="15142029" y="1371600"/>
          <a:ext cx="2013858" cy="488497"/>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A564D9-AE75-4257-B242-F959C5E91D34}" type="TxLink">
            <a:rPr lang="en-US" sz="2800" b="1" i="0" u="none" strike="noStrike">
              <a:solidFill>
                <a:schemeClr val="bg1">
                  <a:lumMod val="95000"/>
                </a:schemeClr>
              </a:solidFill>
              <a:latin typeface="Calibri"/>
              <a:ea typeface="Calibri"/>
              <a:cs typeface="Calibri"/>
            </a:rPr>
            <a:t>New Haven</a:t>
          </a:fld>
          <a:endParaRPr lang="en-US" sz="2800" b="1" i="0" u="none" strike="noStrike">
            <a:solidFill>
              <a:schemeClr val="bg1">
                <a:lumMod val="95000"/>
              </a:schemeClr>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ience Danjuma" refreshedDate="46091.997523379629" createdVersion="8" refreshedVersion="8" minRefreshableVersion="3" recordCount="5000" xr:uid="{E9B2D2AA-BD62-406B-81FA-9138BE1B00CB}">
  <cacheSource type="worksheet">
    <worksheetSource ref="A1:J5001" sheet="Raw_Data"/>
  </cacheSource>
  <cacheFields count="12">
    <cacheField name="Sale_Date" numFmtId="14">
      <sharedItems containsSemiMixedTypes="0" containsNonDate="0" containsDate="1" containsString="0" minDate="2001-01-01T00:00:00" maxDate="2020-12-27T00:00:00" count="3595">
        <d v="2019-11-11T00:00:00"/>
        <d v="2007-07-30T00:00:00"/>
        <d v="2017-10-13T00:00:00"/>
        <d v="2010-11-28T00:00:00"/>
        <d v="2009-07-23T00:00:00"/>
        <d v="2014-06-17T00:00:00"/>
        <d v="2010-03-31T00:00:00"/>
        <d v="2009-09-29T00:00:00"/>
        <d v="2012-01-21T00:00:00"/>
        <d v="2010-08-26T00:00:00"/>
        <d v="2013-09-13T00:00:00"/>
        <d v="2005-12-19T00:00:00"/>
        <d v="2016-01-06T00:00:00"/>
        <d v="2012-05-26T00:00:00"/>
        <d v="2013-09-03T00:00:00"/>
        <d v="2007-11-10T00:00:00"/>
        <d v="2017-03-16T00:00:00"/>
        <d v="2007-08-11T00:00:00"/>
        <d v="2004-08-22T00:00:00"/>
        <d v="2015-04-09T00:00:00"/>
        <d v="2005-04-25T00:00:00"/>
        <d v="2004-04-13T00:00:00"/>
        <d v="2007-11-01T00:00:00"/>
        <d v="2001-08-01T00:00:00"/>
        <d v="2011-02-02T00:00:00"/>
        <d v="2005-10-11T00:00:00"/>
        <d v="2018-09-19T00:00:00"/>
        <d v="2011-05-18T00:00:00"/>
        <d v="2019-04-02T00:00:00"/>
        <d v="2018-10-31T00:00:00"/>
        <d v="2013-05-18T00:00:00"/>
        <d v="2013-12-04T00:00:00"/>
        <d v="2010-08-23T00:00:00"/>
        <d v="2008-05-03T00:00:00"/>
        <d v="2015-03-24T00:00:00"/>
        <d v="2001-05-13T00:00:00"/>
        <d v="2012-09-05T00:00:00"/>
        <d v="2003-07-08T00:00:00"/>
        <d v="2002-12-13T00:00:00"/>
        <d v="2017-01-02T00:00:00"/>
        <d v="2009-11-28T00:00:00"/>
        <d v="2019-10-02T00:00:00"/>
        <d v="2013-08-08T00:00:00"/>
        <d v="2004-07-17T00:00:00"/>
        <d v="2010-09-30T00:00:00"/>
        <d v="2017-12-09T00:00:00"/>
        <d v="2014-12-12T00:00:00"/>
        <d v="2013-07-22T00:00:00"/>
        <d v="2006-01-04T00:00:00"/>
        <d v="2012-11-16T00:00:00"/>
        <d v="2001-11-01T00:00:00"/>
        <d v="2013-01-28T00:00:00"/>
        <d v="2007-09-11T00:00:00"/>
        <d v="2008-12-13T00:00:00"/>
        <d v="2011-04-13T00:00:00"/>
        <d v="2018-01-15T00:00:00"/>
        <d v="2002-04-15T00:00:00"/>
        <d v="2005-11-12T00:00:00"/>
        <d v="2001-10-24T00:00:00"/>
        <d v="2012-08-16T00:00:00"/>
        <d v="2013-12-20T00:00:00"/>
        <d v="2006-10-26T00:00:00"/>
        <d v="2012-10-20T00:00:00"/>
        <d v="2018-07-03T00:00:00"/>
        <d v="2002-12-03T00:00:00"/>
        <d v="2014-10-10T00:00:00"/>
        <d v="2015-12-31T00:00:00"/>
        <d v="2005-10-28T00:00:00"/>
        <d v="2020-11-03T00:00:00"/>
        <d v="2001-05-22T00:00:00"/>
        <d v="2017-12-25T00:00:00"/>
        <d v="2020-02-29T00:00:00"/>
        <d v="2006-05-14T00:00:00"/>
        <d v="2019-05-11T00:00:00"/>
        <d v="2001-11-28T00:00:00"/>
        <d v="2016-11-08T00:00:00"/>
        <d v="2019-08-28T00:00:00"/>
        <d v="2004-10-11T00:00:00"/>
        <d v="2005-04-07T00:00:00"/>
        <d v="2011-10-12T00:00:00"/>
        <d v="2012-05-22T00:00:00"/>
        <d v="2005-02-09T00:00:00"/>
        <d v="2010-08-09T00:00:00"/>
        <d v="2006-12-24T00:00:00"/>
        <d v="2015-11-02T00:00:00"/>
        <d v="2004-01-16T00:00:00"/>
        <d v="2012-05-25T00:00:00"/>
        <d v="2005-01-08T00:00:00"/>
        <d v="2011-12-05T00:00:00"/>
        <d v="2004-03-25T00:00:00"/>
        <d v="2004-01-01T00:00:00"/>
        <d v="2018-04-26T00:00:00"/>
        <d v="2008-01-02T00:00:00"/>
        <d v="2012-07-05T00:00:00"/>
        <d v="2004-02-26T00:00:00"/>
        <d v="2007-06-28T00:00:00"/>
        <d v="2009-01-24T00:00:00"/>
        <d v="2007-11-21T00:00:00"/>
        <d v="2013-08-01T00:00:00"/>
        <d v="2008-12-09T00:00:00"/>
        <d v="2007-01-28T00:00:00"/>
        <d v="2017-07-19T00:00:00"/>
        <d v="2017-07-21T00:00:00"/>
        <d v="2016-11-06T00:00:00"/>
        <d v="2002-10-16T00:00:00"/>
        <d v="2007-02-07T00:00:00"/>
        <d v="2011-08-07T00:00:00"/>
        <d v="2006-03-21T00:00:00"/>
        <d v="2008-09-21T00:00:00"/>
        <d v="2014-10-26T00:00:00"/>
        <d v="2019-11-19T00:00:00"/>
        <d v="2007-10-18T00:00:00"/>
        <d v="2005-11-25T00:00:00"/>
        <d v="2016-06-03T00:00:00"/>
        <d v="2015-04-06T00:00:00"/>
        <d v="2019-02-28T00:00:00"/>
        <d v="2011-01-01T00:00:00"/>
        <d v="2015-12-29T00:00:00"/>
        <d v="2013-08-02T00:00:00"/>
        <d v="2010-07-03T00:00:00"/>
        <d v="2020-02-06T00:00:00"/>
        <d v="2002-04-10T00:00:00"/>
        <d v="2010-12-27T00:00:00"/>
        <d v="2019-07-26T00:00:00"/>
        <d v="2015-01-01T00:00:00"/>
        <d v="2012-02-24T00:00:00"/>
        <d v="2015-07-19T00:00:00"/>
        <d v="2002-10-23T00:00:00"/>
        <d v="2019-11-01T00:00:00"/>
        <d v="2001-04-03T00:00:00"/>
        <d v="2018-07-18T00:00:00"/>
        <d v="2005-10-16T00:00:00"/>
        <d v="2013-12-14T00:00:00"/>
        <d v="2016-08-20T00:00:00"/>
        <d v="2007-09-30T00:00:00"/>
        <d v="2001-06-24T00:00:00"/>
        <d v="2005-01-25T00:00:00"/>
        <d v="2014-11-10T00:00:00"/>
        <d v="2010-03-10T00:00:00"/>
        <d v="2019-05-02T00:00:00"/>
        <d v="2014-05-30T00:00:00"/>
        <d v="2011-12-10T00:00:00"/>
        <d v="2018-04-07T00:00:00"/>
        <d v="2017-06-14T00:00:00"/>
        <d v="2007-06-30T00:00:00"/>
        <d v="2019-09-14T00:00:00"/>
        <d v="2011-11-22T00:00:00"/>
        <d v="2018-07-06T00:00:00"/>
        <d v="2016-09-08T00:00:00"/>
        <d v="2009-02-19T00:00:00"/>
        <d v="2018-10-27T00:00:00"/>
        <d v="2007-11-17T00:00:00"/>
        <d v="2017-10-19T00:00:00"/>
        <d v="2018-02-08T00:00:00"/>
        <d v="2005-09-13T00:00:00"/>
        <d v="2009-01-14T00:00:00"/>
        <d v="2019-10-29T00:00:00"/>
        <d v="2020-10-11T00:00:00"/>
        <d v="2001-03-28T00:00:00"/>
        <d v="2005-11-20T00:00:00"/>
        <d v="2010-01-09T00:00:00"/>
        <d v="2012-03-29T00:00:00"/>
        <d v="2013-06-04T00:00:00"/>
        <d v="2008-03-22T00:00:00"/>
        <d v="2003-06-15T00:00:00"/>
        <d v="2014-11-15T00:00:00"/>
        <d v="2004-09-06T00:00:00"/>
        <d v="2002-11-08T00:00:00"/>
        <d v="2004-02-05T00:00:00"/>
        <d v="2003-02-26T00:00:00"/>
        <d v="2019-11-22T00:00:00"/>
        <d v="2001-03-19T00:00:00"/>
        <d v="2002-05-10T00:00:00"/>
        <d v="2012-09-13T00:00:00"/>
        <d v="2001-10-26T00:00:00"/>
        <d v="2017-03-18T00:00:00"/>
        <d v="2018-05-14T00:00:00"/>
        <d v="2020-10-12T00:00:00"/>
        <d v="2015-06-02T00:00:00"/>
        <d v="2001-02-16T00:00:00"/>
        <d v="2012-09-09T00:00:00"/>
        <d v="2010-09-11T00:00:00"/>
        <d v="2014-10-25T00:00:00"/>
        <d v="2014-09-01T00:00:00"/>
        <d v="2007-10-10T00:00:00"/>
        <d v="2003-06-02T00:00:00"/>
        <d v="2018-10-08T00:00:00"/>
        <d v="2008-06-17T00:00:00"/>
        <d v="2008-02-01T00:00:00"/>
        <d v="2019-12-28T00:00:00"/>
        <d v="2003-03-19T00:00:00"/>
        <d v="2017-07-17T00:00:00"/>
        <d v="2018-03-03T00:00:00"/>
        <d v="2005-08-29T00:00:00"/>
        <d v="2006-09-08T00:00:00"/>
        <d v="2006-07-19T00:00:00"/>
        <d v="2003-05-12T00:00:00"/>
        <d v="2008-09-09T00:00:00"/>
        <d v="2006-09-27T00:00:00"/>
        <d v="2005-05-21T00:00:00"/>
        <d v="2017-02-20T00:00:00"/>
        <d v="2008-05-29T00:00:00"/>
        <d v="2017-09-15T00:00:00"/>
        <d v="2020-10-15T00:00:00"/>
        <d v="2011-10-23T00:00:00"/>
        <d v="2018-08-29T00:00:00"/>
        <d v="2017-09-30T00:00:00"/>
        <d v="2006-03-29T00:00:00"/>
        <d v="2003-02-24T00:00:00"/>
        <d v="2020-06-28T00:00:00"/>
        <d v="2004-10-05T00:00:00"/>
        <d v="2018-03-27T00:00:00"/>
        <d v="2010-07-13T00:00:00"/>
        <d v="2014-01-22T00:00:00"/>
        <d v="2015-08-21T00:00:00"/>
        <d v="2019-12-03T00:00:00"/>
        <d v="2010-01-17T00:00:00"/>
        <d v="2007-07-21T00:00:00"/>
        <d v="2018-01-20T00:00:00"/>
        <d v="2010-10-12T00:00:00"/>
        <d v="2004-04-14T00:00:00"/>
        <d v="2018-01-28T00:00:00"/>
        <d v="2001-05-19T00:00:00"/>
        <d v="2012-11-10T00:00:00"/>
        <d v="2016-01-17T00:00:00"/>
        <d v="2020-04-29T00:00:00"/>
        <d v="2014-03-06T00:00:00"/>
        <d v="2011-09-19T00:00:00"/>
        <d v="2005-09-07T00:00:00"/>
        <d v="2015-07-29T00:00:00"/>
        <d v="2009-07-15T00:00:00"/>
        <d v="2018-01-30T00:00:00"/>
        <d v="2007-06-09T00:00:00"/>
        <d v="2001-01-30T00:00:00"/>
        <d v="2007-06-10T00:00:00"/>
        <d v="2002-09-25T00:00:00"/>
        <d v="2013-04-30T00:00:00"/>
        <d v="2003-06-01T00:00:00"/>
        <d v="2001-07-08T00:00:00"/>
        <d v="2010-10-08T00:00:00"/>
        <d v="2009-05-14T00:00:00"/>
        <d v="2018-12-13T00:00:00"/>
        <d v="2001-01-25T00:00:00"/>
        <d v="2019-07-11T00:00:00"/>
        <d v="2020-12-12T00:00:00"/>
        <d v="2004-05-16T00:00:00"/>
        <d v="2007-06-21T00:00:00"/>
        <d v="2011-05-15T00:00:00"/>
        <d v="2017-02-13T00:00:00"/>
        <d v="2012-04-03T00:00:00"/>
        <d v="2017-07-16T00:00:00"/>
        <d v="2006-09-19T00:00:00"/>
        <d v="2019-10-17T00:00:00"/>
        <d v="2005-09-21T00:00:00"/>
        <d v="2005-10-09T00:00:00"/>
        <d v="2004-03-07T00:00:00"/>
        <d v="2017-05-01T00:00:00"/>
        <d v="2001-12-09T00:00:00"/>
        <d v="2008-05-17T00:00:00"/>
        <d v="2020-05-15T00:00:00"/>
        <d v="2014-04-05T00:00:00"/>
        <d v="2009-08-29T00:00:00"/>
        <d v="2016-02-25T00:00:00"/>
        <d v="2011-02-24T00:00:00"/>
        <d v="2006-09-18T00:00:00"/>
        <d v="2017-06-19T00:00:00"/>
        <d v="2012-03-23T00:00:00"/>
        <d v="2001-12-19T00:00:00"/>
        <d v="2018-06-04T00:00:00"/>
        <d v="2018-06-21T00:00:00"/>
        <d v="2017-01-11T00:00:00"/>
        <d v="2006-02-15T00:00:00"/>
        <d v="2006-04-24T00:00:00"/>
        <d v="2003-01-22T00:00:00"/>
        <d v="2006-04-11T00:00:00"/>
        <d v="2012-09-21T00:00:00"/>
        <d v="2001-10-18T00:00:00"/>
        <d v="2011-10-08T00:00:00"/>
        <d v="2018-07-20T00:00:00"/>
        <d v="2009-12-19T00:00:00"/>
        <d v="2012-11-09T00:00:00"/>
        <d v="2017-12-18T00:00:00"/>
        <d v="2014-11-14T00:00:00"/>
        <d v="2011-04-25T00:00:00"/>
        <d v="2003-07-04T00:00:00"/>
        <d v="2017-04-03T00:00:00"/>
        <d v="2010-11-18T00:00:00"/>
        <d v="2008-04-03T00:00:00"/>
        <d v="2007-08-31T00:00:00"/>
        <d v="2003-10-28T00:00:00"/>
        <d v="2003-01-29T00:00:00"/>
        <d v="2012-03-24T00:00:00"/>
        <d v="2006-02-14T00:00:00"/>
        <d v="2013-07-07T00:00:00"/>
        <d v="2018-10-01T00:00:00"/>
        <d v="2015-12-27T00:00:00"/>
        <d v="2005-06-29T00:00:00"/>
        <d v="2016-10-18T00:00:00"/>
        <d v="2009-04-03T00:00:00"/>
        <d v="2008-03-05T00:00:00"/>
        <d v="2002-08-15T00:00:00"/>
        <d v="2013-06-08T00:00:00"/>
        <d v="2014-11-03T00:00:00"/>
        <d v="2018-04-11T00:00:00"/>
        <d v="2008-12-11T00:00:00"/>
        <d v="2013-04-16T00:00:00"/>
        <d v="2019-01-11T00:00:00"/>
        <d v="2012-07-23T00:00:00"/>
        <d v="2003-07-27T00:00:00"/>
        <d v="2014-12-28T00:00:00"/>
        <d v="2011-07-26T00:00:00"/>
        <d v="2011-01-28T00:00:00"/>
        <d v="2014-10-11T00:00:00"/>
        <d v="2004-08-09T00:00:00"/>
        <d v="2013-10-26T00:00:00"/>
        <d v="2015-07-18T00:00:00"/>
        <d v="2007-12-18T00:00:00"/>
        <d v="2005-03-23T00:00:00"/>
        <d v="2002-05-24T00:00:00"/>
        <d v="2008-03-12T00:00:00"/>
        <d v="2012-03-05T00:00:00"/>
        <d v="2003-02-28T00:00:00"/>
        <d v="2015-09-08T00:00:00"/>
        <d v="2006-07-05T00:00:00"/>
        <d v="2006-10-22T00:00:00"/>
        <d v="2014-11-29T00:00:00"/>
        <d v="2004-11-05T00:00:00"/>
        <d v="2013-04-28T00:00:00"/>
        <d v="2019-02-26T00:00:00"/>
        <d v="2014-06-28T00:00:00"/>
        <d v="2007-05-01T00:00:00"/>
        <d v="2019-06-13T00:00:00"/>
        <d v="2014-09-29T00:00:00"/>
        <d v="2018-05-25T00:00:00"/>
        <d v="2008-03-20T00:00:00"/>
        <d v="2015-11-30T00:00:00"/>
        <d v="2008-12-25T00:00:00"/>
        <d v="2009-11-29T00:00:00"/>
        <d v="2010-08-17T00:00:00"/>
        <d v="2003-07-15T00:00:00"/>
        <d v="2012-09-25T00:00:00"/>
        <d v="2019-09-09T00:00:00"/>
        <d v="2005-08-10T00:00:00"/>
        <d v="2015-04-25T00:00:00"/>
        <d v="2001-11-13T00:00:00"/>
        <d v="2015-01-28T00:00:00"/>
        <d v="2001-01-23T00:00:00"/>
        <d v="2010-12-25T00:00:00"/>
        <d v="2012-02-20T00:00:00"/>
        <d v="2019-10-22T00:00:00"/>
        <d v="2018-07-22T00:00:00"/>
        <d v="2002-06-15T00:00:00"/>
        <d v="2009-09-08T00:00:00"/>
        <d v="2005-12-29T00:00:00"/>
        <d v="2014-10-24T00:00:00"/>
        <d v="2002-08-27T00:00:00"/>
        <d v="2003-02-02T00:00:00"/>
        <d v="2019-02-05T00:00:00"/>
        <d v="2012-07-15T00:00:00"/>
        <d v="2004-07-06T00:00:00"/>
        <d v="2003-07-31T00:00:00"/>
        <d v="2001-04-12T00:00:00"/>
        <d v="2020-08-24T00:00:00"/>
        <d v="2010-05-03T00:00:00"/>
        <d v="2012-07-31T00:00:00"/>
        <d v="2015-04-30T00:00:00"/>
        <d v="2008-07-20T00:00:00"/>
        <d v="2003-08-29T00:00:00"/>
        <d v="2002-10-08T00:00:00"/>
        <d v="2013-02-21T00:00:00"/>
        <d v="2012-11-15T00:00:00"/>
        <d v="2007-08-04T00:00:00"/>
        <d v="2014-07-30T00:00:00"/>
        <d v="2007-12-19T00:00:00"/>
        <d v="2003-10-01T00:00:00"/>
        <d v="2001-06-19T00:00:00"/>
        <d v="2014-09-09T00:00:00"/>
        <d v="2009-01-11T00:00:00"/>
        <d v="2020-01-19T00:00:00"/>
        <d v="2009-01-21T00:00:00"/>
        <d v="2020-03-04T00:00:00"/>
        <d v="2002-10-29T00:00:00"/>
        <d v="2003-10-02T00:00:00"/>
        <d v="2012-06-27T00:00:00"/>
        <d v="2010-06-25T00:00:00"/>
        <d v="2020-10-07T00:00:00"/>
        <d v="2012-07-25T00:00:00"/>
        <d v="2013-12-15T00:00:00"/>
        <d v="2003-12-21T00:00:00"/>
        <d v="2002-01-08T00:00:00"/>
        <d v="2009-12-23T00:00:00"/>
        <d v="2009-12-21T00:00:00"/>
        <d v="2018-01-31T00:00:00"/>
        <d v="2008-07-09T00:00:00"/>
        <d v="2009-04-13T00:00:00"/>
        <d v="2002-02-08T00:00:00"/>
        <d v="2010-03-18T00:00:00"/>
        <d v="2016-08-07T00:00:00"/>
        <d v="2004-03-16T00:00:00"/>
        <d v="2020-03-01T00:00:00"/>
        <d v="2002-12-06T00:00:00"/>
        <d v="2016-07-31T00:00:00"/>
        <d v="2020-07-03T00:00:00"/>
        <d v="2006-10-02T00:00:00"/>
        <d v="2013-12-17T00:00:00"/>
        <d v="2003-08-03T00:00:00"/>
        <d v="2005-03-27T00:00:00"/>
        <d v="2019-07-06T00:00:00"/>
        <d v="2008-05-12T00:00:00"/>
        <d v="2008-10-23T00:00:00"/>
        <d v="2013-06-28T00:00:00"/>
        <d v="2019-11-09T00:00:00"/>
        <d v="2014-06-15T00:00:00"/>
        <d v="2001-04-19T00:00:00"/>
        <d v="2014-11-17T00:00:00"/>
        <d v="2004-09-18T00:00:00"/>
        <d v="2009-05-18T00:00:00"/>
        <d v="2015-07-20T00:00:00"/>
        <d v="2017-03-24T00:00:00"/>
        <d v="2018-02-10T00:00:00"/>
        <d v="2011-07-01T00:00:00"/>
        <d v="2011-10-22T00:00:00"/>
        <d v="2019-05-14T00:00:00"/>
        <d v="2007-05-14T00:00:00"/>
        <d v="2020-03-31T00:00:00"/>
        <d v="2015-12-01T00:00:00"/>
        <d v="2010-11-01T00:00:00"/>
        <d v="2010-06-29T00:00:00"/>
        <d v="2014-06-03T00:00:00"/>
        <d v="2011-11-25T00:00:00"/>
        <d v="2014-12-14T00:00:00"/>
        <d v="2009-10-02T00:00:00"/>
        <d v="2016-05-17T00:00:00"/>
        <d v="2009-04-28T00:00:00"/>
        <d v="2012-08-01T00:00:00"/>
        <d v="2010-10-19T00:00:00"/>
        <d v="2008-12-23T00:00:00"/>
        <d v="2017-04-28T00:00:00"/>
        <d v="2020-10-26T00:00:00"/>
        <d v="2007-07-29T00:00:00"/>
        <d v="2004-10-17T00:00:00"/>
        <d v="2003-05-18T00:00:00"/>
        <d v="2020-09-10T00:00:00"/>
        <d v="2005-07-26T00:00:00"/>
        <d v="2001-10-12T00:00:00"/>
        <d v="2015-01-18T00:00:00"/>
        <d v="2017-11-06T00:00:00"/>
        <d v="2002-08-08T00:00:00"/>
        <d v="2015-01-11T00:00:00"/>
        <d v="2008-05-11T00:00:00"/>
        <d v="2010-05-26T00:00:00"/>
        <d v="2001-04-09T00:00:00"/>
        <d v="2003-02-16T00:00:00"/>
        <d v="2005-09-29T00:00:00"/>
        <d v="2014-01-02T00:00:00"/>
        <d v="2012-08-23T00:00:00"/>
        <d v="2017-10-06T00:00:00"/>
        <d v="2016-07-23T00:00:00"/>
        <d v="2006-10-18T00:00:00"/>
        <d v="2001-11-06T00:00:00"/>
        <d v="2004-06-22T00:00:00"/>
        <d v="2011-10-13T00:00:00"/>
        <d v="2002-01-18T00:00:00"/>
        <d v="2002-10-25T00:00:00"/>
        <d v="2002-09-08T00:00:00"/>
        <d v="2012-04-30T00:00:00"/>
        <d v="2006-08-21T00:00:00"/>
        <d v="2006-01-22T00:00:00"/>
        <d v="2007-04-02T00:00:00"/>
        <d v="2009-03-29T00:00:00"/>
        <d v="2003-10-26T00:00:00"/>
        <d v="2003-10-23T00:00:00"/>
        <d v="2016-07-22T00:00:00"/>
        <d v="2009-09-21T00:00:00"/>
        <d v="2011-07-05T00:00:00"/>
        <d v="2002-12-14T00:00:00"/>
        <d v="2017-06-18T00:00:00"/>
        <d v="2006-12-07T00:00:00"/>
        <d v="2013-05-28T00:00:00"/>
        <d v="2016-02-02T00:00:00"/>
        <d v="2011-12-21T00:00:00"/>
        <d v="2004-05-06T00:00:00"/>
        <d v="2005-10-08T00:00:00"/>
        <d v="2009-10-20T00:00:00"/>
        <d v="2012-08-22T00:00:00"/>
        <d v="2011-06-22T00:00:00"/>
        <d v="2018-08-07T00:00:00"/>
        <d v="2004-11-06T00:00:00"/>
        <d v="2010-01-21T00:00:00"/>
        <d v="2016-08-06T00:00:00"/>
        <d v="2012-04-25T00:00:00"/>
        <d v="2020-03-13T00:00:00"/>
        <d v="2001-01-04T00:00:00"/>
        <d v="2014-09-07T00:00:00"/>
        <d v="2001-12-31T00:00:00"/>
        <d v="2011-08-17T00:00:00"/>
        <d v="2014-11-08T00:00:00"/>
        <d v="2009-05-26T00:00:00"/>
        <d v="2020-04-02T00:00:00"/>
        <d v="2012-02-22T00:00:00"/>
        <d v="2008-05-19T00:00:00"/>
        <d v="2020-06-09T00:00:00"/>
        <d v="2013-05-24T00:00:00"/>
        <d v="2001-09-09T00:00:00"/>
        <d v="2015-09-12T00:00:00"/>
        <d v="2009-10-29T00:00:00"/>
        <d v="2012-12-10T00:00:00"/>
        <d v="2008-08-17T00:00:00"/>
        <d v="2017-03-21T00:00:00"/>
        <d v="2019-03-06T00:00:00"/>
        <d v="2009-10-22T00:00:00"/>
        <d v="2003-08-23T00:00:00"/>
        <d v="2011-02-18T00:00:00"/>
        <d v="2018-12-27T00:00:00"/>
        <d v="2017-07-20T00:00:00"/>
        <d v="2013-02-19T00:00:00"/>
        <d v="2011-12-28T00:00:00"/>
        <d v="2011-03-19T00:00:00"/>
        <d v="2002-07-31T00:00:00"/>
        <d v="2015-07-07T00:00:00"/>
        <d v="2014-10-19T00:00:00"/>
        <d v="2017-03-22T00:00:00"/>
        <d v="2012-12-11T00:00:00"/>
        <d v="2013-08-22T00:00:00"/>
        <d v="2020-12-22T00:00:00"/>
        <d v="2015-09-20T00:00:00"/>
        <d v="2008-02-17T00:00:00"/>
        <d v="2014-04-30T00:00:00"/>
        <d v="2011-02-05T00:00:00"/>
        <d v="2009-12-28T00:00:00"/>
        <d v="2018-06-15T00:00:00"/>
        <d v="2015-11-07T00:00:00"/>
        <d v="2011-03-22T00:00:00"/>
        <d v="2015-06-24T00:00:00"/>
        <d v="2004-09-10T00:00:00"/>
        <d v="2007-06-27T00:00:00"/>
        <d v="2019-08-21T00:00:00"/>
        <d v="2009-09-17T00:00:00"/>
        <d v="2012-04-15T00:00:00"/>
        <d v="2006-06-04T00:00:00"/>
        <d v="2011-08-11T00:00:00"/>
        <d v="2005-03-07T00:00:00"/>
        <d v="2010-12-11T00:00:00"/>
        <d v="2009-10-12T00:00:00"/>
        <d v="2008-04-07T00:00:00"/>
        <d v="2019-10-03T00:00:00"/>
        <d v="2010-01-24T00:00:00"/>
        <d v="2003-08-01T00:00:00"/>
        <d v="2015-04-26T00:00:00"/>
        <d v="2003-01-26T00:00:00"/>
        <d v="2015-03-13T00:00:00"/>
        <d v="2011-09-30T00:00:00"/>
        <d v="2008-10-14T00:00:00"/>
        <d v="2011-08-13T00:00:00"/>
        <d v="2014-05-05T00:00:00"/>
        <d v="2005-02-24T00:00:00"/>
        <d v="2003-08-17T00:00:00"/>
        <d v="2007-05-15T00:00:00"/>
        <d v="2001-10-10T00:00:00"/>
        <d v="2015-01-20T00:00:00"/>
        <d v="2016-11-10T00:00:00"/>
        <d v="2011-02-15T00:00:00"/>
        <d v="2013-01-06T00:00:00"/>
        <d v="2007-07-20T00:00:00"/>
        <d v="2008-12-20T00:00:00"/>
        <d v="2009-02-18T00:00:00"/>
        <d v="2006-05-04T00:00:00"/>
        <d v="2010-07-27T00:00:00"/>
        <d v="2010-05-25T00:00:00"/>
        <d v="2017-12-15T00:00:00"/>
        <d v="2003-07-07T00:00:00"/>
        <d v="2016-12-17T00:00:00"/>
        <d v="2006-07-01T00:00:00"/>
        <d v="2014-12-07T00:00:00"/>
        <d v="2020-03-30T00:00:00"/>
        <d v="2016-02-26T00:00:00"/>
        <d v="2001-11-25T00:00:00"/>
        <d v="2005-09-09T00:00:00"/>
        <d v="2014-09-03T00:00:00"/>
        <d v="2004-06-30T00:00:00"/>
        <d v="2016-01-22T00:00:00"/>
        <d v="2001-07-30T00:00:00"/>
        <d v="2015-06-12T00:00:00"/>
        <d v="2004-10-06T00:00:00"/>
        <d v="2006-05-25T00:00:00"/>
        <d v="2013-02-08T00:00:00"/>
        <d v="2013-03-02T00:00:00"/>
        <d v="2014-04-16T00:00:00"/>
        <d v="2013-04-27T00:00:00"/>
        <d v="2017-05-03T00:00:00"/>
        <d v="2006-08-05T00:00:00"/>
        <d v="2012-03-11T00:00:00"/>
        <d v="2003-03-03T00:00:00"/>
        <d v="2020-04-23T00:00:00"/>
        <d v="2010-11-08T00:00:00"/>
        <d v="2006-12-14T00:00:00"/>
        <d v="2017-09-23T00:00:00"/>
        <d v="2014-06-04T00:00:00"/>
        <d v="2005-04-06T00:00:00"/>
        <d v="2001-03-13T00:00:00"/>
        <d v="2004-07-25T00:00:00"/>
        <d v="2008-04-17T00:00:00"/>
        <d v="2009-02-16T00:00:00"/>
        <d v="2018-07-01T00:00:00"/>
        <d v="2004-09-20T00:00:00"/>
        <d v="2018-03-02T00:00:00"/>
        <d v="2014-08-09T00:00:00"/>
        <d v="2018-12-19T00:00:00"/>
        <d v="2005-01-11T00:00:00"/>
        <d v="2013-03-13T00:00:00"/>
        <d v="2007-04-22T00:00:00"/>
        <d v="2019-12-12T00:00:00"/>
        <d v="2001-03-11T00:00:00"/>
        <d v="2015-01-06T00:00:00"/>
        <d v="2019-11-18T00:00:00"/>
        <d v="2020-06-27T00:00:00"/>
        <d v="2003-12-23T00:00:00"/>
        <d v="2016-02-29T00:00:00"/>
        <d v="2019-01-21T00:00:00"/>
        <d v="2009-06-07T00:00:00"/>
        <d v="2020-08-10T00:00:00"/>
        <d v="2012-11-11T00:00:00"/>
        <d v="2007-04-21T00:00:00"/>
        <d v="2015-09-15T00:00:00"/>
        <d v="2003-02-05T00:00:00"/>
        <d v="2005-12-15T00:00:00"/>
        <d v="2013-08-19T00:00:00"/>
        <d v="2006-11-08T00:00:00"/>
        <d v="2008-02-25T00:00:00"/>
        <d v="2009-06-30T00:00:00"/>
        <d v="2012-04-21T00:00:00"/>
        <d v="2008-01-25T00:00:00"/>
        <d v="2020-04-09T00:00:00"/>
        <d v="2013-12-01T00:00:00"/>
        <d v="2012-08-08T00:00:00"/>
        <d v="2007-06-03T00:00:00"/>
        <d v="2006-04-22T00:00:00"/>
        <d v="2017-03-17T00:00:00"/>
        <d v="2018-03-09T00:00:00"/>
        <d v="2011-04-24T00:00:00"/>
        <d v="2011-11-18T00:00:00"/>
        <d v="2011-02-10T00:00:00"/>
        <d v="2003-06-14T00:00:00"/>
        <d v="2005-07-14T00:00:00"/>
        <d v="2004-01-08T00:00:00"/>
        <d v="2019-03-17T00:00:00"/>
        <d v="2004-12-19T00:00:00"/>
        <d v="2010-09-05T00:00:00"/>
        <d v="2020-10-22T00:00:00"/>
        <d v="2014-04-22T00:00:00"/>
        <d v="2004-12-23T00:00:00"/>
        <d v="2013-03-22T00:00:00"/>
        <d v="2007-10-05T00:00:00"/>
        <d v="2010-06-24T00:00:00"/>
        <d v="2005-03-09T00:00:00"/>
        <d v="2004-02-20T00:00:00"/>
        <d v="2003-05-09T00:00:00"/>
        <d v="2011-06-09T00:00:00"/>
        <d v="2015-01-16T00:00:00"/>
        <d v="2017-06-01T00:00:00"/>
        <d v="2013-02-05T00:00:00"/>
        <d v="2006-04-26T00:00:00"/>
        <d v="2016-11-13T00:00:00"/>
        <d v="2008-12-02T00:00:00"/>
        <d v="2002-03-15T00:00:00"/>
        <d v="2016-08-22T00:00:00"/>
        <d v="2020-10-14T00:00:00"/>
        <d v="2001-08-31T00:00:00"/>
        <d v="2017-05-15T00:00:00"/>
        <d v="2008-11-18T00:00:00"/>
        <d v="2015-12-20T00:00:00"/>
        <d v="2007-04-30T00:00:00"/>
        <d v="2005-12-08T00:00:00"/>
        <d v="2017-02-18T00:00:00"/>
        <d v="2005-04-21T00:00:00"/>
        <d v="2013-03-06T00:00:00"/>
        <d v="2019-12-08T00:00:00"/>
        <d v="2008-07-05T00:00:00"/>
        <d v="2005-07-28T00:00:00"/>
        <d v="2019-05-19T00:00:00"/>
        <d v="2018-08-12T00:00:00"/>
        <d v="2001-08-12T00:00:00"/>
        <d v="2020-11-16T00:00:00"/>
        <d v="2005-07-04T00:00:00"/>
        <d v="2011-06-26T00:00:00"/>
        <d v="2007-12-16T00:00:00"/>
        <d v="2003-11-15T00:00:00"/>
        <d v="2008-01-29T00:00:00"/>
        <d v="2003-07-30T00:00:00"/>
        <d v="2011-12-07T00:00:00"/>
        <d v="2002-04-30T00:00:00"/>
        <d v="2009-11-17T00:00:00"/>
        <d v="2018-05-23T00:00:00"/>
        <d v="2014-10-15T00:00:00"/>
        <d v="2016-08-17T00:00:00"/>
        <d v="2003-09-02T00:00:00"/>
        <d v="2004-07-11T00:00:00"/>
        <d v="2007-11-25T00:00:00"/>
        <d v="2017-10-22T00:00:00"/>
        <d v="2014-07-23T00:00:00"/>
        <d v="2002-05-02T00:00:00"/>
        <d v="2002-12-05T00:00:00"/>
        <d v="2014-12-17T00:00:00"/>
        <d v="2020-04-18T00:00:00"/>
        <d v="2002-05-26T00:00:00"/>
        <d v="2016-07-30T00:00:00"/>
        <d v="2017-08-06T00:00:00"/>
        <d v="2018-03-11T00:00:00"/>
        <d v="2007-02-19T00:00:00"/>
        <d v="2014-12-11T00:00:00"/>
        <d v="2020-12-17T00:00:00"/>
        <d v="2002-02-06T00:00:00"/>
        <d v="2004-09-03T00:00:00"/>
        <d v="2013-11-04T00:00:00"/>
        <d v="2004-04-24T00:00:00"/>
        <d v="2012-09-16T00:00:00"/>
        <d v="2020-01-08T00:00:00"/>
        <d v="2001-03-07T00:00:00"/>
        <d v="2010-07-28T00:00:00"/>
        <d v="2011-10-04T00:00:00"/>
        <d v="2008-07-23T00:00:00"/>
        <d v="2020-08-31T00:00:00"/>
        <d v="2016-09-19T00:00:00"/>
        <d v="2013-04-06T00:00:00"/>
        <d v="2018-05-07T00:00:00"/>
        <d v="2002-03-14T00:00:00"/>
        <d v="2004-11-28T00:00:00"/>
        <d v="2009-02-11T00:00:00"/>
        <d v="2015-02-09T00:00:00"/>
        <d v="2006-08-15T00:00:00"/>
        <d v="2010-01-29T00:00:00"/>
        <d v="2020-12-20T00:00:00"/>
        <d v="2004-04-15T00:00:00"/>
        <d v="2020-06-29T00:00:00"/>
        <d v="2020-10-06T00:00:00"/>
        <d v="2018-03-22T00:00:00"/>
        <d v="2004-05-22T00:00:00"/>
        <d v="2002-03-01T00:00:00"/>
        <d v="2005-06-19T00:00:00"/>
        <d v="2013-11-22T00:00:00"/>
        <d v="2019-06-12T00:00:00"/>
        <d v="2007-06-07T00:00:00"/>
        <d v="2005-03-14T00:00:00"/>
        <d v="2009-05-27T00:00:00"/>
        <d v="2018-07-25T00:00:00"/>
        <d v="2012-05-13T00:00:00"/>
        <d v="2007-08-15T00:00:00"/>
        <d v="2001-08-10T00:00:00"/>
        <d v="2011-06-30T00:00:00"/>
        <d v="2006-04-02T00:00:00"/>
        <d v="2013-05-17T00:00:00"/>
        <d v="2016-12-26T00:00:00"/>
        <d v="2018-11-28T00:00:00"/>
        <d v="2005-02-03T00:00:00"/>
        <d v="2020-12-26T00:00:00"/>
        <d v="2008-07-13T00:00:00"/>
        <d v="2010-02-15T00:00:00"/>
        <d v="2002-11-24T00:00:00"/>
        <d v="2002-02-22T00:00:00"/>
        <d v="2010-11-21T00:00:00"/>
        <d v="2013-08-30T00:00:00"/>
        <d v="2017-09-12T00:00:00"/>
        <d v="2004-04-21T00:00:00"/>
        <d v="2009-06-03T00:00:00"/>
        <d v="2011-09-15T00:00:00"/>
        <d v="2001-06-30T00:00:00"/>
        <d v="2012-02-05T00:00:00"/>
        <d v="2006-03-09T00:00:00"/>
        <d v="2013-09-20T00:00:00"/>
        <d v="2016-04-08T00:00:00"/>
        <d v="2012-12-29T00:00:00"/>
        <d v="2018-07-16T00:00:00"/>
        <d v="2017-01-01T00:00:00"/>
        <d v="2002-02-09T00:00:00"/>
        <d v="2012-05-21T00:00:00"/>
        <d v="2015-10-29T00:00:00"/>
        <d v="2005-10-21T00:00:00"/>
        <d v="2006-12-20T00:00:00"/>
        <d v="2014-07-17T00:00:00"/>
        <d v="2014-02-10T00:00:00"/>
        <d v="2015-09-28T00:00:00"/>
        <d v="2011-01-11T00:00:00"/>
        <d v="2010-07-08T00:00:00"/>
        <d v="2009-06-15T00:00:00"/>
        <d v="2012-08-05T00:00:00"/>
        <d v="2012-10-24T00:00:00"/>
        <d v="2001-09-04T00:00:00"/>
        <d v="2013-01-08T00:00:00"/>
        <d v="2019-01-07T00:00:00"/>
        <d v="2019-01-02T00:00:00"/>
        <d v="2007-03-20T00:00:00"/>
        <d v="2006-07-31T00:00:00"/>
        <d v="2016-11-05T00:00:00"/>
        <d v="2010-08-30T00:00:00"/>
        <d v="2001-12-22T00:00:00"/>
        <d v="2017-05-23T00:00:00"/>
        <d v="2003-11-14T00:00:00"/>
        <d v="2020-01-16T00:00:00"/>
        <d v="2003-03-06T00:00:00"/>
        <d v="2013-11-11T00:00:00"/>
        <d v="2006-08-10T00:00:00"/>
        <d v="2003-03-09T00:00:00"/>
        <d v="2007-07-28T00:00:00"/>
        <d v="2018-02-17T00:00:00"/>
        <d v="2003-04-15T00:00:00"/>
        <d v="2013-08-07T00:00:00"/>
        <d v="2012-01-14T00:00:00"/>
        <d v="2008-04-21T00:00:00"/>
        <d v="2001-11-03T00:00:00"/>
        <d v="2006-09-21T00:00:00"/>
        <d v="2007-10-24T00:00:00"/>
        <d v="2001-10-22T00:00:00"/>
        <d v="2014-09-16T00:00:00"/>
        <d v="2009-08-30T00:00:00"/>
        <d v="2017-06-28T00:00:00"/>
        <d v="2004-09-30T00:00:00"/>
        <d v="2005-11-11T00:00:00"/>
        <d v="2006-11-02T00:00:00"/>
        <d v="2015-01-15T00:00:00"/>
        <d v="2019-04-12T00:00:00"/>
        <d v="2012-09-22T00:00:00"/>
        <d v="2009-01-10T00:00:00"/>
        <d v="2002-05-21T00:00:00"/>
        <d v="2010-07-01T00:00:00"/>
        <d v="2002-04-27T00:00:00"/>
        <d v="2002-08-18T00:00:00"/>
        <d v="2003-01-06T00:00:00"/>
        <d v="2013-11-06T00:00:00"/>
        <d v="2015-06-14T00:00:00"/>
        <d v="2014-11-18T00:00:00"/>
        <d v="2017-03-10T00:00:00"/>
        <d v="2005-06-27T00:00:00"/>
        <d v="2012-09-08T00:00:00"/>
        <d v="2008-09-30T00:00:00"/>
        <d v="2002-03-27T00:00:00"/>
        <d v="2014-08-01T00:00:00"/>
        <d v="2019-07-20T00:00:00"/>
        <d v="2020-11-19T00:00:00"/>
        <d v="2009-02-10T00:00:00"/>
        <d v="2020-03-18T00:00:00"/>
        <d v="2005-02-02T00:00:00"/>
        <d v="2010-11-05T00:00:00"/>
        <d v="2001-02-13T00:00:00"/>
        <d v="2016-05-29T00:00:00"/>
        <d v="2020-02-21T00:00:00"/>
        <d v="2004-11-09T00:00:00"/>
        <d v="2010-09-14T00:00:00"/>
        <d v="2019-11-07T00:00:00"/>
        <d v="2011-04-11T00:00:00"/>
        <d v="2014-11-13T00:00:00"/>
        <d v="2003-03-15T00:00:00"/>
        <d v="2001-04-21T00:00:00"/>
        <d v="2013-12-13T00:00:00"/>
        <d v="2001-05-12T00:00:00"/>
        <d v="2001-06-21T00:00:00"/>
        <d v="2004-11-01T00:00:00"/>
        <d v="2016-04-04T00:00:00"/>
        <d v="2012-05-04T00:00:00"/>
        <d v="2003-01-23T00:00:00"/>
        <d v="2015-01-14T00:00:00"/>
        <d v="2007-01-30T00:00:00"/>
        <d v="2015-06-09T00:00:00"/>
        <d v="2005-04-18T00:00:00"/>
        <d v="2002-09-26T00:00:00"/>
        <d v="2001-01-20T00:00:00"/>
        <d v="2011-06-18T00:00:00"/>
        <d v="2006-05-03T00:00:00"/>
        <d v="2013-05-03T00:00:00"/>
        <d v="2002-05-19T00:00:00"/>
        <d v="2009-06-06T00:00:00"/>
        <d v="2011-12-18T00:00:00"/>
        <d v="2005-02-19T00:00:00"/>
        <d v="2020-02-17T00:00:00"/>
        <d v="2005-01-31T00:00:00"/>
        <d v="2012-08-27T00:00:00"/>
        <d v="2006-10-10T00:00:00"/>
        <d v="2012-08-18T00:00:00"/>
        <d v="2018-08-27T00:00:00"/>
        <d v="2006-01-26T00:00:00"/>
        <d v="2001-03-31T00:00:00"/>
        <d v="2011-08-14T00:00:00"/>
        <d v="2014-11-28T00:00:00"/>
        <d v="2007-04-25T00:00:00"/>
        <d v="2002-08-17T00:00:00"/>
        <d v="2011-04-02T00:00:00"/>
        <d v="2007-09-28T00:00:00"/>
        <d v="2007-01-17T00:00:00"/>
        <d v="2004-02-22T00:00:00"/>
        <d v="2016-06-28T00:00:00"/>
        <d v="2019-07-16T00:00:00"/>
        <d v="2009-06-23T00:00:00"/>
        <d v="2010-12-21T00:00:00"/>
        <d v="2016-01-15T00:00:00"/>
        <d v="2009-07-28T00:00:00"/>
        <d v="2018-11-24T00:00:00"/>
        <d v="2003-06-19T00:00:00"/>
        <d v="2007-04-13T00:00:00"/>
        <d v="2003-11-28T00:00:00"/>
        <d v="2019-05-18T00:00:00"/>
        <d v="2006-09-29T00:00:00"/>
        <d v="2005-02-20T00:00:00"/>
        <d v="2008-10-21T00:00:00"/>
        <d v="2018-07-15T00:00:00"/>
        <d v="2013-10-12T00:00:00"/>
        <d v="2011-12-25T00:00:00"/>
        <d v="2008-04-29T00:00:00"/>
        <d v="2005-05-20T00:00:00"/>
        <d v="2001-05-06T00:00:00"/>
        <d v="2017-02-23T00:00:00"/>
        <d v="2007-10-23T00:00:00"/>
        <d v="2002-07-28T00:00:00"/>
        <d v="2008-10-26T00:00:00"/>
        <d v="2007-04-01T00:00:00"/>
        <d v="2007-03-28T00:00:00"/>
        <d v="2001-02-10T00:00:00"/>
        <d v="2017-09-28T00:00:00"/>
        <d v="2011-09-16T00:00:00"/>
        <d v="2020-06-15T00:00:00"/>
        <d v="2002-09-23T00:00:00"/>
        <d v="2003-07-02T00:00:00"/>
        <d v="2020-01-15T00:00:00"/>
        <d v="2011-09-10T00:00:00"/>
        <d v="2007-07-23T00:00:00"/>
        <d v="2009-06-29T00:00:00"/>
        <d v="2014-10-02T00:00:00"/>
        <d v="2011-08-10T00:00:00"/>
        <d v="2018-12-08T00:00:00"/>
        <d v="2011-10-24T00:00:00"/>
        <d v="2010-11-11T00:00:00"/>
        <d v="2004-05-04T00:00:00"/>
        <d v="2020-04-25T00:00:00"/>
        <d v="2015-07-06T00:00:00"/>
        <d v="2009-08-17T00:00:00"/>
        <d v="2018-10-19T00:00:00"/>
        <d v="2006-03-10T00:00:00"/>
        <d v="2020-10-05T00:00:00"/>
        <d v="2003-08-08T00:00:00"/>
        <d v="2010-05-29T00:00:00"/>
        <d v="2017-09-22T00:00:00"/>
        <d v="2017-04-22T00:00:00"/>
        <d v="2003-06-05T00:00:00"/>
        <d v="2013-05-29T00:00:00"/>
        <d v="2012-11-23T00:00:00"/>
        <d v="2020-06-12T00:00:00"/>
        <d v="2015-01-21T00:00:00"/>
        <d v="2010-02-07T00:00:00"/>
        <d v="2010-04-30T00:00:00"/>
        <d v="2002-04-08T00:00:00"/>
        <d v="2001-11-10T00:00:00"/>
        <d v="2008-09-20T00:00:00"/>
        <d v="2019-01-17T00:00:00"/>
        <d v="2019-12-17T00:00:00"/>
        <d v="2020-11-01T00:00:00"/>
        <d v="2010-03-19T00:00:00"/>
        <d v="2018-07-14T00:00:00"/>
        <d v="2012-01-10T00:00:00"/>
        <d v="2002-02-27T00:00:00"/>
        <d v="2008-07-08T00:00:00"/>
        <d v="2005-11-22T00:00:00"/>
        <d v="2004-01-06T00:00:00"/>
        <d v="2019-10-15T00:00:00"/>
        <d v="2013-09-30T00:00:00"/>
        <d v="2017-04-21T00:00:00"/>
        <d v="2014-04-26T00:00:00"/>
        <d v="2004-08-21T00:00:00"/>
        <d v="2010-04-12T00:00:00"/>
        <d v="2002-06-10T00:00:00"/>
        <d v="2016-10-14T00:00:00"/>
        <d v="2002-10-02T00:00:00"/>
        <d v="2016-11-18T00:00:00"/>
        <d v="2001-09-08T00:00:00"/>
        <d v="2019-04-14T00:00:00"/>
        <d v="2018-03-31T00:00:00"/>
        <d v="2014-02-17T00:00:00"/>
        <d v="2018-10-25T00:00:00"/>
        <d v="2019-03-19T00:00:00"/>
        <d v="2019-09-16T00:00:00"/>
        <d v="2002-01-30T00:00:00"/>
        <d v="2001-04-23T00:00:00"/>
        <d v="2006-02-24T00:00:00"/>
        <d v="2001-12-28T00:00:00"/>
        <d v="2007-01-27T00:00:00"/>
        <d v="2009-12-10T00:00:00"/>
        <d v="2012-04-09T00:00:00"/>
        <d v="2003-11-09T00:00:00"/>
        <d v="2006-02-09T00:00:00"/>
        <d v="2009-12-20T00:00:00"/>
        <d v="2004-05-14T00:00:00"/>
        <d v="2012-07-11T00:00:00"/>
        <d v="2002-11-07T00:00:00"/>
        <d v="2019-09-07T00:00:00"/>
        <d v="2003-12-31T00:00:00"/>
        <d v="2002-11-23T00:00:00"/>
        <d v="2019-12-19T00:00:00"/>
        <d v="2001-09-18T00:00:00"/>
        <d v="2012-10-09T00:00:00"/>
        <d v="2009-05-02T00:00:00"/>
        <d v="2020-08-04T00:00:00"/>
        <d v="2017-02-12T00:00:00"/>
        <d v="2012-03-10T00:00:00"/>
        <d v="2004-08-31T00:00:00"/>
        <d v="2007-07-03T00:00:00"/>
        <d v="2006-08-28T00:00:00"/>
        <d v="2020-02-10T00:00:00"/>
        <d v="2018-11-01T00:00:00"/>
        <d v="2013-05-01T00:00:00"/>
        <d v="2011-12-23T00:00:00"/>
        <d v="2016-06-02T00:00:00"/>
        <d v="2005-04-12T00:00:00"/>
        <d v="2014-06-21T00:00:00"/>
        <d v="2011-10-07T00:00:00"/>
        <d v="2002-03-26T00:00:00"/>
        <d v="2003-08-28T00:00:00"/>
        <d v="2015-12-08T00:00:00"/>
        <d v="2007-01-20T00:00:00"/>
        <d v="2014-02-24T00:00:00"/>
        <d v="2009-05-09T00:00:00"/>
        <d v="2017-10-31T00:00:00"/>
        <d v="2017-06-24T00:00:00"/>
        <d v="2009-05-12T00:00:00"/>
        <d v="2004-03-04T00:00:00"/>
        <d v="2007-06-04T00:00:00"/>
        <d v="2003-05-28T00:00:00"/>
        <d v="2007-08-16T00:00:00"/>
        <d v="2010-01-22T00:00:00"/>
        <d v="2015-08-28T00:00:00"/>
        <d v="2015-10-13T00:00:00"/>
        <d v="2010-04-26T00:00:00"/>
        <d v="2005-02-14T00:00:00"/>
        <d v="2014-06-06T00:00:00"/>
        <d v="2013-03-21T00:00:00"/>
        <d v="2020-04-06T00:00:00"/>
        <d v="2003-08-16T00:00:00"/>
        <d v="2015-08-12T00:00:00"/>
        <d v="2003-12-19T00:00:00"/>
        <d v="2016-01-20T00:00:00"/>
        <d v="2005-03-12T00:00:00"/>
        <d v="2015-03-16T00:00:00"/>
        <d v="2010-07-04T00:00:00"/>
        <d v="2012-01-06T00:00:00"/>
        <d v="2005-10-12T00:00:00"/>
        <d v="2001-01-13T00:00:00"/>
        <d v="2014-07-29T00:00:00"/>
        <d v="2009-12-07T00:00:00"/>
        <d v="2006-05-27T00:00:00"/>
        <d v="2019-08-29T00:00:00"/>
        <d v="2020-08-09T00:00:00"/>
        <d v="2017-01-31T00:00:00"/>
        <d v="2008-09-17T00:00:00"/>
        <d v="2008-07-12T00:00:00"/>
        <d v="2006-06-07T00:00:00"/>
        <d v="2001-10-16T00:00:00"/>
        <d v="2007-03-26T00:00:00"/>
        <d v="2004-02-19T00:00:00"/>
        <d v="2014-07-10T00:00:00"/>
        <d v="2002-12-28T00:00:00"/>
        <d v="2006-11-14T00:00:00"/>
        <d v="2017-04-13T00:00:00"/>
        <d v="2005-09-10T00:00:00"/>
        <d v="2016-06-21T00:00:00"/>
        <d v="2013-02-15T00:00:00"/>
        <d v="2015-03-10T00:00:00"/>
        <d v="2013-07-17T00:00:00"/>
        <d v="2011-11-11T00:00:00"/>
        <d v="2019-08-17T00:00:00"/>
        <d v="2017-08-29T00:00:00"/>
        <d v="2009-06-20T00:00:00"/>
        <d v="2003-10-29T00:00:00"/>
        <d v="2016-12-23T00:00:00"/>
        <d v="2016-05-10T00:00:00"/>
        <d v="2015-12-28T00:00:00"/>
        <d v="2017-01-12T00:00:00"/>
        <d v="2010-07-24T00:00:00"/>
        <d v="2013-07-01T00:00:00"/>
        <d v="2013-01-07T00:00:00"/>
        <d v="2003-09-28T00:00:00"/>
        <d v="2012-11-26T00:00:00"/>
        <d v="2008-10-06T00:00:00"/>
        <d v="2020-07-20T00:00:00"/>
        <d v="2011-09-26T00:00:00"/>
        <d v="2002-03-02T00:00:00"/>
        <d v="2015-06-19T00:00:00"/>
        <d v="2006-10-31T00:00:00"/>
        <d v="2003-11-22T00:00:00"/>
        <d v="2008-04-09T00:00:00"/>
        <d v="2010-09-27T00:00:00"/>
        <d v="2007-04-08T00:00:00"/>
        <d v="2010-04-19T00:00:00"/>
        <d v="2020-08-18T00:00:00"/>
        <d v="2012-12-20T00:00:00"/>
        <d v="2014-03-22T00:00:00"/>
        <d v="2015-01-23T00:00:00"/>
        <d v="2019-05-04T00:00:00"/>
        <d v="2015-03-03T00:00:00"/>
        <d v="2014-10-18T00:00:00"/>
        <d v="2019-12-31T00:00:00"/>
        <d v="2014-08-12T00:00:00"/>
        <d v="2011-04-21T00:00:00"/>
        <d v="2002-07-02T00:00:00"/>
        <d v="2006-02-17T00:00:00"/>
        <d v="2004-10-02T00:00:00"/>
        <d v="2007-07-17T00:00:00"/>
        <d v="2006-06-25T00:00:00"/>
        <d v="2015-10-14T00:00:00"/>
        <d v="2004-03-24T00:00:00"/>
        <d v="2001-09-26T00:00:00"/>
        <d v="2004-05-01T00:00:00"/>
        <d v="2011-08-03T00:00:00"/>
        <d v="2015-05-31T00:00:00"/>
        <d v="2005-09-08T00:00:00"/>
        <d v="2016-08-18T00:00:00"/>
        <d v="2018-05-29T00:00:00"/>
        <d v="2013-08-09T00:00:00"/>
        <d v="2007-10-28T00:00:00"/>
        <d v="2020-11-24T00:00:00"/>
        <d v="2010-10-16T00:00:00"/>
        <d v="2002-06-02T00:00:00"/>
        <d v="2009-01-12T00:00:00"/>
        <d v="2004-09-01T00:00:00"/>
        <d v="2020-01-27T00:00:00"/>
        <d v="2002-03-13T00:00:00"/>
        <d v="2018-11-23T00:00:00"/>
        <d v="2004-11-29T00:00:00"/>
        <d v="2017-04-25T00:00:00"/>
        <d v="2010-03-05T00:00:00"/>
        <d v="2011-08-09T00:00:00"/>
        <d v="2005-08-09T00:00:00"/>
        <d v="2012-04-07T00:00:00"/>
        <d v="2003-03-20T00:00:00"/>
        <d v="2020-07-21T00:00:00"/>
        <d v="2015-05-01T00:00:00"/>
        <d v="2018-11-27T00:00:00"/>
        <d v="2014-05-10T00:00:00"/>
        <d v="2007-03-03T00:00:00"/>
        <d v="2005-03-01T00:00:00"/>
        <d v="2017-10-01T00:00:00"/>
        <d v="2014-02-06T00:00:00"/>
        <d v="2014-09-19T00:00:00"/>
        <d v="2020-11-28T00:00:00"/>
        <d v="2006-09-23T00:00:00"/>
        <d v="2005-04-22T00:00:00"/>
        <d v="2019-07-08T00:00:00"/>
        <d v="2003-06-08T00:00:00"/>
        <d v="2008-08-23T00:00:00"/>
        <d v="2008-03-04T00:00:00"/>
        <d v="2007-08-20T00:00:00"/>
        <d v="2016-03-16T00:00:00"/>
        <d v="2001-09-15T00:00:00"/>
        <d v="2018-07-19T00:00:00"/>
        <d v="2017-06-29T00:00:00"/>
        <d v="2011-03-27T00:00:00"/>
        <d v="2013-10-14T00:00:00"/>
        <d v="2010-06-18T00:00:00"/>
        <d v="2010-01-01T00:00:00"/>
        <d v="2001-09-03T00:00:00"/>
        <d v="2013-11-09T00:00:00"/>
        <d v="2012-09-20T00:00:00"/>
        <d v="2016-07-10T00:00:00"/>
        <d v="2006-01-21T00:00:00"/>
        <d v="2015-02-14T00:00:00"/>
        <d v="2005-05-28T00:00:00"/>
        <d v="2005-05-11T00:00:00"/>
        <d v="2006-06-27T00:00:00"/>
        <d v="2004-04-18T00:00:00"/>
        <d v="2013-10-16T00:00:00"/>
        <d v="2010-12-19T00:00:00"/>
        <d v="2001-12-13T00:00:00"/>
        <d v="2013-10-02T00:00:00"/>
        <d v="2019-08-06T00:00:00"/>
        <d v="2006-10-23T00:00:00"/>
        <d v="2014-05-28T00:00:00"/>
        <d v="2015-12-03T00:00:00"/>
        <d v="2017-08-17T00:00:00"/>
        <d v="2017-08-21T00:00:00"/>
        <d v="2009-07-08T00:00:00"/>
        <d v="2010-10-28T00:00:00"/>
        <d v="2015-04-15T00:00:00"/>
        <d v="2003-09-22T00:00:00"/>
        <d v="2004-04-10T00:00:00"/>
        <d v="2016-07-07T00:00:00"/>
        <d v="2015-04-29T00:00:00"/>
        <d v="2013-03-07T00:00:00"/>
        <d v="2003-07-22T00:00:00"/>
        <d v="2005-09-19T00:00:00"/>
        <d v="2018-07-27T00:00:00"/>
        <d v="2009-07-06T00:00:00"/>
        <d v="2013-11-24T00:00:00"/>
        <d v="2019-11-15T00:00:00"/>
        <d v="2007-05-23T00:00:00"/>
        <d v="2004-07-04T00:00:00"/>
        <d v="2008-05-07T00:00:00"/>
        <d v="2014-03-01T00:00:00"/>
        <d v="2009-12-04T00:00:00"/>
        <d v="2009-03-11T00:00:00"/>
        <d v="2002-07-12T00:00:00"/>
        <d v="2004-10-15T00:00:00"/>
        <d v="2013-01-02T00:00:00"/>
        <d v="2020-07-30T00:00:00"/>
        <d v="2014-01-14T00:00:00"/>
        <d v="2012-10-22T00:00:00"/>
        <d v="2001-02-07T00:00:00"/>
        <d v="2018-07-30T00:00:00"/>
        <d v="2008-01-01T00:00:00"/>
        <d v="2003-01-14T00:00:00"/>
        <d v="2012-02-01T00:00:00"/>
        <d v="2016-10-15T00:00:00"/>
        <d v="2007-02-20T00:00:00"/>
        <d v="2008-10-05T00:00:00"/>
        <d v="2004-10-12T00:00:00"/>
        <d v="2006-03-11T00:00:00"/>
        <d v="2001-06-09T00:00:00"/>
        <d v="2007-12-04T00:00:00"/>
        <d v="2004-12-08T00:00:00"/>
        <d v="2008-06-26T00:00:00"/>
        <d v="2009-05-15T00:00:00"/>
        <d v="2011-12-11T00:00:00"/>
        <d v="2011-03-06T00:00:00"/>
        <d v="2017-05-13T00:00:00"/>
        <d v="2018-04-15T00:00:00"/>
        <d v="2001-06-29T00:00:00"/>
        <d v="2018-06-14T00:00:00"/>
        <d v="2009-05-06T00:00:00"/>
        <d v="2016-05-08T00:00:00"/>
        <d v="2004-12-10T00:00:00"/>
        <d v="2017-02-19T00:00:00"/>
        <d v="2019-09-23T00:00:00"/>
        <d v="2009-02-08T00:00:00"/>
        <d v="2004-04-25T00:00:00"/>
        <d v="2012-04-19T00:00:00"/>
        <d v="2019-01-03T00:00:00"/>
        <d v="2013-01-11T00:00:00"/>
        <d v="2008-04-15T00:00:00"/>
        <d v="2009-10-30T00:00:00"/>
        <d v="2005-12-05T00:00:00"/>
        <d v="2006-03-05T00:00:00"/>
        <d v="2001-08-27T00:00:00"/>
        <d v="2018-11-25T00:00:00"/>
        <d v="2019-02-27T00:00:00"/>
        <d v="2020-03-25T00:00:00"/>
        <d v="2015-03-07T00:00:00"/>
        <d v="2013-09-19T00:00:00"/>
        <d v="2019-12-22T00:00:00"/>
        <d v="2012-01-11T00:00:00"/>
        <d v="2008-12-16T00:00:00"/>
        <d v="2016-09-03T00:00:00"/>
        <d v="2011-07-03T00:00:00"/>
        <d v="2012-02-03T00:00:00"/>
        <d v="2008-02-06T00:00:00"/>
        <d v="2019-02-09T00:00:00"/>
        <d v="2004-08-18T00:00:00"/>
        <d v="2001-12-01T00:00:00"/>
        <d v="2013-09-21T00:00:00"/>
        <d v="2009-11-10T00:00:00"/>
        <d v="2016-03-25T00:00:00"/>
        <d v="2014-07-09T00:00:00"/>
        <d v="2007-09-22T00:00:00"/>
        <d v="2010-08-20T00:00:00"/>
        <d v="2001-02-19T00:00:00"/>
        <d v="2017-10-14T00:00:00"/>
        <d v="2002-05-29T00:00:00"/>
        <d v="2014-03-14T00:00:00"/>
        <d v="2004-02-10T00:00:00"/>
        <d v="2011-10-26T00:00:00"/>
        <d v="2006-05-09T00:00:00"/>
        <d v="2018-11-12T00:00:00"/>
        <d v="2011-07-24T00:00:00"/>
        <d v="2014-05-01T00:00:00"/>
        <d v="2011-09-08T00:00:00"/>
        <d v="2019-12-09T00:00:00"/>
        <d v="2015-08-30T00:00:00"/>
        <d v="2010-04-22T00:00:00"/>
        <d v="2009-09-27T00:00:00"/>
        <d v="2013-02-28T00:00:00"/>
        <d v="2020-05-09T00:00:00"/>
        <d v="2004-02-27T00:00:00"/>
        <d v="2017-05-22T00:00:00"/>
        <d v="2004-12-25T00:00:00"/>
        <d v="2005-12-03T00:00:00"/>
        <d v="2020-04-11T00:00:00"/>
        <d v="2019-12-07T00:00:00"/>
        <d v="2002-05-08T00:00:00"/>
        <d v="2006-01-29T00:00:00"/>
        <d v="2002-01-28T00:00:00"/>
        <d v="2011-06-28T00:00:00"/>
        <d v="2010-02-25T00:00:00"/>
        <d v="2010-02-04T00:00:00"/>
        <d v="2012-07-19T00:00:00"/>
        <d v="2017-07-13T00:00:00"/>
        <d v="2018-02-06T00:00:00"/>
        <d v="2004-01-26T00:00:00"/>
        <d v="2005-08-23T00:00:00"/>
        <d v="2013-05-20T00:00:00"/>
        <d v="2018-04-19T00:00:00"/>
        <d v="2013-11-13T00:00:00"/>
        <d v="2008-01-20T00:00:00"/>
        <d v="2016-01-14T00:00:00"/>
        <d v="2006-02-04T00:00:00"/>
        <d v="2003-04-09T00:00:00"/>
        <d v="2018-08-24T00:00:00"/>
        <d v="2004-09-17T00:00:00"/>
        <d v="2012-09-02T00:00:00"/>
        <d v="2019-03-07T00:00:00"/>
        <d v="2008-05-04T00:00:00"/>
        <d v="2007-12-21T00:00:00"/>
        <d v="2006-11-18T00:00:00"/>
        <d v="2018-06-05T00:00:00"/>
        <d v="2013-08-15T00:00:00"/>
        <d v="2007-01-07T00:00:00"/>
        <d v="2003-04-26T00:00:00"/>
        <d v="2002-03-16T00:00:00"/>
        <d v="2012-01-25T00:00:00"/>
        <d v="2019-03-23T00:00:00"/>
        <d v="2017-09-08T00:00:00"/>
        <d v="2014-02-25T00:00:00"/>
        <d v="2016-01-18T00:00:00"/>
        <d v="2018-10-13T00:00:00"/>
        <d v="2009-04-06T00:00:00"/>
        <d v="2004-05-13T00:00:00"/>
        <d v="2014-09-24T00:00:00"/>
        <d v="2001-06-15T00:00:00"/>
        <d v="2006-08-24T00:00:00"/>
        <d v="2004-12-27T00:00:00"/>
        <d v="2020-01-01T00:00:00"/>
        <d v="2019-02-06T00:00:00"/>
        <d v="2011-10-06T00:00:00"/>
        <d v="2001-03-21T00:00:00"/>
        <d v="2020-04-16T00:00:00"/>
        <d v="2011-01-09T00:00:00"/>
        <d v="2015-06-03T00:00:00"/>
        <d v="2011-08-31T00:00:00"/>
        <d v="2017-11-25T00:00:00"/>
        <d v="2005-10-22T00:00:00"/>
        <d v="2013-07-16T00:00:00"/>
        <d v="2019-01-10T00:00:00"/>
        <d v="2012-01-31T00:00:00"/>
        <d v="2016-04-22T00:00:00"/>
        <d v="2003-07-18T00:00:00"/>
        <d v="2001-08-18T00:00:00"/>
        <d v="2018-09-12T00:00:00"/>
        <d v="2017-01-28T00:00:00"/>
        <d v="2012-02-02T00:00:00"/>
        <d v="2003-02-01T00:00:00"/>
        <d v="2001-12-16T00:00:00"/>
        <d v="2013-10-18T00:00:00"/>
        <d v="2007-10-26T00:00:00"/>
        <d v="2012-01-16T00:00:00"/>
        <d v="2001-09-23T00:00:00"/>
        <d v="2019-01-09T00:00:00"/>
        <d v="2010-06-02T00:00:00"/>
        <d v="2015-01-04T00:00:00"/>
        <d v="2006-02-08T00:00:00"/>
        <d v="2014-06-13T00:00:00"/>
        <d v="2007-09-20T00:00:00"/>
        <d v="2016-05-05T00:00:00"/>
        <d v="2007-11-23T00:00:00"/>
        <d v="2013-05-25T00:00:00"/>
        <d v="2009-11-06T00:00:00"/>
        <d v="2013-01-16T00:00:00"/>
        <d v="2018-01-07T00:00:00"/>
        <d v="2010-05-16T00:00:00"/>
        <d v="2013-03-17T00:00:00"/>
        <d v="2003-12-08T00:00:00"/>
        <d v="2018-03-13T00:00:00"/>
        <d v="2001-05-31T00:00:00"/>
        <d v="2015-11-03T00:00:00"/>
        <d v="2017-12-03T00:00:00"/>
        <d v="2012-05-20T00:00:00"/>
        <d v="2001-05-03T00:00:00"/>
        <d v="2015-03-21T00:00:00"/>
        <d v="2001-06-22T00:00:00"/>
        <d v="2004-08-05T00:00:00"/>
        <d v="2015-11-26T00:00:00"/>
        <d v="2001-08-04T00:00:00"/>
        <d v="2017-11-08T00:00:00"/>
        <d v="2013-11-18T00:00:00"/>
        <d v="2011-06-20T00:00:00"/>
        <d v="2009-08-09T00:00:00"/>
        <d v="2009-04-10T00:00:00"/>
        <d v="2010-04-16T00:00:00"/>
        <d v="2015-02-18T00:00:00"/>
        <d v="2005-09-03T00:00:00"/>
        <d v="2015-11-25T00:00:00"/>
        <d v="2003-10-25T00:00:00"/>
        <d v="2008-01-07T00:00:00"/>
        <d v="2020-10-27T00:00:00"/>
        <d v="2013-05-19T00:00:00"/>
        <d v="2015-02-21T00:00:00"/>
        <d v="2005-03-28T00:00:00"/>
        <d v="2011-06-16T00:00:00"/>
        <d v="2015-09-14T00:00:00"/>
        <d v="2019-03-27T00:00:00"/>
        <d v="2013-12-23T00:00:00"/>
        <d v="2004-02-18T00:00:00"/>
        <d v="2011-09-17T00:00:00"/>
        <d v="2007-01-05T00:00:00"/>
        <d v="2004-09-23T00:00:00"/>
        <d v="2011-01-08T00:00:00"/>
        <d v="2018-01-11T00:00:00"/>
        <d v="2015-03-08T00:00:00"/>
        <d v="2016-04-11T00:00:00"/>
        <d v="2020-06-21T00:00:00"/>
        <d v="2001-03-26T00:00:00"/>
        <d v="2019-01-25T00:00:00"/>
        <d v="2018-04-30T00:00:00"/>
        <d v="2010-11-20T00:00:00"/>
        <d v="2013-01-29T00:00:00"/>
        <d v="2020-05-01T00:00:00"/>
        <d v="2008-10-16T00:00:00"/>
        <d v="2010-01-20T00:00:00"/>
        <d v="2002-08-21T00:00:00"/>
        <d v="2008-07-11T00:00:00"/>
        <d v="2010-02-26T00:00:00"/>
        <d v="2001-04-05T00:00:00"/>
        <d v="2018-05-28T00:00:00"/>
        <d v="2001-04-30T00:00:00"/>
        <d v="2018-11-21T00:00:00"/>
        <d v="2020-07-29T00:00:00"/>
        <d v="2015-08-10T00:00:00"/>
        <d v="2018-10-17T00:00:00"/>
        <d v="2002-11-26T00:00:00"/>
        <d v="2006-01-15T00:00:00"/>
        <d v="2006-12-21T00:00:00"/>
        <d v="2015-10-31T00:00:00"/>
        <d v="2009-02-23T00:00:00"/>
        <d v="2010-10-05T00:00:00"/>
        <d v="2008-05-31T00:00:00"/>
        <d v="2009-06-09T00:00:00"/>
        <d v="2005-03-16T00:00:00"/>
        <d v="2007-03-07T00:00:00"/>
        <d v="2015-07-17T00:00:00"/>
        <d v="2020-02-15T00:00:00"/>
        <d v="2011-04-03T00:00:00"/>
        <d v="2007-02-08T00:00:00"/>
        <d v="2001-06-10T00:00:00"/>
        <d v="2002-09-22T00:00:00"/>
        <d v="2018-01-13T00:00:00"/>
        <d v="2014-03-09T00:00:00"/>
        <d v="2020-07-15T00:00:00"/>
        <d v="2012-01-22T00:00:00"/>
        <d v="2010-04-14T00:00:00"/>
        <d v="2013-03-11T00:00:00"/>
        <d v="2016-07-15T00:00:00"/>
        <d v="2017-11-24T00:00:00"/>
        <d v="2010-04-13T00:00:00"/>
        <d v="2019-08-14T00:00:00"/>
        <d v="2016-04-13T00:00:00"/>
        <d v="2006-01-24T00:00:00"/>
        <d v="2008-08-28T00:00:00"/>
        <d v="2015-06-01T00:00:00"/>
        <d v="2004-06-29T00:00:00"/>
        <d v="2003-09-23T00:00:00"/>
        <d v="2006-07-16T00:00:00"/>
        <d v="2017-08-12T00:00:00"/>
        <d v="2014-02-01T00:00:00"/>
        <d v="2018-06-08T00:00:00"/>
        <d v="2011-11-13T00:00:00"/>
        <d v="2007-02-04T00:00:00"/>
        <d v="2017-11-10T00:00:00"/>
        <d v="2006-03-30T00:00:00"/>
        <d v="2016-04-27T00:00:00"/>
        <d v="2002-07-08T00:00:00"/>
        <d v="2019-08-31T00:00:00"/>
        <d v="2007-05-28T00:00:00"/>
        <d v="2018-11-18T00:00:00"/>
        <d v="2012-07-18T00:00:00"/>
        <d v="2009-03-23T00:00:00"/>
        <d v="2001-05-21T00:00:00"/>
        <d v="2009-02-20T00:00:00"/>
        <d v="2008-10-03T00:00:00"/>
        <d v="2005-01-20T00:00:00"/>
        <d v="2002-10-07T00:00:00"/>
        <d v="2014-08-05T00:00:00"/>
        <d v="2006-06-10T00:00:00"/>
        <d v="2007-12-14T00:00:00"/>
        <d v="2014-09-25T00:00:00"/>
        <d v="2019-09-06T00:00:00"/>
        <d v="2006-04-08T00:00:00"/>
        <d v="2016-09-10T00:00:00"/>
        <d v="2011-07-20T00:00:00"/>
        <d v="2004-07-20T00:00:00"/>
        <d v="2015-10-30T00:00:00"/>
        <d v="2003-08-04T00:00:00"/>
        <d v="2013-08-04T00:00:00"/>
        <d v="2005-07-17T00:00:00"/>
        <d v="2007-07-24T00:00:00"/>
        <d v="2020-03-23T00:00:00"/>
        <d v="2009-01-28T00:00:00"/>
        <d v="2016-08-12T00:00:00"/>
        <d v="2018-05-27T00:00:00"/>
        <d v="2002-02-21T00:00:00"/>
        <d v="2019-10-19T00:00:00"/>
        <d v="2019-05-10T00:00:00"/>
        <d v="2014-11-19T00:00:00"/>
        <d v="2018-12-05T00:00:00"/>
        <d v="2012-07-10T00:00:00"/>
        <d v="2003-01-02T00:00:00"/>
        <d v="2014-07-21T00:00:00"/>
        <d v="2009-11-14T00:00:00"/>
        <d v="2005-02-10T00:00:00"/>
        <d v="2006-08-02T00:00:00"/>
        <d v="2016-05-25T00:00:00"/>
        <d v="2019-03-30T00:00:00"/>
        <d v="2009-09-09T00:00:00"/>
        <d v="2010-05-17T00:00:00"/>
        <d v="2007-05-31T00:00:00"/>
        <d v="2017-04-30T00:00:00"/>
        <d v="2007-12-25T00:00:00"/>
        <d v="2014-12-15T00:00:00"/>
        <d v="2001-03-12T00:00:00"/>
        <d v="2002-10-13T00:00:00"/>
        <d v="2018-07-02T00:00:00"/>
        <d v="2006-06-23T00:00:00"/>
        <d v="2007-10-01T00:00:00"/>
        <d v="2019-06-08T00:00:00"/>
        <d v="2005-05-07T00:00:00"/>
        <d v="2018-12-25T00:00:00"/>
        <d v="2013-07-15T00:00:00"/>
        <d v="2002-07-15T00:00:00"/>
        <d v="2014-09-08T00:00:00"/>
        <d v="2001-10-09T00:00:00"/>
        <d v="2017-10-26T00:00:00"/>
        <d v="2002-07-18T00:00:00"/>
        <d v="2017-12-31T00:00:00"/>
        <d v="2001-05-08T00:00:00"/>
        <d v="2008-03-19T00:00:00"/>
        <d v="2015-06-05T00:00:00"/>
        <d v="2015-11-08T00:00:00"/>
        <d v="2018-01-18T00:00:00"/>
        <d v="2005-08-31T00:00:00"/>
        <d v="2019-12-24T00:00:00"/>
        <d v="2009-10-06T00:00:00"/>
        <d v="2009-07-14T00:00:00"/>
        <d v="2013-02-23T00:00:00"/>
        <d v="2020-11-07T00:00:00"/>
        <d v="2006-02-02T00:00:00"/>
        <d v="2018-02-23T00:00:00"/>
        <d v="2001-04-15T00:00:00"/>
        <d v="2010-06-30T00:00:00"/>
        <d v="2016-07-11T00:00:00"/>
        <d v="2015-05-12T00:00:00"/>
        <d v="2008-08-04T00:00:00"/>
        <d v="2006-09-04T00:00:00"/>
        <d v="2005-05-19T00:00:00"/>
        <d v="2013-08-17T00:00:00"/>
        <d v="2012-08-15T00:00:00"/>
        <d v="2002-08-25T00:00:00"/>
        <d v="2017-12-10T00:00:00"/>
        <d v="2011-07-13T00:00:00"/>
        <d v="2019-08-07T00:00:00"/>
        <d v="2004-01-17T00:00:00"/>
        <d v="2014-06-08T00:00:00"/>
        <d v="2017-03-01T00:00:00"/>
        <d v="2018-09-18T00:00:00"/>
        <d v="2005-11-27T00:00:00"/>
        <d v="2013-07-02T00:00:00"/>
        <d v="2001-07-29T00:00:00"/>
        <d v="2014-08-02T00:00:00"/>
        <d v="2006-11-13T00:00:00"/>
        <d v="2012-05-10T00:00:00"/>
        <d v="2003-01-03T00:00:00"/>
        <d v="2009-05-24T00:00:00"/>
        <d v="2019-04-16T00:00:00"/>
        <d v="2002-09-01T00:00:00"/>
        <d v="2005-07-31T00:00:00"/>
        <d v="2004-12-03T00:00:00"/>
        <d v="2017-09-26T00:00:00"/>
        <d v="2001-06-03T00:00:00"/>
        <d v="2004-10-13T00:00:00"/>
        <d v="2013-10-03T00:00:00"/>
        <d v="2010-03-11T00:00:00"/>
        <d v="2007-10-11T00:00:00"/>
        <d v="2017-04-29T00:00:00"/>
        <d v="2017-07-08T00:00:00"/>
        <d v="2012-12-25T00:00:00"/>
        <d v="2016-12-03T00:00:00"/>
        <d v="2012-05-27T00:00:00"/>
        <d v="2017-11-01T00:00:00"/>
        <d v="2015-11-22T00:00:00"/>
        <d v="2012-05-28T00:00:00"/>
        <d v="2007-11-29T00:00:00"/>
        <d v="2005-09-22T00:00:00"/>
        <d v="2014-07-08T00:00:00"/>
        <d v="2008-11-26T00:00:00"/>
        <d v="2019-09-04T00:00:00"/>
        <d v="2015-01-19T00:00:00"/>
        <d v="2011-05-25T00:00:00"/>
        <d v="2017-05-08T00:00:00"/>
        <d v="2018-04-05T00:00:00"/>
        <d v="2009-12-18T00:00:00"/>
        <d v="2015-11-28T00:00:00"/>
        <d v="2005-04-24T00:00:00"/>
        <d v="2013-06-03T00:00:00"/>
        <d v="2008-12-07T00:00:00"/>
        <d v="2006-09-26T00:00:00"/>
        <d v="2003-11-03T00:00:00"/>
        <d v="2003-05-17T00:00:00"/>
        <d v="2008-06-28T00:00:00"/>
        <d v="2010-07-16T00:00:00"/>
        <d v="2010-02-13T00:00:00"/>
        <d v="2003-04-06T00:00:00"/>
        <d v="2018-07-12T00:00:00"/>
        <d v="2003-01-07T00:00:00"/>
        <d v="2010-04-09T00:00:00"/>
        <d v="2011-01-07T00:00:00"/>
        <d v="2005-05-10T00:00:00"/>
        <d v="2006-09-24T00:00:00"/>
        <d v="2017-11-07T00:00:00"/>
        <d v="2002-07-24T00:00:00"/>
        <d v="2004-04-22T00:00:00"/>
        <d v="2013-09-23T00:00:00"/>
        <d v="2003-01-19T00:00:00"/>
        <d v="2003-03-05T00:00:00"/>
        <d v="2005-11-30T00:00:00"/>
        <d v="2020-10-18T00:00:00"/>
        <d v="2011-09-25T00:00:00"/>
        <d v="2008-11-09T00:00:00"/>
        <d v="2004-08-16T00:00:00"/>
        <d v="2009-06-19T00:00:00"/>
        <d v="2006-09-10T00:00:00"/>
        <d v="2008-08-10T00:00:00"/>
        <d v="2011-09-11T00:00:00"/>
        <d v="2016-09-18T00:00:00"/>
        <d v="2017-02-24T00:00:00"/>
        <d v="2018-10-22T00:00:00"/>
        <d v="2020-10-21T00:00:00"/>
        <d v="2010-06-26T00:00:00"/>
        <d v="2009-10-03T00:00:00"/>
        <d v="2003-06-13T00:00:00"/>
        <d v="2005-02-01T00:00:00"/>
        <d v="2017-12-07T00:00:00"/>
        <d v="2006-05-19T00:00:00"/>
        <d v="2001-04-28T00:00:00"/>
        <d v="2004-12-04T00:00:00"/>
        <d v="2018-02-05T00:00:00"/>
        <d v="2001-02-14T00:00:00"/>
        <d v="2005-06-07T00:00:00"/>
        <d v="2004-05-25T00:00:00"/>
        <d v="2016-12-20T00:00:00"/>
        <d v="2014-01-04T00:00:00"/>
        <d v="2018-05-02T00:00:00"/>
        <d v="2014-10-23T00:00:00"/>
        <d v="2010-12-28T00:00:00"/>
        <d v="2016-12-11T00:00:00"/>
        <d v="2019-08-24T00:00:00"/>
        <d v="2008-01-10T00:00:00"/>
        <d v="2014-02-28T00:00:00"/>
        <d v="2019-07-29T00:00:00"/>
        <d v="2003-08-18T00:00:00"/>
        <d v="2017-02-05T00:00:00"/>
        <d v="2011-06-21T00:00:00"/>
        <d v="2017-07-12T00:00:00"/>
        <d v="2012-05-11T00:00:00"/>
        <d v="2009-07-04T00:00:00"/>
        <d v="2008-11-28T00:00:00"/>
        <d v="2020-04-20T00:00:00"/>
        <d v="2003-11-20T00:00:00"/>
        <d v="2009-07-18T00:00:00"/>
        <d v="2011-12-09T00:00:00"/>
        <d v="2007-09-02T00:00:00"/>
        <d v="2020-03-06T00:00:00"/>
        <d v="2007-01-12T00:00:00"/>
        <d v="2005-01-29T00:00:00"/>
        <d v="2006-01-12T00:00:00"/>
        <d v="2005-01-13T00:00:00"/>
        <d v="2012-12-08T00:00:00"/>
        <d v="2002-01-17T00:00:00"/>
        <d v="2020-02-13T00:00:00"/>
        <d v="2017-12-08T00:00:00"/>
        <d v="2016-07-26T00:00:00"/>
        <d v="2015-12-12T00:00:00"/>
        <d v="2013-10-06T00:00:00"/>
        <d v="2012-11-28T00:00:00"/>
        <d v="2006-03-14T00:00:00"/>
        <d v="2017-04-11T00:00:00"/>
        <d v="2011-02-04T00:00:00"/>
        <d v="2004-11-13T00:00:00"/>
        <d v="2006-12-16T00:00:00"/>
        <d v="2003-10-15T00:00:00"/>
        <d v="2002-08-03T00:00:00"/>
        <d v="2006-03-04T00:00:00"/>
        <d v="2007-07-13T00:00:00"/>
        <d v="2011-07-16T00:00:00"/>
        <d v="2017-12-12T00:00:00"/>
        <d v="2008-10-12T00:00:00"/>
        <d v="2018-09-04T00:00:00"/>
        <d v="2008-01-18T00:00:00"/>
        <d v="2002-09-18T00:00:00"/>
        <d v="2016-12-19T00:00:00"/>
        <d v="2009-02-14T00:00:00"/>
        <d v="2006-07-20T00:00:00"/>
        <d v="2013-01-31T00:00:00"/>
        <d v="2003-03-27T00:00:00"/>
        <d v="2013-01-27T00:00:00"/>
        <d v="2008-08-16T00:00:00"/>
        <d v="2002-03-28T00:00:00"/>
        <d v="2003-02-14T00:00:00"/>
        <d v="2015-05-08T00:00:00"/>
        <d v="2015-08-14T00:00:00"/>
        <d v="2020-07-05T00:00:00"/>
        <d v="2007-06-20T00:00:00"/>
        <d v="2011-07-19T00:00:00"/>
        <d v="2005-11-16T00:00:00"/>
        <d v="2016-03-05T00:00:00"/>
        <d v="2020-10-09T00:00:00"/>
        <d v="2012-11-21T00:00:00"/>
        <d v="2017-10-03T00:00:00"/>
        <d v="2003-12-09T00:00:00"/>
        <d v="2015-11-10T00:00:00"/>
        <d v="2005-08-11T00:00:00"/>
        <d v="2014-11-05T00:00:00"/>
        <d v="2019-04-26T00:00:00"/>
        <d v="2019-01-13T00:00:00"/>
        <d v="2019-03-22T00:00:00"/>
        <d v="2009-09-22T00:00:00"/>
        <d v="2001-02-18T00:00:00"/>
        <d v="2019-03-28T00:00:00"/>
        <d v="2018-12-26T00:00:00"/>
        <d v="2014-02-11T00:00:00"/>
        <d v="2017-09-06T00:00:00"/>
        <d v="2013-11-08T00:00:00"/>
        <d v="2019-07-24T00:00:00"/>
        <d v="2018-04-24T00:00:00"/>
        <d v="2013-12-30T00:00:00"/>
        <d v="2011-03-05T00:00:00"/>
        <d v="2001-11-05T00:00:00"/>
        <d v="2017-08-01T00:00:00"/>
        <d v="2018-01-29T00:00:00"/>
        <d v="2005-07-22T00:00:00"/>
        <d v="2004-12-28T00:00:00"/>
        <d v="2006-10-04T00:00:00"/>
        <d v="2018-07-23T00:00:00"/>
        <d v="2011-09-22T00:00:00"/>
        <d v="2010-05-15T00:00:00"/>
        <d v="2020-01-22T00:00:00"/>
        <d v="2006-04-20T00:00:00"/>
        <d v="2018-08-13T00:00:00"/>
        <d v="2012-03-21T00:00:00"/>
        <d v="2004-02-06T00:00:00"/>
        <d v="2005-04-17T00:00:00"/>
        <d v="2006-04-18T00:00:00"/>
        <d v="2006-05-13T00:00:00"/>
        <d v="2004-07-28T00:00:00"/>
        <d v="2013-04-24T00:00:00"/>
        <d v="2002-10-18T00:00:00"/>
        <d v="2009-08-07T00:00:00"/>
        <d v="2006-03-31T00:00:00"/>
        <d v="2016-05-27T00:00:00"/>
        <d v="2010-12-10T00:00:00"/>
        <d v="2015-02-02T00:00:00"/>
        <d v="2011-05-11T00:00:00"/>
        <d v="2006-02-01T00:00:00"/>
        <d v="2010-06-05T00:00:00"/>
        <d v="2003-03-11T00:00:00"/>
        <d v="2020-03-03T00:00:00"/>
        <d v="2016-06-25T00:00:00"/>
        <d v="2004-02-17T00:00:00"/>
        <d v="2002-02-19T00:00:00"/>
        <d v="2001-08-25T00:00:00"/>
        <d v="2012-08-30T00:00:00"/>
        <d v="2004-07-22T00:00:00"/>
        <d v="2005-10-18T00:00:00"/>
        <d v="2016-06-11T00:00:00"/>
        <d v="2017-09-05T00:00:00"/>
        <d v="2007-07-06T00:00:00"/>
        <d v="2003-03-23T00:00:00"/>
        <d v="2003-10-07T00:00:00"/>
        <d v="2006-06-21T00:00:00"/>
        <d v="2006-07-15T00:00:00"/>
        <d v="2003-06-22T00:00:00"/>
        <d v="2007-03-31T00:00:00"/>
        <d v="2020-06-26T00:00:00"/>
        <d v="2009-12-22T00:00:00"/>
        <d v="2002-04-18T00:00:00"/>
        <d v="2009-02-27T00:00:00"/>
        <d v="2018-04-22T00:00:00"/>
        <d v="2009-08-18T00:00:00"/>
        <d v="2004-01-02T00:00:00"/>
        <d v="2010-09-07T00:00:00"/>
        <d v="2002-08-02T00:00:00"/>
        <d v="2002-06-19T00:00:00"/>
        <d v="2020-12-02T00:00:00"/>
        <d v="2020-07-06T00:00:00"/>
        <d v="2002-04-28T00:00:00"/>
        <d v="2004-10-27T00:00:00"/>
        <d v="2005-03-04T00:00:00"/>
        <d v="2008-03-27T00:00:00"/>
        <d v="2010-09-10T00:00:00"/>
        <d v="2006-06-17T00:00:00"/>
        <d v="2010-06-06T00:00:00"/>
        <d v="2019-01-30T00:00:00"/>
        <d v="2012-06-18T00:00:00"/>
        <d v="2018-09-23T00:00:00"/>
        <d v="2006-10-08T00:00:00"/>
        <d v="2008-04-14T00:00:00"/>
        <d v="2008-12-08T00:00:00"/>
        <d v="2018-12-02T00:00:00"/>
        <d v="2007-06-26T00:00:00"/>
        <d v="2008-02-02T00:00:00"/>
        <d v="2007-12-05T00:00:00"/>
        <d v="2005-12-20T00:00:00"/>
        <d v="2012-04-11T00:00:00"/>
        <d v="2003-11-25T00:00:00"/>
        <d v="2006-12-02T00:00:00"/>
        <d v="2012-12-16T00:00:00"/>
        <d v="2008-06-13T00:00:00"/>
        <d v="2005-02-17T00:00:00"/>
        <d v="2013-01-12T00:00:00"/>
        <d v="2020-09-04T00:00:00"/>
        <d v="2005-09-20T00:00:00"/>
        <d v="2004-04-07T00:00:00"/>
        <d v="2008-06-16T00:00:00"/>
        <d v="2020-10-16T00:00:00"/>
        <d v="2018-10-30T00:00:00"/>
        <d v="2010-10-25T00:00:00"/>
        <d v="2018-04-02T00:00:00"/>
        <d v="2018-04-12T00:00:00"/>
        <d v="2017-02-25T00:00:00"/>
        <d v="2001-07-17T00:00:00"/>
        <d v="2016-11-17T00:00:00"/>
        <d v="2013-04-17T00:00:00"/>
        <d v="2009-12-24T00:00:00"/>
        <d v="2016-10-09T00:00:00"/>
        <d v="2015-05-06T00:00:00"/>
        <d v="2015-11-21T00:00:00"/>
        <d v="2001-03-03T00:00:00"/>
        <d v="2016-06-17T00:00:00"/>
        <d v="2009-05-22T00:00:00"/>
        <d v="2020-08-26T00:00:00"/>
        <d v="2011-02-26T00:00:00"/>
        <d v="2017-10-29T00:00:00"/>
        <d v="2007-09-06T00:00:00"/>
        <d v="2006-12-30T00:00:00"/>
        <d v="2019-02-17T00:00:00"/>
        <d v="2020-05-28T00:00:00"/>
        <d v="2019-03-12T00:00:00"/>
        <d v="2010-09-02T00:00:00"/>
        <d v="2011-01-29T00:00:00"/>
        <d v="2008-02-10T00:00:00"/>
        <d v="2013-04-23T00:00:00"/>
        <d v="2001-01-05T00:00:00"/>
        <d v="2016-12-10T00:00:00"/>
        <d v="2020-02-04T00:00:00"/>
        <d v="2004-09-04T00:00:00"/>
        <d v="2020-03-14T00:00:00"/>
        <d v="2005-10-25T00:00:00"/>
        <d v="2017-06-30T00:00:00"/>
        <d v="2006-10-09T00:00:00"/>
        <d v="2010-05-06T00:00:00"/>
        <d v="2002-10-11T00:00:00"/>
        <d v="2015-07-05T00:00:00"/>
        <d v="2019-05-22T00:00:00"/>
        <d v="2005-11-24T00:00:00"/>
        <d v="2001-07-11T00:00:00"/>
        <d v="2011-10-18T00:00:00"/>
        <d v="2010-05-13T00:00:00"/>
        <d v="2019-02-24T00:00:00"/>
        <d v="2016-04-24T00:00:00"/>
        <d v="2014-03-08T00:00:00"/>
        <d v="2006-12-05T00:00:00"/>
        <d v="2017-07-03T00:00:00"/>
        <d v="2013-02-12T00:00:00"/>
        <d v="2015-03-15T00:00:00"/>
        <d v="2013-12-25T00:00:00"/>
        <d v="2005-01-10T00:00:00"/>
        <d v="2013-05-06T00:00:00"/>
        <d v="2010-06-16T00:00:00"/>
        <d v="2014-06-16T00:00:00"/>
        <d v="2016-01-26T00:00:00"/>
        <d v="2006-05-24T00:00:00"/>
        <d v="2012-05-17T00:00:00"/>
        <d v="2013-08-16T00:00:00"/>
        <d v="2001-02-25T00:00:00"/>
        <d v="2009-07-10T00:00:00"/>
        <d v="2002-10-15T00:00:00"/>
        <d v="2008-06-08T00:00:00"/>
        <d v="2010-01-10T00:00:00"/>
        <d v="2004-08-27T00:00:00"/>
        <d v="2003-08-25T00:00:00"/>
        <d v="2003-11-01T00:00:00"/>
        <d v="2009-02-17T00:00:00"/>
        <d v="2003-03-01T00:00:00"/>
        <d v="2011-01-20T00:00:00"/>
        <d v="2016-12-12T00:00:00"/>
        <d v="2005-10-03T00:00:00"/>
        <d v="2017-01-04T00:00:00"/>
        <d v="2019-06-11T00:00:00"/>
        <d v="2011-07-29T00:00:00"/>
        <d v="2008-10-15T00:00:00"/>
        <d v="2010-02-06T00:00:00"/>
        <d v="2020-05-10T00:00:00"/>
        <d v="2007-09-13T00:00:00"/>
        <d v="2004-07-29T00:00:00"/>
        <d v="2006-12-23T00:00:00"/>
        <d v="2011-02-23T00:00:00"/>
        <d v="2003-06-21T00:00:00"/>
        <d v="2016-09-05T00:00:00"/>
        <d v="2002-05-06T00:00:00"/>
        <d v="2017-05-02T00:00:00"/>
        <d v="2020-02-05T00:00:00"/>
        <d v="2008-09-15T00:00:00"/>
        <d v="2017-08-25T00:00:00"/>
        <d v="2019-07-04T00:00:00"/>
        <d v="2014-01-17T00:00:00"/>
        <d v="2018-05-22T00:00:00"/>
        <d v="2008-04-28T00:00:00"/>
        <d v="2015-04-02T00:00:00"/>
        <d v="2006-08-17T00:00:00"/>
        <d v="2018-09-16T00:00:00"/>
        <d v="2005-08-26T00:00:00"/>
        <d v="2018-05-04T00:00:00"/>
        <d v="2006-03-20T00:00:00"/>
        <d v="2020-04-24T00:00:00"/>
        <d v="2007-02-05T00:00:00"/>
        <d v="2014-03-31T00:00:00"/>
        <d v="2008-02-23T00:00:00"/>
        <d v="2019-09-11T00:00:00"/>
        <d v="2002-04-24T00:00:00"/>
        <d v="2014-01-21T00:00:00"/>
        <d v="2012-05-12T00:00:00"/>
        <d v="2001-06-16T00:00:00"/>
        <d v="2002-08-09T00:00:00"/>
        <d v="2017-05-29T00:00:00"/>
        <d v="2012-09-30T00:00:00"/>
        <d v="2005-06-16T00:00:00"/>
        <d v="2013-07-27T00:00:00"/>
        <d v="2015-06-10T00:00:00"/>
        <d v="2013-03-19T00:00:00"/>
        <d v="2020-12-01T00:00:00"/>
        <d v="2016-05-09T00:00:00"/>
        <d v="2018-01-21T00:00:00"/>
        <d v="2008-09-04T00:00:00"/>
        <d v="2018-06-27T00:00:00"/>
        <d v="2001-02-02T00:00:00"/>
        <d v="2016-07-24T00:00:00"/>
        <d v="2002-08-20T00:00:00"/>
        <d v="2013-11-12T00:00:00"/>
        <d v="2017-04-26T00:00:00"/>
        <d v="2010-11-19T00:00:00"/>
        <d v="2019-09-02T00:00:00"/>
        <d v="2005-06-22T00:00:00"/>
        <d v="2013-12-26T00:00:00"/>
        <d v="2006-03-25T00:00:00"/>
        <d v="2016-03-27T00:00:00"/>
        <d v="2018-06-10T00:00:00"/>
        <d v="2007-06-12T00:00:00"/>
        <d v="2018-08-19T00:00:00"/>
        <d v="2016-04-09T00:00:00"/>
        <d v="2013-06-13T00:00:00"/>
        <d v="2011-03-03T00:00:00"/>
        <d v="2016-07-27T00:00:00"/>
        <d v="2011-09-20T00:00:00"/>
        <d v="2017-04-27T00:00:00"/>
        <d v="2014-06-07T00:00:00"/>
        <d v="2009-03-07T00:00:00"/>
        <d v="2020-01-20T00:00:00"/>
        <d v="2006-04-04T00:00:00"/>
        <d v="2008-03-21T00:00:00"/>
        <d v="2010-04-08T00:00:00"/>
        <d v="2009-01-19T00:00:00"/>
        <d v="2019-09-10T00:00:00"/>
        <d v="2016-04-10T00:00:00"/>
        <d v="2009-12-25T00:00:00"/>
        <d v="2015-09-11T00:00:00"/>
        <d v="2007-01-02T00:00:00"/>
        <d v="2004-05-27T00:00:00"/>
        <d v="2006-07-28T00:00:00"/>
        <d v="2013-02-07T00:00:00"/>
        <d v="2001-04-01T00:00:00"/>
        <d v="2003-11-12T00:00:00"/>
        <d v="2003-11-04T00:00:00"/>
        <d v="2011-09-12T00:00:00"/>
        <d v="2019-12-15T00:00:00"/>
        <d v="2015-08-29T00:00:00"/>
        <d v="2018-05-03T00:00:00"/>
        <d v="2016-12-13T00:00:00"/>
        <d v="2002-02-12T00:00:00"/>
        <d v="2008-09-06T00:00:00"/>
        <d v="2019-12-01T00:00:00"/>
        <d v="2016-02-23T00:00:00"/>
        <d v="2002-06-14T00:00:00"/>
        <d v="2019-10-20T00:00:00"/>
        <d v="2017-11-26T00:00:00"/>
        <d v="2004-10-28T00:00:00"/>
        <d v="2016-10-13T00:00:00"/>
        <d v="2010-04-03T00:00:00"/>
        <d v="2009-05-13T00:00:00"/>
        <d v="2002-07-13T00:00:00"/>
        <d v="2012-08-28T00:00:00"/>
        <d v="2009-08-12T00:00:00"/>
        <d v="2006-05-23T00:00:00"/>
        <d v="2005-08-04T00:00:00"/>
        <d v="2004-01-14T00:00:00"/>
        <d v="2003-12-05T00:00:00"/>
        <d v="2001-02-12T00:00:00"/>
        <d v="2014-10-09T00:00:00"/>
        <d v="2002-07-20T00:00:00"/>
        <d v="2009-09-05T00:00:00"/>
        <d v="2018-12-31T00:00:00"/>
        <d v="2016-06-24T00:00:00"/>
        <d v="2014-01-09T00:00:00"/>
        <d v="2014-09-23T00:00:00"/>
        <d v="2006-07-25T00:00:00"/>
        <d v="2001-03-30T00:00:00"/>
        <d v="2003-04-20T00:00:00"/>
        <d v="2007-05-20T00:00:00"/>
        <d v="2018-01-09T00:00:00"/>
        <d v="2016-02-18T00:00:00"/>
        <d v="2002-04-14T00:00:00"/>
        <d v="2003-09-26T00:00:00"/>
        <d v="2006-09-11T00:00:00"/>
        <d v="2013-02-06T00:00:00"/>
        <d v="2009-07-29T00:00:00"/>
        <d v="2011-03-02T00:00:00"/>
        <d v="2010-03-08T00:00:00"/>
        <d v="2013-12-05T00:00:00"/>
        <d v="2016-08-26T00:00:00"/>
        <d v="2004-03-09T00:00:00"/>
        <d v="2013-03-24T00:00:00"/>
        <d v="2001-08-08T00:00:00"/>
        <d v="2016-06-30T00:00:00"/>
        <d v="2005-01-01T00:00:00"/>
        <d v="2001-03-23T00:00:00"/>
        <d v="2017-02-08T00:00:00"/>
        <d v="2010-11-10T00:00:00"/>
        <d v="2019-02-18T00:00:00"/>
        <d v="2013-03-31T00:00:00"/>
        <d v="2012-08-20T00:00:00"/>
        <d v="2019-10-10T00:00:00"/>
        <d v="2015-08-07T00:00:00"/>
        <d v="2018-07-07T00:00:00"/>
        <d v="2016-11-14T00:00:00"/>
        <d v="2006-10-24T00:00:00"/>
        <d v="2012-04-27T00:00:00"/>
        <d v="2004-05-31T00:00:00"/>
        <d v="2015-10-17T00:00:00"/>
        <d v="2007-03-12T00:00:00"/>
        <d v="2014-08-11T00:00:00"/>
        <d v="2019-09-24T00:00:00"/>
        <d v="2005-04-11T00:00:00"/>
        <d v="2009-06-10T00:00:00"/>
        <d v="2002-10-06T00:00:00"/>
        <d v="2006-06-11T00:00:00"/>
        <d v="2020-04-07T00:00:00"/>
        <d v="2006-11-19T00:00:00"/>
        <d v="2017-07-31T00:00:00"/>
        <d v="2014-04-12T00:00:00"/>
        <d v="2012-02-07T00:00:00"/>
        <d v="2004-12-05T00:00:00"/>
        <d v="2009-04-12T00:00:00"/>
        <d v="2010-03-16T00:00:00"/>
        <d v="2004-03-10T00:00:00"/>
        <d v="2012-02-12T00:00:00"/>
        <d v="2014-12-25T00:00:00"/>
        <d v="2007-05-06T00:00:00"/>
        <d v="2003-04-01T00:00:00"/>
        <d v="2020-06-19T00:00:00"/>
        <d v="2009-08-16T00:00:00"/>
        <d v="2013-05-02T00:00:00"/>
        <d v="2003-05-25T00:00:00"/>
        <d v="2015-03-23T00:00:00"/>
        <d v="2007-02-13T00:00:00"/>
        <d v="2017-11-21T00:00:00"/>
        <d v="2004-08-20T00:00:00"/>
        <d v="2014-09-17T00:00:00"/>
        <d v="2008-02-26T00:00:00"/>
        <d v="2006-02-23T00:00:00"/>
        <d v="2011-11-27T00:00:00"/>
        <d v="2013-04-20T00:00:00"/>
        <d v="2008-03-06T00:00:00"/>
        <d v="2015-07-23T00:00:00"/>
        <d v="2009-06-02T00:00:00"/>
        <d v="2002-12-07T00:00:00"/>
        <d v="2007-06-14T00:00:00"/>
        <d v="2016-01-19T00:00:00"/>
        <d v="2014-06-02T00:00:00"/>
        <d v="2019-08-05T00:00:00"/>
        <d v="2019-10-04T00:00:00"/>
        <d v="2019-06-27T00:00:00"/>
        <d v="2019-10-24T00:00:00"/>
        <d v="2002-04-29T00:00:00"/>
        <d v="2004-10-30T00:00:00"/>
        <d v="2003-03-14T00:00:00"/>
        <d v="2009-06-11T00:00:00"/>
        <d v="2019-06-09T00:00:00"/>
        <d v="2017-08-15T00:00:00"/>
        <d v="2003-06-26T00:00:00"/>
        <d v="2006-11-23T00:00:00"/>
        <d v="2005-11-14T00:00:00"/>
        <d v="2016-02-03T00:00:00"/>
        <d v="2014-08-17T00:00:00"/>
        <d v="2019-08-04T00:00:00"/>
        <d v="2006-11-06T00:00:00"/>
        <d v="2018-11-10T00:00:00"/>
        <d v="2016-12-24T00:00:00"/>
        <d v="2003-01-21T00:00:00"/>
        <d v="2005-12-12T00:00:00"/>
        <d v="2019-07-14T00:00:00"/>
        <d v="2005-07-10T00:00:00"/>
        <d v="2007-04-12T00:00:00"/>
        <d v="2007-08-19T00:00:00"/>
        <d v="2015-03-31T00:00:00"/>
        <d v="2013-12-27T00:00:00"/>
        <d v="2010-07-10T00:00:00"/>
        <d v="2009-01-05T00:00:00"/>
        <d v="2004-08-15T00:00:00"/>
        <d v="2019-03-20T00:00:00"/>
        <d v="2008-07-01T00:00:00"/>
        <d v="2016-06-27T00:00:00"/>
        <d v="2002-11-12T00:00:00"/>
        <d v="2019-09-13T00:00:00"/>
        <d v="2007-04-14T00:00:00"/>
        <d v="2006-11-07T00:00:00"/>
        <d v="2012-04-23T00:00:00"/>
        <d v="2014-12-19T00:00:00"/>
        <d v="2004-01-29T00:00:00"/>
        <d v="2016-12-04T00:00:00"/>
        <d v="2001-01-06T00:00:00"/>
        <d v="2008-03-11T00:00:00"/>
        <d v="2002-05-11T00:00:00"/>
        <d v="2005-06-28T00:00:00"/>
        <d v="2006-08-03T00:00:00"/>
        <d v="2016-03-15T00:00:00"/>
        <d v="2001-05-01T00:00:00"/>
        <d v="2003-10-18T00:00:00"/>
        <d v="2014-01-07T00:00:00"/>
        <d v="2009-07-11T00:00:00"/>
        <d v="2018-02-09T00:00:00"/>
        <d v="2013-03-29T00:00:00"/>
        <d v="2011-05-12T00:00:00"/>
        <d v="2004-03-30T00:00:00"/>
        <d v="2014-07-01T00:00:00"/>
        <d v="2010-04-02T00:00:00"/>
        <d v="2020-01-05T00:00:00"/>
        <d v="2004-04-08T00:00:00"/>
        <d v="2020-09-14T00:00:00"/>
        <d v="2006-06-18T00:00:00"/>
        <d v="2004-03-08T00:00:00"/>
        <d v="2001-05-15T00:00:00"/>
        <d v="2018-08-09T00:00:00"/>
        <d v="2009-11-24T00:00:00"/>
        <d v="2016-10-23T00:00:00"/>
        <d v="2017-10-11T00:00:00"/>
        <d v="2001-07-04T00:00:00"/>
        <d v="2018-02-18T00:00:00"/>
        <d v="2006-02-07T00:00:00"/>
        <d v="2002-11-11T00:00:00"/>
        <d v="2018-05-17T00:00:00"/>
        <d v="2006-02-16T00:00:00"/>
        <d v="2014-10-27T00:00:00"/>
        <d v="2017-01-27T00:00:00"/>
        <d v="2006-02-20T00:00:00"/>
        <d v="2006-08-27T00:00:00"/>
        <d v="2020-01-31T00:00:00"/>
        <d v="2009-04-17T00:00:00"/>
        <d v="2020-11-17T00:00:00"/>
        <d v="2017-03-12T00:00:00"/>
        <d v="2015-01-09T00:00:00"/>
        <d v="2018-04-29T00:00:00"/>
        <d v="2003-06-27T00:00:00"/>
        <d v="2015-01-02T00:00:00"/>
        <d v="2011-02-14T00:00:00"/>
        <d v="2003-11-27T00:00:00"/>
        <d v="2019-05-30T00:00:00"/>
        <d v="2006-04-21T00:00:00"/>
        <d v="2017-12-29T00:00:00"/>
        <d v="2017-08-10T00:00:00"/>
        <d v="2007-08-05T00:00:00"/>
        <d v="2013-03-20T00:00:00"/>
        <d v="2003-05-07T00:00:00"/>
        <d v="2002-11-14T00:00:00"/>
        <d v="2018-01-02T00:00:00"/>
        <d v="2010-12-16T00:00:00"/>
        <d v="2020-09-25T00:00:00"/>
        <d v="2019-05-27T00:00:00"/>
        <d v="2008-02-04T00:00:00"/>
        <d v="2009-10-31T00:00:00"/>
        <d v="2002-06-30T00:00:00"/>
        <d v="2008-11-05T00:00:00"/>
        <d v="2012-02-08T00:00:00"/>
        <d v="2010-01-11T00:00:00"/>
        <d v="2008-02-12T00:00:00"/>
        <d v="2007-12-07T00:00:00"/>
        <d v="2001-06-08T00:00:00"/>
        <d v="2010-09-24T00:00:00"/>
        <d v="2004-03-01T00:00:00"/>
        <d v="2002-02-15T00:00:00"/>
        <d v="2013-11-01T00:00:00"/>
        <d v="2014-04-19T00:00:00"/>
        <d v="2002-12-23T00:00:00"/>
        <d v="2020-08-14T00:00:00"/>
        <d v="2002-10-22T00:00:00"/>
        <d v="2008-06-04T00:00:00"/>
        <d v="2010-07-20T00:00:00"/>
        <d v="2009-03-27T00:00:00"/>
        <d v="2009-03-18T00:00:00"/>
        <d v="2012-08-29T00:00:00"/>
        <d v="2015-04-11T00:00:00"/>
        <d v="2017-09-18T00:00:00"/>
        <d v="2015-11-19T00:00:00"/>
        <d v="2003-01-08T00:00:00"/>
        <d v="2018-08-26T00:00:00"/>
        <d v="2019-06-20T00:00:00"/>
        <d v="2017-08-16T00:00:00"/>
        <d v="2008-09-10T00:00:00"/>
        <d v="2011-04-06T00:00:00"/>
        <d v="2006-12-15T00:00:00"/>
        <d v="2003-06-24T00:00:00"/>
        <d v="2010-11-03T00:00:00"/>
        <d v="2007-05-07T00:00:00"/>
        <d v="2007-09-24T00:00:00"/>
        <d v="2010-05-11T00:00:00"/>
        <d v="2002-12-22T00:00:00"/>
        <d v="2016-01-21T00:00:00"/>
        <d v="2019-02-08T00:00:00"/>
        <d v="2015-10-27T00:00:00"/>
        <d v="2015-07-12T00:00:00"/>
        <d v="2016-11-27T00:00:00"/>
        <d v="2013-11-25T00:00:00"/>
        <d v="2006-08-12T00:00:00"/>
        <d v="2011-06-04T00:00:00"/>
        <d v="2001-01-15T00:00:00"/>
        <d v="2007-10-22T00:00:00"/>
        <d v="2018-06-12T00:00:00"/>
        <d v="2017-12-28T00:00:00"/>
        <d v="2001-09-30T00:00:00"/>
        <d v="2007-03-06T00:00:00"/>
        <d v="2007-11-30T00:00:00"/>
        <d v="2012-05-31T00:00:00"/>
        <d v="2007-11-11T00:00:00"/>
        <d v="2011-06-13T00:00:00"/>
        <d v="2001-11-15T00:00:00"/>
        <d v="2004-01-23T00:00:00"/>
        <d v="2015-12-16T00:00:00"/>
        <d v="2015-02-01T00:00:00"/>
        <d v="2019-03-10T00:00:00"/>
        <d v="2010-10-06T00:00:00"/>
        <d v="2010-10-27T00:00:00"/>
        <d v="2016-09-24T00:00:00"/>
        <d v="2012-11-04T00:00:00"/>
        <d v="2012-12-09T00:00:00"/>
        <d v="2020-04-12T00:00:00"/>
        <d v="2013-02-22T00:00:00"/>
        <d v="2002-03-09T00:00:00"/>
        <d v="2003-10-21T00:00:00"/>
        <d v="2004-01-12T00:00:00"/>
        <d v="2019-04-24T00:00:00"/>
        <d v="2012-03-17T00:00:00"/>
        <d v="2018-07-09T00:00:00"/>
        <d v="2001-01-01T00:00:00"/>
        <d v="2020-02-09T00:00:00"/>
        <d v="2019-10-28T00:00:00"/>
        <d v="2005-09-23T00:00:00"/>
        <d v="2015-06-07T00:00:00"/>
        <d v="2006-02-12T00:00:00"/>
        <d v="2014-12-04T00:00:00"/>
        <d v="2009-03-02T00:00:00"/>
        <d v="2008-01-05T00:00:00"/>
        <d v="2003-05-06T00:00:00"/>
        <d v="2002-02-18T00:00:00"/>
        <d v="2014-02-12T00:00:00"/>
        <d v="2019-06-15T00:00:00"/>
        <d v="2014-12-06T00:00:00"/>
        <d v="2005-11-19T00:00:00"/>
        <d v="2008-11-24T00:00:00"/>
        <d v="2006-11-30T00:00:00"/>
        <d v="2015-07-27T00:00:00"/>
        <d v="2015-10-18T00:00:00"/>
        <d v="2018-04-28T00:00:00"/>
        <d v="2009-08-19T00:00:00"/>
        <d v="2007-01-23T00:00:00"/>
        <d v="2018-11-15T00:00:00"/>
        <d v="2014-04-28T00:00:00"/>
        <d v="2008-11-25T00:00:00"/>
        <d v="2014-04-07T00:00:00"/>
        <d v="2020-06-14T00:00:00"/>
        <d v="2013-04-11T00:00:00"/>
        <d v="2015-03-27T00:00:00"/>
        <d v="2005-07-18T00:00:00"/>
        <d v="2008-11-15T00:00:00"/>
        <d v="2016-09-28T00:00:00"/>
        <d v="2018-05-01T00:00:00"/>
        <d v="2015-06-15T00:00:00"/>
        <d v="2007-03-25T00:00:00"/>
        <d v="2014-09-20T00:00:00"/>
        <d v="2018-02-16T00:00:00"/>
        <d v="2002-08-22T00:00:00"/>
        <d v="2012-07-21T00:00:00"/>
        <d v="2015-03-06T00:00:00"/>
        <d v="2004-10-23T00:00:00"/>
        <d v="2007-06-24T00:00:00"/>
        <d v="2014-12-29T00:00:00"/>
        <d v="2010-02-05T00:00:00"/>
        <d v="2007-10-17T00:00:00"/>
        <d v="2013-06-20T00:00:00"/>
        <d v="2001-02-03T00:00:00"/>
        <d v="2010-08-08T00:00:00"/>
        <d v="2008-09-05T00:00:00"/>
        <d v="2018-02-25T00:00:00"/>
        <d v="2009-08-20T00:00:00"/>
        <d v="2006-06-08T00:00:00"/>
        <d v="2019-11-27T00:00:00"/>
        <d v="2001-07-15T00:00:00"/>
        <d v="2008-11-10T00:00:00"/>
        <d v="2012-09-06T00:00:00"/>
        <d v="2014-12-09T00:00:00"/>
        <d v="2020-05-23T00:00:00"/>
        <d v="2005-07-06T00:00:00"/>
        <d v="2003-10-19T00:00:00"/>
        <d v="2004-02-02T00:00:00"/>
        <d v="2009-08-21T00:00:00"/>
        <d v="2009-08-24T00:00:00"/>
        <d v="2017-06-07T00:00:00"/>
        <d v="2009-07-24T00:00:00"/>
        <d v="2017-03-08T00:00:00"/>
        <d v="2006-10-27T00:00:00"/>
        <d v="2020-02-25T00:00:00"/>
        <d v="2003-07-26T00:00:00"/>
        <d v="2003-04-17T00:00:00"/>
        <d v="2013-09-18T00:00:00"/>
        <d v="2001-04-24T00:00:00"/>
        <d v="2013-03-01T00:00:00"/>
        <d v="2016-08-09T00:00:00"/>
        <d v="2007-01-22T00:00:00"/>
        <d v="2004-10-29T00:00:00"/>
        <d v="2001-03-25T00:00:00"/>
        <d v="2019-11-24T00:00:00"/>
        <d v="2003-08-05T00:00:00"/>
        <d v="2020-10-31T00:00:00"/>
        <d v="2004-03-29T00:00:00"/>
        <d v="2013-01-26T00:00:00"/>
        <d v="2018-12-01T00:00:00"/>
        <d v="2007-09-19T00:00:00"/>
        <d v="2001-05-16T00:00:00"/>
        <d v="2017-05-17T00:00:00"/>
        <d v="2002-12-18T00:00:00"/>
        <d v="2003-04-24T00:00:00"/>
        <d v="2009-12-14T00:00:00"/>
        <d v="2012-10-12T00:00:00"/>
        <d v="2006-08-22T00:00:00"/>
        <d v="2005-02-16T00:00:00"/>
        <d v="2008-01-28T00:00:00"/>
        <d v="2006-12-03T00:00:00"/>
        <d v="2008-11-21T00:00:00"/>
        <d v="2011-02-11T00:00:00"/>
        <d v="2019-07-18T00:00:00"/>
        <d v="2009-01-23T00:00:00"/>
        <d v="2011-04-20T00:00:00"/>
        <d v="2006-12-19T00:00:00"/>
        <d v="2006-12-29T00:00:00"/>
        <d v="2013-11-17T00:00:00"/>
        <d v="2009-08-05T00:00:00"/>
        <d v="2016-06-14T00:00:00"/>
        <d v="2009-04-04T00:00:00"/>
        <d v="2006-04-07T00:00:00"/>
        <d v="2002-07-06T00:00:00"/>
        <d v="2013-10-21T00:00:00"/>
        <d v="2016-08-10T00:00:00"/>
        <d v="2020-11-08T00:00:00"/>
        <d v="2019-06-16T00:00:00"/>
        <d v="2009-12-16T00:00:00"/>
        <d v="2012-06-03T00:00:00"/>
        <d v="2007-01-01T00:00:00"/>
        <d v="2016-01-13T00:00:00"/>
        <d v="2017-05-19T00:00:00"/>
        <d v="2019-03-18T00:00:00"/>
        <d v="2013-04-15T00:00:00"/>
        <d v="2001-06-06T00:00:00"/>
        <d v="2020-10-02T00:00:00"/>
        <d v="2011-08-20T00:00:00"/>
        <d v="2012-06-30T00:00:00"/>
        <d v="2002-11-06T00:00:00"/>
        <d v="2013-08-11T00:00:00"/>
        <d v="2015-10-02T00:00:00"/>
        <d v="2002-06-29T00:00:00"/>
        <d v="2015-11-01T00:00:00"/>
        <d v="2018-09-09T00:00:00"/>
        <d v="2006-09-07T00:00:00"/>
        <d v="2002-05-23T00:00:00"/>
        <d v="2014-08-19T00:00:00"/>
        <d v="2008-03-08T00:00:00"/>
        <d v="2005-05-22T00:00:00"/>
        <d v="2009-10-10T00:00:00"/>
        <d v="2007-01-10T00:00:00"/>
        <d v="2003-05-21T00:00:00"/>
        <d v="2003-08-10T00:00:00"/>
        <d v="2016-01-31T00:00:00"/>
        <d v="2004-07-07T00:00:00"/>
        <d v="2015-08-15T00:00:00"/>
        <d v="2010-02-01T00:00:00"/>
        <d v="2014-07-02T00:00:00"/>
        <d v="2019-04-22T00:00:00"/>
        <d v="2012-04-28T00:00:00"/>
        <d v="2016-10-26T00:00:00"/>
        <d v="2014-10-28T00:00:00"/>
        <d v="2002-03-25T00:00:00"/>
        <d v="2008-12-21T00:00:00"/>
        <d v="2019-03-09T00:00:00"/>
        <d v="2020-08-01T00:00:00"/>
        <d v="2008-10-19T00:00:00"/>
        <d v="2017-03-04T00:00:00"/>
        <d v="2005-01-06T00:00:00"/>
        <d v="2012-09-11T00:00:00"/>
        <d v="2017-06-08T00:00:00"/>
        <d v="2015-08-11T00:00:00"/>
        <d v="2019-11-16T00:00:00"/>
        <d v="2010-09-25T00:00:00"/>
        <d v="2020-05-26T00:00:00"/>
        <d v="2001-06-26T00:00:00"/>
        <d v="2004-08-12T00:00:00"/>
        <d v="2020-08-23T00:00:00"/>
        <d v="2002-03-07T00:00:00"/>
        <d v="2005-12-31T00:00:00"/>
        <d v="2012-01-26T00:00:00"/>
        <d v="2007-07-05T00:00:00"/>
        <d v="2011-05-21T00:00:00"/>
        <d v="2004-07-23T00:00:00"/>
        <d v="2009-10-23T00:00:00"/>
        <d v="2007-07-16T00:00:00"/>
        <d v="2012-02-11T00:00:00"/>
        <d v="2015-01-31T00:00:00"/>
        <d v="2018-05-11T00:00:00"/>
        <d v="2013-11-10T00:00:00"/>
        <d v="2016-10-11T00:00:00"/>
        <d v="2012-10-23T00:00:00"/>
        <d v="2007-10-07T00:00:00"/>
        <d v="2014-02-27T00:00:00"/>
        <d v="2018-12-14T00:00:00"/>
        <d v="2004-12-15T00:00:00"/>
        <d v="2006-01-16T00:00:00"/>
        <d v="2012-11-30T00:00:00"/>
        <d v="2003-10-03T00:00:00"/>
        <d v="2002-03-31T00:00:00"/>
        <d v="2008-04-26T00:00:00"/>
        <d v="2012-09-27T00:00:00"/>
        <d v="2005-12-23T00:00:00"/>
        <d v="2015-07-25T00:00:00"/>
        <d v="2009-03-08T00:00:00"/>
        <d v="2010-09-26T00:00:00"/>
        <d v="2011-05-04T00:00:00"/>
        <d v="2002-10-14T00:00:00"/>
        <d v="2004-04-20T00:00:00"/>
        <d v="2009-09-14T00:00:00"/>
        <d v="2006-10-03T00:00:00"/>
        <d v="2008-09-02T00:00:00"/>
        <d v="2015-04-27T00:00:00"/>
        <d v="2020-03-28T00:00:00"/>
        <d v="2009-06-24T00:00:00"/>
        <d v="2017-07-26T00:00:00"/>
        <d v="2018-12-09T00:00:00"/>
        <d v="2017-02-01T00:00:00"/>
        <d v="2007-09-18T00:00:00"/>
        <d v="2009-04-29T00:00:00"/>
        <d v="2019-11-25T00:00:00"/>
        <d v="2018-10-15T00:00:00"/>
        <d v="2008-07-28T00:00:00"/>
        <d v="2020-02-16T00:00:00"/>
        <d v="2013-04-22T00:00:00"/>
        <d v="2007-03-04T00:00:00"/>
        <d v="2017-03-26T00:00:00"/>
        <d v="2019-04-27T00:00:00"/>
        <d v="2013-07-29T00:00:00"/>
        <d v="2017-01-07T00:00:00"/>
        <d v="2016-06-04T00:00:00"/>
        <d v="2006-08-13T00:00:00"/>
        <d v="2015-09-23T00:00:00"/>
        <d v="2010-11-30T00:00:00"/>
        <d v="2004-03-18T00:00:00"/>
        <d v="2009-03-31T00:00:00"/>
        <d v="2019-12-26T00:00:00"/>
        <d v="2019-03-08T00:00:00"/>
        <d v="2009-03-24T00:00:00"/>
        <d v="2018-09-08T00:00:00"/>
        <d v="2019-08-11T00:00:00"/>
        <d v="2004-12-22T00:00:00"/>
        <d v="2013-10-27T00:00:00"/>
        <d v="2011-11-24T00:00:00"/>
        <d v="2007-11-03T00:00:00"/>
        <d v="2014-01-18T00:00:00"/>
        <d v="2004-09-08T00:00:00"/>
        <d v="2005-01-21T00:00:00"/>
        <d v="2006-05-15T00:00:00"/>
        <d v="2010-10-15T00:00:00"/>
        <d v="2003-01-20T00:00:00"/>
        <d v="2002-04-03T00:00:00"/>
        <d v="2003-07-12T00:00:00"/>
        <d v="2020-08-02T00:00:00"/>
        <d v="2006-07-30T00:00:00"/>
        <d v="2013-03-15T00:00:00"/>
        <d v="2019-05-25T00:00:00"/>
        <d v="2009-01-17T00:00:00"/>
        <d v="2016-10-29T00:00:00"/>
        <d v="2007-08-21T00:00:00"/>
        <d v="2019-04-13T00:00:00"/>
        <d v="2002-01-09T00:00:00"/>
        <d v="2004-09-14T00:00:00"/>
        <d v="2019-04-30T00:00:00"/>
        <d v="2011-05-22T00:00:00"/>
        <d v="2008-01-14T00:00:00"/>
        <d v="2004-09-07T00:00:00"/>
        <d v="2015-02-10T00:00:00"/>
        <d v="2004-02-07T00:00:00"/>
        <d v="2015-08-22T00:00:00"/>
        <d v="2012-05-14T00:00:00"/>
        <d v="2009-06-04T00:00:00"/>
        <d v="2004-07-15T00:00:00"/>
        <d v="2008-03-14T00:00:00"/>
        <d v="2004-06-08T00:00:00"/>
        <d v="2015-09-22T00:00:00"/>
        <d v="2003-04-23T00:00:00"/>
        <d v="2012-12-03T00:00:00"/>
        <d v="2003-03-18T00:00:00"/>
        <d v="2008-06-19T00:00:00"/>
        <d v="2011-09-24T00:00:00"/>
        <d v="2011-02-09T00:00:00"/>
        <d v="2003-11-23T00:00:00"/>
        <d v="2011-05-23T00:00:00"/>
        <d v="2005-04-20T00:00:00"/>
        <d v="2005-12-27T00:00:00"/>
        <d v="2009-07-13T00:00:00"/>
        <d v="2019-04-07T00:00:00"/>
        <d v="2009-12-29T00:00:00"/>
        <d v="2006-03-08T00:00:00"/>
        <d v="2007-08-25T00:00:00"/>
        <d v="2016-10-24T00:00:00"/>
        <d v="2014-04-29T00:00:00"/>
        <d v="2001-05-25T00:00:00"/>
        <d v="2020-04-21T00:00:00"/>
        <d v="2013-01-30T00:00:00"/>
        <d v="2016-05-22T00:00:00"/>
        <d v="2005-01-24T00:00:00"/>
        <d v="2011-03-23T00:00:00"/>
        <d v="2005-02-05T00:00:00"/>
        <d v="2011-11-12T00:00:00"/>
        <d v="2011-09-09T00:00:00"/>
        <d v="2011-04-14T00:00:00"/>
        <d v="2019-10-26T00:00:00"/>
        <d v="2009-05-10T00:00:00"/>
        <d v="2001-01-11T00:00:00"/>
        <d v="2011-07-30T00:00:00"/>
        <d v="2013-05-23T00:00:00"/>
        <d v="2008-04-25T00:00:00"/>
        <d v="2016-07-28T00:00:00"/>
        <d v="2007-08-18T00:00:00"/>
        <d v="2003-01-11T00:00:00"/>
        <d v="2003-10-05T00:00:00"/>
        <d v="2011-11-20T00:00:00"/>
        <d v="2006-02-05T00:00:00"/>
        <d v="2001-06-01T00:00:00"/>
        <d v="2009-03-06T00:00:00"/>
        <d v="2005-04-13T00:00:00"/>
        <d v="2001-12-25T00:00:00"/>
        <d v="2003-01-09T00:00:00"/>
        <d v="2020-07-07T00:00:00"/>
        <d v="2001-09-28T00:00:00"/>
        <d v="2004-04-30T00:00:00"/>
        <d v="2001-09-10T00:00:00"/>
        <d v="2001-10-05T00:00:00"/>
        <d v="2009-03-30T00:00:00"/>
        <d v="2004-07-09T00:00:00"/>
        <d v="2010-05-21T00:00:00"/>
        <d v="2003-09-30T00:00:00"/>
        <d v="2020-09-11T00:00:00"/>
        <d v="2010-12-05T00:00:00"/>
        <d v="2017-09-16T00:00:00"/>
        <d v="2006-04-23T00:00:00"/>
        <d v="2012-01-20T00:00:00"/>
        <d v="2013-10-08T00:00:00"/>
        <d v="2017-11-09T00:00:00"/>
        <d v="2014-01-12T00:00:00"/>
        <d v="2001-01-12T00:00:00"/>
        <d v="2009-11-13T00:00:00"/>
        <d v="2017-05-09T00:00:00"/>
        <d v="2018-03-04T00:00:00"/>
        <d v="2014-01-15T00:00:00"/>
        <d v="2002-12-11T00:00:00"/>
        <d v="2004-12-09T00:00:00"/>
        <d v="2011-06-07T00:00:00"/>
        <d v="2015-06-20T00:00:00"/>
        <d v="2014-03-10T00:00:00"/>
        <d v="2003-12-15T00:00:00"/>
        <d v="2002-05-13T00:00:00"/>
        <d v="2008-11-04T00:00:00"/>
        <d v="2015-02-04T00:00:00"/>
        <d v="2004-07-27T00:00:00"/>
        <d v="2010-05-27T00:00:00"/>
        <d v="2005-06-30T00:00:00"/>
        <d v="2007-12-20T00:00:00"/>
        <d v="2020-12-10T00:00:00"/>
        <d v="2004-05-02T00:00:00"/>
        <d v="2007-04-17T00:00:00"/>
        <d v="2010-04-07T00:00:00"/>
        <d v="2003-07-09T00:00:00"/>
        <d v="2008-12-10T00:00:00"/>
        <d v="2020-11-23T00:00:00"/>
        <d v="2012-12-15T00:00:00"/>
        <d v="2004-06-04T00:00:00"/>
        <d v="2015-11-29T00:00:00"/>
        <d v="2002-07-21T00:00:00"/>
        <d v="2002-03-06T00:00:00"/>
        <d v="2014-04-24T00:00:00"/>
        <d v="2006-05-08T00:00:00"/>
        <d v="2011-08-22T00:00:00"/>
        <d v="2013-03-03T00:00:00"/>
        <d v="2003-01-01T00:00:00"/>
        <d v="2006-07-04T00:00:00"/>
        <d v="2003-08-21T00:00:00"/>
        <d v="2001-09-24T00:00:00"/>
        <d v="2013-11-21T00:00:00"/>
        <d v="2006-11-20T00:00:00"/>
        <d v="2012-06-21T00:00:00"/>
        <d v="2010-11-23T00:00:00"/>
        <d v="2002-11-15T00:00:00"/>
        <d v="2013-10-01T00:00:00"/>
        <d v="2006-03-23T00:00:00"/>
        <d v="2010-09-13T00:00:00"/>
        <d v="2005-06-12T00:00:00"/>
        <d v="2020-11-14T00:00:00"/>
        <d v="2002-01-26T00:00:00"/>
        <d v="2004-12-13T00:00:00"/>
        <d v="2015-07-15T00:00:00"/>
        <d v="2011-12-20T00:00:00"/>
        <d v="2007-10-15T00:00:00"/>
        <d v="2003-01-16T00:00:00"/>
        <d v="2020-01-21T00:00:00"/>
        <d v="2020-04-03T00:00:00"/>
        <d v="2004-09-05T00:00:00"/>
        <d v="2008-01-16T00:00:00"/>
        <d v="2006-07-27T00:00:00"/>
        <d v="2020-04-30T00:00:00"/>
        <d v="2012-02-09T00:00:00"/>
        <d v="2006-02-27T00:00:00"/>
        <d v="2008-07-25T00:00:00"/>
        <d v="2008-10-27T00:00:00"/>
        <d v="2015-01-08T00:00:00"/>
        <d v="2009-03-13T00:00:00"/>
        <d v="2020-11-30T00:00:00"/>
        <d v="2017-08-03T00:00:00"/>
        <d v="2008-07-16T00:00:00"/>
        <d v="2008-07-31T00:00:00"/>
        <d v="2012-04-17T00:00:00"/>
        <d v="2002-08-30T00:00:00"/>
        <d v="2013-10-19T00:00:00"/>
        <d v="2001-11-29T00:00:00"/>
        <d v="2010-05-07T00:00:00"/>
        <d v="2020-03-24T00:00:00"/>
        <d v="2005-05-12T00:00:00"/>
        <d v="2007-02-02T00:00:00"/>
        <d v="2018-07-28T00:00:00"/>
        <d v="2002-01-02T00:00:00"/>
        <d v="2005-07-03T00:00:00"/>
        <d v="2010-09-09T00:00:00"/>
        <d v="2003-04-25T00:00:00"/>
        <d v="2017-07-02T00:00:00"/>
        <d v="2018-08-04T00:00:00"/>
        <d v="2016-02-20T00:00:00"/>
        <d v="2014-04-10T00:00:00"/>
        <d v="2019-12-11T00:00:00"/>
        <d v="2007-01-13T00:00:00"/>
        <d v="2018-06-09T00:00:00"/>
        <d v="2004-05-26T00:00:00"/>
        <d v="2014-04-14T00:00:00"/>
        <d v="2007-09-08T00:00:00"/>
        <d v="2016-04-25T00:00:00"/>
        <d v="2002-11-18T00:00:00"/>
        <d v="2011-11-06T00:00:00"/>
        <d v="2003-09-27T00:00:00"/>
        <d v="2017-07-11T00:00:00"/>
        <d v="2001-08-19T00:00:00"/>
        <d v="2016-10-30T00:00:00"/>
        <d v="2010-09-23T00:00:00"/>
        <d v="2013-03-09T00:00:00"/>
        <d v="2008-01-17T00:00:00"/>
        <d v="2011-05-06T00:00:00"/>
        <d v="2012-07-12T00:00:00"/>
        <d v="2003-02-11T00:00:00"/>
        <d v="2009-07-26T00:00:00"/>
        <d v="2012-12-02T00:00:00"/>
        <d v="2009-07-31T00:00:00"/>
        <d v="2013-06-12T00:00:00"/>
        <d v="2012-06-09T00:00:00"/>
        <d v="2004-07-01T00:00:00"/>
        <d v="2012-04-08T00:00:00"/>
        <d v="2010-08-24T00:00:00"/>
        <d v="2006-08-11T00:00:00"/>
        <d v="2014-07-03T00:00:00"/>
        <d v="2011-06-06T00:00:00"/>
        <d v="2020-05-17T00:00:00"/>
        <d v="2016-09-15T00:00:00"/>
        <d v="2005-07-15T00:00:00"/>
        <d v="2005-03-19T00:00:00"/>
        <d v="2020-09-21T00:00:00"/>
        <d v="2008-06-09T00:00:00"/>
        <d v="2012-07-30T00:00:00"/>
        <d v="2017-08-30T00:00:00"/>
        <d v="2015-09-06T00:00:00"/>
        <d v="2011-06-03T00:00:00"/>
        <d v="2018-08-08T00:00:00"/>
        <d v="2019-03-29T00:00:00"/>
        <d v="2014-06-11T00:00:00"/>
        <d v="2016-11-11T00:00:00"/>
        <d v="2001-09-07T00:00:00"/>
        <d v="2017-06-05T00:00:00"/>
        <d v="2006-11-16T00:00:00"/>
        <d v="2006-01-09T00:00:00"/>
        <d v="2018-06-11T00:00:00"/>
        <d v="2008-07-29T00:00:00"/>
        <d v="2004-11-27T00:00:00"/>
        <d v="2002-10-31T00:00:00"/>
        <d v="2003-09-21T00:00:00"/>
        <d v="2004-01-28T00:00:00"/>
        <d v="2009-10-18T00:00:00"/>
        <d v="2006-02-21T00:00:00"/>
        <d v="2008-06-14T00:00:00"/>
        <d v="2016-05-12T00:00:00"/>
        <d v="2008-09-24T00:00:00"/>
        <d v="2014-09-21T00:00:00"/>
        <d v="2018-01-08T00:00:00"/>
        <d v="2019-06-23T00:00:00"/>
        <d v="2004-09-24T00:00:00"/>
        <d v="2014-02-21T00:00:00"/>
        <d v="2008-06-21T00:00:00"/>
        <d v="2001-12-17T00:00:00"/>
        <d v="2018-01-16T00:00:00"/>
        <d v="2005-01-28T00:00:00"/>
        <d v="2011-01-17T00:00:00"/>
        <d v="2019-02-02T00:00:00"/>
        <d v="2009-04-18T00:00:00"/>
        <d v="2010-09-16T00:00:00"/>
        <d v="2016-11-01T00:00:00"/>
        <d v="2014-09-06T00:00:00"/>
        <d v="2017-06-20T00:00:00"/>
        <d v="2011-07-14T00:00:00"/>
        <d v="2020-07-16T00:00:00"/>
        <d v="2019-12-30T00:00:00"/>
        <d v="2009-03-03T00:00:00"/>
        <d v="2002-05-22T00:00:00"/>
        <d v="2011-04-16T00:00:00"/>
        <d v="2004-04-06T00:00:00"/>
        <d v="2013-09-02T00:00:00"/>
        <d v="2016-08-23T00:00:00"/>
        <d v="2006-01-31T00:00:00"/>
        <d v="2006-04-12T00:00:00"/>
        <d v="2006-12-18T00:00:00"/>
        <d v="2008-08-14T00:00:00"/>
        <d v="2019-03-31T00:00:00"/>
        <d v="2004-05-29T00:00:00"/>
        <d v="2014-07-13T00:00:00"/>
        <d v="2003-06-04T00:00:00"/>
        <d v="2016-11-22T00:00:00"/>
        <d v="2015-08-27T00:00:00"/>
        <d v="2020-10-29T00:00:00"/>
        <d v="2004-11-21T00:00:00"/>
        <d v="2020-05-19T00:00:00"/>
        <d v="2017-01-24T00:00:00"/>
        <d v="2007-03-14T00:00:00"/>
        <d v="2010-10-07T00:00:00"/>
        <d v="2014-03-19T00:00:00"/>
        <d v="2006-11-26T00:00:00"/>
        <d v="2008-06-12T00:00:00"/>
        <d v="2012-03-28T00:00:00"/>
        <d v="2001-04-29T00:00:00"/>
        <d v="2010-11-06T00:00:00"/>
        <d v="2016-11-29T00:00:00"/>
        <d v="2010-05-01T00:00:00"/>
        <d v="2019-07-21T00:00:00"/>
        <d v="2010-04-21T00:00:00"/>
        <d v="2014-01-01T00:00:00"/>
        <d v="2006-10-25T00:00:00"/>
        <d v="2010-09-28T00:00:00"/>
        <d v="2002-11-30T00:00:00"/>
        <d v="2014-10-14T00:00:00"/>
        <d v="2018-03-21T00:00:00"/>
        <d v="2014-03-16T00:00:00"/>
        <d v="2018-06-25T00:00:00"/>
        <d v="2018-06-29T00:00:00"/>
        <d v="2014-03-27T00:00:00"/>
        <d v="2007-07-27T00:00:00"/>
        <d v="2018-01-23T00:00:00"/>
        <d v="2010-03-23T00:00:00"/>
        <d v="2002-06-12T00:00:00"/>
        <d v="2014-11-12T00:00:00"/>
        <d v="2007-06-19T00:00:00"/>
        <d v="2008-09-01T00:00:00"/>
        <d v="2013-01-04T00:00:00"/>
        <d v="2011-09-23T00:00:00"/>
        <d v="2019-05-06T00:00:00"/>
        <d v="2016-08-11T00:00:00"/>
        <d v="2004-11-24T00:00:00"/>
        <d v="2006-04-05T00:00:00"/>
        <d v="2020-11-11T00:00:00"/>
        <d v="2012-02-14T00:00:00"/>
        <d v="2004-02-04T00:00:00"/>
        <d v="2010-06-09T00:00:00"/>
        <d v="2006-11-10T00:00:00"/>
        <d v="2010-06-03T00:00:00"/>
        <d v="2008-04-05T00:00:00"/>
        <d v="2010-10-14T00:00:00"/>
        <d v="2008-07-30T00:00:00"/>
        <d v="2008-09-14T00:00:00"/>
        <d v="2005-10-19T00:00:00"/>
        <d v="2002-02-25T00:00:00"/>
        <d v="2009-06-27T00:00:00"/>
        <d v="2019-05-20T00:00:00"/>
        <d v="2011-11-07T00:00:00"/>
        <d v="2002-11-29T00:00:00"/>
        <d v="2011-04-05T00:00:00"/>
        <d v="2015-06-27T00:00:00"/>
        <d v="2003-03-22T00:00:00"/>
        <d v="2019-10-01T00:00:00"/>
        <d v="2009-05-04T00:00:00"/>
        <d v="2009-11-22T00:00:00"/>
        <d v="2010-03-14T00:00:00"/>
        <d v="2001-05-17T00:00:00"/>
        <d v="2010-03-17T00:00:00"/>
        <d v="2014-11-09T00:00:00"/>
        <d v="2018-12-10T00:00:00"/>
        <d v="2001-03-17T00:00:00"/>
        <d v="2016-12-01T00:00:00"/>
        <d v="2011-03-24T00:00:00"/>
        <d v="2015-06-11T00:00:00"/>
        <d v="2007-02-23T00:00:00"/>
        <d v="2016-11-30T00:00:00"/>
        <d v="2018-06-18T00:00:00"/>
        <d v="2010-06-10T00:00:00"/>
        <d v="2020-11-09T00:00:00"/>
        <d v="2005-12-14T00:00:00"/>
        <d v="2020-02-03T00:00:00"/>
        <d v="2015-09-03T00:00:00"/>
        <d v="2010-12-30T00:00:00"/>
        <d v="2009-02-06T00:00:00"/>
        <d v="2020-06-24T00:00:00"/>
        <d v="2011-07-25T00:00:00"/>
        <d v="2001-09-06T00:00:00"/>
        <d v="2011-05-16T00:00:00"/>
        <d v="2009-01-30T00:00:00"/>
        <d v="2018-07-29T00:00:00"/>
        <d v="2017-05-27T00:00:00"/>
        <d v="2010-07-17T00:00:00"/>
        <d v="2007-01-21T00:00:00"/>
        <d v="2010-02-18T00:00:00"/>
        <d v="2005-11-10T00:00:00"/>
        <d v="2003-09-20T00:00:00"/>
        <d v="2012-03-06T00:00:00"/>
        <d v="2002-04-09T00:00:00"/>
        <d v="2018-04-17T00:00:00"/>
        <d v="2001-01-02T00:00:00"/>
        <d v="2003-06-28T00:00:00"/>
        <d v="2016-07-02T00:00:00"/>
        <d v="2016-12-18T00:00:00"/>
        <d v="2014-05-02T00:00:00"/>
        <d v="2004-09-02T00:00:00"/>
        <d v="2003-12-25T00:00:00"/>
        <d v="2005-01-14T00:00:00"/>
        <d v="2016-08-13T00:00:00"/>
        <d v="2008-05-10T00:00:00"/>
        <d v="2020-03-10T00:00:00"/>
        <d v="2003-07-03T00:00:00"/>
        <d v="2003-04-10T00:00:00"/>
        <d v="2014-12-10T00:00:00"/>
        <d v="2011-10-02T00:00:00"/>
        <d v="2005-12-28T00:00:00"/>
        <d v="2008-10-07T00:00:00"/>
        <d v="2016-09-27T00:00:00"/>
        <d v="2004-12-01T00:00:00"/>
        <d v="2015-11-16T00:00:00"/>
        <d v="2010-03-03T00:00:00"/>
        <d v="2015-07-28T00:00:00"/>
        <d v="2016-08-30T00:00:00"/>
        <d v="2007-11-24T00:00:00"/>
        <d v="2005-10-29T00:00:00"/>
        <d v="2015-12-17T00:00:00"/>
        <d v="2018-10-03T00:00:00"/>
        <d v="2003-08-14T00:00:00"/>
        <d v="2001-04-16T00:00:00"/>
        <d v="2011-02-17T00:00:00"/>
        <d v="2020-09-12T00:00:00"/>
        <d v="2013-08-27T00:00:00"/>
        <d v="2003-08-30T00:00:00"/>
        <d v="2016-11-21T00:00:00"/>
        <d v="2009-04-05T00:00:00"/>
        <d v="2005-02-27T00:00:00"/>
        <d v="2017-01-03T00:00:00"/>
        <d v="2017-05-30T00:00:00"/>
        <d v="2004-09-16T00:00:00"/>
        <d v="2006-07-06T00:00:00"/>
        <d v="2020-08-17T00:00:00"/>
        <d v="2018-05-09T00:00:00"/>
        <d v="2010-08-28T00:00:00"/>
        <d v="2016-08-31T00:00:00"/>
        <d v="2001-10-14T00:00:00"/>
        <d v="2015-01-26T00:00:00"/>
        <d v="2010-09-22T00:00:00"/>
        <d v="2014-08-22T00:00:00"/>
        <d v="2006-03-07T00:00:00"/>
        <d v="2003-01-15T00:00:00"/>
        <d v="2012-06-25T00:00:00"/>
        <d v="2014-09-10T00:00:00"/>
        <d v="2007-11-26T00:00:00"/>
        <d v="2007-08-14T00:00:00"/>
        <d v="2009-11-03T00:00:00"/>
        <d v="2012-07-02T00:00:00"/>
        <d v="2013-09-12T00:00:00"/>
        <d v="2006-07-14T00:00:00"/>
        <d v="2013-07-09T00:00:00"/>
        <d v="2019-01-31T00:00:00"/>
        <d v="2002-11-01T00:00:00"/>
        <d v="2020-06-10T00:00:00"/>
        <d v="2007-09-15T00:00:00"/>
        <d v="2016-01-27T00:00:00"/>
        <d v="2017-05-04T00:00:00"/>
        <d v="2011-01-22T00:00:00"/>
        <d v="2009-09-30T00:00:00"/>
        <d v="2001-10-25T00:00:00"/>
        <d v="2008-06-24T00:00:00"/>
        <d v="2006-01-10T00:00:00"/>
        <d v="2011-04-01T00:00:00"/>
        <d v="2005-11-26T00:00:00"/>
        <d v="2005-11-06T00:00:00"/>
        <d v="2019-12-27T00:00:00"/>
        <d v="2007-08-07T00:00:00"/>
        <d v="2002-02-13T00:00:00"/>
        <d v="2002-10-21T00:00:00"/>
        <d v="2005-02-04T00:00:00"/>
        <d v="2011-04-19T00:00:00"/>
        <d v="2018-09-14T00:00:00"/>
        <d v="2008-10-22T00:00:00"/>
        <d v="2001-06-07T00:00:00"/>
        <d v="2010-02-12T00:00:00"/>
        <d v="2011-03-13T00:00:00"/>
        <d v="2008-08-06T00:00:00"/>
        <d v="2019-02-15T00:00:00"/>
        <d v="2018-02-28T00:00:00"/>
        <d v="2005-01-05T00:00:00"/>
        <d v="2020-07-11T00:00:00"/>
        <d v="2001-08-30T00:00:00"/>
        <d v="2014-02-23T00:00:00"/>
        <d v="2016-09-16T00:00:00"/>
        <d v="2015-08-24T00:00:00"/>
        <d v="2016-10-06T00:00:00"/>
        <d v="2001-10-01T00:00:00"/>
        <d v="2019-06-04T00:00:00"/>
        <d v="2008-11-06T00:00:00"/>
        <d v="2005-06-03T00:00:00"/>
        <d v="2005-07-12T00:00:00"/>
        <d v="2013-05-09T00:00:00"/>
        <d v="2011-04-17T00:00:00"/>
        <d v="2017-07-23T00:00:00"/>
        <d v="2002-08-28T00:00:00"/>
        <d v="2003-03-25T00:00:00"/>
        <d v="2016-06-26T00:00:00"/>
        <d v="2008-02-22T00:00:00"/>
        <d v="2015-03-02T00:00:00"/>
        <d v="2020-09-17T00:00:00"/>
        <d v="2006-01-19T00:00:00"/>
        <d v="2013-11-27T00:00:00"/>
        <d v="2016-09-06T00:00:00"/>
        <d v="2006-09-09T00:00:00"/>
        <d v="2011-03-29T00:00:00"/>
        <d v="2005-08-18T00:00:00"/>
        <d v="2013-09-17T00:00:00"/>
        <d v="2020-01-12T00:00:00"/>
        <d v="2015-09-05T00:00:00"/>
        <d v="2004-08-07T00:00:00"/>
        <d v="2016-10-27T00:00:00"/>
        <d v="2008-04-24T00:00:00"/>
        <d v="2018-12-07T00:00:00"/>
        <d v="2016-05-23T00:00:00"/>
        <d v="2019-09-29T00:00:00"/>
        <d v="2010-06-01T00:00:00"/>
        <d v="2015-10-05T00:00:00"/>
        <d v="2002-01-24T00:00:00"/>
        <d v="2002-09-17T00:00:00"/>
        <d v="2005-06-14T00:00:00"/>
        <d v="2006-06-28T00:00:00"/>
        <d v="2004-04-17T00:00:00"/>
        <d v="2009-01-18T00:00:00"/>
        <d v="2001-11-02T00:00:00"/>
        <d v="2014-08-31T00:00:00"/>
        <d v="2003-04-21T00:00:00"/>
        <d v="2017-05-05T00:00:00"/>
        <d v="2008-09-26T00:00:00"/>
        <d v="2013-02-20T00:00:00"/>
        <d v="2020-06-04T00:00:00"/>
        <d v="2012-05-02T00:00:00"/>
        <d v="2017-12-19T00:00:00"/>
        <d v="2009-11-16T00:00:00"/>
        <d v="2006-11-15T00:00:00"/>
        <d v="2010-11-22T00:00:00"/>
        <d v="2017-01-16T00:00:00"/>
        <d v="2003-12-18T00:00:00"/>
        <d v="2014-05-11T00:00:00"/>
        <d v="2020-05-29T00:00:00"/>
        <d v="2010-09-03T00:00:00"/>
        <d v="2005-10-14T00:00:00"/>
        <d v="2004-07-10T00:00:00"/>
        <d v="2004-08-26T00:00:00"/>
        <d v="2020-04-04T00:00:00"/>
        <d v="2017-07-18T00:00:00"/>
        <d v="2007-11-27T00:00:00"/>
        <d v="2009-10-16T00:00:00"/>
        <d v="2013-08-31T00:00:00"/>
        <d v="2014-08-10T00:00:00"/>
        <d v="2016-07-01T00:00:00"/>
        <d v="2014-01-11T00:00:00"/>
        <d v="2013-10-09T00:00:00"/>
        <d v="2003-04-29T00:00:00"/>
        <d v="2016-04-18T00:00:00"/>
        <d v="2012-03-12T00:00:00"/>
        <d v="2004-11-16T00:00:00"/>
        <d v="2003-05-15T00:00:00"/>
        <d v="2001-02-27T00:00:00"/>
        <d v="2017-08-09T00:00:00"/>
        <d v="2014-05-14T00:00:00"/>
        <d v="2011-10-28T00:00:00"/>
        <d v="2005-09-30T00:00:00"/>
        <d v="2002-02-02T00:00:00"/>
        <d v="2015-06-30T00:00:00"/>
        <d v="2005-07-08T00:00:00"/>
        <d v="2004-04-27T00:00:00"/>
        <d v="2002-10-09T00:00:00"/>
        <d v="2020-10-01T00:00:00"/>
        <d v="2002-04-22T00:00:00"/>
        <d v="2020-11-27T00:00:00"/>
        <d v="2002-08-06T00:00:00"/>
        <d v="2013-10-07T00:00:00"/>
        <d v="2016-04-23T00:00:00"/>
        <d v="2020-03-09T00:00:00"/>
        <d v="2017-08-11T00:00:00"/>
        <d v="2005-05-26T00:00:00"/>
        <d v="2010-10-17T00:00:00"/>
        <d v="2001-08-14T00:00:00"/>
        <d v="2013-03-10T00:00:00"/>
        <d v="2018-11-22T00:00:00"/>
        <d v="2002-05-16T00:00:00"/>
        <d v="2010-11-25T00:00:00"/>
        <d v="2002-01-15T00:00:00"/>
        <d v="2004-01-30T00:00:00"/>
        <d v="2008-10-24T00:00:00"/>
        <d v="2006-09-17T00:00:00"/>
        <d v="2005-04-30T00:00:00"/>
        <d v="2016-02-12T00:00:00"/>
        <d v="2019-11-05T00:00:00"/>
        <d v="2008-07-10T00:00:00"/>
        <d v="2004-10-21T00:00:00"/>
        <d v="2012-07-09T00:00:00"/>
        <d v="2014-04-25T00:00:00"/>
        <d v="2016-01-28T00:00:00"/>
        <d v="2016-02-05T00:00:00"/>
        <d v="2007-03-13T00:00:00"/>
        <d v="2006-10-19T00:00:00"/>
        <d v="2009-08-15T00:00:00"/>
        <d v="2004-01-11T00:00:00"/>
        <d v="2001-06-04T00:00:00"/>
        <d v="2015-04-19T00:00:00"/>
        <d v="2003-09-16T00:00:00"/>
        <d v="2020-03-16T00:00:00"/>
        <d v="2001-10-20T00:00:00"/>
        <d v="2016-03-20T00:00:00"/>
        <d v="2010-01-16T00:00:00"/>
        <d v="2001-05-23T00:00:00"/>
        <d v="2008-09-22T00:00:00"/>
        <d v="2007-03-18T00:00:00"/>
        <d v="2018-09-01T00:00:00"/>
        <d v="2017-05-20T00:00:00"/>
        <d v="2016-04-20T00:00:00"/>
        <d v="2010-07-11T00:00:00"/>
        <d v="2005-11-17T00:00:00"/>
        <d v="2012-10-06T00:00:00"/>
        <d v="2008-01-11T00:00:00"/>
        <d v="2014-05-08T00:00:00"/>
        <d v="2019-08-27T00:00:00"/>
        <d v="2016-08-21T00:00:00"/>
        <d v="2010-03-04T00:00:00"/>
        <d v="2020-12-23T00:00:00"/>
        <d v="2019-12-21T00:00:00"/>
        <d v="2019-07-09T00:00:00"/>
        <d v="2015-11-11T00:00:00"/>
        <d v="2004-06-21T00:00:00"/>
        <d v="2004-04-29T00:00:00"/>
        <d v="2006-04-28T00:00:00"/>
        <d v="2011-02-01T00:00:00"/>
        <d v="2013-10-25T00:00:00"/>
        <d v="2009-03-19T00:00:00"/>
        <d v="2012-06-19T00:00:00"/>
        <d v="2012-06-08T00:00:00"/>
        <d v="2001-01-07T00:00:00"/>
        <d v="2012-06-20T00:00:00"/>
        <d v="2007-11-16T00:00:00"/>
        <d v="2008-08-15T00:00:00"/>
        <d v="2004-10-07T00:00:00"/>
        <d v="2015-06-25T00:00:00"/>
        <d v="2020-09-26T00:00:00"/>
        <d v="2004-05-12T00:00:00"/>
        <d v="2004-06-13T00:00:00"/>
        <d v="2007-07-09T00:00:00"/>
        <d v="2016-01-23T00:00:00"/>
        <d v="2017-02-16T00:00:00"/>
        <d v="2016-09-26T00:00:00"/>
        <d v="2012-07-20T00:00:00"/>
        <d v="2001-02-06T00:00:00"/>
        <d v="2004-11-04T00:00:00"/>
        <d v="2017-08-20T00:00:00"/>
        <d v="2016-03-23T00:00:00"/>
        <d v="2015-09-02T00:00:00"/>
        <d v="2001-03-22T00:00:00"/>
        <d v="2006-11-29T00:00:00"/>
        <d v="2014-01-16T00:00:00"/>
        <d v="2009-04-26T00:00:00"/>
        <d v="2017-01-25T00:00:00"/>
        <d v="2019-10-14T00:00:00"/>
        <d v="2013-10-04T00:00:00"/>
        <d v="2019-09-01T00:00:00"/>
        <d v="2003-01-05T00:00:00"/>
        <d v="2007-06-08T00:00:00"/>
        <d v="2015-05-13T00:00:00"/>
        <d v="2004-01-24T00:00:00"/>
        <d v="2003-11-30T00:00:00"/>
        <d v="2015-07-13T00:00:00"/>
        <d v="2014-02-14T00:00:00"/>
        <d v="2005-02-26T00:00:00"/>
        <d v="2009-12-02T00:00:00"/>
        <d v="2020-07-12T00:00:00"/>
        <d v="2017-10-28T00:00:00"/>
        <d v="2005-10-04T00:00:00"/>
        <d v="2018-11-20T00:00:00"/>
        <d v="2006-07-23T00:00:00"/>
        <d v="2017-04-14T00:00:00"/>
        <d v="2019-09-21T00:00:00"/>
        <d v="2006-11-17T00:00:00"/>
        <d v="2006-05-26T00:00:00"/>
        <d v="2011-03-11T00:00:00"/>
        <d v="2010-10-04T00:00:00"/>
        <d v="2014-10-31T00:00:00"/>
        <d v="2015-07-10T00:00:00"/>
        <d v="2016-11-28T00:00:00"/>
        <d v="2016-04-07T00:00:00"/>
        <d v="2018-10-21T00:00:00"/>
        <d v="2013-12-16T00:00:00"/>
        <d v="2003-09-11T00:00:00"/>
        <d v="2012-04-05T00:00:00"/>
        <d v="2003-04-27T00:00:00"/>
        <d v="2008-09-16T00:00:00"/>
        <d v="2016-07-12T00:00:00"/>
        <d v="2001-07-18T00:00:00"/>
        <d v="2002-03-17T00:00:00"/>
        <d v="2009-04-15T00:00:00"/>
        <d v="2005-06-20T00:00:00"/>
        <d v="2008-03-18T00:00:00"/>
        <d v="2004-06-17T00:00:00"/>
        <d v="2008-08-12T00:00:00"/>
        <d v="2007-02-11T00:00:00"/>
        <d v="2017-11-29T00:00:00"/>
        <d v="2013-10-20T00:00:00"/>
        <d v="2020-01-06T00:00:00"/>
        <d v="2009-07-16T00:00:00"/>
        <d v="2006-06-03T00:00:00"/>
        <d v="2011-01-16T00:00:00"/>
        <d v="2002-05-28T00:00:00"/>
        <d v="2015-09-24T00:00:00"/>
        <d v="2014-04-13T00:00:00"/>
        <d v="2013-04-29T00:00:00"/>
        <d v="2017-06-25T00:00:00"/>
        <d v="2018-04-03T00:00:00"/>
        <d v="2001-05-10T00:00:00"/>
        <d v="2012-09-26T00:00:00"/>
        <d v="2020-05-04T00:00:00"/>
        <d v="2020-06-18T00:00:00"/>
        <d v="2005-07-29T00:00:00"/>
        <d v="2002-09-09T00:00:00"/>
        <d v="2011-10-14T00:00:00"/>
        <d v="2020-02-23T00:00:00"/>
        <d v="2005-12-30T00:00:00"/>
        <d v="2015-06-18T00:00:00"/>
        <d v="2020-12-18T00:00:00"/>
        <d v="2005-09-05T00:00:00"/>
        <d v="2008-04-16T00:00:00"/>
        <d v="2010-02-11T00:00:00"/>
        <d v="2002-12-08T00:00:00"/>
        <d v="2003-08-15T00:00:00"/>
        <d v="2009-12-12T00:00:00"/>
        <d v="2009-03-10T00:00:00"/>
        <d v="2016-07-03T00:00:00"/>
        <d v="2001-03-29T00:00:00"/>
        <d v="2016-12-31T00:00:00"/>
        <d v="2007-02-17T00:00:00"/>
        <d v="2013-04-04T00:00:00"/>
        <d v="2001-11-22T00:00:00"/>
        <d v="2016-11-12T00:00:00"/>
        <d v="2009-01-31T00:00:00"/>
        <d v="2017-06-17T00:00:00"/>
        <d v="2005-10-05T00:00:00"/>
        <d v="2016-05-11T00:00:00"/>
        <d v="2005-01-17T00:00:00"/>
        <d v="2020-07-25T00:00:00"/>
        <d v="2003-12-14T00:00:00"/>
        <d v="2005-12-07T00:00:00"/>
        <d v="2005-01-03T00:00:00"/>
        <d v="2006-12-26T00:00:00"/>
        <d v="2020-06-17T00:00:00"/>
        <d v="2003-11-17T00:00:00"/>
        <d v="2010-10-11T00:00:00"/>
        <d v="2004-09-19T00:00:00"/>
        <d v="2013-03-28T00:00:00"/>
        <d v="2006-08-06T00:00:00"/>
        <d v="2003-08-24T00:00:00"/>
        <d v="2004-12-31T00:00:00"/>
        <d v="2012-11-24T00:00:00"/>
        <d v="2015-12-23T00:00:00"/>
        <d v="2005-12-09T00:00:00"/>
        <d v="2004-08-01T00:00:00"/>
        <d v="2017-05-28T00:00:00"/>
        <d v="2011-12-22T00:00:00"/>
        <d v="2007-11-20T00:00:00"/>
        <d v="2011-08-23T00:00:00"/>
        <d v="2007-07-15T00:00:00"/>
        <d v="2018-06-03T00:00:00"/>
        <d v="2008-01-03T00:00:00"/>
        <d v="2019-08-08T00:00:00"/>
        <d v="2006-09-06T00:00:00"/>
        <d v="2014-08-30T00:00:00"/>
        <d v="2016-05-28T00:00:00"/>
        <d v="2008-06-22T00:00:00"/>
        <d v="2012-05-01T00:00:00"/>
        <d v="2018-04-23T00:00:00"/>
        <d v="2009-12-26T00:00:00"/>
        <d v="2004-03-27T00:00:00"/>
        <d v="2014-09-11T00:00:00"/>
        <d v="2013-07-23T00:00:00"/>
        <d v="2017-09-21T00:00:00"/>
        <d v="2017-05-24T00:00:00"/>
        <d v="2001-10-08T00:00:00"/>
        <d v="2011-02-28T00:00:00"/>
        <d v="2009-12-17T00:00:00"/>
        <d v="2002-06-11T00:00:00"/>
        <d v="2007-04-29T00:00:00"/>
        <d v="2012-10-19T00:00:00"/>
        <d v="2019-04-25T00:00:00"/>
        <d v="2003-06-07T00:00:00"/>
        <d v="2012-07-29T00:00:00"/>
        <d v="2014-06-26T00:00:00"/>
        <d v="2012-10-15T00:00:00"/>
        <d v="2002-04-06T00:00:00"/>
        <d v="2012-06-16T00:00:00"/>
        <d v="2009-09-25T00:00:00"/>
        <d v="2011-10-17T00:00:00"/>
        <d v="2015-03-28T00:00:00"/>
        <d v="2009-01-08T00:00:00"/>
        <d v="2018-09-22T00:00:00"/>
        <d v="2011-04-15T00:00:00"/>
        <d v="2020-02-11T00:00:00"/>
        <d v="2018-12-04T00:00:00"/>
        <d v="2017-10-21T00:00:00"/>
        <d v="2008-03-16T00:00:00"/>
        <d v="2005-03-06T00:00:00"/>
        <d v="2005-02-08T00:00:00"/>
        <d v="2011-07-09T00:00:00"/>
        <d v="2016-01-02T00:00:00"/>
        <d v="2001-06-05T00:00:00"/>
        <d v="2019-11-06T00:00:00"/>
        <d v="2009-05-17T00:00:00"/>
        <d v="2005-03-02T00:00:00"/>
        <d v="2009-01-04T00:00:00"/>
        <d v="2004-07-18T00:00:00"/>
        <d v="2018-09-03T00:00:00"/>
        <d v="2005-10-30T00:00:00"/>
        <d v="2017-11-19T00:00:00"/>
        <d v="2020-11-18T00:00:00"/>
        <d v="2016-03-18T00:00:00"/>
        <d v="2011-06-23T00:00:00"/>
        <d v="2019-02-19T00:00:00"/>
        <d v="2012-07-07T00:00:00"/>
        <d v="2019-05-12T00:00:00"/>
        <d v="2007-05-10T00:00:00"/>
        <d v="2015-06-17T00:00:00"/>
        <d v="2001-07-09T00:00:00"/>
        <d v="2006-08-01T00:00:00"/>
        <d v="2014-04-01T00:00:00"/>
        <d v="2004-07-12T00:00:00"/>
        <d v="2002-12-16T00:00:00"/>
        <d v="2010-03-30T00:00:00"/>
        <d v="2007-04-11T00:00:00"/>
        <d v="2001-10-21T00:00:00"/>
        <d v="2017-08-04T00:00:00"/>
        <d v="2005-11-08T00:00:00"/>
        <d v="2020-07-28T00:00:00"/>
        <d v="2004-10-10T00:00:00"/>
        <d v="2006-07-24T00:00:00"/>
        <d v="2015-02-03T00:00:00"/>
        <d v="2013-12-06T00:00:00"/>
        <d v="2016-07-08T00:00:00"/>
        <d v="2018-05-20T00:00:00"/>
        <d v="2004-02-24T00:00:00"/>
        <d v="2012-02-10T00:00:00"/>
        <d v="2009-11-21T00:00:00"/>
        <d v="2013-03-27T00:00:00"/>
        <d v="2013-11-02T00:00:00"/>
        <d v="2006-01-03T00:00:00"/>
        <d v="2008-12-15T00:00:00"/>
        <d v="2019-01-29T00:00:00"/>
        <d v="2011-04-07T00:00:00"/>
        <d v="2019-05-15T00:00:00"/>
        <d v="2006-01-23T00:00:00"/>
        <d v="2016-04-21T00:00:00"/>
        <d v="2013-09-26T00:00:00"/>
        <d v="2017-03-02T00:00:00"/>
        <d v="2001-04-14T00:00:00"/>
        <d v="2019-09-28T00:00:00"/>
        <d v="2019-07-12T00:00:00"/>
        <d v="2019-04-20T00:00:00"/>
        <d v="2005-09-28T00:00:00"/>
        <d v="2008-08-26T00:00:00"/>
        <d v="2018-03-06T00:00:00"/>
        <d v="2002-11-21T00:00:00"/>
        <d v="2019-11-29T00:00:00"/>
        <d v="2020-12-21T00:00:00"/>
        <d v="2004-02-03T00:00:00"/>
        <d v="2003-06-06T00:00:00"/>
        <d v="2004-08-29T00:00:00"/>
        <d v="2020-11-26T00:00:00"/>
        <d v="2017-07-05T00:00:00"/>
        <d v="2020-06-13T00:00:00"/>
        <d v="2011-08-28T00:00:00"/>
        <d v="2013-11-16T00:00:00"/>
        <d v="2010-01-25T00:00:00"/>
        <d v="2018-11-16T00:00:00"/>
        <d v="2011-11-21T00:00:00"/>
        <d v="2019-06-21T00:00:00"/>
        <d v="2017-07-07T00:00:00"/>
        <d v="2003-10-14T00:00:00"/>
        <d v="2013-01-13T00:00:00"/>
        <d v="2020-08-21T00:00:00"/>
        <d v="2010-04-06T00:00:00"/>
        <d v="2007-02-22T00:00:00"/>
        <d v="2005-07-11T00:00:00"/>
        <d v="2010-03-21T00:00:00"/>
        <d v="2016-12-06T00:00:00"/>
        <d v="2018-06-16T00:00:00"/>
        <d v="2002-08-31T00:00:00"/>
        <d v="2019-01-04T00:00:00"/>
        <d v="2008-02-27T00:00:00"/>
        <d v="2004-11-10T00:00:00"/>
        <d v="2007-11-19T00:00:00"/>
        <d v="2020-06-30T00:00:00"/>
        <d v="2018-08-11T00:00:00"/>
        <d v="2005-04-09T00:00:00"/>
        <d v="2019-08-13T00:00:00"/>
        <d v="2018-11-17T00:00:00"/>
        <d v="2005-04-26T00:00:00"/>
        <d v="2016-11-20T00:00:00"/>
        <d v="2002-01-22T00:00:00"/>
        <d v="2014-04-02T00:00:00"/>
        <d v="2014-07-25T00:00:00"/>
        <d v="2011-10-27T00:00:00"/>
        <d v="2001-10-28T00:00:00"/>
        <d v="2012-02-26T00:00:00"/>
        <d v="2016-05-15T00:00:00"/>
        <d v="2019-06-05T00:00:00"/>
        <d v="2005-06-09T00:00:00"/>
        <d v="2012-03-16T00:00:00"/>
        <d v="2011-07-17T00:00:00"/>
        <d v="2012-06-04T00:00:00"/>
        <d v="2008-07-18T00:00:00"/>
        <d v="2019-09-08T00:00:00"/>
        <d v="2007-05-24T00:00:00"/>
        <d v="2016-03-30T00:00:00"/>
        <d v="2002-02-28T00:00:00"/>
        <d v="2001-08-02T00:00:00"/>
        <d v="2002-10-19T00:00:00"/>
        <d v="2019-04-04T00:00:00"/>
        <d v="2002-07-16T00:00:00"/>
        <d v="2015-03-26T00:00:00"/>
        <d v="2019-05-13T00:00:00"/>
        <d v="2016-10-28T00:00:00"/>
        <d v="2014-02-05T00:00:00"/>
        <d v="2005-10-17T00:00:00"/>
        <d v="2007-03-27T00:00:00"/>
        <d v="2003-08-07T00:00:00"/>
        <d v="2016-04-01T00:00:00"/>
        <d v="2016-06-16T00:00:00"/>
        <d v="2011-07-28T00:00:00"/>
        <d v="2010-05-04T00:00:00"/>
        <d v="2008-03-23T00:00:00"/>
        <d v="2004-08-24T00:00:00"/>
        <d v="2006-09-03T00:00:00"/>
        <d v="2017-07-29T00:00:00"/>
        <d v="2016-07-18T00:00:00"/>
        <d v="2020-08-11T00:00:00"/>
        <d v="2007-03-30T00:00:00"/>
        <d v="2018-09-07T00:00:00"/>
        <d v="2009-07-07T00:00:00"/>
        <d v="2003-08-06T00:00:00"/>
        <d v="2009-12-27T00:00:00"/>
        <d v="2020-07-22T00:00:00"/>
        <d v="2003-07-23T00:00:00"/>
        <d v="2016-11-15T00:00:00"/>
        <d v="2012-12-07T00:00:00"/>
        <d v="2004-12-16T00:00:00"/>
        <d v="2013-10-31T00:00:00"/>
        <d v="2013-12-03T00:00:00"/>
        <d v="2013-07-31T00:00:00"/>
        <d v="2016-02-19T00:00:00"/>
        <d v="2004-12-29T00:00:00"/>
        <d v="2004-02-16T00:00:00"/>
        <d v="2015-05-27T00:00:00"/>
        <d v="2012-12-26T00:00:00"/>
        <d v="2014-01-30T00:00:00"/>
        <d v="2017-10-10T00:00:00"/>
        <d v="2004-07-02T00:00:00"/>
        <d v="2010-10-22T00:00:00"/>
        <d v="2014-06-23T00:00:00"/>
        <d v="2008-05-20T00:00:00"/>
        <d v="2018-05-15T00:00:00"/>
        <d v="2008-08-18T00:00:00"/>
        <d v="2019-06-10T00:00:00"/>
        <d v="2016-03-19T00:00:00"/>
        <d v="2011-03-09T00:00:00"/>
        <d v="2009-09-23T00:00:00"/>
        <d v="2003-05-04T00:00:00"/>
        <d v="2016-02-22T00:00:00"/>
        <d v="2015-10-21T00:00:00"/>
        <d v="2013-11-30T00:00:00"/>
        <d v="2011-09-07T00:00:00"/>
        <d v="2004-05-24T00:00:00"/>
        <d v="2001-06-18T00:00:00"/>
        <d v="2013-10-24T00:00:00"/>
        <d v="2016-12-22T00:00:00"/>
        <d v="2011-05-09T00:00:00"/>
        <d v="2006-07-11T00:00:00"/>
        <d v="2011-03-26T00:00:00"/>
        <d v="2013-06-24T00:00:00"/>
        <d v="2019-12-25T00:00:00"/>
        <d v="2013-05-13T00:00:00"/>
        <d v="2012-10-10T00:00:00"/>
        <d v="2014-02-19T00:00:00"/>
        <d v="2005-01-18T00:00:00"/>
        <d v="2012-06-01T00:00:00"/>
        <d v="2012-08-26T00:00:00"/>
        <d v="2004-07-30T00:00:00"/>
        <d v="2002-10-10T00:00:00"/>
        <d v="2018-05-13T00:00:00"/>
        <d v="2001-08-09T00:00:00"/>
        <d v="2010-10-24T00:00:00"/>
        <d v="2012-11-08T00:00:00"/>
        <d v="2001-04-10T00:00:00"/>
        <d v="2006-01-14T00:00:00"/>
        <d v="2012-07-27T00:00:00"/>
        <d v="2016-09-02T00:00:00"/>
        <d v="2013-10-11T00:00:00"/>
        <d v="2003-06-20T00:00:00"/>
        <d v="2014-02-04T00:00:00"/>
        <d v="2016-09-11T00:00:00"/>
        <d v="2006-10-01T00:00:00"/>
        <d v="2007-06-29T00:00:00"/>
        <d v="2017-10-07T00:00:00"/>
        <d v="2016-09-07T00:00:00"/>
        <d v="2001-03-16T00:00:00"/>
        <d v="2012-10-31T00:00:00"/>
        <d v="2019-07-03T00:00:00"/>
        <d v="2001-11-07T00:00:00"/>
        <d v="2004-05-30T00:00:00"/>
        <d v="2014-08-29T00:00:00"/>
        <d v="2001-02-04T00:00:00"/>
        <d v="2014-04-08T00:00:00"/>
        <d v="2009-06-26T00:00:00"/>
        <d v="2017-05-14T00:00:00"/>
        <d v="2007-01-16T00:00:00"/>
        <d v="2002-08-05T00:00:00"/>
        <d v="2010-02-27T00:00:00"/>
        <d v="2006-12-10T00:00:00"/>
        <d v="2002-02-04T00:00:00"/>
        <d v="2010-11-02T00:00:00"/>
        <d v="2008-10-18T00:00:00"/>
        <d v="2019-10-23T00:00:00"/>
        <d v="2013-08-29T00:00:00"/>
        <d v="2001-01-26T00:00:00"/>
        <d v="2014-03-13T00:00:00"/>
        <d v="2019-02-11T00:00:00"/>
        <d v="2018-08-28T00:00:00"/>
        <d v="2007-02-03T00:00:00"/>
        <d v="2017-03-06T00:00:00"/>
        <d v="2013-09-05T00:00:00"/>
        <d v="2012-08-02T00:00:00"/>
        <d v="2006-10-30T00:00:00"/>
        <d v="2001-02-15T00:00:00"/>
        <d v="2007-04-15T00:00:00"/>
        <d v="2014-06-24T00:00:00"/>
        <d v="2014-09-26T00:00:00"/>
        <d v="2020-07-24T00:00:00"/>
        <d v="2013-04-12T00:00:00"/>
        <d v="2018-01-22T00:00:00"/>
        <d v="2002-06-16T00:00:00"/>
        <d v="2011-12-12T00:00:00"/>
        <d v="2018-12-24T00:00:00"/>
        <d v="2012-04-16T00:00:00"/>
        <d v="2009-09-24T00:00:00"/>
        <d v="2014-03-25T00:00:00"/>
        <d v="2009-08-26T00:00:00"/>
        <d v="2001-09-17T00:00:00"/>
        <d v="2010-01-04T00:00:00"/>
        <d v="2007-05-12T00:00:00"/>
        <d v="2018-09-17T00:00:00"/>
        <d v="2012-02-06T00:00:00"/>
        <d v="2016-01-25T00:00:00"/>
        <d v="2001-12-06T00:00:00"/>
        <d v="2003-03-29T00:00:00"/>
        <d v="2013-02-24T00:00:00"/>
        <d v="2009-07-25T00:00:00"/>
        <d v="2007-04-24T00:00:00"/>
        <d v="2005-08-19T00:00:00"/>
        <d v="2020-01-07T00:00:00"/>
        <d v="2020-11-22T00:00:00"/>
        <d v="2006-11-03T00:00:00"/>
        <d v="2004-11-23T00:00:00"/>
        <d v="2016-12-21T00:00:00"/>
        <d v="2010-07-14T00:00:00"/>
        <d v="2002-02-24T00:00:00"/>
        <d v="2015-08-23T00:00:00"/>
        <d v="2004-02-13T00:00:00"/>
        <d v="2003-05-05T00:00:00"/>
        <d v="2015-05-18T00:00:00"/>
        <d v="2010-06-12T00:00:00"/>
        <d v="2009-03-14T00:00:00"/>
        <d v="2018-01-14T00:00:00"/>
        <d v="2010-01-28T00:00:00"/>
        <d v="2004-12-20T00:00:00"/>
        <d v="2014-07-26T00:00:00"/>
        <d v="2020-03-26T00:00:00"/>
        <d v="2010-12-29T00:00:00"/>
        <d v="2013-06-17T00:00:00"/>
        <d v="2020-06-01T00:00:00"/>
        <d v="2010-05-10T00:00:00"/>
        <d v="2014-01-06T00:00:00"/>
        <d v="2014-06-14T00:00:00"/>
        <d v="2005-05-24T00:00:00"/>
        <d v="2006-03-17T00:00:00"/>
        <d v="2004-08-17T00:00:00"/>
        <d v="2011-10-11T00:00:00"/>
        <d v="2013-05-30T00:00:00"/>
        <d v="2016-12-07T00:00:00"/>
        <d v="2016-05-02T00:00:00"/>
        <d v="2002-04-02T00:00:00"/>
        <d v="2007-10-08T00:00:00"/>
        <d v="2008-08-13T00:00:00"/>
        <d v="2016-07-20T00:00:00"/>
        <d v="2001-08-24T00:00:00"/>
        <d v="2011-05-05T00:00:00"/>
        <d v="2007-11-18T00:00:00"/>
        <d v="2019-11-02T00:00:00"/>
        <d v="2011-05-03T00:00:00"/>
        <d v="2015-12-21T00:00:00"/>
        <d v="2006-05-22T00:00:00"/>
        <d v="2017-06-12T00:00:00"/>
        <d v="2014-09-02T00:00:00"/>
        <d v="2020-11-15T00:00:00"/>
        <d v="2017-06-04T00:00:00"/>
        <d v="2004-09-12T00:00:00"/>
        <d v="2006-12-12T00:00:00"/>
        <d v="2010-07-18T00:00:00"/>
        <d v="2012-07-13T00:00:00"/>
        <d v="2011-07-06T00:00:00"/>
        <d v="2020-02-14T00:00:00"/>
        <d v="2012-11-19T00:00:00"/>
        <d v="2019-05-09T00:00:00"/>
        <d v="2014-08-08T00:00:00"/>
        <d v="2018-03-10T00:00:00"/>
        <d v="2002-08-13T00:00:00"/>
        <d v="2014-12-18T00:00:00"/>
        <d v="2013-10-29T00:00:00"/>
        <d v="2013-04-26T00:00:00"/>
        <d v="2004-10-09T00:00:00"/>
        <d v="2014-05-29T00:00:00"/>
        <d v="2016-06-18T00:00:00"/>
        <d v="2009-02-02T00:00:00"/>
        <d v="2004-06-03T00:00:00"/>
        <d v="2014-06-12T00:00:00"/>
        <d v="2017-05-12T00:00:00"/>
        <d v="2014-08-27T00:00:00"/>
        <d v="2009-09-12T00:00:00"/>
        <d v="2020-01-09T00:00:00"/>
        <d v="2020-02-27T00:00:00"/>
        <d v="2013-10-22T00:00:00"/>
        <d v="2016-06-23T00:00:00"/>
        <d v="2015-06-29T00:00:00"/>
        <d v="2002-12-31T00:00:00"/>
        <d v="2012-09-19T00:00:00"/>
        <d v="2004-03-15T00:00:00"/>
        <d v="2008-03-13T00:00:00"/>
        <d v="2016-12-08T00:00:00"/>
        <d v="2012-02-27T00:00:00"/>
        <d v="2013-01-15T00:00:00"/>
        <d v="2020-05-20T00:00:00"/>
        <d v="2004-04-28T00:00:00"/>
        <d v="2013-08-21T00:00:00"/>
        <d v="2005-12-10T00:00:00"/>
        <d v="2020-01-25T00:00:00"/>
      </sharedItems>
      <fieldGroup par="11"/>
    </cacheField>
    <cacheField name="Month" numFmtId="0">
      <sharedItems/>
    </cacheField>
    <cacheField name="Year" numFmtId="0">
      <sharedItems containsSemiMixedTypes="0" containsString="0" containsNumber="1" containsInteger="1" minValue="2001" maxValue="2020" count="20">
        <n v="2019"/>
        <n v="2007"/>
        <n v="2017"/>
        <n v="2010"/>
        <n v="2009"/>
        <n v="2014"/>
        <n v="2012"/>
        <n v="2013"/>
        <n v="2005"/>
        <n v="2016"/>
        <n v="2004"/>
        <n v="2015"/>
        <n v="2001"/>
        <n v="2011"/>
        <n v="2018"/>
        <n v="2008"/>
        <n v="2003"/>
        <n v="2002"/>
        <n v="2006"/>
        <n v="2020"/>
      </sharedItems>
    </cacheField>
    <cacheField name="Address" numFmtId="0">
      <sharedItems/>
    </cacheField>
    <cacheField name="Town" numFmtId="0">
      <sharedItems count="7">
        <s v="New Haven"/>
        <s v="Waterbury"/>
        <s v="Stamford"/>
        <s v="Norwalk"/>
        <s v="Bridgeport"/>
        <s v="Danbury"/>
        <s v="Hartford"/>
      </sharedItems>
    </cacheField>
    <cacheField name="Property_Type" numFmtId="0">
      <sharedItems count="4">
        <s v="Condo"/>
        <s v="Single Family"/>
        <s v="Apartment"/>
        <s v="Townhouse"/>
      </sharedItems>
    </cacheField>
    <cacheField name="Bedrooms" numFmtId="0">
      <sharedItems containsString="0" containsBlank="1" containsNumber="1" containsInteger="1" minValue="2" maxValue="5"/>
    </cacheField>
    <cacheField name="Square_Feet" numFmtId="0">
      <sharedItems containsSemiMixedTypes="0" containsString="0" containsNumber="1" containsInteger="1" minValue="802" maxValue="3500"/>
    </cacheField>
    <cacheField name="Sale_Price" numFmtId="164">
      <sharedItems containsString="0" containsBlank="1" containsNumber="1" containsInteger="1" minValue="100065" maxValue="899764"/>
    </cacheField>
    <cacheField name="Price Per Sq Ft" numFmtId="164">
      <sharedItems containsSemiMixedTypes="0" containsString="0" containsNumber="1" minValue="0" maxValue="1111.5641344956414"/>
    </cacheField>
    <cacheField name="Months (Sale_Date)" numFmtId="0" databaseField="0">
      <fieldGroup base="0">
        <rangePr groupBy="months" startDate="2001-01-01T00:00:00" endDate="2020-12-27T00:00:00"/>
        <groupItems count="14">
          <s v="&lt;01/01/2001"/>
          <s v="Jan"/>
          <s v="Feb"/>
          <s v="Mar"/>
          <s v="Apr"/>
          <s v="May"/>
          <s v="Jun"/>
          <s v="Jul"/>
          <s v="Aug"/>
          <s v="Sep"/>
          <s v="Oct"/>
          <s v="Nov"/>
          <s v="Dec"/>
          <s v="&gt;27/12/2020"/>
        </groupItems>
      </fieldGroup>
    </cacheField>
    <cacheField name="Years (Sale_Date)" numFmtId="0" databaseField="0">
      <fieldGroup base="0">
        <rangePr groupBy="years" startDate="2001-01-01T00:00:00" endDate="2020-12-27T00:00:00"/>
        <groupItems count="22">
          <s v="&lt;01/01/2001"/>
          <s v="2001"/>
          <s v="2002"/>
          <s v="2003"/>
          <s v="2004"/>
          <s v="2005"/>
          <s v="2006"/>
          <s v="2007"/>
          <s v="2008"/>
          <s v="2009"/>
          <s v="2010"/>
          <s v="2011"/>
          <s v="2012"/>
          <s v="2013"/>
          <s v="2014"/>
          <s v="2015"/>
          <s v="2016"/>
          <s v="2017"/>
          <s v="2018"/>
          <s v="2019"/>
          <s v="2020"/>
          <s v="&gt;27/12/2020"/>
        </groupItems>
      </fieldGroup>
    </cacheField>
  </cacheFields>
  <extLst>
    <ext xmlns:x14="http://schemas.microsoft.com/office/spreadsheetml/2009/9/main" uri="{725AE2AE-9491-48be-B2B4-4EB974FC3084}">
      <x14:pivotCacheDefinition pivotCacheId="1008325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Nov"/>
    <x v="0"/>
    <s v="758 Maple Ave"/>
    <x v="0"/>
    <x v="0"/>
    <n v="3"/>
    <n v="1978"/>
    <n v="521480"/>
    <n v="263.64004044489383"/>
  </r>
  <r>
    <x v="1"/>
    <s v="Jul"/>
    <x v="1"/>
    <s v="294 Pine Rd"/>
    <x v="1"/>
    <x v="0"/>
    <n v="4"/>
    <n v="1223"/>
    <n v="705776"/>
    <n v="577.08585445625511"/>
  </r>
  <r>
    <x v="2"/>
    <s v="Oct"/>
    <x v="2"/>
    <s v="579 Pine Rd"/>
    <x v="0"/>
    <x v="1"/>
    <n v="3"/>
    <n v="2611"/>
    <n v="226876"/>
    <n v="86.892378399080812"/>
  </r>
  <r>
    <x v="3"/>
    <s v="Nov"/>
    <x v="3"/>
    <s v="799 Elm St"/>
    <x v="1"/>
    <x v="2"/>
    <n v="4"/>
    <n v="3316"/>
    <n v="674883"/>
    <n v="203.52322074788901"/>
  </r>
  <r>
    <x v="4"/>
    <s v="Jul"/>
    <x v="4"/>
    <s v="436 Maple Ave"/>
    <x v="0"/>
    <x v="1"/>
    <n v="4"/>
    <n v="883"/>
    <n v="355887"/>
    <n v="403.04303510758774"/>
  </r>
  <r>
    <x v="5"/>
    <s v="Jun"/>
    <x v="5"/>
    <s v="103 Pine Rd"/>
    <x v="2"/>
    <x v="0"/>
    <n v="3"/>
    <n v="3305"/>
    <n v="849855"/>
    <n v="257.14220877458399"/>
  </r>
  <r>
    <x v="6"/>
    <s v="Mar"/>
    <x v="3"/>
    <s v="175 Elm St"/>
    <x v="3"/>
    <x v="0"/>
    <n v="3"/>
    <n v="2376"/>
    <n v="661446"/>
    <n v="278.38636363636363"/>
  </r>
  <r>
    <x v="7"/>
    <s v="Sep"/>
    <x v="4"/>
    <s v="817 Oak St"/>
    <x v="4"/>
    <x v="2"/>
    <n v="3"/>
    <n v="2765"/>
    <n v="479403"/>
    <n v="173.38264014466546"/>
  </r>
  <r>
    <x v="8"/>
    <s v="Jan"/>
    <x v="6"/>
    <s v="101 Oak St"/>
    <x v="2"/>
    <x v="3"/>
    <n v="5"/>
    <n v="2051"/>
    <n v="291284"/>
    <n v="142.02047781569965"/>
  </r>
  <r>
    <x v="9"/>
    <s v="Aug"/>
    <x v="3"/>
    <s v="674 Elm St"/>
    <x v="5"/>
    <x v="0"/>
    <m/>
    <n v="1354"/>
    <n v="835777"/>
    <n v="617.26514032496311"/>
  </r>
  <r>
    <x v="10"/>
    <s v="Sep"/>
    <x v="7"/>
    <s v="580 Main St"/>
    <x v="1"/>
    <x v="3"/>
    <n v="2"/>
    <n v="1033"/>
    <n v="687709"/>
    <n v="665.73959341723139"/>
  </r>
  <r>
    <x v="11"/>
    <s v="Dec"/>
    <x v="8"/>
    <s v="158 Maple Ave"/>
    <x v="6"/>
    <x v="0"/>
    <m/>
    <n v="3210"/>
    <n v="771659"/>
    <n v="240.39221183800623"/>
  </r>
  <r>
    <x v="12"/>
    <s v="Jan"/>
    <x v="9"/>
    <s v="794 Pine Rd"/>
    <x v="4"/>
    <x v="2"/>
    <n v="5"/>
    <n v="3160"/>
    <n v="835846"/>
    <n v="264.50822784810128"/>
  </r>
  <r>
    <x v="13"/>
    <s v="May"/>
    <x v="6"/>
    <s v="287 Oak St"/>
    <x v="6"/>
    <x v="3"/>
    <m/>
    <n v="1423"/>
    <n v="131127"/>
    <n v="92.148278285312713"/>
  </r>
  <r>
    <x v="14"/>
    <s v="Sep"/>
    <x v="7"/>
    <s v="523 Oak St"/>
    <x v="5"/>
    <x v="3"/>
    <n v="5"/>
    <n v="1958"/>
    <n v="892241"/>
    <n v="455.68998978549541"/>
  </r>
  <r>
    <x v="15"/>
    <s v="Nov"/>
    <x v="1"/>
    <s v="121 Oak St"/>
    <x v="4"/>
    <x v="2"/>
    <n v="4"/>
    <n v="3240"/>
    <n v="119911"/>
    <n v="37.009567901234568"/>
  </r>
  <r>
    <x v="16"/>
    <s v="Mar"/>
    <x v="2"/>
    <s v="774 Main St"/>
    <x v="5"/>
    <x v="3"/>
    <n v="4"/>
    <n v="1356"/>
    <n v="813626"/>
    <n v="600.0191740412979"/>
  </r>
  <r>
    <x v="17"/>
    <s v="Aug"/>
    <x v="1"/>
    <s v="479 Pine Rd"/>
    <x v="1"/>
    <x v="1"/>
    <m/>
    <n v="2101"/>
    <n v="180289"/>
    <n v="85.811042360780576"/>
  </r>
  <r>
    <x v="18"/>
    <s v="Aug"/>
    <x v="10"/>
    <s v="473 Oak St"/>
    <x v="4"/>
    <x v="2"/>
    <n v="3"/>
    <n v="1602"/>
    <n v="239725"/>
    <n v="149.64107365792759"/>
  </r>
  <r>
    <x v="19"/>
    <s v="Apr"/>
    <x v="11"/>
    <s v="871 Pine Rd"/>
    <x v="6"/>
    <x v="2"/>
    <m/>
    <n v="2286"/>
    <n v="462030"/>
    <n v="202.11286089238845"/>
  </r>
  <r>
    <x v="20"/>
    <s v="Apr"/>
    <x v="8"/>
    <s v="994 Main St"/>
    <x v="4"/>
    <x v="2"/>
    <m/>
    <n v="1822"/>
    <n v="286247"/>
    <n v="157.10592755214051"/>
  </r>
  <r>
    <x v="21"/>
    <s v="Apr"/>
    <x v="10"/>
    <s v="512 Elm St"/>
    <x v="3"/>
    <x v="3"/>
    <n v="3"/>
    <n v="1269"/>
    <n v="597788"/>
    <n v="471.070133963751"/>
  </r>
  <r>
    <x v="22"/>
    <s v="Nov"/>
    <x v="1"/>
    <s v="273 Main St"/>
    <x v="0"/>
    <x v="0"/>
    <n v="3"/>
    <n v="1012"/>
    <n v="313143"/>
    <n v="309.42984189723319"/>
  </r>
  <r>
    <x v="23"/>
    <s v="Aug"/>
    <x v="12"/>
    <s v="429 Oak St"/>
    <x v="0"/>
    <x v="0"/>
    <n v="2"/>
    <n v="3391"/>
    <n v="378029"/>
    <n v="111.48009436744323"/>
  </r>
  <r>
    <x v="24"/>
    <s v="Feb"/>
    <x v="13"/>
    <s v="970 Pine Rd"/>
    <x v="5"/>
    <x v="1"/>
    <n v="2"/>
    <n v="2229"/>
    <n v="513043"/>
    <n v="230.16733961417677"/>
  </r>
  <r>
    <x v="25"/>
    <s v="Oct"/>
    <x v="8"/>
    <s v="719 Elm St"/>
    <x v="3"/>
    <x v="1"/>
    <n v="3"/>
    <n v="1485"/>
    <n v="737040"/>
    <n v="496.32323232323233"/>
  </r>
  <r>
    <x v="26"/>
    <s v="Sep"/>
    <x v="14"/>
    <s v="805 Main St"/>
    <x v="4"/>
    <x v="2"/>
    <n v="3"/>
    <n v="1628"/>
    <n v="762843"/>
    <n v="468.57678132678132"/>
  </r>
  <r>
    <x v="27"/>
    <s v="May"/>
    <x v="13"/>
    <s v="847 Elm St"/>
    <x v="0"/>
    <x v="0"/>
    <m/>
    <n v="1225"/>
    <n v="268402"/>
    <n v="219.10367346938776"/>
  </r>
  <r>
    <x v="28"/>
    <s v="Apr"/>
    <x v="0"/>
    <s v="820 Pine Rd"/>
    <x v="3"/>
    <x v="2"/>
    <m/>
    <n v="1940"/>
    <n v="601174"/>
    <n v="309.88350515463918"/>
  </r>
  <r>
    <x v="29"/>
    <s v="Oct"/>
    <x v="14"/>
    <s v="211 Maple Ave"/>
    <x v="6"/>
    <x v="0"/>
    <n v="4"/>
    <n v="2647"/>
    <n v="561582"/>
    <n v="212.1579146203249"/>
  </r>
  <r>
    <x v="30"/>
    <s v="May"/>
    <x v="7"/>
    <s v="337 Elm St"/>
    <x v="0"/>
    <x v="3"/>
    <n v="2"/>
    <n v="2622"/>
    <n v="727671"/>
    <n v="277.52517162471395"/>
  </r>
  <r>
    <x v="31"/>
    <s v="Dec"/>
    <x v="7"/>
    <s v="796 Pine Rd"/>
    <x v="0"/>
    <x v="2"/>
    <n v="4"/>
    <n v="3151"/>
    <n v="757685"/>
    <n v="240.45858457632497"/>
  </r>
  <r>
    <x v="32"/>
    <s v="Aug"/>
    <x v="3"/>
    <s v="819 Main St"/>
    <x v="3"/>
    <x v="3"/>
    <m/>
    <n v="2141"/>
    <n v="897938"/>
    <n v="419.40121438580104"/>
  </r>
  <r>
    <x v="33"/>
    <s v="May"/>
    <x v="15"/>
    <s v="581 Oak St"/>
    <x v="2"/>
    <x v="2"/>
    <m/>
    <n v="1044"/>
    <n v="297981"/>
    <n v="285.42241379310343"/>
  </r>
  <r>
    <x v="34"/>
    <s v="Mar"/>
    <x v="11"/>
    <s v="744 Maple Ave"/>
    <x v="6"/>
    <x v="2"/>
    <n v="2"/>
    <n v="1525"/>
    <n v="227723"/>
    <n v="149.32655737704917"/>
  </r>
  <r>
    <x v="35"/>
    <s v="May"/>
    <x v="12"/>
    <s v="953 Pine Rd"/>
    <x v="6"/>
    <x v="0"/>
    <n v="2"/>
    <n v="945"/>
    <n v="545376"/>
    <n v="577.11746031746031"/>
  </r>
  <r>
    <x v="36"/>
    <s v="Sep"/>
    <x v="6"/>
    <s v="698 Pine Rd"/>
    <x v="4"/>
    <x v="0"/>
    <n v="5"/>
    <n v="2768"/>
    <n v="224301"/>
    <n v="81.033598265895961"/>
  </r>
  <r>
    <x v="37"/>
    <s v="Jul"/>
    <x v="16"/>
    <s v="689 Pine Rd"/>
    <x v="4"/>
    <x v="3"/>
    <n v="3"/>
    <n v="2863"/>
    <n v="626032"/>
    <n v="218.66294097100942"/>
  </r>
  <r>
    <x v="38"/>
    <s v="Dec"/>
    <x v="17"/>
    <s v="844 Elm St"/>
    <x v="1"/>
    <x v="3"/>
    <n v="5"/>
    <n v="819"/>
    <n v="517460"/>
    <n v="631.81929181929183"/>
  </r>
  <r>
    <x v="39"/>
    <s v="Jan"/>
    <x v="2"/>
    <s v="703 Elm St"/>
    <x v="0"/>
    <x v="2"/>
    <n v="3"/>
    <n v="1727"/>
    <n v="716626"/>
    <n v="414.95425593514767"/>
  </r>
  <r>
    <x v="40"/>
    <s v="Nov"/>
    <x v="4"/>
    <s v="130 Main St"/>
    <x v="6"/>
    <x v="0"/>
    <n v="2"/>
    <n v="1406"/>
    <n v="199637"/>
    <n v="141.98933143669987"/>
  </r>
  <r>
    <x v="41"/>
    <s v="Oct"/>
    <x v="0"/>
    <s v="102 Main St"/>
    <x v="2"/>
    <x v="0"/>
    <n v="5"/>
    <n v="2134"/>
    <n v="673308"/>
    <n v="315.514526710403"/>
  </r>
  <r>
    <x v="42"/>
    <s v="Aug"/>
    <x v="7"/>
    <s v="384 Oak St"/>
    <x v="0"/>
    <x v="0"/>
    <n v="5"/>
    <n v="3365"/>
    <n v="846165"/>
    <n v="251.46062407132243"/>
  </r>
  <r>
    <x v="43"/>
    <s v="Jul"/>
    <x v="10"/>
    <s v="412 Pine Rd"/>
    <x v="5"/>
    <x v="0"/>
    <n v="5"/>
    <n v="1503"/>
    <n v="258341"/>
    <n v="171.88356620093148"/>
  </r>
  <r>
    <x v="44"/>
    <s v="Sep"/>
    <x v="3"/>
    <s v="884 Maple Ave"/>
    <x v="0"/>
    <x v="2"/>
    <n v="2"/>
    <n v="863"/>
    <n v="349039"/>
    <n v="404.44843568945538"/>
  </r>
  <r>
    <x v="45"/>
    <s v="Dec"/>
    <x v="2"/>
    <s v="344 Pine Rd"/>
    <x v="0"/>
    <x v="1"/>
    <n v="2"/>
    <n v="2327"/>
    <n v="780919"/>
    <n v="335.5904598195101"/>
  </r>
  <r>
    <x v="46"/>
    <s v="Dec"/>
    <x v="5"/>
    <s v="957 Oak St"/>
    <x v="6"/>
    <x v="1"/>
    <n v="5"/>
    <n v="2774"/>
    <n v="287883"/>
    <n v="103.77901946647441"/>
  </r>
  <r>
    <x v="47"/>
    <s v="Jul"/>
    <x v="7"/>
    <s v="265 Pine Rd"/>
    <x v="6"/>
    <x v="3"/>
    <n v="5"/>
    <n v="2499"/>
    <n v="105090"/>
    <n v="42.052821128451377"/>
  </r>
  <r>
    <x v="48"/>
    <s v="Jan"/>
    <x v="18"/>
    <s v="548 Maple Ave"/>
    <x v="1"/>
    <x v="0"/>
    <m/>
    <n v="1399"/>
    <n v="869448"/>
    <n v="621.47819871336674"/>
  </r>
  <r>
    <x v="49"/>
    <s v="Nov"/>
    <x v="6"/>
    <s v="371 Main St"/>
    <x v="2"/>
    <x v="0"/>
    <n v="5"/>
    <n v="2387"/>
    <n v="131429"/>
    <n v="55.060326770004188"/>
  </r>
  <r>
    <x v="50"/>
    <s v="Nov"/>
    <x v="12"/>
    <s v="873 Pine Rd"/>
    <x v="5"/>
    <x v="1"/>
    <m/>
    <n v="3334"/>
    <n v="783804"/>
    <n v="235.09418116376725"/>
  </r>
  <r>
    <x v="51"/>
    <s v="Jan"/>
    <x v="7"/>
    <s v="249 Oak St"/>
    <x v="1"/>
    <x v="0"/>
    <m/>
    <n v="2519"/>
    <n v="522655"/>
    <n v="207.48511314013498"/>
  </r>
  <r>
    <x v="52"/>
    <s v="Sep"/>
    <x v="1"/>
    <s v="888 Main St"/>
    <x v="4"/>
    <x v="2"/>
    <m/>
    <n v="2897"/>
    <n v="799919"/>
    <n v="276.11977908180876"/>
  </r>
  <r>
    <x v="53"/>
    <s v="Dec"/>
    <x v="15"/>
    <s v="807 Main St"/>
    <x v="1"/>
    <x v="1"/>
    <n v="2"/>
    <n v="3243"/>
    <n v="266365"/>
    <n v="82.135368485969778"/>
  </r>
  <r>
    <x v="54"/>
    <s v="Apr"/>
    <x v="13"/>
    <s v="412 Maple Ave"/>
    <x v="6"/>
    <x v="1"/>
    <m/>
    <n v="3362"/>
    <n v="280028"/>
    <n v="83.292088042831651"/>
  </r>
  <r>
    <x v="55"/>
    <s v="Jan"/>
    <x v="14"/>
    <s v="236 Elm St"/>
    <x v="5"/>
    <x v="0"/>
    <n v="4"/>
    <n v="2141"/>
    <n v="828236"/>
    <n v="386.84539934609995"/>
  </r>
  <r>
    <x v="56"/>
    <s v="Apr"/>
    <x v="17"/>
    <s v="244 Main St"/>
    <x v="0"/>
    <x v="1"/>
    <m/>
    <n v="1999"/>
    <n v="246822"/>
    <n v="123.47273636818409"/>
  </r>
  <r>
    <x v="57"/>
    <s v="Nov"/>
    <x v="8"/>
    <s v="835 Pine Rd"/>
    <x v="5"/>
    <x v="1"/>
    <m/>
    <n v="2032"/>
    <n v="539604"/>
    <n v="265.5531496062992"/>
  </r>
  <r>
    <x v="58"/>
    <s v="Oct"/>
    <x v="12"/>
    <s v="989 Pine Rd"/>
    <x v="6"/>
    <x v="3"/>
    <m/>
    <n v="1604"/>
    <n v="447795"/>
    <n v="279.17394014962593"/>
  </r>
  <r>
    <x v="59"/>
    <s v="Aug"/>
    <x v="6"/>
    <s v="517 Maple Ave"/>
    <x v="0"/>
    <x v="0"/>
    <n v="4"/>
    <n v="1328"/>
    <n v="363522"/>
    <n v="273.73644578313252"/>
  </r>
  <r>
    <x v="60"/>
    <s v="Dec"/>
    <x v="7"/>
    <s v="993 Oak St"/>
    <x v="6"/>
    <x v="3"/>
    <m/>
    <n v="2531"/>
    <n v="275522"/>
    <n v="108.85894903200317"/>
  </r>
  <r>
    <x v="61"/>
    <s v="Oct"/>
    <x v="18"/>
    <s v="389 Maple Ave"/>
    <x v="3"/>
    <x v="0"/>
    <n v="3"/>
    <n v="3029"/>
    <m/>
    <n v="0"/>
  </r>
  <r>
    <x v="62"/>
    <s v="Oct"/>
    <x v="6"/>
    <s v="353 Pine Rd"/>
    <x v="4"/>
    <x v="1"/>
    <n v="3"/>
    <n v="3239"/>
    <n v="703521"/>
    <n v="217.2031491200988"/>
  </r>
  <r>
    <x v="63"/>
    <s v="Jul"/>
    <x v="14"/>
    <s v="920 Oak St"/>
    <x v="3"/>
    <x v="2"/>
    <n v="5"/>
    <n v="1679"/>
    <n v="766245"/>
    <n v="456.36986301369865"/>
  </r>
  <r>
    <x v="64"/>
    <s v="Dec"/>
    <x v="17"/>
    <s v="933 Maple Ave"/>
    <x v="4"/>
    <x v="3"/>
    <m/>
    <n v="1469"/>
    <n v="599872"/>
    <n v="408.35398230088498"/>
  </r>
  <r>
    <x v="65"/>
    <s v="Oct"/>
    <x v="5"/>
    <s v="236 Main St"/>
    <x v="6"/>
    <x v="0"/>
    <n v="4"/>
    <n v="1011"/>
    <n v="611089"/>
    <n v="604.44015825914937"/>
  </r>
  <r>
    <x v="66"/>
    <s v="Dec"/>
    <x v="11"/>
    <s v="111 Elm St"/>
    <x v="0"/>
    <x v="0"/>
    <n v="4"/>
    <n v="1594"/>
    <n v="312892"/>
    <n v="196.29360100376411"/>
  </r>
  <r>
    <x v="67"/>
    <s v="Oct"/>
    <x v="8"/>
    <s v="631 Maple Ave"/>
    <x v="0"/>
    <x v="3"/>
    <n v="4"/>
    <n v="2853"/>
    <n v="721322"/>
    <n v="252.82930248860848"/>
  </r>
  <r>
    <x v="68"/>
    <s v="Nov"/>
    <x v="19"/>
    <s v="503 Main St"/>
    <x v="0"/>
    <x v="1"/>
    <m/>
    <n v="2374"/>
    <n v="839201"/>
    <n v="353.49663016006741"/>
  </r>
  <r>
    <x v="69"/>
    <s v="May"/>
    <x v="12"/>
    <s v="465 Oak St"/>
    <x v="6"/>
    <x v="1"/>
    <n v="2"/>
    <n v="2316"/>
    <n v="886897"/>
    <n v="382.94343696027636"/>
  </r>
  <r>
    <x v="70"/>
    <s v="Dec"/>
    <x v="2"/>
    <s v="941 Pine Rd"/>
    <x v="6"/>
    <x v="0"/>
    <m/>
    <n v="3311"/>
    <n v="247821"/>
    <n v="74.847780126849898"/>
  </r>
  <r>
    <x v="71"/>
    <s v="Feb"/>
    <x v="19"/>
    <s v="717 Main St"/>
    <x v="6"/>
    <x v="2"/>
    <m/>
    <n v="2396"/>
    <n v="286546"/>
    <n v="119.59348914858097"/>
  </r>
  <r>
    <x v="72"/>
    <s v="May"/>
    <x v="18"/>
    <s v="113 Elm St"/>
    <x v="1"/>
    <x v="0"/>
    <m/>
    <n v="2011"/>
    <n v="821202"/>
    <n v="408.35504724017903"/>
  </r>
  <r>
    <x v="73"/>
    <s v="May"/>
    <x v="0"/>
    <s v="255 Pine Rd"/>
    <x v="0"/>
    <x v="0"/>
    <n v="5"/>
    <n v="2862"/>
    <n v="210432"/>
    <n v="73.526205450733755"/>
  </r>
  <r>
    <x v="74"/>
    <s v="Nov"/>
    <x v="12"/>
    <s v="816 Oak St"/>
    <x v="6"/>
    <x v="2"/>
    <n v="5"/>
    <n v="1750"/>
    <n v="106017"/>
    <n v="60.581142857142858"/>
  </r>
  <r>
    <x v="75"/>
    <s v="Nov"/>
    <x v="9"/>
    <s v="726 Main St"/>
    <x v="5"/>
    <x v="1"/>
    <m/>
    <n v="1647"/>
    <n v="160498"/>
    <n v="97.448694596235583"/>
  </r>
  <r>
    <x v="76"/>
    <s v="Aug"/>
    <x v="0"/>
    <s v="759 Elm St"/>
    <x v="0"/>
    <x v="2"/>
    <n v="2"/>
    <n v="1657"/>
    <n v="116180"/>
    <n v="70.11466505733253"/>
  </r>
  <r>
    <x v="77"/>
    <s v="Oct"/>
    <x v="10"/>
    <s v="711 Pine Rd"/>
    <x v="6"/>
    <x v="3"/>
    <n v="2"/>
    <n v="3421"/>
    <n v="384687"/>
    <n v="112.44869921075708"/>
  </r>
  <r>
    <x v="78"/>
    <s v="Apr"/>
    <x v="8"/>
    <s v="644 Pine Rd"/>
    <x v="5"/>
    <x v="2"/>
    <m/>
    <n v="2892"/>
    <n v="221751"/>
    <n v="76.677385892116178"/>
  </r>
  <r>
    <x v="79"/>
    <s v="Oct"/>
    <x v="13"/>
    <s v="706 Oak St"/>
    <x v="0"/>
    <x v="3"/>
    <n v="5"/>
    <n v="3008"/>
    <n v="580922"/>
    <n v="193.12566489361703"/>
  </r>
  <r>
    <x v="80"/>
    <s v="May"/>
    <x v="6"/>
    <s v="643 Main St"/>
    <x v="2"/>
    <x v="0"/>
    <n v="3"/>
    <n v="2914"/>
    <n v="851999"/>
    <n v="292.38126286890872"/>
  </r>
  <r>
    <x v="81"/>
    <s v="Feb"/>
    <x v="8"/>
    <s v="106 Oak St"/>
    <x v="3"/>
    <x v="1"/>
    <m/>
    <n v="2016"/>
    <n v="442395"/>
    <n v="219.44196428571428"/>
  </r>
  <r>
    <x v="82"/>
    <s v="Aug"/>
    <x v="3"/>
    <s v="258 Pine Rd"/>
    <x v="5"/>
    <x v="3"/>
    <m/>
    <n v="1653"/>
    <n v="820295"/>
    <n v="496.24621899576528"/>
  </r>
  <r>
    <x v="83"/>
    <s v="Dec"/>
    <x v="18"/>
    <s v="440 Oak St"/>
    <x v="2"/>
    <x v="0"/>
    <n v="4"/>
    <n v="2204"/>
    <n v="631878"/>
    <n v="286.69600725952813"/>
  </r>
  <r>
    <x v="84"/>
    <s v="Nov"/>
    <x v="11"/>
    <s v="629 Maple Ave"/>
    <x v="0"/>
    <x v="3"/>
    <n v="5"/>
    <n v="1144"/>
    <n v="148913"/>
    <n v="130.16870629370629"/>
  </r>
  <r>
    <x v="85"/>
    <s v="Jan"/>
    <x v="10"/>
    <s v="839 Elm St"/>
    <x v="4"/>
    <x v="2"/>
    <n v="2"/>
    <n v="1519"/>
    <n v="727978"/>
    <n v="479.24818959842003"/>
  </r>
  <r>
    <x v="86"/>
    <s v="May"/>
    <x v="6"/>
    <s v="232 Oak St"/>
    <x v="0"/>
    <x v="0"/>
    <n v="5"/>
    <n v="2904"/>
    <n v="327564"/>
    <n v="112.79752066115702"/>
  </r>
  <r>
    <x v="87"/>
    <s v="Jan"/>
    <x v="8"/>
    <s v="379 Main St"/>
    <x v="3"/>
    <x v="0"/>
    <n v="4"/>
    <n v="2036"/>
    <m/>
    <n v="0"/>
  </r>
  <r>
    <x v="88"/>
    <s v="Dec"/>
    <x v="13"/>
    <s v="809 Oak St"/>
    <x v="4"/>
    <x v="1"/>
    <n v="5"/>
    <n v="1621"/>
    <n v="763460"/>
    <n v="470.9808760024676"/>
  </r>
  <r>
    <x v="89"/>
    <s v="Mar"/>
    <x v="10"/>
    <s v="522 Oak St"/>
    <x v="1"/>
    <x v="0"/>
    <n v="5"/>
    <n v="1875"/>
    <n v="663124"/>
    <n v="353.66613333333333"/>
  </r>
  <r>
    <x v="90"/>
    <s v="Jan"/>
    <x v="10"/>
    <s v="734 Main St"/>
    <x v="3"/>
    <x v="2"/>
    <n v="5"/>
    <n v="1054"/>
    <n v="895009"/>
    <n v="849.15464895635671"/>
  </r>
  <r>
    <x v="91"/>
    <s v="Apr"/>
    <x v="14"/>
    <s v="366 Pine Rd"/>
    <x v="3"/>
    <x v="1"/>
    <n v="4"/>
    <n v="1891"/>
    <n v="768907"/>
    <n v="406.61396086726597"/>
  </r>
  <r>
    <x v="92"/>
    <s v="Jan"/>
    <x v="15"/>
    <s v="484 Main St"/>
    <x v="3"/>
    <x v="2"/>
    <n v="3"/>
    <n v="3412"/>
    <n v="775619"/>
    <n v="227.32092614302462"/>
  </r>
  <r>
    <x v="93"/>
    <s v="Jul"/>
    <x v="6"/>
    <s v="882 Elm St"/>
    <x v="6"/>
    <x v="2"/>
    <n v="3"/>
    <n v="2501"/>
    <n v="442404"/>
    <n v="176.89084366253499"/>
  </r>
  <r>
    <x v="94"/>
    <s v="Feb"/>
    <x v="10"/>
    <s v="558 Oak St"/>
    <x v="1"/>
    <x v="0"/>
    <m/>
    <n v="2890"/>
    <n v="307015"/>
    <n v="106.23356401384083"/>
  </r>
  <r>
    <x v="95"/>
    <s v="Jun"/>
    <x v="1"/>
    <s v="718 Maple Ave"/>
    <x v="3"/>
    <x v="1"/>
    <n v="2"/>
    <n v="2621"/>
    <n v="849180"/>
    <n v="323.9908431896223"/>
  </r>
  <r>
    <x v="96"/>
    <s v="Jan"/>
    <x v="4"/>
    <s v="206 Maple Ave"/>
    <x v="6"/>
    <x v="2"/>
    <m/>
    <n v="1179"/>
    <n v="610044"/>
    <n v="517.42493638676842"/>
  </r>
  <r>
    <x v="97"/>
    <s v="Nov"/>
    <x v="1"/>
    <s v="569 Main St"/>
    <x v="0"/>
    <x v="3"/>
    <n v="2"/>
    <n v="2362"/>
    <n v="880760"/>
    <n v="372.88738357324303"/>
  </r>
  <r>
    <x v="98"/>
    <s v="Aug"/>
    <x v="7"/>
    <s v="639 Elm St"/>
    <x v="4"/>
    <x v="1"/>
    <m/>
    <n v="3147"/>
    <n v="802848"/>
    <n v="255.11534795042897"/>
  </r>
  <r>
    <x v="99"/>
    <s v="Dec"/>
    <x v="15"/>
    <s v="613 Oak St"/>
    <x v="6"/>
    <x v="0"/>
    <n v="2"/>
    <n v="2294"/>
    <n v="494381"/>
    <n v="215.51046207497819"/>
  </r>
  <r>
    <x v="100"/>
    <s v="Jan"/>
    <x v="1"/>
    <s v="167 Oak St"/>
    <x v="0"/>
    <x v="3"/>
    <n v="4"/>
    <n v="2141"/>
    <n v="183407"/>
    <n v="85.664175618869692"/>
  </r>
  <r>
    <x v="101"/>
    <s v="Jul"/>
    <x v="2"/>
    <s v="608 Maple Ave"/>
    <x v="6"/>
    <x v="1"/>
    <m/>
    <n v="988"/>
    <n v="257902"/>
    <n v="261.0344129554656"/>
  </r>
  <r>
    <x v="102"/>
    <s v="Jul"/>
    <x v="2"/>
    <s v="582 Pine Rd"/>
    <x v="5"/>
    <x v="1"/>
    <n v="2"/>
    <n v="2591"/>
    <n v="876255"/>
    <n v="338.19181783095331"/>
  </r>
  <r>
    <x v="103"/>
    <s v="Nov"/>
    <x v="9"/>
    <s v="229 Oak St"/>
    <x v="4"/>
    <x v="3"/>
    <n v="4"/>
    <n v="1681"/>
    <n v="673743"/>
    <n v="400.79892920880428"/>
  </r>
  <r>
    <x v="104"/>
    <s v="Oct"/>
    <x v="17"/>
    <s v="699 Maple Ave"/>
    <x v="0"/>
    <x v="1"/>
    <m/>
    <n v="1043"/>
    <n v="235165"/>
    <n v="225.46979865771812"/>
  </r>
  <r>
    <x v="105"/>
    <s v="Feb"/>
    <x v="1"/>
    <s v="666 Elm St"/>
    <x v="2"/>
    <x v="2"/>
    <m/>
    <n v="1167"/>
    <n v="342243"/>
    <n v="293.26735218508998"/>
  </r>
  <r>
    <x v="106"/>
    <s v="Aug"/>
    <x v="13"/>
    <s v="884 Maple Ave"/>
    <x v="4"/>
    <x v="2"/>
    <m/>
    <n v="1219"/>
    <n v="543668"/>
    <n v="445.99507793273176"/>
  </r>
  <r>
    <x v="107"/>
    <s v="Mar"/>
    <x v="18"/>
    <s v="619 Oak St"/>
    <x v="5"/>
    <x v="3"/>
    <m/>
    <n v="2877"/>
    <n v="135927"/>
    <n v="47.246089676746614"/>
  </r>
  <r>
    <x v="108"/>
    <s v="Sep"/>
    <x v="15"/>
    <s v="747 Elm St"/>
    <x v="4"/>
    <x v="2"/>
    <n v="3"/>
    <n v="2364"/>
    <n v="192049"/>
    <n v="81.239001692047381"/>
  </r>
  <r>
    <x v="109"/>
    <s v="Oct"/>
    <x v="5"/>
    <s v="525 Pine Rd"/>
    <x v="6"/>
    <x v="3"/>
    <n v="2"/>
    <n v="1766"/>
    <n v="561209"/>
    <n v="317.78539071347677"/>
  </r>
  <r>
    <x v="110"/>
    <s v="Nov"/>
    <x v="0"/>
    <s v="575 Maple Ave"/>
    <x v="2"/>
    <x v="2"/>
    <n v="2"/>
    <n v="1930"/>
    <n v="771098"/>
    <n v="399.53264248704664"/>
  </r>
  <r>
    <x v="111"/>
    <s v="Oct"/>
    <x v="1"/>
    <s v="829 Pine Rd"/>
    <x v="6"/>
    <x v="3"/>
    <m/>
    <n v="875"/>
    <n v="887812"/>
    <n v="1014.6422857142857"/>
  </r>
  <r>
    <x v="112"/>
    <s v="Nov"/>
    <x v="8"/>
    <s v="759 Pine Rd"/>
    <x v="4"/>
    <x v="0"/>
    <n v="3"/>
    <n v="1931"/>
    <n v="367949"/>
    <n v="190.54842050750906"/>
  </r>
  <r>
    <x v="113"/>
    <s v="Jun"/>
    <x v="9"/>
    <s v="359 Pine Rd"/>
    <x v="2"/>
    <x v="0"/>
    <m/>
    <n v="1615"/>
    <n v="730436"/>
    <n v="452.2823529411765"/>
  </r>
  <r>
    <x v="114"/>
    <s v="Apr"/>
    <x v="11"/>
    <s v="541 Main St"/>
    <x v="5"/>
    <x v="0"/>
    <m/>
    <n v="1132"/>
    <n v="517844"/>
    <n v="457.45936395759719"/>
  </r>
  <r>
    <x v="115"/>
    <s v="Feb"/>
    <x v="0"/>
    <s v="688 Oak St"/>
    <x v="1"/>
    <x v="3"/>
    <m/>
    <n v="3282"/>
    <n v="175120"/>
    <n v="53.357708714198658"/>
  </r>
  <r>
    <x v="116"/>
    <s v="Jan"/>
    <x v="13"/>
    <s v="454 Oak St"/>
    <x v="2"/>
    <x v="0"/>
    <m/>
    <n v="1780"/>
    <n v="563761"/>
    <n v="316.71966292134829"/>
  </r>
  <r>
    <x v="117"/>
    <s v="Dec"/>
    <x v="11"/>
    <s v="473 Oak St"/>
    <x v="6"/>
    <x v="1"/>
    <n v="4"/>
    <n v="828"/>
    <n v="152102"/>
    <n v="183.69806763285024"/>
  </r>
  <r>
    <x v="118"/>
    <s v="Aug"/>
    <x v="7"/>
    <s v="581 Pine Rd"/>
    <x v="6"/>
    <x v="2"/>
    <n v="2"/>
    <n v="3484"/>
    <n v="782956"/>
    <n v="224.72904707233064"/>
  </r>
  <r>
    <x v="119"/>
    <s v="Jul"/>
    <x v="3"/>
    <s v="626 Pine Rd"/>
    <x v="1"/>
    <x v="3"/>
    <m/>
    <n v="969"/>
    <n v="556782"/>
    <n v="574.59442724458199"/>
  </r>
  <r>
    <x v="120"/>
    <s v="Feb"/>
    <x v="19"/>
    <s v="163 Pine Rd"/>
    <x v="0"/>
    <x v="2"/>
    <m/>
    <n v="2782"/>
    <n v="200107"/>
    <n v="71.929187634795113"/>
  </r>
  <r>
    <x v="121"/>
    <s v="Apr"/>
    <x v="17"/>
    <s v="395 Elm St"/>
    <x v="0"/>
    <x v="0"/>
    <m/>
    <n v="2488"/>
    <n v="732664"/>
    <n v="294.47909967845658"/>
  </r>
  <r>
    <x v="122"/>
    <s v="Dec"/>
    <x v="3"/>
    <s v="348 Elm St"/>
    <x v="0"/>
    <x v="2"/>
    <m/>
    <n v="849"/>
    <n v="475545"/>
    <n v="560.12367491166083"/>
  </r>
  <r>
    <x v="123"/>
    <s v="Jul"/>
    <x v="0"/>
    <s v="944 Elm St"/>
    <x v="6"/>
    <x v="3"/>
    <m/>
    <n v="1185"/>
    <n v="247284"/>
    <n v="208.67848101265824"/>
  </r>
  <r>
    <x v="124"/>
    <s v="Jan"/>
    <x v="11"/>
    <s v="871 Pine Rd"/>
    <x v="0"/>
    <x v="2"/>
    <n v="5"/>
    <n v="3372"/>
    <n v="161897"/>
    <n v="48.012158956109133"/>
  </r>
  <r>
    <x v="125"/>
    <s v="Feb"/>
    <x v="6"/>
    <s v="407 Pine Rd"/>
    <x v="3"/>
    <x v="1"/>
    <m/>
    <n v="2609"/>
    <n v="185169"/>
    <n v="70.973169796857036"/>
  </r>
  <r>
    <x v="126"/>
    <s v="Jul"/>
    <x v="11"/>
    <s v="979 Elm St"/>
    <x v="0"/>
    <x v="2"/>
    <n v="2"/>
    <n v="1271"/>
    <m/>
    <n v="0"/>
  </r>
  <r>
    <x v="127"/>
    <s v="Oct"/>
    <x v="17"/>
    <s v="922 Maple Ave"/>
    <x v="3"/>
    <x v="1"/>
    <n v="3"/>
    <n v="2993"/>
    <n v="760657"/>
    <n v="254.14533912462412"/>
  </r>
  <r>
    <x v="96"/>
    <s v="Jan"/>
    <x v="4"/>
    <s v="108 Oak St"/>
    <x v="5"/>
    <x v="3"/>
    <m/>
    <n v="1175"/>
    <n v="698291"/>
    <n v="594.29021276595745"/>
  </r>
  <r>
    <x v="128"/>
    <s v="Nov"/>
    <x v="0"/>
    <s v="499 Maple Ave"/>
    <x v="3"/>
    <x v="1"/>
    <m/>
    <n v="1565"/>
    <n v="505482"/>
    <n v="322.99169329073482"/>
  </r>
  <r>
    <x v="129"/>
    <s v="Apr"/>
    <x v="12"/>
    <s v="409 Pine Rd"/>
    <x v="0"/>
    <x v="1"/>
    <n v="2"/>
    <n v="1730"/>
    <n v="741345"/>
    <n v="428.52312138728325"/>
  </r>
  <r>
    <x v="130"/>
    <s v="Jul"/>
    <x v="14"/>
    <s v="264 Oak St"/>
    <x v="4"/>
    <x v="1"/>
    <m/>
    <n v="1206"/>
    <n v="699985"/>
    <n v="580.41873963515752"/>
  </r>
  <r>
    <x v="131"/>
    <s v="Oct"/>
    <x v="8"/>
    <s v="448 Main St"/>
    <x v="0"/>
    <x v="0"/>
    <n v="5"/>
    <n v="2254"/>
    <n v="899085"/>
    <n v="398.88420585625556"/>
  </r>
  <r>
    <x v="132"/>
    <s v="Dec"/>
    <x v="7"/>
    <s v="372 Main St"/>
    <x v="4"/>
    <x v="2"/>
    <n v="3"/>
    <n v="915"/>
    <n v="570654"/>
    <n v="623.66557377049185"/>
  </r>
  <r>
    <x v="133"/>
    <s v="Aug"/>
    <x v="9"/>
    <s v="360 Oak St"/>
    <x v="0"/>
    <x v="3"/>
    <m/>
    <n v="3014"/>
    <n v="764598"/>
    <n v="253.6821499668215"/>
  </r>
  <r>
    <x v="134"/>
    <s v="Sep"/>
    <x v="1"/>
    <s v="433 Pine Rd"/>
    <x v="0"/>
    <x v="1"/>
    <n v="3"/>
    <n v="1203"/>
    <n v="850909"/>
    <n v="707.32252701579387"/>
  </r>
  <r>
    <x v="135"/>
    <s v="Jun"/>
    <x v="12"/>
    <s v="172 Oak St"/>
    <x v="1"/>
    <x v="1"/>
    <n v="2"/>
    <n v="2132"/>
    <n v="253128"/>
    <n v="118.72795497185741"/>
  </r>
  <r>
    <x v="136"/>
    <s v="Jan"/>
    <x v="8"/>
    <s v="270 Main St"/>
    <x v="4"/>
    <x v="3"/>
    <m/>
    <n v="3139"/>
    <n v="712451"/>
    <n v="226.96750557502389"/>
  </r>
  <r>
    <x v="137"/>
    <s v="Nov"/>
    <x v="5"/>
    <s v="855 Main St"/>
    <x v="5"/>
    <x v="0"/>
    <n v="4"/>
    <n v="909"/>
    <m/>
    <n v="0"/>
  </r>
  <r>
    <x v="138"/>
    <s v="Mar"/>
    <x v="3"/>
    <s v="306 Maple Ave"/>
    <x v="4"/>
    <x v="1"/>
    <n v="2"/>
    <n v="2376"/>
    <n v="345988"/>
    <n v="145.61784511784512"/>
  </r>
  <r>
    <x v="139"/>
    <s v="May"/>
    <x v="0"/>
    <s v="817 Main St"/>
    <x v="1"/>
    <x v="1"/>
    <n v="2"/>
    <n v="1796"/>
    <n v="555298"/>
    <n v="309.18596881959911"/>
  </r>
  <r>
    <x v="140"/>
    <s v="May"/>
    <x v="5"/>
    <s v="878 Maple Ave"/>
    <x v="2"/>
    <x v="1"/>
    <n v="4"/>
    <n v="1022"/>
    <n v="570316"/>
    <n v="558.03913894324853"/>
  </r>
  <r>
    <x v="141"/>
    <s v="Dec"/>
    <x v="13"/>
    <s v="271 Main St"/>
    <x v="4"/>
    <x v="2"/>
    <n v="3"/>
    <n v="3212"/>
    <n v="876114"/>
    <n v="272.76276463262764"/>
  </r>
  <r>
    <x v="142"/>
    <s v="Apr"/>
    <x v="14"/>
    <s v="516 Main St"/>
    <x v="4"/>
    <x v="3"/>
    <n v="3"/>
    <n v="1758"/>
    <n v="229548"/>
    <n v="130.57337883959045"/>
  </r>
  <r>
    <x v="143"/>
    <s v="Jun"/>
    <x v="2"/>
    <s v="560 Elm St"/>
    <x v="0"/>
    <x v="2"/>
    <m/>
    <n v="3339"/>
    <n v="136481"/>
    <n v="40.874812818209044"/>
  </r>
  <r>
    <x v="144"/>
    <s v="Jun"/>
    <x v="1"/>
    <s v="432 Elm St"/>
    <x v="2"/>
    <x v="1"/>
    <m/>
    <n v="2967"/>
    <n v="619807"/>
    <n v="208.90023592854735"/>
  </r>
  <r>
    <x v="145"/>
    <s v="Sep"/>
    <x v="0"/>
    <s v="804 Maple Ave"/>
    <x v="6"/>
    <x v="3"/>
    <m/>
    <n v="1156"/>
    <n v="400076"/>
    <n v="346.08650519031141"/>
  </r>
  <r>
    <x v="146"/>
    <s v="Nov"/>
    <x v="13"/>
    <s v="818 Elm St"/>
    <x v="6"/>
    <x v="3"/>
    <n v="2"/>
    <n v="972"/>
    <n v="856353"/>
    <n v="881.02160493827159"/>
  </r>
  <r>
    <x v="147"/>
    <s v="Jul"/>
    <x v="14"/>
    <s v="170 Elm St"/>
    <x v="6"/>
    <x v="2"/>
    <m/>
    <n v="2242"/>
    <n v="334789"/>
    <n v="149.32604817127566"/>
  </r>
  <r>
    <x v="148"/>
    <s v="Sep"/>
    <x v="9"/>
    <s v="282 Main St"/>
    <x v="4"/>
    <x v="2"/>
    <m/>
    <n v="3215"/>
    <n v="559356"/>
    <n v="173.98320373250388"/>
  </r>
  <r>
    <x v="149"/>
    <s v="Feb"/>
    <x v="4"/>
    <s v="618 Maple Ave"/>
    <x v="4"/>
    <x v="2"/>
    <n v="3"/>
    <n v="2285"/>
    <n v="379006"/>
    <n v="165.86695842450766"/>
  </r>
  <r>
    <x v="150"/>
    <s v="Oct"/>
    <x v="14"/>
    <s v="639 Maple Ave"/>
    <x v="4"/>
    <x v="0"/>
    <n v="5"/>
    <n v="3270"/>
    <n v="175410"/>
    <n v="53.642201834862384"/>
  </r>
  <r>
    <x v="151"/>
    <s v="Nov"/>
    <x v="1"/>
    <s v="895 Elm St"/>
    <x v="2"/>
    <x v="0"/>
    <n v="4"/>
    <n v="2306"/>
    <n v="729621"/>
    <n v="316.40112749349521"/>
  </r>
  <r>
    <x v="152"/>
    <s v="Oct"/>
    <x v="2"/>
    <s v="563 Elm St"/>
    <x v="0"/>
    <x v="3"/>
    <n v="5"/>
    <n v="2096"/>
    <n v="540542"/>
    <n v="257.89217557251908"/>
  </r>
  <r>
    <x v="153"/>
    <s v="Feb"/>
    <x v="14"/>
    <s v="744 Maple Ave"/>
    <x v="6"/>
    <x v="3"/>
    <n v="2"/>
    <n v="1766"/>
    <n v="824982"/>
    <n v="467.1472253680634"/>
  </r>
  <r>
    <x v="154"/>
    <s v="Sep"/>
    <x v="8"/>
    <s v="377 Pine Rd"/>
    <x v="4"/>
    <x v="2"/>
    <n v="5"/>
    <n v="2325"/>
    <n v="775061"/>
    <n v="333.35956989247313"/>
  </r>
  <r>
    <x v="155"/>
    <s v="Jan"/>
    <x v="4"/>
    <s v="735 Elm St"/>
    <x v="6"/>
    <x v="3"/>
    <n v="2"/>
    <n v="874"/>
    <n v="770467"/>
    <n v="881.54118993135012"/>
  </r>
  <r>
    <x v="156"/>
    <s v="Oct"/>
    <x v="0"/>
    <s v="997 Elm St"/>
    <x v="0"/>
    <x v="0"/>
    <n v="5"/>
    <n v="2267"/>
    <n v="135617"/>
    <n v="59.822232024702252"/>
  </r>
  <r>
    <x v="157"/>
    <s v="Oct"/>
    <x v="19"/>
    <s v="998 Maple Ave"/>
    <x v="5"/>
    <x v="2"/>
    <m/>
    <n v="2419"/>
    <n v="362996"/>
    <n v="150.06035551880942"/>
  </r>
  <r>
    <x v="158"/>
    <s v="Mar"/>
    <x v="12"/>
    <s v="621 Maple Ave"/>
    <x v="1"/>
    <x v="2"/>
    <n v="5"/>
    <n v="2121"/>
    <n v="827918"/>
    <n v="390.34323432343234"/>
  </r>
  <r>
    <x v="159"/>
    <s v="Nov"/>
    <x v="8"/>
    <s v="852 Main St"/>
    <x v="0"/>
    <x v="1"/>
    <n v="5"/>
    <n v="3478"/>
    <n v="185791"/>
    <n v="53.418918918918919"/>
  </r>
  <r>
    <x v="160"/>
    <s v="Jan"/>
    <x v="3"/>
    <s v="600 Maple Ave"/>
    <x v="6"/>
    <x v="2"/>
    <n v="4"/>
    <n v="2788"/>
    <n v="524417"/>
    <n v="188.09791965566714"/>
  </r>
  <r>
    <x v="161"/>
    <s v="Mar"/>
    <x v="6"/>
    <s v="994 Maple Ave"/>
    <x v="2"/>
    <x v="2"/>
    <n v="4"/>
    <n v="3110"/>
    <n v="195432"/>
    <n v="62.839871382636659"/>
  </r>
  <r>
    <x v="162"/>
    <s v="Jun"/>
    <x v="7"/>
    <s v="472 Elm St"/>
    <x v="5"/>
    <x v="1"/>
    <n v="3"/>
    <n v="3181"/>
    <n v="867391"/>
    <n v="272.6787173844703"/>
  </r>
  <r>
    <x v="163"/>
    <s v="Mar"/>
    <x v="15"/>
    <s v="917 Maple Ave"/>
    <x v="5"/>
    <x v="1"/>
    <m/>
    <n v="2735"/>
    <n v="673009"/>
    <n v="246.07276051188299"/>
  </r>
  <r>
    <x v="164"/>
    <s v="Jun"/>
    <x v="16"/>
    <s v="135 Maple Ave"/>
    <x v="3"/>
    <x v="0"/>
    <n v="5"/>
    <n v="3280"/>
    <n v="611675"/>
    <n v="186.48628048780489"/>
  </r>
  <r>
    <x v="165"/>
    <s v="Nov"/>
    <x v="5"/>
    <s v="739 Oak St"/>
    <x v="3"/>
    <x v="0"/>
    <n v="3"/>
    <n v="961"/>
    <n v="676613"/>
    <n v="704.07180020811654"/>
  </r>
  <r>
    <x v="166"/>
    <s v="Sep"/>
    <x v="10"/>
    <s v="816 Pine Rd"/>
    <x v="3"/>
    <x v="1"/>
    <n v="2"/>
    <n v="3152"/>
    <n v="534700"/>
    <n v="169.63832487309645"/>
  </r>
  <r>
    <x v="167"/>
    <s v="Nov"/>
    <x v="17"/>
    <s v="962 Pine Rd"/>
    <x v="1"/>
    <x v="1"/>
    <n v="3"/>
    <n v="972"/>
    <n v="179505"/>
    <n v="184.67592592592592"/>
  </r>
  <r>
    <x v="168"/>
    <s v="Feb"/>
    <x v="10"/>
    <s v="845 Pine Rd"/>
    <x v="3"/>
    <x v="1"/>
    <m/>
    <n v="1610"/>
    <n v="318832"/>
    <n v="198.03229813664595"/>
  </r>
  <r>
    <x v="169"/>
    <s v="Feb"/>
    <x v="16"/>
    <s v="793 Maple Ave"/>
    <x v="4"/>
    <x v="0"/>
    <n v="4"/>
    <n v="3337"/>
    <n v="522006"/>
    <n v="156.42972729997004"/>
  </r>
  <r>
    <x v="170"/>
    <s v="Nov"/>
    <x v="0"/>
    <s v="905 Maple Ave"/>
    <x v="0"/>
    <x v="2"/>
    <n v="2"/>
    <n v="2849"/>
    <n v="769603"/>
    <n v="270.13092313092312"/>
  </r>
  <r>
    <x v="171"/>
    <s v="Mar"/>
    <x v="12"/>
    <s v="403 Maple Ave"/>
    <x v="2"/>
    <x v="1"/>
    <n v="3"/>
    <n v="1653"/>
    <n v="291726"/>
    <n v="176.48275862068965"/>
  </r>
  <r>
    <x v="172"/>
    <s v="May"/>
    <x v="17"/>
    <s v="138 Pine Rd"/>
    <x v="5"/>
    <x v="3"/>
    <n v="5"/>
    <n v="1761"/>
    <n v="369338"/>
    <n v="209.73197047132311"/>
  </r>
  <r>
    <x v="173"/>
    <s v="Sep"/>
    <x v="6"/>
    <s v="177 Main St"/>
    <x v="1"/>
    <x v="3"/>
    <n v="3"/>
    <n v="817"/>
    <n v="251381"/>
    <n v="307.68788249694001"/>
  </r>
  <r>
    <x v="174"/>
    <s v="Oct"/>
    <x v="12"/>
    <s v="219 Elm St"/>
    <x v="0"/>
    <x v="0"/>
    <n v="4"/>
    <n v="2871"/>
    <n v="385901"/>
    <n v="134.41344479275514"/>
  </r>
  <r>
    <x v="175"/>
    <s v="Mar"/>
    <x v="2"/>
    <s v="308 Pine Rd"/>
    <x v="4"/>
    <x v="1"/>
    <n v="2"/>
    <n v="2777"/>
    <n v="772949"/>
    <n v="278.3395750810227"/>
  </r>
  <r>
    <x v="176"/>
    <s v="May"/>
    <x v="14"/>
    <s v="754 Maple Ave"/>
    <x v="4"/>
    <x v="3"/>
    <n v="5"/>
    <n v="1410"/>
    <n v="500094"/>
    <n v="354.67659574468087"/>
  </r>
  <r>
    <x v="177"/>
    <s v="Oct"/>
    <x v="19"/>
    <s v="833 Maple Ave"/>
    <x v="6"/>
    <x v="2"/>
    <n v="4"/>
    <n v="3494"/>
    <n v="621080"/>
    <n v="177.75615340583857"/>
  </r>
  <r>
    <x v="178"/>
    <s v="Jun"/>
    <x v="11"/>
    <s v="840 Elm St"/>
    <x v="6"/>
    <x v="0"/>
    <m/>
    <n v="2257"/>
    <n v="453423"/>
    <n v="200.89632255206027"/>
  </r>
  <r>
    <x v="179"/>
    <s v="Feb"/>
    <x v="12"/>
    <s v="960 Oak St"/>
    <x v="3"/>
    <x v="1"/>
    <m/>
    <n v="3475"/>
    <n v="744492"/>
    <n v="214.24230215827339"/>
  </r>
  <r>
    <x v="180"/>
    <s v="Sep"/>
    <x v="6"/>
    <s v="999 Elm St"/>
    <x v="5"/>
    <x v="0"/>
    <n v="4"/>
    <n v="2698"/>
    <n v="143534"/>
    <n v="53.200148257968863"/>
  </r>
  <r>
    <x v="181"/>
    <s v="Sep"/>
    <x v="3"/>
    <s v="462 Elm St"/>
    <x v="3"/>
    <x v="2"/>
    <n v="4"/>
    <n v="1240"/>
    <n v="830515"/>
    <n v="669.77016129032256"/>
  </r>
  <r>
    <x v="182"/>
    <s v="Oct"/>
    <x v="5"/>
    <s v="597 Main St"/>
    <x v="4"/>
    <x v="2"/>
    <m/>
    <n v="1421"/>
    <n v="247035"/>
    <n v="173.84588318085855"/>
  </r>
  <r>
    <x v="183"/>
    <s v="Sep"/>
    <x v="5"/>
    <s v="402 Oak St"/>
    <x v="4"/>
    <x v="1"/>
    <n v="3"/>
    <n v="3328"/>
    <n v="612557"/>
    <n v="184.06159855769232"/>
  </r>
  <r>
    <x v="184"/>
    <s v="Oct"/>
    <x v="1"/>
    <s v="534 Main St"/>
    <x v="6"/>
    <x v="0"/>
    <n v="4"/>
    <n v="3475"/>
    <n v="254867"/>
    <n v="73.343021582733812"/>
  </r>
  <r>
    <x v="185"/>
    <s v="Jun"/>
    <x v="16"/>
    <s v="649 Maple Ave"/>
    <x v="4"/>
    <x v="1"/>
    <n v="4"/>
    <n v="3039"/>
    <n v="531812"/>
    <n v="174.99572227706483"/>
  </r>
  <r>
    <x v="186"/>
    <s v="Oct"/>
    <x v="14"/>
    <s v="993 Pine Rd"/>
    <x v="0"/>
    <x v="1"/>
    <n v="3"/>
    <n v="1757"/>
    <n v="112706"/>
    <n v="64.146841206602161"/>
  </r>
  <r>
    <x v="187"/>
    <s v="Jun"/>
    <x v="15"/>
    <s v="773 Maple Ave"/>
    <x v="6"/>
    <x v="1"/>
    <n v="5"/>
    <n v="1677"/>
    <n v="663775"/>
    <n v="395.81097197376266"/>
  </r>
  <r>
    <x v="188"/>
    <s v="Feb"/>
    <x v="15"/>
    <s v="765 Maple Ave"/>
    <x v="6"/>
    <x v="0"/>
    <n v="2"/>
    <n v="819"/>
    <n v="261146"/>
    <n v="318.85958485958486"/>
  </r>
  <r>
    <x v="189"/>
    <s v="Dec"/>
    <x v="0"/>
    <s v="272 Pine Rd"/>
    <x v="6"/>
    <x v="1"/>
    <n v="5"/>
    <n v="3402"/>
    <n v="810549"/>
    <n v="238.25661375661375"/>
  </r>
  <r>
    <x v="190"/>
    <s v="Mar"/>
    <x v="16"/>
    <s v="992 Main St"/>
    <x v="0"/>
    <x v="2"/>
    <n v="2"/>
    <n v="2933"/>
    <n v="190685"/>
    <n v="65.013637913399251"/>
  </r>
  <r>
    <x v="191"/>
    <s v="Jul"/>
    <x v="2"/>
    <s v="117 Pine Rd"/>
    <x v="4"/>
    <x v="1"/>
    <n v="5"/>
    <n v="1027"/>
    <n v="559947"/>
    <n v="545.22590068159684"/>
  </r>
  <r>
    <x v="192"/>
    <s v="Mar"/>
    <x v="14"/>
    <s v="168 Main St"/>
    <x v="5"/>
    <x v="2"/>
    <n v="4"/>
    <n v="2429"/>
    <n v="830813"/>
    <n v="342.03911074516265"/>
  </r>
  <r>
    <x v="193"/>
    <s v="Aug"/>
    <x v="8"/>
    <s v="137 Oak St"/>
    <x v="0"/>
    <x v="0"/>
    <n v="3"/>
    <n v="1126"/>
    <n v="138831"/>
    <n v="123.29573712255772"/>
  </r>
  <r>
    <x v="194"/>
    <s v="Sep"/>
    <x v="18"/>
    <s v="388 Main St"/>
    <x v="1"/>
    <x v="2"/>
    <m/>
    <n v="2227"/>
    <n v="151137"/>
    <n v="67.865738661876961"/>
  </r>
  <r>
    <x v="195"/>
    <s v="Jul"/>
    <x v="18"/>
    <s v="745 Pine Rd"/>
    <x v="4"/>
    <x v="0"/>
    <n v="3"/>
    <n v="2756"/>
    <n v="715328"/>
    <n v="259.55297532656022"/>
  </r>
  <r>
    <x v="196"/>
    <s v="May"/>
    <x v="16"/>
    <s v="246 Main St"/>
    <x v="6"/>
    <x v="0"/>
    <m/>
    <n v="3246"/>
    <n v="464799"/>
    <n v="143.19131238447321"/>
  </r>
  <r>
    <x v="197"/>
    <s v="Sep"/>
    <x v="15"/>
    <s v="288 Elm St"/>
    <x v="3"/>
    <x v="3"/>
    <m/>
    <n v="1558"/>
    <n v="577831"/>
    <n v="370.87997432605903"/>
  </r>
  <r>
    <x v="198"/>
    <s v="Sep"/>
    <x v="18"/>
    <s v="106 Main St"/>
    <x v="0"/>
    <x v="1"/>
    <n v="4"/>
    <n v="1939"/>
    <n v="476242"/>
    <n v="245.61217122227953"/>
  </r>
  <r>
    <x v="199"/>
    <s v="May"/>
    <x v="8"/>
    <s v="146 Pine Rd"/>
    <x v="6"/>
    <x v="2"/>
    <m/>
    <n v="949"/>
    <n v="807838"/>
    <n v="851.25184404636457"/>
  </r>
  <r>
    <x v="200"/>
    <s v="Feb"/>
    <x v="2"/>
    <s v="340 Pine Rd"/>
    <x v="4"/>
    <x v="2"/>
    <m/>
    <n v="1082"/>
    <n v="573567"/>
    <n v="530.09889094269874"/>
  </r>
  <r>
    <x v="201"/>
    <s v="May"/>
    <x v="15"/>
    <s v="351 Elm St"/>
    <x v="0"/>
    <x v="3"/>
    <n v="3"/>
    <n v="1920"/>
    <n v="627362"/>
    <n v="326.75104166666665"/>
  </r>
  <r>
    <x v="202"/>
    <s v="Sep"/>
    <x v="2"/>
    <s v="277 Elm St"/>
    <x v="3"/>
    <x v="3"/>
    <n v="2"/>
    <n v="1366"/>
    <n v="487517"/>
    <n v="356.89385065885796"/>
  </r>
  <r>
    <x v="203"/>
    <s v="Oct"/>
    <x v="19"/>
    <s v="498 Main St"/>
    <x v="3"/>
    <x v="3"/>
    <n v="3"/>
    <n v="3146"/>
    <n v="400094"/>
    <n v="127.17546090273363"/>
  </r>
  <r>
    <x v="204"/>
    <s v="Oct"/>
    <x v="13"/>
    <s v="755 Main St"/>
    <x v="4"/>
    <x v="3"/>
    <n v="2"/>
    <n v="902"/>
    <n v="737951"/>
    <n v="818.12749445676275"/>
  </r>
  <r>
    <x v="205"/>
    <s v="Aug"/>
    <x v="14"/>
    <s v="272 Main St"/>
    <x v="1"/>
    <x v="0"/>
    <m/>
    <n v="1309"/>
    <n v="120982"/>
    <n v="92.423223834988548"/>
  </r>
  <r>
    <x v="206"/>
    <s v="Sep"/>
    <x v="2"/>
    <s v="298 Main St"/>
    <x v="1"/>
    <x v="1"/>
    <n v="3"/>
    <n v="3459"/>
    <n v="249364"/>
    <n v="72.091355883203235"/>
  </r>
  <r>
    <x v="207"/>
    <s v="Mar"/>
    <x v="18"/>
    <s v="178 Pine Rd"/>
    <x v="0"/>
    <x v="3"/>
    <n v="5"/>
    <n v="1596"/>
    <n v="883093"/>
    <n v="553.31641604010031"/>
  </r>
  <r>
    <x v="208"/>
    <s v="Feb"/>
    <x v="16"/>
    <s v="350 Oak St"/>
    <x v="5"/>
    <x v="1"/>
    <n v="2"/>
    <n v="2780"/>
    <n v="319715"/>
    <n v="115.00539568345324"/>
  </r>
  <r>
    <x v="209"/>
    <s v="Jun"/>
    <x v="19"/>
    <s v="879 Oak St"/>
    <x v="4"/>
    <x v="2"/>
    <n v="2"/>
    <n v="2376"/>
    <n v="413076"/>
    <n v="173.85353535353536"/>
  </r>
  <r>
    <x v="210"/>
    <s v="Oct"/>
    <x v="10"/>
    <s v="821 Elm St"/>
    <x v="5"/>
    <x v="1"/>
    <n v="5"/>
    <n v="3362"/>
    <n v="477134"/>
    <n v="141.91969066032124"/>
  </r>
  <r>
    <x v="211"/>
    <s v="Mar"/>
    <x v="14"/>
    <s v="475 Pine Rd"/>
    <x v="1"/>
    <x v="2"/>
    <n v="3"/>
    <n v="3186"/>
    <n v="541301"/>
    <n v="169.89987445072191"/>
  </r>
  <r>
    <x v="212"/>
    <s v="Jul"/>
    <x v="3"/>
    <s v="214 Oak St"/>
    <x v="4"/>
    <x v="1"/>
    <m/>
    <n v="2535"/>
    <n v="137035"/>
    <n v="54.057199211045365"/>
  </r>
  <r>
    <x v="213"/>
    <s v="Jan"/>
    <x v="5"/>
    <s v="255 Pine Rd"/>
    <x v="2"/>
    <x v="2"/>
    <n v="5"/>
    <n v="1065"/>
    <n v="683483"/>
    <n v="641.76807511737093"/>
  </r>
  <r>
    <x v="214"/>
    <s v="Aug"/>
    <x v="11"/>
    <s v="890 Maple Ave"/>
    <x v="1"/>
    <x v="0"/>
    <n v="3"/>
    <n v="2953"/>
    <n v="834665"/>
    <n v="282.64984761259734"/>
  </r>
  <r>
    <x v="215"/>
    <s v="Dec"/>
    <x v="0"/>
    <s v="830 Maple Ave"/>
    <x v="2"/>
    <x v="3"/>
    <m/>
    <n v="1664"/>
    <n v="141405"/>
    <n v="84.97896634615384"/>
  </r>
  <r>
    <x v="216"/>
    <s v="Jan"/>
    <x v="3"/>
    <s v="490 Pine Rd"/>
    <x v="6"/>
    <x v="0"/>
    <m/>
    <n v="2708"/>
    <n v="380553"/>
    <n v="140.52917282127032"/>
  </r>
  <r>
    <x v="217"/>
    <s v="Jul"/>
    <x v="1"/>
    <s v="957 Elm St"/>
    <x v="0"/>
    <x v="3"/>
    <m/>
    <n v="807"/>
    <n v="122922"/>
    <n v="152.31970260223048"/>
  </r>
  <r>
    <x v="218"/>
    <s v="Jan"/>
    <x v="14"/>
    <s v="584 Maple Ave"/>
    <x v="2"/>
    <x v="0"/>
    <n v="2"/>
    <n v="3438"/>
    <n v="622751"/>
    <n v="181.13757998836533"/>
  </r>
  <r>
    <x v="219"/>
    <s v="Oct"/>
    <x v="3"/>
    <s v="263 Main St"/>
    <x v="6"/>
    <x v="3"/>
    <n v="3"/>
    <n v="2080"/>
    <n v="385199"/>
    <n v="185.19182692307692"/>
  </r>
  <r>
    <x v="220"/>
    <s v="Apr"/>
    <x v="10"/>
    <s v="192 Main St"/>
    <x v="0"/>
    <x v="0"/>
    <m/>
    <n v="1211"/>
    <n v="558139"/>
    <n v="460.89099917423619"/>
  </r>
  <r>
    <x v="221"/>
    <s v="Jan"/>
    <x v="14"/>
    <s v="487 Maple Ave"/>
    <x v="2"/>
    <x v="2"/>
    <m/>
    <n v="1928"/>
    <n v="419470"/>
    <n v="217.5674273858921"/>
  </r>
  <r>
    <x v="222"/>
    <s v="May"/>
    <x v="12"/>
    <s v="457 Maple Ave"/>
    <x v="0"/>
    <x v="2"/>
    <m/>
    <n v="3138"/>
    <n v="391975"/>
    <n v="124.91236456341619"/>
  </r>
  <r>
    <x v="223"/>
    <s v="Nov"/>
    <x v="6"/>
    <s v="995 Maple Ave"/>
    <x v="4"/>
    <x v="2"/>
    <n v="5"/>
    <n v="961"/>
    <n v="436962"/>
    <n v="454.69510926118625"/>
  </r>
  <r>
    <x v="224"/>
    <s v="Jan"/>
    <x v="9"/>
    <s v="387 Elm St"/>
    <x v="4"/>
    <x v="1"/>
    <n v="4"/>
    <n v="2933"/>
    <n v="196566"/>
    <n v="67.018752130923971"/>
  </r>
  <r>
    <x v="225"/>
    <s v="Apr"/>
    <x v="19"/>
    <s v="726 Pine Rd"/>
    <x v="2"/>
    <x v="2"/>
    <m/>
    <n v="3295"/>
    <n v="497964"/>
    <n v="151.12716236722306"/>
  </r>
  <r>
    <x v="226"/>
    <s v="Mar"/>
    <x v="5"/>
    <s v="156 Pine Rd"/>
    <x v="0"/>
    <x v="1"/>
    <n v="3"/>
    <n v="1146"/>
    <n v="779063"/>
    <n v="679.81064572425828"/>
  </r>
  <r>
    <x v="227"/>
    <s v="Sep"/>
    <x v="13"/>
    <s v="830 Oak St"/>
    <x v="2"/>
    <x v="3"/>
    <n v="3"/>
    <n v="2510"/>
    <n v="567735"/>
    <n v="226.18924302788844"/>
  </r>
  <r>
    <x v="228"/>
    <s v="Sep"/>
    <x v="8"/>
    <s v="287 Maple Ave"/>
    <x v="5"/>
    <x v="1"/>
    <m/>
    <n v="3476"/>
    <n v="270425"/>
    <n v="77.797756041426922"/>
  </r>
  <r>
    <x v="229"/>
    <s v="Jul"/>
    <x v="11"/>
    <s v="396 Main St"/>
    <x v="2"/>
    <x v="3"/>
    <n v="3"/>
    <n v="1914"/>
    <n v="864662"/>
    <n v="451.75653082549633"/>
  </r>
  <r>
    <x v="230"/>
    <s v="Jul"/>
    <x v="4"/>
    <s v="245 Oak St"/>
    <x v="5"/>
    <x v="2"/>
    <m/>
    <n v="1982"/>
    <n v="412239"/>
    <n v="207.99142280524723"/>
  </r>
  <r>
    <x v="231"/>
    <s v="Jan"/>
    <x v="14"/>
    <s v="197 Elm St"/>
    <x v="6"/>
    <x v="2"/>
    <m/>
    <n v="1487"/>
    <n v="426780"/>
    <n v="287.00739744451914"/>
  </r>
  <r>
    <x v="232"/>
    <s v="Jun"/>
    <x v="1"/>
    <s v="324 Maple Ave"/>
    <x v="6"/>
    <x v="3"/>
    <n v="2"/>
    <n v="1580"/>
    <n v="444649"/>
    <n v="281.423417721519"/>
  </r>
  <r>
    <x v="233"/>
    <s v="Jan"/>
    <x v="12"/>
    <s v="687 Maple Ave"/>
    <x v="0"/>
    <x v="3"/>
    <n v="5"/>
    <n v="2277"/>
    <n v="270466"/>
    <n v="118.78173034694774"/>
  </r>
  <r>
    <x v="234"/>
    <s v="Jun"/>
    <x v="1"/>
    <s v="481 Oak St"/>
    <x v="5"/>
    <x v="2"/>
    <n v="5"/>
    <n v="2559"/>
    <n v="401589"/>
    <n v="156.93200468933176"/>
  </r>
  <r>
    <x v="235"/>
    <s v="Sep"/>
    <x v="17"/>
    <s v="328 Maple Ave"/>
    <x v="2"/>
    <x v="2"/>
    <n v="5"/>
    <n v="855"/>
    <n v="637850"/>
    <n v="746.0233918128655"/>
  </r>
  <r>
    <x v="236"/>
    <s v="Apr"/>
    <x v="7"/>
    <s v="845 Pine Rd"/>
    <x v="3"/>
    <x v="1"/>
    <n v="5"/>
    <n v="1741"/>
    <n v="590730"/>
    <n v="339.30499712808728"/>
  </r>
  <r>
    <x v="237"/>
    <s v="Jun"/>
    <x v="16"/>
    <s v="222 Maple Ave"/>
    <x v="2"/>
    <x v="0"/>
    <n v="4"/>
    <n v="2840"/>
    <n v="606885"/>
    <n v="213.69190140845072"/>
  </r>
  <r>
    <x v="238"/>
    <s v="Jul"/>
    <x v="12"/>
    <s v="995 Maple Ave"/>
    <x v="0"/>
    <x v="3"/>
    <m/>
    <n v="1177"/>
    <n v="328879"/>
    <n v="279.42141036533559"/>
  </r>
  <r>
    <x v="239"/>
    <s v="Oct"/>
    <x v="3"/>
    <s v="143 Maple Ave"/>
    <x v="1"/>
    <x v="1"/>
    <n v="3"/>
    <n v="1374"/>
    <n v="123055"/>
    <n v="89.559679767103347"/>
  </r>
  <r>
    <x v="240"/>
    <s v="May"/>
    <x v="4"/>
    <s v="774 Main St"/>
    <x v="6"/>
    <x v="3"/>
    <n v="4"/>
    <n v="3396"/>
    <n v="170728"/>
    <n v="50.273262661955243"/>
  </r>
  <r>
    <x v="241"/>
    <s v="Dec"/>
    <x v="14"/>
    <s v="311 Main St"/>
    <x v="0"/>
    <x v="1"/>
    <m/>
    <n v="1785"/>
    <n v="715567"/>
    <n v="400.87787114845941"/>
  </r>
  <r>
    <x v="242"/>
    <s v="Jan"/>
    <x v="12"/>
    <s v="805 Oak St"/>
    <x v="4"/>
    <x v="1"/>
    <m/>
    <n v="3273"/>
    <n v="548706"/>
    <n v="167.6461961503208"/>
  </r>
  <r>
    <x v="243"/>
    <s v="Jul"/>
    <x v="0"/>
    <s v="214 Pine Rd"/>
    <x v="4"/>
    <x v="2"/>
    <m/>
    <n v="2787"/>
    <n v="234665"/>
    <n v="84.199856476498027"/>
  </r>
  <r>
    <x v="244"/>
    <s v="Dec"/>
    <x v="19"/>
    <s v="964 Oak St"/>
    <x v="2"/>
    <x v="2"/>
    <m/>
    <n v="1291"/>
    <n v="896000"/>
    <n v="694.03563129357087"/>
  </r>
  <r>
    <x v="245"/>
    <s v="May"/>
    <x v="10"/>
    <s v="833 Elm St"/>
    <x v="5"/>
    <x v="0"/>
    <n v="4"/>
    <n v="2215"/>
    <n v="149376"/>
    <n v="67.438374717832957"/>
  </r>
  <r>
    <x v="215"/>
    <s v="Dec"/>
    <x v="0"/>
    <s v="351 Oak St"/>
    <x v="0"/>
    <x v="2"/>
    <n v="2"/>
    <n v="2599"/>
    <n v="346253"/>
    <n v="133.2254713351289"/>
  </r>
  <r>
    <x v="246"/>
    <s v="Jun"/>
    <x v="1"/>
    <s v="464 Main St"/>
    <x v="0"/>
    <x v="2"/>
    <m/>
    <n v="2379"/>
    <n v="202303"/>
    <n v="85.036990332072293"/>
  </r>
  <r>
    <x v="247"/>
    <s v="May"/>
    <x v="13"/>
    <s v="232 Main St"/>
    <x v="2"/>
    <x v="3"/>
    <n v="4"/>
    <n v="2753"/>
    <n v="418771"/>
    <n v="152.11442063203776"/>
  </r>
  <r>
    <x v="248"/>
    <s v="Feb"/>
    <x v="2"/>
    <s v="765 Elm St"/>
    <x v="1"/>
    <x v="2"/>
    <m/>
    <n v="2760"/>
    <n v="144718"/>
    <n v="52.434057971014489"/>
  </r>
  <r>
    <x v="249"/>
    <s v="Apr"/>
    <x v="6"/>
    <s v="560 Maple Ave"/>
    <x v="0"/>
    <x v="2"/>
    <n v="4"/>
    <n v="1275"/>
    <n v="784654"/>
    <n v="615.41490196078428"/>
  </r>
  <r>
    <x v="250"/>
    <s v="Jul"/>
    <x v="2"/>
    <s v="498 Main St"/>
    <x v="0"/>
    <x v="1"/>
    <n v="4"/>
    <n v="3486"/>
    <n v="406850"/>
    <n v="116.7096959265634"/>
  </r>
  <r>
    <x v="251"/>
    <s v="Sep"/>
    <x v="18"/>
    <s v="196 Oak St"/>
    <x v="3"/>
    <x v="3"/>
    <m/>
    <n v="2199"/>
    <n v="144269"/>
    <n v="65.606639381537065"/>
  </r>
  <r>
    <x v="252"/>
    <s v="Oct"/>
    <x v="0"/>
    <s v="133 Elm St"/>
    <x v="4"/>
    <x v="3"/>
    <n v="5"/>
    <n v="1818"/>
    <n v="398917"/>
    <n v="219.42629262926292"/>
  </r>
  <r>
    <x v="253"/>
    <s v="Sep"/>
    <x v="8"/>
    <s v="764 Elm St"/>
    <x v="0"/>
    <x v="1"/>
    <n v="2"/>
    <n v="2175"/>
    <n v="865239"/>
    <n v="397.8110344827586"/>
  </r>
  <r>
    <x v="254"/>
    <s v="Oct"/>
    <x v="8"/>
    <s v="169 Oak St"/>
    <x v="6"/>
    <x v="2"/>
    <n v="2"/>
    <n v="1949"/>
    <n v="682298"/>
    <n v="350.07593637762955"/>
  </r>
  <r>
    <x v="255"/>
    <s v="Mar"/>
    <x v="10"/>
    <s v="804 Main St"/>
    <x v="3"/>
    <x v="2"/>
    <n v="4"/>
    <n v="1105"/>
    <n v="374918"/>
    <n v="339.2923076923077"/>
  </r>
  <r>
    <x v="256"/>
    <s v="May"/>
    <x v="2"/>
    <s v="285 Oak St"/>
    <x v="1"/>
    <x v="1"/>
    <m/>
    <n v="1002"/>
    <n v="573904"/>
    <n v="572.75848303393218"/>
  </r>
  <r>
    <x v="257"/>
    <s v="Dec"/>
    <x v="12"/>
    <s v="448 Maple Ave"/>
    <x v="1"/>
    <x v="2"/>
    <n v="2"/>
    <n v="3404"/>
    <n v="731108"/>
    <n v="214.77908343125733"/>
  </r>
  <r>
    <x v="258"/>
    <s v="May"/>
    <x v="15"/>
    <s v="294 Oak St"/>
    <x v="0"/>
    <x v="1"/>
    <m/>
    <n v="3098"/>
    <n v="321659"/>
    <n v="103.82795351839897"/>
  </r>
  <r>
    <x v="259"/>
    <s v="May"/>
    <x v="19"/>
    <s v="394 Maple Ave"/>
    <x v="6"/>
    <x v="3"/>
    <n v="5"/>
    <n v="2932"/>
    <n v="199544"/>
    <n v="68.057298772169162"/>
  </r>
  <r>
    <x v="260"/>
    <s v="Apr"/>
    <x v="5"/>
    <s v="157 Elm St"/>
    <x v="0"/>
    <x v="1"/>
    <n v="2"/>
    <n v="803"/>
    <n v="134140"/>
    <n v="167.04856787048567"/>
  </r>
  <r>
    <x v="261"/>
    <s v="Aug"/>
    <x v="4"/>
    <s v="198 Pine Rd"/>
    <x v="0"/>
    <x v="1"/>
    <m/>
    <n v="2272"/>
    <n v="110108"/>
    <n v="48.463028169014088"/>
  </r>
  <r>
    <x v="262"/>
    <s v="Feb"/>
    <x v="9"/>
    <s v="712 Main St"/>
    <x v="2"/>
    <x v="3"/>
    <n v="4"/>
    <n v="2437"/>
    <n v="643811"/>
    <n v="264.18178087812885"/>
  </r>
  <r>
    <x v="263"/>
    <s v="Feb"/>
    <x v="13"/>
    <s v="761 Pine Rd"/>
    <x v="4"/>
    <x v="2"/>
    <n v="4"/>
    <n v="3411"/>
    <n v="666072"/>
    <n v="195.27176781002638"/>
  </r>
  <r>
    <x v="264"/>
    <s v="Sep"/>
    <x v="18"/>
    <s v="127 Pine Rd"/>
    <x v="1"/>
    <x v="1"/>
    <n v="5"/>
    <n v="2571"/>
    <n v="642334"/>
    <n v="249.83819525476468"/>
  </r>
  <r>
    <x v="265"/>
    <s v="Jun"/>
    <x v="2"/>
    <s v="763 Elm St"/>
    <x v="6"/>
    <x v="1"/>
    <n v="4"/>
    <n v="1536"/>
    <n v="647047"/>
    <n v="421.25455729166669"/>
  </r>
  <r>
    <x v="266"/>
    <s v="Mar"/>
    <x v="6"/>
    <s v="476 Main St"/>
    <x v="4"/>
    <x v="0"/>
    <m/>
    <n v="2832"/>
    <n v="165210"/>
    <n v="58.336864406779661"/>
  </r>
  <r>
    <x v="267"/>
    <s v="Dec"/>
    <x v="12"/>
    <s v="732 Main St"/>
    <x v="2"/>
    <x v="2"/>
    <m/>
    <n v="2871"/>
    <n v="574697"/>
    <n v="200.17311041448971"/>
  </r>
  <r>
    <x v="268"/>
    <s v="Jun"/>
    <x v="14"/>
    <s v="319 Elm St"/>
    <x v="3"/>
    <x v="0"/>
    <m/>
    <n v="1108"/>
    <n v="580077"/>
    <n v="523.53519855595664"/>
  </r>
  <r>
    <x v="172"/>
    <s v="May"/>
    <x v="17"/>
    <s v="625 Oak St"/>
    <x v="5"/>
    <x v="1"/>
    <n v="2"/>
    <n v="1043"/>
    <n v="506704"/>
    <n v="485.81399808245448"/>
  </r>
  <r>
    <x v="269"/>
    <s v="Jun"/>
    <x v="14"/>
    <s v="639 Pine Rd"/>
    <x v="6"/>
    <x v="1"/>
    <m/>
    <n v="1632"/>
    <n v="699649"/>
    <n v="428.70649509803923"/>
  </r>
  <r>
    <x v="270"/>
    <s v="Jan"/>
    <x v="2"/>
    <s v="841 Maple Ave"/>
    <x v="0"/>
    <x v="1"/>
    <n v="4"/>
    <n v="1777"/>
    <n v="864835"/>
    <n v="486.68261114237481"/>
  </r>
  <r>
    <x v="271"/>
    <s v="Feb"/>
    <x v="18"/>
    <s v="253 Maple Ave"/>
    <x v="0"/>
    <x v="0"/>
    <n v="5"/>
    <n v="2602"/>
    <n v="392859"/>
    <n v="150.98347425057648"/>
  </r>
  <r>
    <x v="272"/>
    <s v="Apr"/>
    <x v="18"/>
    <s v="695 Elm St"/>
    <x v="0"/>
    <x v="3"/>
    <n v="3"/>
    <n v="2692"/>
    <n v="814898"/>
    <n v="302.71099554234769"/>
  </r>
  <r>
    <x v="273"/>
    <s v="Jan"/>
    <x v="16"/>
    <s v="763 Elm St"/>
    <x v="4"/>
    <x v="0"/>
    <n v="5"/>
    <n v="1981"/>
    <n v="245795"/>
    <n v="124.07622412922767"/>
  </r>
  <r>
    <x v="274"/>
    <s v="Apr"/>
    <x v="18"/>
    <s v="762 Main St"/>
    <x v="0"/>
    <x v="2"/>
    <m/>
    <n v="3434"/>
    <n v="673006"/>
    <n v="195.98311007571345"/>
  </r>
  <r>
    <x v="275"/>
    <s v="Sep"/>
    <x v="6"/>
    <s v="485 Pine Rd"/>
    <x v="4"/>
    <x v="1"/>
    <n v="2"/>
    <n v="845"/>
    <n v="326894"/>
    <n v="386.85680473372781"/>
  </r>
  <r>
    <x v="276"/>
    <s v="Oct"/>
    <x v="12"/>
    <s v="531 Maple Ave"/>
    <x v="4"/>
    <x v="2"/>
    <m/>
    <n v="3148"/>
    <n v="806329"/>
    <n v="256.14008894536215"/>
  </r>
  <r>
    <x v="277"/>
    <s v="Oct"/>
    <x v="13"/>
    <s v="496 Elm St"/>
    <x v="1"/>
    <x v="1"/>
    <n v="4"/>
    <n v="3127"/>
    <n v="759895"/>
    <n v="243.0108730412536"/>
  </r>
  <r>
    <x v="278"/>
    <s v="Jul"/>
    <x v="14"/>
    <s v="358 Main St"/>
    <x v="3"/>
    <x v="1"/>
    <m/>
    <n v="3382"/>
    <n v="876624"/>
    <n v="259.2028385570668"/>
  </r>
  <r>
    <x v="279"/>
    <s v="Dec"/>
    <x v="4"/>
    <s v="374 Oak St"/>
    <x v="2"/>
    <x v="1"/>
    <n v="4"/>
    <n v="3296"/>
    <n v="765430"/>
    <n v="232.22997572815535"/>
  </r>
  <r>
    <x v="280"/>
    <s v="Nov"/>
    <x v="6"/>
    <s v="901 Maple Ave"/>
    <x v="2"/>
    <x v="2"/>
    <n v="5"/>
    <n v="1351"/>
    <n v="864550"/>
    <n v="639.93338267949662"/>
  </r>
  <r>
    <x v="281"/>
    <s v="Dec"/>
    <x v="2"/>
    <s v="860 Main St"/>
    <x v="4"/>
    <x v="3"/>
    <n v="5"/>
    <n v="1410"/>
    <n v="518982"/>
    <n v="368.07234042553193"/>
  </r>
  <r>
    <x v="282"/>
    <s v="Nov"/>
    <x v="5"/>
    <s v="227 Maple Ave"/>
    <x v="0"/>
    <x v="3"/>
    <n v="3"/>
    <n v="3116"/>
    <n v="261256"/>
    <n v="83.843388960205388"/>
  </r>
  <r>
    <x v="283"/>
    <s v="Apr"/>
    <x v="13"/>
    <s v="179 Elm St"/>
    <x v="6"/>
    <x v="1"/>
    <n v="5"/>
    <n v="2750"/>
    <n v="365612"/>
    <n v="132.94981818181819"/>
  </r>
  <r>
    <x v="284"/>
    <s v="Jul"/>
    <x v="16"/>
    <s v="973 Oak St"/>
    <x v="5"/>
    <x v="2"/>
    <m/>
    <n v="2381"/>
    <n v="214437"/>
    <n v="90.061738765224689"/>
  </r>
  <r>
    <x v="285"/>
    <s v="Apr"/>
    <x v="2"/>
    <s v="149 Elm St"/>
    <x v="6"/>
    <x v="0"/>
    <n v="3"/>
    <n v="1271"/>
    <n v="710009"/>
    <n v="558.62234461054288"/>
  </r>
  <r>
    <x v="286"/>
    <s v="Nov"/>
    <x v="3"/>
    <s v="925 Elm St"/>
    <x v="5"/>
    <x v="1"/>
    <n v="2"/>
    <n v="1535"/>
    <n v="814387"/>
    <n v="530.54527687296422"/>
  </r>
  <r>
    <x v="287"/>
    <s v="Apr"/>
    <x v="15"/>
    <s v="204 Maple Ave"/>
    <x v="0"/>
    <x v="2"/>
    <m/>
    <n v="2902"/>
    <n v="469355"/>
    <n v="161.73501033769813"/>
  </r>
  <r>
    <x v="288"/>
    <s v="Aug"/>
    <x v="1"/>
    <s v="586 Main St"/>
    <x v="6"/>
    <x v="2"/>
    <n v="4"/>
    <n v="871"/>
    <n v="359362"/>
    <n v="412.58553386911598"/>
  </r>
  <r>
    <x v="289"/>
    <s v="Oct"/>
    <x v="16"/>
    <s v="708 Main St"/>
    <x v="4"/>
    <x v="3"/>
    <n v="4"/>
    <n v="3399"/>
    <n v="624613"/>
    <n v="183.76375404530745"/>
  </r>
  <r>
    <x v="290"/>
    <s v="Jan"/>
    <x v="16"/>
    <s v="314 Oak St"/>
    <x v="6"/>
    <x v="0"/>
    <n v="4"/>
    <n v="1030"/>
    <n v="686478"/>
    <n v="666.48349514563108"/>
  </r>
  <r>
    <x v="291"/>
    <s v="Mar"/>
    <x v="6"/>
    <s v="597 Maple Ave"/>
    <x v="2"/>
    <x v="1"/>
    <m/>
    <n v="1995"/>
    <n v="425819"/>
    <n v="213.44310776942356"/>
  </r>
  <r>
    <x v="292"/>
    <s v="Feb"/>
    <x v="18"/>
    <s v="683 Oak St"/>
    <x v="4"/>
    <x v="0"/>
    <n v="2"/>
    <n v="1882"/>
    <n v="801436"/>
    <n v="425.84272051009566"/>
  </r>
  <r>
    <x v="293"/>
    <s v="Jul"/>
    <x v="7"/>
    <s v="661 Elm St"/>
    <x v="6"/>
    <x v="2"/>
    <n v="2"/>
    <n v="1112"/>
    <n v="328892"/>
    <n v="295.76618705035969"/>
  </r>
  <r>
    <x v="294"/>
    <s v="Oct"/>
    <x v="14"/>
    <s v="831 Pine Rd"/>
    <x v="1"/>
    <x v="0"/>
    <n v="4"/>
    <n v="2974"/>
    <n v="865192"/>
    <n v="290.91862811028915"/>
  </r>
  <r>
    <x v="295"/>
    <s v="Dec"/>
    <x v="11"/>
    <s v="970 Oak St"/>
    <x v="5"/>
    <x v="3"/>
    <m/>
    <n v="3385"/>
    <n v="893336"/>
    <n v="263.91019202363367"/>
  </r>
  <r>
    <x v="296"/>
    <s v="Jun"/>
    <x v="8"/>
    <s v="544 Main St"/>
    <x v="2"/>
    <x v="0"/>
    <n v="2"/>
    <n v="3406"/>
    <n v="868912"/>
    <n v="255.11215502055197"/>
  </r>
  <r>
    <x v="297"/>
    <s v="Oct"/>
    <x v="9"/>
    <s v="960 Elm St"/>
    <x v="0"/>
    <x v="2"/>
    <m/>
    <n v="1185"/>
    <n v="256446"/>
    <n v="216.41012658227848"/>
  </r>
  <r>
    <x v="298"/>
    <s v="Apr"/>
    <x v="4"/>
    <s v="437 Pine Rd"/>
    <x v="2"/>
    <x v="1"/>
    <m/>
    <n v="2133"/>
    <n v="449685"/>
    <n v="210.82278481012659"/>
  </r>
  <r>
    <x v="299"/>
    <s v="Mar"/>
    <x v="15"/>
    <s v="766 Oak St"/>
    <x v="6"/>
    <x v="3"/>
    <n v="5"/>
    <n v="1218"/>
    <n v="585322"/>
    <n v="480.55993431855501"/>
  </r>
  <r>
    <x v="300"/>
    <s v="Aug"/>
    <x v="17"/>
    <s v="381 Maple Ave"/>
    <x v="0"/>
    <x v="1"/>
    <m/>
    <n v="1237"/>
    <n v="564879"/>
    <n v="456.65238480194017"/>
  </r>
  <r>
    <x v="263"/>
    <s v="Feb"/>
    <x v="13"/>
    <s v="736 Maple Ave"/>
    <x v="0"/>
    <x v="2"/>
    <n v="3"/>
    <n v="2628"/>
    <n v="534118"/>
    <n v="203.24124809741249"/>
  </r>
  <r>
    <x v="301"/>
    <s v="Jun"/>
    <x v="7"/>
    <s v="190 Elm St"/>
    <x v="6"/>
    <x v="2"/>
    <n v="3"/>
    <n v="2619"/>
    <n v="427700"/>
    <n v="163.30660557464682"/>
  </r>
  <r>
    <x v="302"/>
    <s v="Nov"/>
    <x v="5"/>
    <s v="595 Oak St"/>
    <x v="2"/>
    <x v="2"/>
    <m/>
    <n v="3015"/>
    <n v="648324"/>
    <n v="215.03283582089551"/>
  </r>
  <r>
    <x v="303"/>
    <s v="Apr"/>
    <x v="14"/>
    <s v="443 Main St"/>
    <x v="0"/>
    <x v="2"/>
    <n v="5"/>
    <n v="3387"/>
    <n v="366163"/>
    <n v="108.10835547682315"/>
  </r>
  <r>
    <x v="304"/>
    <s v="Dec"/>
    <x v="15"/>
    <s v="598 Maple Ave"/>
    <x v="6"/>
    <x v="2"/>
    <n v="2"/>
    <n v="3139"/>
    <n v="370803"/>
    <n v="118.12774769034725"/>
  </r>
  <r>
    <x v="305"/>
    <s v="Apr"/>
    <x v="7"/>
    <s v="828 Maple Ave"/>
    <x v="4"/>
    <x v="1"/>
    <n v="3"/>
    <n v="1132"/>
    <n v="344494"/>
    <n v="304.3233215547703"/>
  </r>
  <r>
    <x v="306"/>
    <s v="Jan"/>
    <x v="0"/>
    <s v="268 Elm St"/>
    <x v="4"/>
    <x v="0"/>
    <n v="2"/>
    <n v="2858"/>
    <n v="384555"/>
    <n v="134.55388383484956"/>
  </r>
  <r>
    <x v="307"/>
    <s v="Jul"/>
    <x v="6"/>
    <s v="563 Elm St"/>
    <x v="6"/>
    <x v="0"/>
    <n v="3"/>
    <n v="1255"/>
    <n v="383131"/>
    <n v="305.28366533864539"/>
  </r>
  <r>
    <x v="308"/>
    <s v="Jul"/>
    <x v="16"/>
    <s v="481 Maple Ave"/>
    <x v="0"/>
    <x v="3"/>
    <n v="5"/>
    <n v="3184"/>
    <n v="468478"/>
    <n v="147.13505025125627"/>
  </r>
  <r>
    <x v="309"/>
    <s v="Dec"/>
    <x v="5"/>
    <s v="634 Elm St"/>
    <x v="0"/>
    <x v="1"/>
    <n v="3"/>
    <n v="1149"/>
    <n v="180767"/>
    <n v="157.32550043516102"/>
  </r>
  <r>
    <x v="310"/>
    <s v="Jul"/>
    <x v="13"/>
    <s v="119 Maple Ave"/>
    <x v="0"/>
    <x v="1"/>
    <n v="2"/>
    <n v="2592"/>
    <n v="280295"/>
    <n v="108.13850308641975"/>
  </r>
  <r>
    <x v="311"/>
    <s v="Jan"/>
    <x v="13"/>
    <s v="467 Oak St"/>
    <x v="0"/>
    <x v="0"/>
    <n v="5"/>
    <n v="2154"/>
    <n v="281799"/>
    <n v="130.82590529247912"/>
  </r>
  <r>
    <x v="189"/>
    <s v="Dec"/>
    <x v="0"/>
    <s v="768 Pine Rd"/>
    <x v="4"/>
    <x v="2"/>
    <m/>
    <n v="2408"/>
    <n v="686376"/>
    <n v="285.03986710963454"/>
  </r>
  <r>
    <x v="312"/>
    <s v="Oct"/>
    <x v="5"/>
    <s v="528 Main St"/>
    <x v="3"/>
    <x v="0"/>
    <m/>
    <n v="1304"/>
    <n v="429420"/>
    <n v="329.30981595092027"/>
  </r>
  <r>
    <x v="313"/>
    <s v="Aug"/>
    <x v="10"/>
    <s v="722 Pine Rd"/>
    <x v="6"/>
    <x v="0"/>
    <n v="4"/>
    <n v="980"/>
    <n v="289161"/>
    <n v="295.0622448979592"/>
  </r>
  <r>
    <x v="314"/>
    <s v="Oct"/>
    <x v="7"/>
    <s v="755 Pine Rd"/>
    <x v="5"/>
    <x v="1"/>
    <m/>
    <n v="832"/>
    <n v="484704"/>
    <n v="582.57692307692309"/>
  </r>
  <r>
    <x v="315"/>
    <s v="Jul"/>
    <x v="11"/>
    <s v="348 Elm St"/>
    <x v="2"/>
    <x v="1"/>
    <n v="3"/>
    <n v="3130"/>
    <n v="227653"/>
    <n v="72.732587859424925"/>
  </r>
  <r>
    <x v="316"/>
    <s v="Dec"/>
    <x v="1"/>
    <s v="296 Pine Rd"/>
    <x v="0"/>
    <x v="1"/>
    <n v="4"/>
    <n v="3346"/>
    <n v="568187"/>
    <n v="169.81081888822476"/>
  </r>
  <r>
    <x v="317"/>
    <s v="Mar"/>
    <x v="8"/>
    <s v="888 Pine Rd"/>
    <x v="2"/>
    <x v="0"/>
    <m/>
    <n v="2557"/>
    <n v="653065"/>
    <n v="255.40281579976536"/>
  </r>
  <r>
    <x v="318"/>
    <s v="May"/>
    <x v="17"/>
    <s v="358 Maple Ave"/>
    <x v="5"/>
    <x v="1"/>
    <n v="4"/>
    <n v="3073"/>
    <n v="350755"/>
    <n v="114.14090465343313"/>
  </r>
  <r>
    <x v="319"/>
    <s v="Mar"/>
    <x v="15"/>
    <s v="293 Oak St"/>
    <x v="0"/>
    <x v="2"/>
    <m/>
    <n v="2349"/>
    <n v="258373"/>
    <n v="109.99276287782035"/>
  </r>
  <r>
    <x v="320"/>
    <s v="Mar"/>
    <x v="6"/>
    <s v="295 Maple Ave"/>
    <x v="1"/>
    <x v="0"/>
    <n v="3"/>
    <n v="2861"/>
    <m/>
    <n v="0"/>
  </r>
  <r>
    <x v="321"/>
    <s v="Feb"/>
    <x v="16"/>
    <s v="863 Pine Rd"/>
    <x v="0"/>
    <x v="0"/>
    <m/>
    <n v="1211"/>
    <n v="843437"/>
    <n v="696.47976878612712"/>
  </r>
  <r>
    <x v="322"/>
    <s v="Sep"/>
    <x v="11"/>
    <s v="258 Elm St"/>
    <x v="2"/>
    <x v="2"/>
    <m/>
    <n v="861"/>
    <n v="851259"/>
    <n v="988.68641114982574"/>
  </r>
  <r>
    <x v="323"/>
    <s v="Jul"/>
    <x v="18"/>
    <s v="347 Main St"/>
    <x v="4"/>
    <x v="2"/>
    <m/>
    <n v="3159"/>
    <n v="253323"/>
    <n v="80.190883190883184"/>
  </r>
  <r>
    <x v="324"/>
    <s v="Oct"/>
    <x v="18"/>
    <s v="822 Main St"/>
    <x v="6"/>
    <x v="3"/>
    <n v="4"/>
    <n v="3296"/>
    <n v="332963"/>
    <n v="101.02032766990291"/>
  </r>
  <r>
    <x v="325"/>
    <s v="Nov"/>
    <x v="5"/>
    <s v="873 Maple Ave"/>
    <x v="2"/>
    <x v="0"/>
    <n v="3"/>
    <n v="2695"/>
    <n v="203375"/>
    <n v="75.463821892393327"/>
  </r>
  <r>
    <x v="326"/>
    <s v="Nov"/>
    <x v="10"/>
    <s v="274 Elm St"/>
    <x v="6"/>
    <x v="2"/>
    <n v="4"/>
    <n v="2530"/>
    <n v="724323"/>
    <n v="286.29367588932809"/>
  </r>
  <r>
    <x v="327"/>
    <s v="Apr"/>
    <x v="7"/>
    <s v="123 Main St"/>
    <x v="6"/>
    <x v="1"/>
    <n v="5"/>
    <n v="1499"/>
    <n v="709612"/>
    <n v="473.39026017344895"/>
  </r>
  <r>
    <x v="328"/>
    <s v="Feb"/>
    <x v="0"/>
    <s v="929 Maple Ave"/>
    <x v="1"/>
    <x v="2"/>
    <n v="2"/>
    <n v="3224"/>
    <n v="568615"/>
    <n v="176.36941687344913"/>
  </r>
  <r>
    <x v="329"/>
    <s v="Jun"/>
    <x v="5"/>
    <s v="490 Maple Ave"/>
    <x v="2"/>
    <x v="2"/>
    <n v="4"/>
    <n v="1696"/>
    <n v="700419"/>
    <n v="412.9829009433962"/>
  </r>
  <r>
    <x v="330"/>
    <s v="May"/>
    <x v="1"/>
    <s v="822 Main St"/>
    <x v="2"/>
    <x v="2"/>
    <m/>
    <n v="1400"/>
    <n v="767478"/>
    <n v="548.19857142857143"/>
  </r>
  <r>
    <x v="331"/>
    <s v="Jun"/>
    <x v="0"/>
    <s v="529 Maple Ave"/>
    <x v="2"/>
    <x v="3"/>
    <m/>
    <n v="1713"/>
    <n v="692936"/>
    <n v="404.51605370694688"/>
  </r>
  <r>
    <x v="332"/>
    <s v="Sep"/>
    <x v="5"/>
    <s v="255 Maple Ave"/>
    <x v="5"/>
    <x v="0"/>
    <n v="5"/>
    <n v="1731"/>
    <n v="764200"/>
    <n v="441.47891392258811"/>
  </r>
  <r>
    <x v="333"/>
    <s v="May"/>
    <x v="14"/>
    <s v="767 Maple Ave"/>
    <x v="4"/>
    <x v="0"/>
    <n v="5"/>
    <n v="2741"/>
    <n v="888094"/>
    <n v="324.00364830353885"/>
  </r>
  <r>
    <x v="334"/>
    <s v="Mar"/>
    <x v="15"/>
    <s v="850 Pine Rd"/>
    <x v="6"/>
    <x v="3"/>
    <n v="5"/>
    <n v="1690"/>
    <n v="821395"/>
    <n v="486.03254437869822"/>
  </r>
  <r>
    <x v="335"/>
    <s v="Nov"/>
    <x v="11"/>
    <s v="373 Pine Rd"/>
    <x v="1"/>
    <x v="0"/>
    <n v="4"/>
    <n v="1805"/>
    <n v="559560"/>
    <n v="310.00554016620498"/>
  </r>
  <r>
    <x v="336"/>
    <s v="Dec"/>
    <x v="15"/>
    <s v="405 Maple Ave"/>
    <x v="6"/>
    <x v="0"/>
    <m/>
    <n v="3328"/>
    <n v="643537"/>
    <n v="193.37049278846155"/>
  </r>
  <r>
    <x v="337"/>
    <s v="Nov"/>
    <x v="4"/>
    <s v="125 Elm St"/>
    <x v="3"/>
    <x v="1"/>
    <n v="4"/>
    <n v="2222"/>
    <n v="300372"/>
    <n v="135.18091809180919"/>
  </r>
  <r>
    <x v="338"/>
    <s v="Aug"/>
    <x v="3"/>
    <s v="289 Pine Rd"/>
    <x v="4"/>
    <x v="2"/>
    <n v="2"/>
    <n v="2890"/>
    <n v="413913"/>
    <n v="143.22249134948098"/>
  </r>
  <r>
    <x v="339"/>
    <s v="Jul"/>
    <x v="16"/>
    <s v="406 Elm St"/>
    <x v="0"/>
    <x v="0"/>
    <m/>
    <n v="818"/>
    <n v="591872"/>
    <n v="723.55990220048898"/>
  </r>
  <r>
    <x v="340"/>
    <s v="Sep"/>
    <x v="6"/>
    <s v="852 Maple Ave"/>
    <x v="4"/>
    <x v="1"/>
    <m/>
    <n v="1356"/>
    <n v="830370"/>
    <n v="612.36725663716811"/>
  </r>
  <r>
    <x v="341"/>
    <s v="Sep"/>
    <x v="0"/>
    <s v="823 Oak St"/>
    <x v="0"/>
    <x v="3"/>
    <m/>
    <n v="2738"/>
    <n v="482971"/>
    <n v="176.3955441928415"/>
  </r>
  <r>
    <x v="239"/>
    <s v="Oct"/>
    <x v="3"/>
    <s v="306 Pine Rd"/>
    <x v="4"/>
    <x v="0"/>
    <m/>
    <n v="1706"/>
    <n v="861061"/>
    <n v="504.72508792497069"/>
  </r>
  <r>
    <x v="342"/>
    <s v="Aug"/>
    <x v="8"/>
    <s v="903 Maple Ave"/>
    <x v="5"/>
    <x v="1"/>
    <m/>
    <n v="1235"/>
    <n v="830649"/>
    <n v="672.59028340080977"/>
  </r>
  <r>
    <x v="343"/>
    <s v="Apr"/>
    <x v="11"/>
    <s v="445 Maple Ave"/>
    <x v="5"/>
    <x v="2"/>
    <m/>
    <n v="3055"/>
    <n v="162505"/>
    <n v="53.193126022913255"/>
  </r>
  <r>
    <x v="344"/>
    <s v="Nov"/>
    <x v="12"/>
    <s v="344 Pine Rd"/>
    <x v="0"/>
    <x v="2"/>
    <n v="5"/>
    <n v="957"/>
    <n v="753421"/>
    <n v="787.27377220480673"/>
  </r>
  <r>
    <x v="345"/>
    <s v="Jan"/>
    <x v="11"/>
    <s v="253 Main St"/>
    <x v="6"/>
    <x v="0"/>
    <n v="3"/>
    <n v="3323"/>
    <n v="193178"/>
    <n v="58.133614204032497"/>
  </r>
  <r>
    <x v="346"/>
    <s v="Jan"/>
    <x v="12"/>
    <s v="183 Maple Ave"/>
    <x v="6"/>
    <x v="3"/>
    <m/>
    <n v="1304"/>
    <n v="585518"/>
    <n v="449.01687116564415"/>
  </r>
  <r>
    <x v="347"/>
    <s v="Dec"/>
    <x v="3"/>
    <s v="290 Pine Rd"/>
    <x v="4"/>
    <x v="1"/>
    <m/>
    <n v="3075"/>
    <n v="826687"/>
    <n v="268.8413008130081"/>
  </r>
  <r>
    <x v="348"/>
    <s v="Feb"/>
    <x v="6"/>
    <s v="636 Pine Rd"/>
    <x v="6"/>
    <x v="2"/>
    <m/>
    <n v="909"/>
    <n v="522139"/>
    <n v="574.41034103410345"/>
  </r>
  <r>
    <x v="349"/>
    <s v="Oct"/>
    <x v="0"/>
    <s v="790 Maple Ave"/>
    <x v="0"/>
    <x v="0"/>
    <n v="4"/>
    <n v="2446"/>
    <n v="492391"/>
    <n v="201.3045789043336"/>
  </r>
  <r>
    <x v="350"/>
    <s v="Jul"/>
    <x v="14"/>
    <s v="515 Elm St"/>
    <x v="0"/>
    <x v="0"/>
    <m/>
    <n v="2212"/>
    <n v="554384"/>
    <n v="250.625678119349"/>
  </r>
  <r>
    <x v="351"/>
    <s v="Jun"/>
    <x v="17"/>
    <s v="970 Maple Ave"/>
    <x v="2"/>
    <x v="2"/>
    <m/>
    <n v="3000"/>
    <n v="291482"/>
    <n v="97.160666666666671"/>
  </r>
  <r>
    <x v="352"/>
    <s v="Sep"/>
    <x v="4"/>
    <s v="273 Maple Ave"/>
    <x v="6"/>
    <x v="0"/>
    <n v="5"/>
    <n v="1162"/>
    <n v="465415"/>
    <n v="400.5292598967298"/>
  </r>
  <r>
    <x v="353"/>
    <s v="Dec"/>
    <x v="8"/>
    <s v="914 Elm St"/>
    <x v="6"/>
    <x v="2"/>
    <n v="5"/>
    <n v="1784"/>
    <n v="153610"/>
    <n v="86.104260089686093"/>
  </r>
  <r>
    <x v="354"/>
    <s v="Oct"/>
    <x v="5"/>
    <s v="937 Main St"/>
    <x v="0"/>
    <x v="3"/>
    <n v="4"/>
    <n v="2799"/>
    <n v="383400"/>
    <n v="136.97749196141478"/>
  </r>
  <r>
    <x v="355"/>
    <s v="Aug"/>
    <x v="17"/>
    <s v="704 Oak St"/>
    <x v="2"/>
    <x v="0"/>
    <m/>
    <n v="1784"/>
    <n v="198588"/>
    <n v="111.31614349775785"/>
  </r>
  <r>
    <x v="356"/>
    <s v="Feb"/>
    <x v="16"/>
    <s v="499 Elm St"/>
    <x v="3"/>
    <x v="3"/>
    <n v="3"/>
    <n v="2696"/>
    <n v="355211"/>
    <n v="131.75482195845697"/>
  </r>
  <r>
    <x v="357"/>
    <s v="Feb"/>
    <x v="0"/>
    <s v="154 Maple Ave"/>
    <x v="4"/>
    <x v="0"/>
    <n v="4"/>
    <n v="3478"/>
    <n v="563224"/>
    <n v="161.93904542840713"/>
  </r>
  <r>
    <x v="358"/>
    <s v="Jul"/>
    <x v="6"/>
    <s v="165 Maple Ave"/>
    <x v="6"/>
    <x v="3"/>
    <n v="5"/>
    <n v="2190"/>
    <n v="247708"/>
    <n v="113.10867579908675"/>
  </r>
  <r>
    <x v="359"/>
    <s v="Jul"/>
    <x v="10"/>
    <s v="397 Oak St"/>
    <x v="5"/>
    <x v="3"/>
    <n v="4"/>
    <n v="3341"/>
    <n v="598528"/>
    <n v="179.14636336426219"/>
  </r>
  <r>
    <x v="360"/>
    <s v="Jul"/>
    <x v="16"/>
    <s v="687 Oak St"/>
    <x v="0"/>
    <x v="0"/>
    <n v="3"/>
    <n v="1205"/>
    <n v="567209"/>
    <n v="470.71286307053941"/>
  </r>
  <r>
    <x v="361"/>
    <s v="Apr"/>
    <x v="12"/>
    <s v="491 Maple Ave"/>
    <x v="5"/>
    <x v="1"/>
    <n v="4"/>
    <n v="3344"/>
    <n v="605042"/>
    <n v="180.93361244019138"/>
  </r>
  <r>
    <x v="362"/>
    <s v="Aug"/>
    <x v="19"/>
    <s v="907 Maple Ave"/>
    <x v="6"/>
    <x v="1"/>
    <n v="2"/>
    <n v="1643"/>
    <n v="470089"/>
    <n v="286.11625076080338"/>
  </r>
  <r>
    <x v="363"/>
    <s v="May"/>
    <x v="3"/>
    <s v="543 Oak St"/>
    <x v="6"/>
    <x v="0"/>
    <m/>
    <n v="2596"/>
    <n v="115163"/>
    <n v="44.361710323574734"/>
  </r>
  <r>
    <x v="364"/>
    <s v="Jul"/>
    <x v="6"/>
    <s v="902 Maple Ave"/>
    <x v="4"/>
    <x v="1"/>
    <n v="4"/>
    <n v="3355"/>
    <n v="768087"/>
    <n v="228.93800298062592"/>
  </r>
  <r>
    <x v="365"/>
    <s v="Apr"/>
    <x v="11"/>
    <s v="951 Elm St"/>
    <x v="1"/>
    <x v="1"/>
    <n v="4"/>
    <n v="2082"/>
    <n v="322799"/>
    <n v="155.04274735830933"/>
  </r>
  <r>
    <x v="366"/>
    <s v="Jul"/>
    <x v="15"/>
    <s v="513 Elm St"/>
    <x v="6"/>
    <x v="3"/>
    <n v="2"/>
    <n v="1594"/>
    <n v="382221"/>
    <n v="239.78732747804267"/>
  </r>
  <r>
    <x v="367"/>
    <s v="Aug"/>
    <x v="16"/>
    <s v="532 Main St"/>
    <x v="6"/>
    <x v="3"/>
    <m/>
    <n v="2487"/>
    <n v="568070"/>
    <n v="228.41576196220345"/>
  </r>
  <r>
    <x v="368"/>
    <s v="Oct"/>
    <x v="17"/>
    <s v="741 Maple Ave"/>
    <x v="0"/>
    <x v="2"/>
    <n v="5"/>
    <n v="831"/>
    <n v="523920"/>
    <n v="630.46931407942236"/>
  </r>
  <r>
    <x v="369"/>
    <s v="Feb"/>
    <x v="7"/>
    <s v="143 Pine Rd"/>
    <x v="3"/>
    <x v="3"/>
    <n v="2"/>
    <n v="1869"/>
    <n v="707615"/>
    <n v="378.60620652755483"/>
  </r>
  <r>
    <x v="370"/>
    <s v="Nov"/>
    <x v="6"/>
    <s v="326 Pine Rd"/>
    <x v="4"/>
    <x v="0"/>
    <m/>
    <n v="2813"/>
    <n v="803390"/>
    <n v="285.59900462140064"/>
  </r>
  <r>
    <x v="371"/>
    <s v="Aug"/>
    <x v="1"/>
    <s v="436 Main St"/>
    <x v="4"/>
    <x v="0"/>
    <n v="2"/>
    <n v="1555"/>
    <n v="233620"/>
    <n v="150.2379421221865"/>
  </r>
  <r>
    <x v="372"/>
    <s v="Jul"/>
    <x v="5"/>
    <s v="138 Maple Ave"/>
    <x v="6"/>
    <x v="3"/>
    <n v="3"/>
    <n v="1996"/>
    <n v="847880"/>
    <n v="424.78957915831666"/>
  </r>
  <r>
    <x v="373"/>
    <s v="Dec"/>
    <x v="1"/>
    <s v="296 Pine Rd"/>
    <x v="5"/>
    <x v="1"/>
    <n v="5"/>
    <n v="3275"/>
    <n v="579238"/>
    <n v="176.86656488549619"/>
  </r>
  <r>
    <x v="374"/>
    <s v="Oct"/>
    <x v="16"/>
    <s v="514 Maple Ave"/>
    <x v="4"/>
    <x v="2"/>
    <n v="3"/>
    <n v="3058"/>
    <n v="395056"/>
    <n v="129.18770438194898"/>
  </r>
  <r>
    <x v="375"/>
    <s v="Jun"/>
    <x v="12"/>
    <s v="250 Main St"/>
    <x v="3"/>
    <x v="0"/>
    <n v="4"/>
    <n v="3047"/>
    <n v="590574"/>
    <n v="193.82146373482112"/>
  </r>
  <r>
    <x v="376"/>
    <s v="Sep"/>
    <x v="5"/>
    <s v="209 Maple Ave"/>
    <x v="6"/>
    <x v="1"/>
    <n v="5"/>
    <n v="1892"/>
    <n v="681634"/>
    <n v="360.27167019027485"/>
  </r>
  <r>
    <x v="377"/>
    <s v="Jan"/>
    <x v="4"/>
    <s v="530 Pine Rd"/>
    <x v="6"/>
    <x v="3"/>
    <n v="2"/>
    <n v="2329"/>
    <n v="224469"/>
    <n v="96.37999141262344"/>
  </r>
  <r>
    <x v="378"/>
    <s v="Jan"/>
    <x v="19"/>
    <s v="580 Main St"/>
    <x v="0"/>
    <x v="2"/>
    <m/>
    <n v="1126"/>
    <n v="579094"/>
    <n v="514.2930728241563"/>
  </r>
  <r>
    <x v="379"/>
    <s v="Jan"/>
    <x v="4"/>
    <s v="913 Maple Ave"/>
    <x v="6"/>
    <x v="0"/>
    <m/>
    <n v="3378"/>
    <n v="325956"/>
    <n v="96.493783303730012"/>
  </r>
  <r>
    <x v="380"/>
    <s v="Mar"/>
    <x v="19"/>
    <s v="430 Maple Ave"/>
    <x v="4"/>
    <x v="0"/>
    <n v="2"/>
    <n v="1758"/>
    <n v="205338"/>
    <n v="116.80204778156997"/>
  </r>
  <r>
    <x v="11"/>
    <s v="Dec"/>
    <x v="8"/>
    <s v="767 Maple Ave"/>
    <x v="0"/>
    <x v="2"/>
    <n v="2"/>
    <n v="1803"/>
    <n v="486522"/>
    <n v="269.8402662229617"/>
  </r>
  <r>
    <x v="381"/>
    <s v="Oct"/>
    <x v="17"/>
    <s v="296 Maple Ave"/>
    <x v="6"/>
    <x v="2"/>
    <n v="3"/>
    <n v="2467"/>
    <n v="202374"/>
    <n v="82.032428050263476"/>
  </r>
  <r>
    <x v="382"/>
    <s v="Oct"/>
    <x v="16"/>
    <s v="889 Maple Ave"/>
    <x v="6"/>
    <x v="3"/>
    <n v="3"/>
    <n v="2552"/>
    <n v="303627"/>
    <n v="118.97609717868339"/>
  </r>
  <r>
    <x v="383"/>
    <s v="Jun"/>
    <x v="6"/>
    <s v="489 Pine Rd"/>
    <x v="0"/>
    <x v="0"/>
    <n v="5"/>
    <n v="2897"/>
    <n v="746507"/>
    <n v="257.68277528477734"/>
  </r>
  <r>
    <x v="384"/>
    <s v="Jun"/>
    <x v="3"/>
    <s v="187 Pine Rd"/>
    <x v="4"/>
    <x v="3"/>
    <n v="4"/>
    <n v="1023"/>
    <n v="853784"/>
    <n v="834.58846529814275"/>
  </r>
  <r>
    <x v="385"/>
    <s v="Oct"/>
    <x v="19"/>
    <s v="530 Pine Rd"/>
    <x v="2"/>
    <x v="2"/>
    <n v="5"/>
    <n v="3457"/>
    <n v="316439"/>
    <n v="91.535724616719705"/>
  </r>
  <r>
    <x v="386"/>
    <s v="Jul"/>
    <x v="6"/>
    <s v="858 Main St"/>
    <x v="2"/>
    <x v="1"/>
    <n v="3"/>
    <n v="909"/>
    <n v="785065"/>
    <n v="863.65786578657867"/>
  </r>
  <r>
    <x v="387"/>
    <s v="Dec"/>
    <x v="7"/>
    <s v="875 Elm St"/>
    <x v="1"/>
    <x v="0"/>
    <m/>
    <n v="2781"/>
    <n v="847032"/>
    <n v="304.57820927723839"/>
  </r>
  <r>
    <x v="112"/>
    <s v="Nov"/>
    <x v="8"/>
    <s v="537 Oak St"/>
    <x v="1"/>
    <x v="3"/>
    <m/>
    <n v="999"/>
    <n v="572211"/>
    <n v="572.78378378378375"/>
  </r>
  <r>
    <x v="388"/>
    <s v="Dec"/>
    <x v="16"/>
    <s v="763 Maple Ave"/>
    <x v="6"/>
    <x v="0"/>
    <n v="4"/>
    <n v="1160"/>
    <m/>
    <n v="0"/>
  </r>
  <r>
    <x v="389"/>
    <s v="Jan"/>
    <x v="17"/>
    <s v="417 Elm St"/>
    <x v="4"/>
    <x v="0"/>
    <n v="2"/>
    <n v="2327"/>
    <n v="598432"/>
    <n v="257.16888697894285"/>
  </r>
  <r>
    <x v="390"/>
    <s v="Dec"/>
    <x v="4"/>
    <s v="896 Elm St"/>
    <x v="4"/>
    <x v="1"/>
    <n v="5"/>
    <n v="1118"/>
    <n v="382523"/>
    <n v="342.14937388193204"/>
  </r>
  <r>
    <x v="391"/>
    <s v="Dec"/>
    <x v="4"/>
    <s v="294 Pine Rd"/>
    <x v="6"/>
    <x v="3"/>
    <n v="4"/>
    <n v="844"/>
    <n v="659803"/>
    <n v="781.75710900473939"/>
  </r>
  <r>
    <x v="392"/>
    <s v="Jan"/>
    <x v="14"/>
    <s v="574 Maple Ave"/>
    <x v="0"/>
    <x v="2"/>
    <m/>
    <n v="2690"/>
    <n v="686557"/>
    <n v="255.22565055762081"/>
  </r>
  <r>
    <x v="393"/>
    <s v="Jul"/>
    <x v="15"/>
    <s v="573 Oak St"/>
    <x v="4"/>
    <x v="2"/>
    <n v="4"/>
    <n v="1753"/>
    <n v="414067"/>
    <n v="236.20479178551057"/>
  </r>
  <r>
    <x v="394"/>
    <s v="Apr"/>
    <x v="4"/>
    <s v="669 Oak St"/>
    <x v="6"/>
    <x v="0"/>
    <m/>
    <n v="3102"/>
    <n v="252612"/>
    <n v="81.435203094777563"/>
  </r>
  <r>
    <x v="395"/>
    <s v="Feb"/>
    <x v="17"/>
    <s v="736 Maple Ave"/>
    <x v="4"/>
    <x v="0"/>
    <n v="3"/>
    <n v="2541"/>
    <n v="458413"/>
    <n v="180.40653286107832"/>
  </r>
  <r>
    <x v="396"/>
    <s v="Mar"/>
    <x v="3"/>
    <s v="525 Oak St"/>
    <x v="5"/>
    <x v="1"/>
    <n v="4"/>
    <n v="2819"/>
    <m/>
    <n v="0"/>
  </r>
  <r>
    <x v="397"/>
    <s v="Aug"/>
    <x v="9"/>
    <s v="324 Main St"/>
    <x v="6"/>
    <x v="1"/>
    <n v="2"/>
    <n v="932"/>
    <n v="858237"/>
    <n v="920.8551502145923"/>
  </r>
  <r>
    <x v="398"/>
    <s v="Mar"/>
    <x v="10"/>
    <s v="571 Main St"/>
    <x v="5"/>
    <x v="0"/>
    <n v="3"/>
    <n v="1642"/>
    <n v="455337"/>
    <n v="277.30633373934228"/>
  </r>
  <r>
    <x v="399"/>
    <s v="Mar"/>
    <x v="19"/>
    <s v="797 Oak St"/>
    <x v="2"/>
    <x v="1"/>
    <m/>
    <n v="1523"/>
    <n v="691687"/>
    <n v="454.1608667104399"/>
  </r>
  <r>
    <x v="400"/>
    <s v="Dec"/>
    <x v="17"/>
    <s v="624 Maple Ave"/>
    <x v="4"/>
    <x v="2"/>
    <m/>
    <n v="3393"/>
    <n v="266572"/>
    <n v="78.56528146183318"/>
  </r>
  <r>
    <x v="401"/>
    <s v="Jul"/>
    <x v="9"/>
    <s v="824 Maple Ave"/>
    <x v="1"/>
    <x v="3"/>
    <n v="4"/>
    <n v="1771"/>
    <n v="556279"/>
    <n v="314.10446075663469"/>
  </r>
  <r>
    <x v="402"/>
    <s v="Jul"/>
    <x v="19"/>
    <s v="682 Maple Ave"/>
    <x v="6"/>
    <x v="0"/>
    <n v="5"/>
    <n v="3248"/>
    <n v="876330"/>
    <n v="269.80603448275861"/>
  </r>
  <r>
    <x v="403"/>
    <s v="Oct"/>
    <x v="18"/>
    <s v="783 Elm St"/>
    <x v="4"/>
    <x v="2"/>
    <n v="3"/>
    <n v="2832"/>
    <n v="288613"/>
    <n v="101.91137005649718"/>
  </r>
  <r>
    <x v="156"/>
    <s v="Oct"/>
    <x v="0"/>
    <s v="995 Maple Ave"/>
    <x v="0"/>
    <x v="1"/>
    <m/>
    <n v="1886"/>
    <n v="423200"/>
    <n v="224.39024390243901"/>
  </r>
  <r>
    <x v="404"/>
    <s v="Dec"/>
    <x v="7"/>
    <s v="735 Oak St"/>
    <x v="6"/>
    <x v="2"/>
    <n v="2"/>
    <n v="1911"/>
    <n v="433093"/>
    <n v="226.63160648874936"/>
  </r>
  <r>
    <x v="405"/>
    <s v="Aug"/>
    <x v="16"/>
    <s v="680 Maple Ave"/>
    <x v="5"/>
    <x v="3"/>
    <m/>
    <n v="3493"/>
    <n v="715930"/>
    <n v="204.96135127397653"/>
  </r>
  <r>
    <x v="406"/>
    <s v="Mar"/>
    <x v="8"/>
    <s v="991 Oak St"/>
    <x v="4"/>
    <x v="2"/>
    <n v="4"/>
    <n v="3069"/>
    <n v="167362"/>
    <n v="54.533072662104921"/>
  </r>
  <r>
    <x v="407"/>
    <s v="Jul"/>
    <x v="0"/>
    <s v="266 Oak St"/>
    <x v="4"/>
    <x v="1"/>
    <m/>
    <n v="2533"/>
    <n v="827172"/>
    <n v="326.55823134622977"/>
  </r>
  <r>
    <x v="408"/>
    <s v="May"/>
    <x v="15"/>
    <s v="847 Elm St"/>
    <x v="0"/>
    <x v="1"/>
    <m/>
    <n v="2815"/>
    <n v="449078"/>
    <n v="159.53037300177621"/>
  </r>
  <r>
    <x v="409"/>
    <s v="Oct"/>
    <x v="15"/>
    <s v="849 Oak St"/>
    <x v="0"/>
    <x v="0"/>
    <n v="5"/>
    <n v="1920"/>
    <n v="466304"/>
    <n v="242.86666666666667"/>
  </r>
  <r>
    <x v="410"/>
    <s v="Jun"/>
    <x v="7"/>
    <s v="168 Oak St"/>
    <x v="6"/>
    <x v="2"/>
    <n v="3"/>
    <n v="1003"/>
    <n v="242342"/>
    <n v="241.61714855433698"/>
  </r>
  <r>
    <x v="411"/>
    <s v="Nov"/>
    <x v="0"/>
    <s v="765 Maple Ave"/>
    <x v="0"/>
    <x v="2"/>
    <n v="3"/>
    <n v="2226"/>
    <n v="749747"/>
    <n v="336.81356693620842"/>
  </r>
  <r>
    <x v="412"/>
    <s v="Jun"/>
    <x v="5"/>
    <s v="619 Pine Rd"/>
    <x v="5"/>
    <x v="0"/>
    <n v="5"/>
    <n v="2321"/>
    <n v="880354"/>
    <n v="379.29943989659631"/>
  </r>
  <r>
    <x v="340"/>
    <s v="Sep"/>
    <x v="6"/>
    <s v="586 Elm St"/>
    <x v="4"/>
    <x v="0"/>
    <n v="4"/>
    <n v="3192"/>
    <n v="436889"/>
    <n v="136.86998746867167"/>
  </r>
  <r>
    <x v="413"/>
    <s v="Apr"/>
    <x v="12"/>
    <s v="466 Oak St"/>
    <x v="0"/>
    <x v="1"/>
    <m/>
    <n v="1553"/>
    <n v="823016"/>
    <n v="529.95235028976174"/>
  </r>
  <r>
    <x v="414"/>
    <s v="Nov"/>
    <x v="5"/>
    <s v="883 Pine Rd"/>
    <x v="0"/>
    <x v="3"/>
    <n v="4"/>
    <n v="1758"/>
    <n v="266600"/>
    <n v="151.6496018202503"/>
  </r>
  <r>
    <x v="415"/>
    <s v="Sep"/>
    <x v="10"/>
    <s v="360 Oak St"/>
    <x v="0"/>
    <x v="0"/>
    <m/>
    <n v="1744"/>
    <n v="709045"/>
    <n v="406.5625"/>
  </r>
  <r>
    <x v="416"/>
    <s v="May"/>
    <x v="4"/>
    <s v="629 Maple Ave"/>
    <x v="2"/>
    <x v="2"/>
    <n v="2"/>
    <n v="2217"/>
    <n v="721028"/>
    <n v="325.22688317546232"/>
  </r>
  <r>
    <x v="417"/>
    <s v="Jul"/>
    <x v="11"/>
    <s v="890 Maple Ave"/>
    <x v="4"/>
    <x v="2"/>
    <m/>
    <n v="2898"/>
    <n v="195712"/>
    <n v="67.53347135955832"/>
  </r>
  <r>
    <x v="418"/>
    <s v="Mar"/>
    <x v="2"/>
    <s v="220 Oak St"/>
    <x v="3"/>
    <x v="1"/>
    <n v="2"/>
    <n v="3402"/>
    <n v="886140"/>
    <n v="260.47619047619048"/>
  </r>
  <r>
    <x v="419"/>
    <s v="Feb"/>
    <x v="14"/>
    <s v="665 Elm St"/>
    <x v="6"/>
    <x v="1"/>
    <m/>
    <n v="2397"/>
    <n v="518903"/>
    <n v="216.48018356278681"/>
  </r>
  <r>
    <x v="420"/>
    <s v="Jul"/>
    <x v="13"/>
    <s v="258 Pine Rd"/>
    <x v="6"/>
    <x v="1"/>
    <m/>
    <n v="1704"/>
    <n v="665074"/>
    <n v="390.30164319248826"/>
  </r>
  <r>
    <x v="421"/>
    <s v="Oct"/>
    <x v="13"/>
    <s v="417 Pine Rd"/>
    <x v="4"/>
    <x v="0"/>
    <m/>
    <n v="3342"/>
    <n v="300620"/>
    <n v="89.952124476361462"/>
  </r>
  <r>
    <x v="422"/>
    <s v="May"/>
    <x v="0"/>
    <s v="793 Oak St"/>
    <x v="0"/>
    <x v="1"/>
    <m/>
    <n v="3254"/>
    <n v="368137"/>
    <n v="113.13368162261831"/>
  </r>
  <r>
    <x v="423"/>
    <s v="May"/>
    <x v="1"/>
    <s v="778 Maple Ave"/>
    <x v="0"/>
    <x v="2"/>
    <m/>
    <n v="1427"/>
    <n v="551720"/>
    <n v="386.62929222144356"/>
  </r>
  <r>
    <x v="424"/>
    <s v="Mar"/>
    <x v="19"/>
    <s v="883 Main St"/>
    <x v="5"/>
    <x v="0"/>
    <m/>
    <n v="928"/>
    <n v="602969"/>
    <n v="649.75107758620686"/>
  </r>
  <r>
    <x v="425"/>
    <s v="Dec"/>
    <x v="11"/>
    <s v="557 Pine Rd"/>
    <x v="4"/>
    <x v="3"/>
    <n v="3"/>
    <n v="2745"/>
    <n v="899764"/>
    <n v="327.78287795992713"/>
  </r>
  <r>
    <x v="426"/>
    <s v="Nov"/>
    <x v="3"/>
    <s v="442 Elm St"/>
    <x v="1"/>
    <x v="0"/>
    <n v="5"/>
    <n v="1968"/>
    <n v="273661"/>
    <n v="139.0553861788618"/>
  </r>
  <r>
    <x v="427"/>
    <s v="Jun"/>
    <x v="3"/>
    <s v="141 Elm St"/>
    <x v="1"/>
    <x v="0"/>
    <m/>
    <n v="2514"/>
    <n v="838529"/>
    <n v="333.54375497215591"/>
  </r>
  <r>
    <x v="428"/>
    <s v="Jun"/>
    <x v="5"/>
    <s v="211 Maple Ave"/>
    <x v="6"/>
    <x v="0"/>
    <m/>
    <n v="3449"/>
    <n v="632319"/>
    <n v="183.33400985792983"/>
  </r>
  <r>
    <x v="429"/>
    <s v="Nov"/>
    <x v="13"/>
    <s v="917 Maple Ave"/>
    <x v="3"/>
    <x v="3"/>
    <m/>
    <n v="2021"/>
    <n v="614558"/>
    <n v="304.08609599208313"/>
  </r>
  <r>
    <x v="430"/>
    <s v="Dec"/>
    <x v="5"/>
    <s v="954 Oak St"/>
    <x v="6"/>
    <x v="3"/>
    <m/>
    <n v="955"/>
    <n v="730684"/>
    <n v="765.11413612565445"/>
  </r>
  <r>
    <x v="431"/>
    <s v="Oct"/>
    <x v="4"/>
    <s v="915 Elm St"/>
    <x v="4"/>
    <x v="1"/>
    <m/>
    <n v="825"/>
    <n v="460801"/>
    <n v="558.54666666666662"/>
  </r>
  <r>
    <x v="432"/>
    <s v="May"/>
    <x v="9"/>
    <s v="614 Pine Rd"/>
    <x v="1"/>
    <x v="3"/>
    <n v="2"/>
    <n v="907"/>
    <n v="339747"/>
    <n v="374.58324145534732"/>
  </r>
  <r>
    <x v="433"/>
    <s v="Apr"/>
    <x v="4"/>
    <s v="521 Oak St"/>
    <x v="4"/>
    <x v="1"/>
    <n v="4"/>
    <n v="1227"/>
    <n v="771595"/>
    <n v="628.84678076609612"/>
  </r>
  <r>
    <x v="333"/>
    <s v="May"/>
    <x v="14"/>
    <s v="488 Maple Ave"/>
    <x v="0"/>
    <x v="0"/>
    <n v="3"/>
    <n v="3143"/>
    <n v="839484"/>
    <n v="267.09640470887689"/>
  </r>
  <r>
    <x v="434"/>
    <s v="Aug"/>
    <x v="6"/>
    <s v="753 Pine Rd"/>
    <x v="0"/>
    <x v="1"/>
    <m/>
    <n v="2649"/>
    <n v="843885"/>
    <n v="318.56738391845977"/>
  </r>
  <r>
    <x v="435"/>
    <s v="Oct"/>
    <x v="3"/>
    <s v="719 Pine Rd"/>
    <x v="5"/>
    <x v="0"/>
    <n v="3"/>
    <n v="1518"/>
    <n v="872114"/>
    <n v="574.5151515151515"/>
  </r>
  <r>
    <x v="436"/>
    <s v="Dec"/>
    <x v="15"/>
    <s v="513 Elm St"/>
    <x v="5"/>
    <x v="1"/>
    <n v="3"/>
    <n v="1473"/>
    <n v="861515"/>
    <n v="584.87101154107268"/>
  </r>
  <r>
    <x v="437"/>
    <s v="Apr"/>
    <x v="2"/>
    <s v="791 Main St"/>
    <x v="6"/>
    <x v="3"/>
    <m/>
    <n v="2921"/>
    <n v="817909"/>
    <n v="280.00992810681271"/>
  </r>
  <r>
    <x v="438"/>
    <s v="Oct"/>
    <x v="19"/>
    <s v="756 Oak St"/>
    <x v="3"/>
    <x v="2"/>
    <m/>
    <n v="2548"/>
    <n v="313173"/>
    <n v="122.90934065934066"/>
  </r>
  <r>
    <x v="334"/>
    <s v="Mar"/>
    <x v="15"/>
    <s v="869 Main St"/>
    <x v="6"/>
    <x v="0"/>
    <n v="2"/>
    <n v="2309"/>
    <n v="212572"/>
    <n v="92.062364660025992"/>
  </r>
  <r>
    <x v="439"/>
    <s v="Jul"/>
    <x v="1"/>
    <s v="430 Elm St"/>
    <x v="6"/>
    <x v="2"/>
    <m/>
    <n v="3414"/>
    <n v="430938"/>
    <n v="126.22671353251319"/>
  </r>
  <r>
    <x v="440"/>
    <s v="Oct"/>
    <x v="10"/>
    <s v="346 Maple Ave"/>
    <x v="0"/>
    <x v="2"/>
    <n v="4"/>
    <n v="1542"/>
    <n v="427421"/>
    <n v="277.18612191958493"/>
  </r>
  <r>
    <x v="441"/>
    <s v="May"/>
    <x v="16"/>
    <s v="455 Oak St"/>
    <x v="2"/>
    <x v="3"/>
    <n v="3"/>
    <n v="1496"/>
    <n v="327855"/>
    <n v="219.15441176470588"/>
  </r>
  <r>
    <x v="442"/>
    <s v="Sep"/>
    <x v="19"/>
    <s v="745 Elm St"/>
    <x v="5"/>
    <x v="3"/>
    <m/>
    <n v="3313"/>
    <n v="285145"/>
    <n v="86.068517959553276"/>
  </r>
  <r>
    <x v="143"/>
    <s v="Jun"/>
    <x v="2"/>
    <s v="290 Oak St"/>
    <x v="5"/>
    <x v="1"/>
    <m/>
    <n v="2946"/>
    <n v="155045"/>
    <n v="52.62898845892736"/>
  </r>
  <r>
    <x v="443"/>
    <s v="Jul"/>
    <x v="8"/>
    <s v="927 Elm St"/>
    <x v="4"/>
    <x v="1"/>
    <n v="3"/>
    <n v="2761"/>
    <n v="295471"/>
    <n v="107.01593625498008"/>
  </r>
  <r>
    <x v="444"/>
    <s v="Oct"/>
    <x v="12"/>
    <s v="758 Elm St"/>
    <x v="1"/>
    <x v="1"/>
    <m/>
    <n v="1905"/>
    <n v="343073"/>
    <n v="180.09081364829396"/>
  </r>
  <r>
    <x v="55"/>
    <s v="Jan"/>
    <x v="14"/>
    <s v="838 Oak St"/>
    <x v="0"/>
    <x v="2"/>
    <n v="2"/>
    <n v="3120"/>
    <n v="559369"/>
    <n v="179.2849358974359"/>
  </r>
  <r>
    <x v="445"/>
    <s v="Jan"/>
    <x v="11"/>
    <s v="457 Oak St"/>
    <x v="0"/>
    <x v="0"/>
    <m/>
    <n v="1658"/>
    <n v="605992"/>
    <n v="365.49577804583834"/>
  </r>
  <r>
    <x v="446"/>
    <s v="Nov"/>
    <x v="2"/>
    <s v="750 Elm St"/>
    <x v="4"/>
    <x v="2"/>
    <n v="3"/>
    <n v="2156"/>
    <n v="491869"/>
    <n v="228.1396103896104"/>
  </r>
  <r>
    <x v="447"/>
    <s v="Aug"/>
    <x v="17"/>
    <s v="819 Oak St"/>
    <x v="1"/>
    <x v="1"/>
    <m/>
    <n v="1065"/>
    <n v="242573"/>
    <n v="227.7680751173709"/>
  </r>
  <r>
    <x v="448"/>
    <s v="Jan"/>
    <x v="11"/>
    <s v="230 Elm St"/>
    <x v="2"/>
    <x v="0"/>
    <n v="2"/>
    <n v="2520"/>
    <n v="385386"/>
    <n v="152.93095238095239"/>
  </r>
  <r>
    <x v="449"/>
    <s v="May"/>
    <x v="15"/>
    <s v="253 Main St"/>
    <x v="4"/>
    <x v="0"/>
    <n v="5"/>
    <n v="1095"/>
    <n v="785843"/>
    <n v="717.66484018264839"/>
  </r>
  <r>
    <x v="450"/>
    <s v="May"/>
    <x v="3"/>
    <s v="846 Main St"/>
    <x v="6"/>
    <x v="3"/>
    <n v="3"/>
    <n v="1981"/>
    <n v="155969"/>
    <n v="78.732458354366486"/>
  </r>
  <r>
    <x v="451"/>
    <s v="Apr"/>
    <x v="12"/>
    <s v="456 Main St"/>
    <x v="5"/>
    <x v="0"/>
    <n v="4"/>
    <n v="1605"/>
    <n v="707057"/>
    <n v="440.53395638629286"/>
  </r>
  <r>
    <x v="452"/>
    <s v="Feb"/>
    <x v="16"/>
    <s v="799 Elm St"/>
    <x v="5"/>
    <x v="0"/>
    <n v="3"/>
    <n v="2065"/>
    <n v="600588"/>
    <n v="290.84164648910411"/>
  </r>
  <r>
    <x v="453"/>
    <s v="Sep"/>
    <x v="8"/>
    <s v="391 Elm St"/>
    <x v="3"/>
    <x v="1"/>
    <m/>
    <n v="2746"/>
    <n v="485731"/>
    <n v="176.88674435542606"/>
  </r>
  <r>
    <x v="454"/>
    <s v="Jan"/>
    <x v="5"/>
    <s v="790 Pine Rd"/>
    <x v="4"/>
    <x v="1"/>
    <n v="5"/>
    <n v="1148"/>
    <n v="592942"/>
    <n v="516.5"/>
  </r>
  <r>
    <x v="411"/>
    <s v="Nov"/>
    <x v="0"/>
    <s v="207 Pine Rd"/>
    <x v="0"/>
    <x v="2"/>
    <m/>
    <n v="1155"/>
    <n v="559398"/>
    <n v="484.32727272727271"/>
  </r>
  <r>
    <x v="455"/>
    <s v="Aug"/>
    <x v="6"/>
    <s v="969 Elm St"/>
    <x v="6"/>
    <x v="0"/>
    <m/>
    <n v="1211"/>
    <n v="678546"/>
    <n v="560.31874483897604"/>
  </r>
  <r>
    <x v="456"/>
    <s v="Oct"/>
    <x v="2"/>
    <s v="713 Pine Rd"/>
    <x v="5"/>
    <x v="2"/>
    <n v="2"/>
    <n v="1743"/>
    <n v="260724"/>
    <n v="149.58347676419965"/>
  </r>
  <r>
    <x v="457"/>
    <s v="Jul"/>
    <x v="9"/>
    <s v="447 Elm St"/>
    <x v="4"/>
    <x v="3"/>
    <n v="3"/>
    <n v="912"/>
    <n v="299529"/>
    <n v="328.43092105263156"/>
  </r>
  <r>
    <x v="458"/>
    <s v="Oct"/>
    <x v="18"/>
    <s v="146 Oak St"/>
    <x v="6"/>
    <x v="1"/>
    <m/>
    <n v="2490"/>
    <n v="881682"/>
    <n v="354.089156626506"/>
  </r>
  <r>
    <x v="459"/>
    <s v="Nov"/>
    <x v="12"/>
    <s v="666 Elm St"/>
    <x v="0"/>
    <x v="0"/>
    <m/>
    <n v="3141"/>
    <n v="179872"/>
    <n v="57.265838904807389"/>
  </r>
  <r>
    <x v="460"/>
    <s v="Jun"/>
    <x v="10"/>
    <s v="914 Oak St"/>
    <x v="5"/>
    <x v="0"/>
    <m/>
    <n v="2839"/>
    <n v="497465"/>
    <n v="175.22543148996127"/>
  </r>
  <r>
    <x v="461"/>
    <s v="Oct"/>
    <x v="13"/>
    <s v="818 Main St"/>
    <x v="1"/>
    <x v="0"/>
    <m/>
    <n v="1304"/>
    <n v="441885"/>
    <n v="338.86886503067484"/>
  </r>
  <r>
    <x v="462"/>
    <s v="Jan"/>
    <x v="17"/>
    <s v="578 Elm St"/>
    <x v="2"/>
    <x v="2"/>
    <n v="5"/>
    <n v="2432"/>
    <n v="155689"/>
    <n v="64.016858552631575"/>
  </r>
  <r>
    <x v="463"/>
    <s v="Oct"/>
    <x v="17"/>
    <s v="530 Main St"/>
    <x v="1"/>
    <x v="0"/>
    <n v="5"/>
    <n v="3323"/>
    <n v="217285"/>
    <n v="65.388203430634974"/>
  </r>
  <r>
    <x v="464"/>
    <s v="Sep"/>
    <x v="17"/>
    <s v="572 Pine Rd"/>
    <x v="0"/>
    <x v="2"/>
    <m/>
    <n v="1622"/>
    <n v="592913"/>
    <n v="365.54438964241677"/>
  </r>
  <r>
    <x v="465"/>
    <s v="Apr"/>
    <x v="6"/>
    <s v="747 Maple Ave"/>
    <x v="4"/>
    <x v="2"/>
    <n v="2"/>
    <n v="1265"/>
    <n v="733134"/>
    <n v="579.55256916996052"/>
  </r>
  <r>
    <x v="466"/>
    <s v="Aug"/>
    <x v="18"/>
    <s v="239 Oak St"/>
    <x v="1"/>
    <x v="3"/>
    <n v="2"/>
    <n v="2840"/>
    <n v="875669"/>
    <n v="308.33415492957744"/>
  </r>
  <r>
    <x v="467"/>
    <s v="Jan"/>
    <x v="18"/>
    <s v="884 Pine Rd"/>
    <x v="6"/>
    <x v="0"/>
    <n v="2"/>
    <n v="2845"/>
    <m/>
    <n v="0"/>
  </r>
  <r>
    <x v="468"/>
    <s v="Apr"/>
    <x v="1"/>
    <s v="610 Oak St"/>
    <x v="6"/>
    <x v="2"/>
    <n v="5"/>
    <n v="2897"/>
    <n v="227752"/>
    <n v="78.616499827407665"/>
  </r>
  <r>
    <x v="469"/>
    <s v="Mar"/>
    <x v="4"/>
    <s v="110 Elm St"/>
    <x v="0"/>
    <x v="0"/>
    <n v="5"/>
    <n v="1786"/>
    <n v="312154"/>
    <n v="174.77827547592386"/>
  </r>
  <r>
    <x v="470"/>
    <s v="Oct"/>
    <x v="16"/>
    <s v="917 Pine Rd"/>
    <x v="5"/>
    <x v="2"/>
    <m/>
    <n v="2198"/>
    <n v="622394"/>
    <n v="283.16378525932669"/>
  </r>
  <r>
    <x v="471"/>
    <s v="Oct"/>
    <x v="16"/>
    <s v="947 Oak St"/>
    <x v="4"/>
    <x v="2"/>
    <n v="2"/>
    <n v="2153"/>
    <n v="703992"/>
    <n v="326.98188574082673"/>
  </r>
  <r>
    <x v="472"/>
    <s v="Jul"/>
    <x v="9"/>
    <s v="976 Maple Ave"/>
    <x v="3"/>
    <x v="1"/>
    <m/>
    <n v="1834"/>
    <n v="170099"/>
    <n v="92.747546346782983"/>
  </r>
  <r>
    <x v="473"/>
    <s v="Sep"/>
    <x v="4"/>
    <s v="510 Elm St"/>
    <x v="6"/>
    <x v="3"/>
    <n v="3"/>
    <n v="1786"/>
    <n v="517481"/>
    <n v="289.7430011198208"/>
  </r>
  <r>
    <x v="433"/>
    <s v="Apr"/>
    <x v="4"/>
    <s v="700 Main St"/>
    <x v="3"/>
    <x v="1"/>
    <m/>
    <n v="1495"/>
    <n v="568580"/>
    <n v="380.32107023411373"/>
  </r>
  <r>
    <x v="474"/>
    <s v="Jul"/>
    <x v="13"/>
    <s v="813 Main St"/>
    <x v="0"/>
    <x v="3"/>
    <m/>
    <n v="2840"/>
    <n v="703232"/>
    <n v="247.6169014084507"/>
  </r>
  <r>
    <x v="475"/>
    <s v="Dec"/>
    <x v="17"/>
    <s v="812 Pine Rd"/>
    <x v="0"/>
    <x v="0"/>
    <m/>
    <n v="3140"/>
    <n v="357682"/>
    <n v="113.91146496815287"/>
  </r>
  <r>
    <x v="476"/>
    <s v="Jun"/>
    <x v="2"/>
    <s v="244 Pine Rd"/>
    <x v="0"/>
    <x v="1"/>
    <n v="4"/>
    <n v="2077"/>
    <m/>
    <n v="0"/>
  </r>
  <r>
    <x v="443"/>
    <s v="Jul"/>
    <x v="8"/>
    <s v="512 Main St"/>
    <x v="2"/>
    <x v="0"/>
    <n v="5"/>
    <n v="2424"/>
    <n v="626230"/>
    <n v="258.34570957095707"/>
  </r>
  <r>
    <x v="477"/>
    <s v="Dec"/>
    <x v="18"/>
    <s v="532 Main St"/>
    <x v="2"/>
    <x v="1"/>
    <n v="5"/>
    <n v="2931"/>
    <n v="152394"/>
    <n v="51.993858751279426"/>
  </r>
  <r>
    <x v="478"/>
    <s v="May"/>
    <x v="7"/>
    <s v="868 Main St"/>
    <x v="6"/>
    <x v="1"/>
    <n v="5"/>
    <n v="1070"/>
    <n v="636629"/>
    <n v="594.98037383177575"/>
  </r>
  <r>
    <x v="479"/>
    <s v="Feb"/>
    <x v="9"/>
    <s v="791 Oak St"/>
    <x v="4"/>
    <x v="3"/>
    <n v="4"/>
    <n v="1716"/>
    <n v="754938"/>
    <n v="439.94055944055947"/>
  </r>
  <r>
    <x v="480"/>
    <s v="Dec"/>
    <x v="13"/>
    <s v="646 Maple Ave"/>
    <x v="5"/>
    <x v="0"/>
    <m/>
    <n v="3013"/>
    <n v="843116"/>
    <n v="279.82608695652175"/>
  </r>
  <r>
    <x v="481"/>
    <s v="May"/>
    <x v="10"/>
    <s v="997 Pine Rd"/>
    <x v="5"/>
    <x v="3"/>
    <m/>
    <n v="1766"/>
    <n v="107087"/>
    <n v="60.638165345413363"/>
  </r>
  <r>
    <x v="482"/>
    <s v="Oct"/>
    <x v="8"/>
    <s v="156 Oak St"/>
    <x v="6"/>
    <x v="2"/>
    <n v="4"/>
    <n v="1797"/>
    <m/>
    <n v="0"/>
  </r>
  <r>
    <x v="483"/>
    <s v="Oct"/>
    <x v="4"/>
    <s v="615 Main St"/>
    <x v="5"/>
    <x v="1"/>
    <n v="3"/>
    <n v="3336"/>
    <n v="403120"/>
    <n v="120.83932853717026"/>
  </r>
  <r>
    <x v="484"/>
    <s v="Aug"/>
    <x v="6"/>
    <s v="330 Oak St"/>
    <x v="4"/>
    <x v="2"/>
    <n v="4"/>
    <n v="3432"/>
    <n v="136375"/>
    <n v="39.736305361305362"/>
  </r>
  <r>
    <x v="485"/>
    <s v="Jun"/>
    <x v="13"/>
    <s v="528 Pine Rd"/>
    <x v="6"/>
    <x v="0"/>
    <n v="4"/>
    <n v="2393"/>
    <n v="528050"/>
    <n v="220.66443794400334"/>
  </r>
  <r>
    <x v="392"/>
    <s v="Jan"/>
    <x v="14"/>
    <s v="723 Maple Ave"/>
    <x v="4"/>
    <x v="0"/>
    <n v="5"/>
    <n v="3230"/>
    <n v="449975"/>
    <n v="139.3111455108359"/>
  </r>
  <r>
    <x v="486"/>
    <s v="Aug"/>
    <x v="14"/>
    <s v="833 Maple Ave"/>
    <x v="1"/>
    <x v="2"/>
    <m/>
    <n v="3132"/>
    <n v="580295"/>
    <n v="185.27937420178799"/>
  </r>
  <r>
    <x v="487"/>
    <s v="Nov"/>
    <x v="10"/>
    <s v="802 Elm St"/>
    <x v="1"/>
    <x v="0"/>
    <m/>
    <n v="2761"/>
    <n v="553557"/>
    <n v="200.49148859109019"/>
  </r>
  <r>
    <x v="488"/>
    <s v="Jan"/>
    <x v="3"/>
    <s v="526 Oak St"/>
    <x v="4"/>
    <x v="0"/>
    <n v="5"/>
    <n v="3490"/>
    <n v="644375"/>
    <n v="184.63467048710601"/>
  </r>
  <r>
    <x v="489"/>
    <s v="Aug"/>
    <x v="9"/>
    <s v="558 Oak St"/>
    <x v="0"/>
    <x v="1"/>
    <n v="4"/>
    <n v="1507"/>
    <n v="896648"/>
    <n v="594.98871930988719"/>
  </r>
  <r>
    <x v="490"/>
    <s v="Apr"/>
    <x v="6"/>
    <s v="177 Maple Ave"/>
    <x v="3"/>
    <x v="1"/>
    <m/>
    <n v="1159"/>
    <n v="881896"/>
    <n v="760.91113028472819"/>
  </r>
  <r>
    <x v="491"/>
    <s v="Mar"/>
    <x v="19"/>
    <s v="381 Oak St"/>
    <x v="4"/>
    <x v="0"/>
    <m/>
    <n v="2796"/>
    <n v="657152"/>
    <n v="235.03290414878398"/>
  </r>
  <r>
    <x v="136"/>
    <s v="Jan"/>
    <x v="8"/>
    <s v="160 Maple Ave"/>
    <x v="0"/>
    <x v="0"/>
    <n v="5"/>
    <n v="3433"/>
    <n v="699544"/>
    <n v="203.7704631517623"/>
  </r>
  <r>
    <x v="492"/>
    <s v="Jan"/>
    <x v="12"/>
    <s v="525 Pine Rd"/>
    <x v="2"/>
    <x v="1"/>
    <n v="2"/>
    <n v="1752"/>
    <n v="410644"/>
    <n v="234.38584474885846"/>
  </r>
  <r>
    <x v="493"/>
    <s v="Sep"/>
    <x v="5"/>
    <s v="507 Main St"/>
    <x v="3"/>
    <x v="2"/>
    <n v="2"/>
    <n v="851"/>
    <n v="810950"/>
    <n v="952.93772032902473"/>
  </r>
  <r>
    <x v="494"/>
    <s v="Dec"/>
    <x v="12"/>
    <s v="476 Main St"/>
    <x v="6"/>
    <x v="1"/>
    <n v="3"/>
    <n v="2488"/>
    <n v="692497"/>
    <n v="278.33480707395501"/>
  </r>
  <r>
    <x v="205"/>
    <s v="Aug"/>
    <x v="14"/>
    <s v="567 Pine Rd"/>
    <x v="5"/>
    <x v="1"/>
    <m/>
    <n v="1131"/>
    <n v="385982"/>
    <n v="341.27497789566758"/>
  </r>
  <r>
    <x v="495"/>
    <s v="Aug"/>
    <x v="13"/>
    <s v="620 Oak St"/>
    <x v="0"/>
    <x v="1"/>
    <m/>
    <n v="1470"/>
    <n v="326236"/>
    <n v="221.92925170068028"/>
  </r>
  <r>
    <x v="496"/>
    <s v="Nov"/>
    <x v="5"/>
    <s v="784 Oak St"/>
    <x v="4"/>
    <x v="3"/>
    <m/>
    <n v="2023"/>
    <n v="889647"/>
    <n v="439.76618882847259"/>
  </r>
  <r>
    <x v="497"/>
    <s v="May"/>
    <x v="4"/>
    <s v="777 Oak St"/>
    <x v="4"/>
    <x v="1"/>
    <n v="3"/>
    <n v="2457"/>
    <n v="704774"/>
    <n v="286.84330484330485"/>
  </r>
  <r>
    <x v="498"/>
    <s v="Apr"/>
    <x v="19"/>
    <s v="532 Elm St"/>
    <x v="4"/>
    <x v="0"/>
    <m/>
    <n v="2427"/>
    <m/>
    <n v="0"/>
  </r>
  <r>
    <x v="499"/>
    <s v="Feb"/>
    <x v="6"/>
    <s v="572 Oak St"/>
    <x v="6"/>
    <x v="1"/>
    <n v="5"/>
    <n v="2813"/>
    <n v="884764"/>
    <n v="314.52683967294701"/>
  </r>
  <r>
    <x v="500"/>
    <s v="May"/>
    <x v="15"/>
    <s v="201 Oak St"/>
    <x v="1"/>
    <x v="3"/>
    <n v="2"/>
    <n v="3077"/>
    <n v="683495"/>
    <n v="222.13032174195646"/>
  </r>
  <r>
    <x v="501"/>
    <s v="Jun"/>
    <x v="19"/>
    <s v="385 Oak St"/>
    <x v="0"/>
    <x v="3"/>
    <n v="4"/>
    <n v="2878"/>
    <n v="200281"/>
    <n v="69.590340514246009"/>
  </r>
  <r>
    <x v="502"/>
    <s v="May"/>
    <x v="7"/>
    <s v="122 Pine Rd"/>
    <x v="5"/>
    <x v="0"/>
    <n v="3"/>
    <n v="2816"/>
    <n v="319776"/>
    <n v="113.55681818181819"/>
  </r>
  <r>
    <x v="503"/>
    <s v="Sep"/>
    <x v="12"/>
    <s v="375 Main St"/>
    <x v="2"/>
    <x v="2"/>
    <m/>
    <n v="835"/>
    <n v="167228"/>
    <n v="200.27305389221556"/>
  </r>
  <r>
    <x v="504"/>
    <s v="Sep"/>
    <x v="11"/>
    <s v="251 Oak St"/>
    <x v="0"/>
    <x v="3"/>
    <n v="2"/>
    <n v="1672"/>
    <n v="769152"/>
    <n v="460.01913875598086"/>
  </r>
  <r>
    <x v="505"/>
    <s v="Oct"/>
    <x v="4"/>
    <s v="917 Maple Ave"/>
    <x v="6"/>
    <x v="1"/>
    <n v="5"/>
    <n v="3315"/>
    <n v="652926"/>
    <n v="196.96108597285067"/>
  </r>
  <r>
    <x v="506"/>
    <s v="Dec"/>
    <x v="6"/>
    <s v="349 Maple Ave"/>
    <x v="4"/>
    <x v="2"/>
    <n v="4"/>
    <n v="2965"/>
    <n v="503016"/>
    <n v="169.65126475548061"/>
  </r>
  <r>
    <x v="507"/>
    <s v="Aug"/>
    <x v="15"/>
    <s v="359 Oak St"/>
    <x v="5"/>
    <x v="2"/>
    <n v="5"/>
    <n v="2618"/>
    <n v="723158"/>
    <n v="276.22536287242167"/>
  </r>
  <r>
    <x v="508"/>
    <s v="Mar"/>
    <x v="2"/>
    <s v="903 Elm St"/>
    <x v="6"/>
    <x v="2"/>
    <n v="5"/>
    <n v="1976"/>
    <n v="408505"/>
    <n v="206.73329959514169"/>
  </r>
  <r>
    <x v="175"/>
    <s v="Mar"/>
    <x v="2"/>
    <s v="871 Main St"/>
    <x v="2"/>
    <x v="0"/>
    <n v="3"/>
    <n v="1312"/>
    <n v="641821"/>
    <n v="489.19283536585368"/>
  </r>
  <r>
    <x v="509"/>
    <s v="Mar"/>
    <x v="0"/>
    <s v="929 Main St"/>
    <x v="5"/>
    <x v="3"/>
    <m/>
    <n v="896"/>
    <n v="313927"/>
    <n v="350.36495535714283"/>
  </r>
  <r>
    <x v="510"/>
    <s v="Oct"/>
    <x v="4"/>
    <s v="902 Main St"/>
    <x v="2"/>
    <x v="2"/>
    <m/>
    <n v="1277"/>
    <n v="148640"/>
    <n v="116.39780736100235"/>
  </r>
  <r>
    <x v="511"/>
    <s v="Aug"/>
    <x v="16"/>
    <s v="812 Maple Ave"/>
    <x v="6"/>
    <x v="1"/>
    <n v="5"/>
    <n v="3173"/>
    <n v="643986"/>
    <n v="202.95808383233532"/>
  </r>
  <r>
    <x v="512"/>
    <s v="Feb"/>
    <x v="13"/>
    <s v="214 Pine Rd"/>
    <x v="2"/>
    <x v="3"/>
    <m/>
    <n v="2760"/>
    <n v="399463"/>
    <n v="144.73297101449276"/>
  </r>
  <r>
    <x v="513"/>
    <s v="Dec"/>
    <x v="14"/>
    <s v="550 Maple Ave"/>
    <x v="6"/>
    <x v="0"/>
    <n v="5"/>
    <n v="900"/>
    <n v="492130"/>
    <n v="546.81111111111113"/>
  </r>
  <r>
    <x v="514"/>
    <s v="Jul"/>
    <x v="2"/>
    <s v="131 Main St"/>
    <x v="1"/>
    <x v="3"/>
    <m/>
    <n v="2095"/>
    <n v="634745"/>
    <n v="302.98090692124106"/>
  </r>
  <r>
    <x v="515"/>
    <s v="Feb"/>
    <x v="7"/>
    <s v="842 Oak St"/>
    <x v="3"/>
    <x v="3"/>
    <m/>
    <n v="3482"/>
    <n v="620707"/>
    <n v="178.2616312464101"/>
  </r>
  <r>
    <x v="516"/>
    <s v="Dec"/>
    <x v="13"/>
    <s v="589 Main St"/>
    <x v="2"/>
    <x v="1"/>
    <m/>
    <n v="989"/>
    <n v="386959"/>
    <n v="391.26289180990898"/>
  </r>
  <r>
    <x v="517"/>
    <s v="Mar"/>
    <x v="13"/>
    <s v="257 Maple Ave"/>
    <x v="3"/>
    <x v="1"/>
    <m/>
    <n v="1669"/>
    <n v="655207"/>
    <n v="392.57459556620734"/>
  </r>
  <r>
    <x v="518"/>
    <s v="Jul"/>
    <x v="17"/>
    <s v="678 Pine Rd"/>
    <x v="5"/>
    <x v="1"/>
    <n v="5"/>
    <n v="1796"/>
    <n v="651396"/>
    <n v="362.69265033407572"/>
  </r>
  <r>
    <x v="519"/>
    <s v="Jul"/>
    <x v="11"/>
    <s v="886 Pine Rd"/>
    <x v="1"/>
    <x v="2"/>
    <n v="2"/>
    <n v="3500"/>
    <n v="512917"/>
    <n v="146.54771428571428"/>
  </r>
  <r>
    <x v="434"/>
    <s v="Aug"/>
    <x v="6"/>
    <s v="865 Main St"/>
    <x v="5"/>
    <x v="0"/>
    <m/>
    <n v="1390"/>
    <n v="747682"/>
    <n v="537.90071942446048"/>
  </r>
  <r>
    <x v="520"/>
    <s v="Oct"/>
    <x v="5"/>
    <s v="594 Pine Rd"/>
    <x v="0"/>
    <x v="3"/>
    <m/>
    <n v="3175"/>
    <n v="151855"/>
    <n v="47.828346456692913"/>
  </r>
  <r>
    <x v="521"/>
    <s v="Mar"/>
    <x v="2"/>
    <s v="608 Elm St"/>
    <x v="0"/>
    <x v="0"/>
    <m/>
    <n v="2024"/>
    <n v="228313"/>
    <n v="112.80286561264822"/>
  </r>
  <r>
    <x v="522"/>
    <s v="Dec"/>
    <x v="6"/>
    <s v="830 Oak St"/>
    <x v="2"/>
    <x v="3"/>
    <m/>
    <n v="2679"/>
    <n v="288761"/>
    <n v="107.78686076894364"/>
  </r>
  <r>
    <x v="523"/>
    <s v="Aug"/>
    <x v="7"/>
    <s v="447 Oak St"/>
    <x v="1"/>
    <x v="1"/>
    <n v="2"/>
    <n v="3335"/>
    <n v="375293"/>
    <n v="112.53163418290855"/>
  </r>
  <r>
    <x v="524"/>
    <s v="Dec"/>
    <x v="19"/>
    <s v="321 Pine Rd"/>
    <x v="0"/>
    <x v="3"/>
    <n v="3"/>
    <n v="1951"/>
    <n v="137122"/>
    <n v="70.282931829830858"/>
  </r>
  <r>
    <x v="525"/>
    <s v="Sep"/>
    <x v="11"/>
    <s v="479 Elm St"/>
    <x v="1"/>
    <x v="1"/>
    <n v="4"/>
    <n v="1973"/>
    <n v="458818"/>
    <n v="232.54840344652814"/>
  </r>
  <r>
    <x v="526"/>
    <s v="Feb"/>
    <x v="15"/>
    <s v="620 Pine Rd"/>
    <x v="6"/>
    <x v="3"/>
    <n v="4"/>
    <n v="976"/>
    <n v="689792"/>
    <n v="706.75409836065569"/>
  </r>
  <r>
    <x v="527"/>
    <s v="Apr"/>
    <x v="5"/>
    <s v="296 Pine Rd"/>
    <x v="4"/>
    <x v="0"/>
    <n v="2"/>
    <n v="1455"/>
    <n v="401463"/>
    <n v="275.919587628866"/>
  </r>
  <r>
    <x v="528"/>
    <s v="Feb"/>
    <x v="13"/>
    <s v="565 Pine Rd"/>
    <x v="3"/>
    <x v="1"/>
    <n v="3"/>
    <n v="3366"/>
    <n v="175760"/>
    <n v="52.216280451574569"/>
  </r>
  <r>
    <x v="529"/>
    <s v="Dec"/>
    <x v="4"/>
    <s v="162 Oak St"/>
    <x v="5"/>
    <x v="2"/>
    <n v="3"/>
    <n v="2337"/>
    <n v="724942"/>
    <n v="310.20196833547283"/>
  </r>
  <r>
    <x v="530"/>
    <s v="Jun"/>
    <x v="14"/>
    <s v="895 Pine Rd"/>
    <x v="2"/>
    <x v="0"/>
    <m/>
    <n v="3270"/>
    <n v="182361"/>
    <n v="55.767889908256883"/>
  </r>
  <r>
    <x v="531"/>
    <s v="Nov"/>
    <x v="11"/>
    <s v="500 Main St"/>
    <x v="5"/>
    <x v="0"/>
    <m/>
    <n v="1814"/>
    <n v="838347"/>
    <n v="462.15380374862184"/>
  </r>
  <r>
    <x v="532"/>
    <s v="Mar"/>
    <x v="13"/>
    <s v="248 Maple Ave"/>
    <x v="4"/>
    <x v="1"/>
    <m/>
    <n v="2387"/>
    <n v="728129"/>
    <n v="305.03937997486383"/>
  </r>
  <r>
    <x v="533"/>
    <s v="Jun"/>
    <x v="11"/>
    <s v="196 Elm St"/>
    <x v="6"/>
    <x v="3"/>
    <n v="3"/>
    <n v="1944"/>
    <n v="565316"/>
    <n v="290.80041152263374"/>
  </r>
  <r>
    <x v="534"/>
    <s v="Sep"/>
    <x v="10"/>
    <s v="597 Elm St"/>
    <x v="2"/>
    <x v="3"/>
    <n v="4"/>
    <n v="1398"/>
    <n v="753752"/>
    <n v="539.16452074391987"/>
  </r>
  <r>
    <x v="535"/>
    <s v="Jun"/>
    <x v="1"/>
    <s v="565 Maple Ave"/>
    <x v="4"/>
    <x v="1"/>
    <n v="3"/>
    <n v="3285"/>
    <n v="777324"/>
    <n v="236.62831050228311"/>
  </r>
  <r>
    <x v="536"/>
    <s v="Aug"/>
    <x v="0"/>
    <s v="170 Pine Rd"/>
    <x v="5"/>
    <x v="1"/>
    <n v="5"/>
    <n v="3135"/>
    <n v="203648"/>
    <n v="64.959489633173845"/>
  </r>
  <r>
    <x v="537"/>
    <s v="Sep"/>
    <x v="4"/>
    <s v="394 Oak St"/>
    <x v="3"/>
    <x v="2"/>
    <m/>
    <n v="2223"/>
    <n v="897301"/>
    <n v="403.64417453891139"/>
  </r>
  <r>
    <x v="538"/>
    <s v="Apr"/>
    <x v="6"/>
    <s v="922 Main St"/>
    <x v="6"/>
    <x v="0"/>
    <n v="4"/>
    <n v="2795"/>
    <n v="776190"/>
    <n v="277.70661896243291"/>
  </r>
  <r>
    <x v="151"/>
    <s v="Nov"/>
    <x v="1"/>
    <s v="492 Elm St"/>
    <x v="6"/>
    <x v="2"/>
    <n v="2"/>
    <n v="3167"/>
    <n v="145685"/>
    <n v="46.000947268708558"/>
  </r>
  <r>
    <x v="539"/>
    <s v="Jun"/>
    <x v="18"/>
    <s v="116 Pine Rd"/>
    <x v="4"/>
    <x v="3"/>
    <n v="5"/>
    <n v="2329"/>
    <n v="341252"/>
    <n v="146.52297123228854"/>
  </r>
  <r>
    <x v="540"/>
    <s v="Aug"/>
    <x v="13"/>
    <s v="476 Pine Rd"/>
    <x v="2"/>
    <x v="3"/>
    <m/>
    <n v="1902"/>
    <n v="136735"/>
    <n v="71.890115667718192"/>
  </r>
  <r>
    <x v="541"/>
    <s v="Mar"/>
    <x v="8"/>
    <s v="407 Main St"/>
    <x v="3"/>
    <x v="0"/>
    <n v="2"/>
    <n v="2489"/>
    <n v="127983"/>
    <n v="51.419445560466052"/>
  </r>
  <r>
    <x v="542"/>
    <s v="Dec"/>
    <x v="3"/>
    <s v="567 Main St"/>
    <x v="0"/>
    <x v="3"/>
    <n v="3"/>
    <n v="3262"/>
    <n v="639707"/>
    <n v="196.10882893930105"/>
  </r>
  <r>
    <x v="543"/>
    <s v="Oct"/>
    <x v="4"/>
    <s v="932 Maple Ave"/>
    <x v="2"/>
    <x v="3"/>
    <n v="3"/>
    <n v="3365"/>
    <n v="142911"/>
    <n v="42.469836552748887"/>
  </r>
  <r>
    <x v="544"/>
    <s v="Apr"/>
    <x v="15"/>
    <s v="628 Main St"/>
    <x v="0"/>
    <x v="3"/>
    <n v="2"/>
    <n v="1493"/>
    <n v="211036"/>
    <n v="141.35030140656397"/>
  </r>
  <r>
    <x v="545"/>
    <s v="Oct"/>
    <x v="0"/>
    <s v="409 Elm St"/>
    <x v="5"/>
    <x v="0"/>
    <n v="2"/>
    <n v="2499"/>
    <n v="154155"/>
    <n v="61.686674669867948"/>
  </r>
  <r>
    <x v="341"/>
    <s v="Sep"/>
    <x v="0"/>
    <s v="284 Elm St"/>
    <x v="0"/>
    <x v="3"/>
    <n v="3"/>
    <n v="3043"/>
    <n v="528938"/>
    <n v="173.82122905027933"/>
  </r>
  <r>
    <x v="546"/>
    <s v="Jan"/>
    <x v="3"/>
    <s v="873 Maple Ave"/>
    <x v="0"/>
    <x v="1"/>
    <n v="2"/>
    <n v="3192"/>
    <n v="391167"/>
    <n v="122.54605263157895"/>
  </r>
  <r>
    <x v="547"/>
    <s v="Aug"/>
    <x v="16"/>
    <s v="363 Elm St"/>
    <x v="2"/>
    <x v="1"/>
    <n v="4"/>
    <n v="2473"/>
    <n v="126876"/>
    <n v="51.304488475535784"/>
  </r>
  <r>
    <x v="548"/>
    <s v="Apr"/>
    <x v="11"/>
    <s v="822 Elm St"/>
    <x v="4"/>
    <x v="0"/>
    <m/>
    <n v="1524"/>
    <n v="657457"/>
    <n v="431.40223097112863"/>
  </r>
  <r>
    <x v="549"/>
    <s v="Jan"/>
    <x v="16"/>
    <s v="436 Pine Rd"/>
    <x v="3"/>
    <x v="1"/>
    <n v="5"/>
    <n v="2575"/>
    <n v="550535"/>
    <n v="213.8"/>
  </r>
  <r>
    <x v="550"/>
    <s v="Mar"/>
    <x v="11"/>
    <s v="666 Elm St"/>
    <x v="0"/>
    <x v="2"/>
    <n v="5"/>
    <n v="1681"/>
    <n v="592129"/>
    <n v="352.24806662700774"/>
  </r>
  <r>
    <x v="551"/>
    <s v="Sep"/>
    <x v="13"/>
    <s v="642 Main St"/>
    <x v="2"/>
    <x v="3"/>
    <m/>
    <n v="3247"/>
    <n v="582570"/>
    <n v="179.41792423775794"/>
  </r>
  <r>
    <x v="552"/>
    <s v="Oct"/>
    <x v="15"/>
    <s v="149 Pine Rd"/>
    <x v="2"/>
    <x v="1"/>
    <m/>
    <n v="2427"/>
    <n v="801888"/>
    <n v="330.40296662546353"/>
  </r>
  <r>
    <x v="553"/>
    <s v="Aug"/>
    <x v="13"/>
    <s v="595 Pine Rd"/>
    <x v="6"/>
    <x v="2"/>
    <n v="2"/>
    <n v="1562"/>
    <n v="710645"/>
    <n v="454.95838668373881"/>
  </r>
  <r>
    <x v="554"/>
    <s v="May"/>
    <x v="5"/>
    <s v="525 Main St"/>
    <x v="2"/>
    <x v="1"/>
    <n v="3"/>
    <n v="3166"/>
    <n v="836001"/>
    <n v="264.05590650663299"/>
  </r>
  <r>
    <x v="555"/>
    <s v="Feb"/>
    <x v="8"/>
    <s v="474 Main St"/>
    <x v="2"/>
    <x v="3"/>
    <n v="4"/>
    <n v="1041"/>
    <n v="152104"/>
    <n v="146.1133525456292"/>
  </r>
  <r>
    <x v="556"/>
    <s v="Aug"/>
    <x v="16"/>
    <s v="666 Oak St"/>
    <x v="1"/>
    <x v="1"/>
    <n v="5"/>
    <n v="2390"/>
    <m/>
    <n v="0"/>
  </r>
  <r>
    <x v="557"/>
    <s v="May"/>
    <x v="1"/>
    <s v="452 Maple Ave"/>
    <x v="5"/>
    <x v="2"/>
    <m/>
    <n v="2138"/>
    <n v="394392"/>
    <n v="184.46772684752105"/>
  </r>
  <r>
    <x v="558"/>
    <s v="Oct"/>
    <x v="12"/>
    <s v="504 Pine Rd"/>
    <x v="4"/>
    <x v="1"/>
    <n v="5"/>
    <n v="1201"/>
    <n v="665247"/>
    <n v="553.9109075770192"/>
  </r>
  <r>
    <x v="559"/>
    <s v="Jan"/>
    <x v="11"/>
    <s v="440 Pine Rd"/>
    <x v="4"/>
    <x v="1"/>
    <m/>
    <n v="2934"/>
    <m/>
    <n v="0"/>
  </r>
  <r>
    <x v="560"/>
    <s v="Nov"/>
    <x v="9"/>
    <s v="779 Oak St"/>
    <x v="3"/>
    <x v="0"/>
    <n v="5"/>
    <n v="2167"/>
    <n v="789756"/>
    <n v="364.4467005076142"/>
  </r>
  <r>
    <x v="561"/>
    <s v="Feb"/>
    <x v="13"/>
    <s v="268 Pine Rd"/>
    <x v="3"/>
    <x v="0"/>
    <n v="3"/>
    <n v="2143"/>
    <n v="483302"/>
    <n v="225.52589827344843"/>
  </r>
  <r>
    <x v="562"/>
    <s v="Jan"/>
    <x v="7"/>
    <s v="145 Pine Rd"/>
    <x v="3"/>
    <x v="2"/>
    <n v="3"/>
    <n v="2050"/>
    <n v="662570"/>
    <n v="323.20487804878047"/>
  </r>
  <r>
    <x v="563"/>
    <s v="Jul"/>
    <x v="1"/>
    <s v="980 Maple Ave"/>
    <x v="6"/>
    <x v="3"/>
    <n v="3"/>
    <n v="942"/>
    <n v="105836"/>
    <n v="112.35244161358811"/>
  </r>
  <r>
    <x v="564"/>
    <s v="Dec"/>
    <x v="15"/>
    <s v="954 Oak St"/>
    <x v="6"/>
    <x v="3"/>
    <n v="5"/>
    <n v="1995"/>
    <n v="378315"/>
    <n v="189.63157894736841"/>
  </r>
  <r>
    <x v="565"/>
    <s v="Feb"/>
    <x v="4"/>
    <s v="679 Maple Ave"/>
    <x v="4"/>
    <x v="0"/>
    <m/>
    <n v="1920"/>
    <n v="340056"/>
    <n v="177.11250000000001"/>
  </r>
  <r>
    <x v="566"/>
    <s v="May"/>
    <x v="18"/>
    <s v="221 Pine Rd"/>
    <x v="4"/>
    <x v="0"/>
    <n v="3"/>
    <n v="1108"/>
    <n v="312309"/>
    <n v="281.86732851985562"/>
  </r>
  <r>
    <x v="567"/>
    <s v="Jul"/>
    <x v="3"/>
    <s v="557 Main St"/>
    <x v="6"/>
    <x v="2"/>
    <n v="4"/>
    <n v="2946"/>
    <n v="697032"/>
    <n v="236.60285132382893"/>
  </r>
  <r>
    <x v="568"/>
    <s v="May"/>
    <x v="3"/>
    <s v="315 Pine Rd"/>
    <x v="4"/>
    <x v="0"/>
    <n v="2"/>
    <n v="3471"/>
    <n v="112507"/>
    <n v="32.41342552578508"/>
  </r>
  <r>
    <x v="569"/>
    <s v="Dec"/>
    <x v="2"/>
    <s v="341 Elm St"/>
    <x v="5"/>
    <x v="2"/>
    <m/>
    <n v="1441"/>
    <n v="395902"/>
    <n v="274.74115197779321"/>
  </r>
  <r>
    <x v="570"/>
    <s v="Jul"/>
    <x v="16"/>
    <s v="986 Maple Ave"/>
    <x v="4"/>
    <x v="3"/>
    <n v="3"/>
    <n v="2199"/>
    <n v="687623"/>
    <n v="312.69804456571171"/>
  </r>
  <r>
    <x v="571"/>
    <s v="Dec"/>
    <x v="9"/>
    <s v="450 Pine Rd"/>
    <x v="1"/>
    <x v="2"/>
    <n v="5"/>
    <n v="1981"/>
    <n v="896996"/>
    <n v="452.79959616355376"/>
  </r>
  <r>
    <x v="572"/>
    <s v="Jul"/>
    <x v="18"/>
    <s v="781 Elm St"/>
    <x v="0"/>
    <x v="2"/>
    <m/>
    <n v="3334"/>
    <n v="750888"/>
    <n v="225.22135572885423"/>
  </r>
  <r>
    <x v="573"/>
    <s v="Dec"/>
    <x v="5"/>
    <s v="926 Main St"/>
    <x v="4"/>
    <x v="1"/>
    <n v="4"/>
    <n v="2537"/>
    <n v="584312"/>
    <n v="230.31612140323216"/>
  </r>
  <r>
    <x v="537"/>
    <s v="Sep"/>
    <x v="4"/>
    <s v="992 Main St"/>
    <x v="0"/>
    <x v="3"/>
    <m/>
    <n v="3398"/>
    <n v="164631"/>
    <n v="48.449381989405531"/>
  </r>
  <r>
    <x v="574"/>
    <s v="Mar"/>
    <x v="19"/>
    <s v="950 Maple Ave"/>
    <x v="0"/>
    <x v="1"/>
    <n v="4"/>
    <n v="1798"/>
    <n v="841529"/>
    <n v="468.03615127919909"/>
  </r>
  <r>
    <x v="575"/>
    <s v="Feb"/>
    <x v="9"/>
    <s v="537 Elm St"/>
    <x v="6"/>
    <x v="0"/>
    <n v="4"/>
    <n v="829"/>
    <n v="744526"/>
    <n v="898.10132689987938"/>
  </r>
  <r>
    <x v="576"/>
    <s v="Nov"/>
    <x v="12"/>
    <s v="276 Pine Rd"/>
    <x v="5"/>
    <x v="0"/>
    <n v="2"/>
    <n v="3385"/>
    <n v="337800"/>
    <n v="99.793205317577545"/>
  </r>
  <r>
    <x v="577"/>
    <s v="Sep"/>
    <x v="8"/>
    <s v="124 Oak St"/>
    <x v="6"/>
    <x v="2"/>
    <m/>
    <n v="1650"/>
    <n v="192240"/>
    <n v="116.50909090909092"/>
  </r>
  <r>
    <x v="578"/>
    <s v="Sep"/>
    <x v="5"/>
    <s v="958 Oak St"/>
    <x v="1"/>
    <x v="1"/>
    <n v="2"/>
    <n v="2818"/>
    <n v="404287"/>
    <n v="143.46593328601844"/>
  </r>
  <r>
    <x v="579"/>
    <s v="Jun"/>
    <x v="10"/>
    <s v="675 Main St"/>
    <x v="2"/>
    <x v="2"/>
    <n v="4"/>
    <n v="2158"/>
    <n v="585347"/>
    <n v="271.24513438368859"/>
  </r>
  <r>
    <x v="580"/>
    <s v="Jan"/>
    <x v="9"/>
    <s v="546 Pine Rd"/>
    <x v="6"/>
    <x v="2"/>
    <n v="5"/>
    <n v="3229"/>
    <n v="263494"/>
    <n v="81.602353669866829"/>
  </r>
  <r>
    <x v="502"/>
    <s v="May"/>
    <x v="7"/>
    <s v="577 Pine Rd"/>
    <x v="3"/>
    <x v="1"/>
    <n v="3"/>
    <n v="2777"/>
    <n v="743752"/>
    <n v="267.82571119913575"/>
  </r>
  <r>
    <x v="43"/>
    <s v="Jul"/>
    <x v="10"/>
    <s v="345 Elm St"/>
    <x v="1"/>
    <x v="1"/>
    <n v="2"/>
    <n v="1275"/>
    <n v="430290"/>
    <n v="337.48235294117649"/>
  </r>
  <r>
    <x v="293"/>
    <s v="Jul"/>
    <x v="7"/>
    <s v="517 Elm St"/>
    <x v="6"/>
    <x v="3"/>
    <m/>
    <n v="2721"/>
    <n v="562507"/>
    <n v="206.72804116133776"/>
  </r>
  <r>
    <x v="581"/>
    <s v="Jul"/>
    <x v="12"/>
    <s v="558 Main St"/>
    <x v="4"/>
    <x v="1"/>
    <n v="2"/>
    <n v="2022"/>
    <n v="581414"/>
    <n v="287.54401582591493"/>
  </r>
  <r>
    <x v="582"/>
    <s v="Jun"/>
    <x v="11"/>
    <s v="774 Maple Ave"/>
    <x v="6"/>
    <x v="1"/>
    <n v="2"/>
    <n v="1891"/>
    <n v="403917"/>
    <n v="213.59968270756212"/>
  </r>
  <r>
    <x v="583"/>
    <s v="Oct"/>
    <x v="10"/>
    <s v="717 Pine Rd"/>
    <x v="6"/>
    <x v="2"/>
    <m/>
    <n v="2222"/>
    <n v="548798"/>
    <n v="246.98379837983799"/>
  </r>
  <r>
    <x v="584"/>
    <s v="May"/>
    <x v="18"/>
    <s v="667 Elm St"/>
    <x v="0"/>
    <x v="3"/>
    <n v="3"/>
    <n v="3225"/>
    <n v="534369"/>
    <n v="165.69581395348837"/>
  </r>
  <r>
    <x v="585"/>
    <s v="Feb"/>
    <x v="7"/>
    <s v="213 Main St"/>
    <x v="0"/>
    <x v="3"/>
    <m/>
    <n v="1570"/>
    <n v="471585"/>
    <n v="300.37261146496814"/>
  </r>
  <r>
    <x v="586"/>
    <s v="Mar"/>
    <x v="7"/>
    <s v="286 Oak St"/>
    <x v="6"/>
    <x v="0"/>
    <n v="4"/>
    <n v="813"/>
    <n v="829405"/>
    <n v="1020.1783517835179"/>
  </r>
  <r>
    <x v="587"/>
    <s v="Apr"/>
    <x v="5"/>
    <s v="513 Maple Ave"/>
    <x v="6"/>
    <x v="0"/>
    <n v="5"/>
    <n v="2944"/>
    <n v="286963"/>
    <n v="97.473845108695656"/>
  </r>
  <r>
    <x v="588"/>
    <s v="Apr"/>
    <x v="7"/>
    <s v="959 Main St"/>
    <x v="1"/>
    <x v="3"/>
    <n v="3"/>
    <n v="1851"/>
    <n v="843452"/>
    <n v="455.6736898973528"/>
  </r>
  <r>
    <x v="589"/>
    <s v="May"/>
    <x v="2"/>
    <s v="485 Elm St"/>
    <x v="0"/>
    <x v="0"/>
    <n v="3"/>
    <n v="1151"/>
    <n v="357152"/>
    <n v="310.29713292788881"/>
  </r>
  <r>
    <x v="590"/>
    <s v="Aug"/>
    <x v="18"/>
    <s v="612 Main St"/>
    <x v="4"/>
    <x v="0"/>
    <n v="3"/>
    <n v="1338"/>
    <n v="192808"/>
    <n v="144.10164424514201"/>
  </r>
  <r>
    <x v="591"/>
    <s v="Mar"/>
    <x v="6"/>
    <s v="532 Maple Ave"/>
    <x v="5"/>
    <x v="3"/>
    <n v="3"/>
    <n v="894"/>
    <n v="491041"/>
    <n v="549.2628635346756"/>
  </r>
  <r>
    <x v="592"/>
    <s v="Mar"/>
    <x v="16"/>
    <s v="377 Maple Ave"/>
    <x v="0"/>
    <x v="0"/>
    <n v="2"/>
    <n v="3130"/>
    <n v="645933"/>
    <n v="206.36837060702877"/>
  </r>
  <r>
    <x v="593"/>
    <s v="Apr"/>
    <x v="19"/>
    <s v="889 Main St"/>
    <x v="1"/>
    <x v="0"/>
    <n v="5"/>
    <n v="3376"/>
    <n v="783848"/>
    <n v="232.1824644549763"/>
  </r>
  <r>
    <x v="594"/>
    <s v="Nov"/>
    <x v="3"/>
    <s v="244 Oak St"/>
    <x v="4"/>
    <x v="3"/>
    <m/>
    <n v="2699"/>
    <n v="263573"/>
    <n v="97.655798443868093"/>
  </r>
  <r>
    <x v="595"/>
    <s v="Dec"/>
    <x v="18"/>
    <s v="461 Oak St"/>
    <x v="0"/>
    <x v="1"/>
    <m/>
    <n v="2517"/>
    <n v="603205"/>
    <n v="239.6523639253079"/>
  </r>
  <r>
    <x v="596"/>
    <s v="Sep"/>
    <x v="2"/>
    <s v="283 Maple Ave"/>
    <x v="4"/>
    <x v="0"/>
    <n v="2"/>
    <n v="3111"/>
    <n v="448489"/>
    <n v="144.16232722597235"/>
  </r>
  <r>
    <x v="597"/>
    <s v="Jun"/>
    <x v="5"/>
    <s v="237 Pine Rd"/>
    <x v="4"/>
    <x v="3"/>
    <n v="3"/>
    <n v="2506"/>
    <n v="561830"/>
    <n v="224.19393455706305"/>
  </r>
  <r>
    <x v="598"/>
    <s v="Apr"/>
    <x v="8"/>
    <s v="420 Elm St"/>
    <x v="0"/>
    <x v="1"/>
    <m/>
    <n v="853"/>
    <n v="311114"/>
    <n v="364.72919109026964"/>
  </r>
  <r>
    <x v="599"/>
    <s v="Mar"/>
    <x v="12"/>
    <s v="584 Pine Rd"/>
    <x v="3"/>
    <x v="0"/>
    <n v="4"/>
    <n v="1774"/>
    <n v="727581"/>
    <n v="410.13585118376551"/>
  </r>
  <r>
    <x v="600"/>
    <s v="Jul"/>
    <x v="10"/>
    <s v="787 Main St"/>
    <x v="5"/>
    <x v="2"/>
    <m/>
    <n v="1995"/>
    <n v="684404"/>
    <n v="343.059649122807"/>
  </r>
  <r>
    <x v="601"/>
    <s v="Apr"/>
    <x v="15"/>
    <s v="416 Oak St"/>
    <x v="5"/>
    <x v="3"/>
    <n v="2"/>
    <n v="1373"/>
    <n v="501914"/>
    <n v="365.56008739985435"/>
  </r>
  <r>
    <x v="602"/>
    <s v="Feb"/>
    <x v="4"/>
    <s v="281 Elm St"/>
    <x v="5"/>
    <x v="0"/>
    <n v="5"/>
    <n v="1484"/>
    <n v="526011"/>
    <n v="354.45485175202157"/>
  </r>
  <r>
    <x v="603"/>
    <s v="Jul"/>
    <x v="14"/>
    <s v="486 Elm St"/>
    <x v="3"/>
    <x v="1"/>
    <n v="2"/>
    <n v="2978"/>
    <n v="543397"/>
    <n v="182.4704499664204"/>
  </r>
  <r>
    <x v="604"/>
    <s v="Sep"/>
    <x v="10"/>
    <s v="748 Elm St"/>
    <x v="5"/>
    <x v="3"/>
    <n v="4"/>
    <n v="3045"/>
    <n v="350821"/>
    <n v="115.21215106732348"/>
  </r>
  <r>
    <x v="242"/>
    <s v="Jan"/>
    <x v="12"/>
    <s v="482 Maple Ave"/>
    <x v="4"/>
    <x v="0"/>
    <m/>
    <n v="3146"/>
    <n v="172453"/>
    <n v="54.816592498410678"/>
  </r>
  <r>
    <x v="605"/>
    <s v="Mar"/>
    <x v="14"/>
    <s v="991 Maple Ave"/>
    <x v="0"/>
    <x v="0"/>
    <n v="3"/>
    <n v="1674"/>
    <n v="897525"/>
    <n v="536.1559139784946"/>
  </r>
  <r>
    <x v="11"/>
    <s v="Dec"/>
    <x v="8"/>
    <s v="773 Maple Ave"/>
    <x v="5"/>
    <x v="0"/>
    <n v="3"/>
    <n v="1492"/>
    <n v="336161"/>
    <n v="225.30898123324397"/>
  </r>
  <r>
    <x v="606"/>
    <s v="Aug"/>
    <x v="5"/>
    <s v="673 Maple Ave"/>
    <x v="0"/>
    <x v="1"/>
    <n v="5"/>
    <n v="2834"/>
    <n v="601384"/>
    <n v="212.20324629498941"/>
  </r>
  <r>
    <x v="607"/>
    <s v="Dec"/>
    <x v="14"/>
    <s v="498 Oak St"/>
    <x v="6"/>
    <x v="0"/>
    <m/>
    <n v="3457"/>
    <n v="187872"/>
    <n v="54.345386172982352"/>
  </r>
  <r>
    <x v="608"/>
    <s v="Jan"/>
    <x v="8"/>
    <s v="918 Pine Rd"/>
    <x v="2"/>
    <x v="2"/>
    <n v="2"/>
    <n v="2474"/>
    <n v="488652"/>
    <n v="197.51495553759094"/>
  </r>
  <r>
    <x v="609"/>
    <s v="Mar"/>
    <x v="7"/>
    <s v="690 Main St"/>
    <x v="4"/>
    <x v="0"/>
    <n v="2"/>
    <n v="1509"/>
    <n v="180632"/>
    <n v="119.70311464546057"/>
  </r>
  <r>
    <x v="610"/>
    <s v="Apr"/>
    <x v="1"/>
    <s v="142 Pine Rd"/>
    <x v="4"/>
    <x v="0"/>
    <m/>
    <n v="2198"/>
    <n v="628543"/>
    <n v="285.96132848043675"/>
  </r>
  <r>
    <x v="182"/>
    <s v="Oct"/>
    <x v="5"/>
    <s v="781 Maple Ave"/>
    <x v="6"/>
    <x v="3"/>
    <n v="5"/>
    <n v="2456"/>
    <n v="700794"/>
    <n v="285.33957654723127"/>
  </r>
  <r>
    <x v="611"/>
    <s v="Dec"/>
    <x v="0"/>
    <s v="452 Maple Ave"/>
    <x v="6"/>
    <x v="2"/>
    <n v="3"/>
    <n v="1218"/>
    <n v="247227"/>
    <n v="202.97783251231527"/>
  </r>
  <r>
    <x v="612"/>
    <s v="Mar"/>
    <x v="12"/>
    <s v="238 Oak St"/>
    <x v="4"/>
    <x v="0"/>
    <m/>
    <n v="1796"/>
    <n v="519321"/>
    <n v="289.15423162583517"/>
  </r>
  <r>
    <x v="613"/>
    <s v="Jan"/>
    <x v="11"/>
    <s v="316 Maple Ave"/>
    <x v="4"/>
    <x v="2"/>
    <n v="3"/>
    <n v="3381"/>
    <n v="500609"/>
    <n v="148.06536527654541"/>
  </r>
  <r>
    <x v="614"/>
    <s v="Nov"/>
    <x v="0"/>
    <s v="639 Elm St"/>
    <x v="4"/>
    <x v="1"/>
    <n v="3"/>
    <n v="2447"/>
    <n v="210627"/>
    <n v="86.075602778912952"/>
  </r>
  <r>
    <x v="615"/>
    <s v="Jun"/>
    <x v="19"/>
    <s v="256 Pine Rd"/>
    <x v="2"/>
    <x v="0"/>
    <n v="5"/>
    <n v="1326"/>
    <n v="171243"/>
    <n v="129.14253393665157"/>
  </r>
  <r>
    <x v="616"/>
    <s v="Dec"/>
    <x v="16"/>
    <s v="587 Pine Rd"/>
    <x v="6"/>
    <x v="1"/>
    <m/>
    <n v="1854"/>
    <n v="456939"/>
    <n v="246.46116504854368"/>
  </r>
  <r>
    <x v="617"/>
    <s v="Feb"/>
    <x v="9"/>
    <s v="274 Elm St"/>
    <x v="4"/>
    <x v="0"/>
    <n v="4"/>
    <n v="2907"/>
    <n v="245572"/>
    <n v="84.476092191262467"/>
  </r>
  <r>
    <x v="618"/>
    <s v="Jan"/>
    <x v="0"/>
    <s v="414 Maple Ave"/>
    <x v="6"/>
    <x v="1"/>
    <n v="3"/>
    <n v="1284"/>
    <n v="548964"/>
    <n v="427.54205607476638"/>
  </r>
  <r>
    <x v="619"/>
    <s v="Jun"/>
    <x v="4"/>
    <s v="905 Pine Rd"/>
    <x v="0"/>
    <x v="3"/>
    <n v="5"/>
    <n v="1779"/>
    <n v="392836"/>
    <n v="220.81843732433953"/>
  </r>
  <r>
    <x v="620"/>
    <s v="Aug"/>
    <x v="19"/>
    <s v="317 Main St"/>
    <x v="6"/>
    <x v="2"/>
    <n v="3"/>
    <n v="1029"/>
    <n v="120644"/>
    <n v="117.24392614188532"/>
  </r>
  <r>
    <x v="621"/>
    <s v="Nov"/>
    <x v="6"/>
    <s v="918 Pine Rd"/>
    <x v="0"/>
    <x v="2"/>
    <n v="4"/>
    <n v="1795"/>
    <n v="800844"/>
    <n v="446.15264623955431"/>
  </r>
  <r>
    <x v="622"/>
    <s v="Apr"/>
    <x v="1"/>
    <s v="273 Main St"/>
    <x v="5"/>
    <x v="3"/>
    <m/>
    <n v="1896"/>
    <n v="402914"/>
    <n v="212.50738396624473"/>
  </r>
  <r>
    <x v="623"/>
    <s v="Sep"/>
    <x v="11"/>
    <s v="166 Main St"/>
    <x v="4"/>
    <x v="1"/>
    <n v="2"/>
    <n v="1293"/>
    <n v="616925"/>
    <n v="477.12683681361176"/>
  </r>
  <r>
    <x v="278"/>
    <s v="Jul"/>
    <x v="14"/>
    <s v="776 Maple Ave"/>
    <x v="2"/>
    <x v="1"/>
    <n v="4"/>
    <n v="1670"/>
    <n v="238524"/>
    <n v="142.82874251497006"/>
  </r>
  <r>
    <x v="624"/>
    <s v="Feb"/>
    <x v="16"/>
    <s v="334 Pine Rd"/>
    <x v="3"/>
    <x v="3"/>
    <m/>
    <n v="1347"/>
    <n v="374695"/>
    <n v="278.17000742390496"/>
  </r>
  <r>
    <x v="625"/>
    <s v="Dec"/>
    <x v="8"/>
    <s v="407 Main St"/>
    <x v="2"/>
    <x v="0"/>
    <n v="2"/>
    <n v="1506"/>
    <n v="370770"/>
    <n v="246.19521912350598"/>
  </r>
  <r>
    <x v="626"/>
    <s v="Aug"/>
    <x v="7"/>
    <s v="177 Oak St"/>
    <x v="6"/>
    <x v="0"/>
    <m/>
    <n v="2156"/>
    <n v="329585"/>
    <n v="152.8687384044527"/>
  </r>
  <r>
    <x v="627"/>
    <s v="Nov"/>
    <x v="18"/>
    <s v="631 Elm St"/>
    <x v="0"/>
    <x v="1"/>
    <m/>
    <n v="2752"/>
    <n v="643680"/>
    <n v="233.8953488372093"/>
  </r>
  <r>
    <x v="628"/>
    <s v="Feb"/>
    <x v="15"/>
    <s v="458 Maple Ave"/>
    <x v="0"/>
    <x v="3"/>
    <n v="2"/>
    <n v="2827"/>
    <n v="880484"/>
    <n v="311.45525291828795"/>
  </r>
  <r>
    <x v="629"/>
    <s v="Jun"/>
    <x v="4"/>
    <s v="482 Main St"/>
    <x v="1"/>
    <x v="1"/>
    <n v="2"/>
    <n v="1397"/>
    <n v="202616"/>
    <n v="145.03650680028633"/>
  </r>
  <r>
    <x v="630"/>
    <s v="Apr"/>
    <x v="6"/>
    <s v="966 Maple Ave"/>
    <x v="3"/>
    <x v="0"/>
    <n v="3"/>
    <n v="3034"/>
    <n v="826312"/>
    <n v="272.35069215557019"/>
  </r>
  <r>
    <x v="631"/>
    <s v="Jan"/>
    <x v="15"/>
    <s v="851 Maple Ave"/>
    <x v="0"/>
    <x v="3"/>
    <n v="3"/>
    <n v="1098"/>
    <n v="732284"/>
    <n v="666.92531876138435"/>
  </r>
  <r>
    <x v="391"/>
    <s v="Dec"/>
    <x v="4"/>
    <s v="716 Pine Rd"/>
    <x v="3"/>
    <x v="1"/>
    <n v="3"/>
    <n v="2030"/>
    <n v="861275"/>
    <n v="424.27339901477831"/>
  </r>
  <r>
    <x v="632"/>
    <s v="Apr"/>
    <x v="19"/>
    <s v="749 Maple Ave"/>
    <x v="2"/>
    <x v="0"/>
    <n v="3"/>
    <n v="1591"/>
    <n v="391334"/>
    <n v="245.96731615336267"/>
  </r>
  <r>
    <x v="465"/>
    <s v="Apr"/>
    <x v="6"/>
    <s v="344 Elm St"/>
    <x v="6"/>
    <x v="2"/>
    <n v="3"/>
    <n v="2509"/>
    <n v="310805"/>
    <n v="123.87604623355919"/>
  </r>
  <r>
    <x v="633"/>
    <s v="Dec"/>
    <x v="7"/>
    <s v="107 Pine Rd"/>
    <x v="6"/>
    <x v="0"/>
    <m/>
    <n v="2903"/>
    <n v="629000"/>
    <n v="216.67240785394421"/>
  </r>
  <r>
    <x v="634"/>
    <s v="Aug"/>
    <x v="6"/>
    <s v="365 Main St"/>
    <x v="5"/>
    <x v="2"/>
    <n v="2"/>
    <n v="3038"/>
    <n v="156144"/>
    <n v="51.396971691902564"/>
  </r>
  <r>
    <x v="635"/>
    <s v="Jun"/>
    <x v="1"/>
    <s v="749 Oak St"/>
    <x v="2"/>
    <x v="1"/>
    <n v="5"/>
    <n v="1174"/>
    <n v="109442"/>
    <n v="93.221465076660991"/>
  </r>
  <r>
    <x v="547"/>
    <s v="Aug"/>
    <x v="16"/>
    <s v="944 Elm St"/>
    <x v="3"/>
    <x v="3"/>
    <n v="4"/>
    <n v="1568"/>
    <n v="462819"/>
    <n v="295.16517857142856"/>
  </r>
  <r>
    <x v="636"/>
    <s v="Apr"/>
    <x v="18"/>
    <s v="620 Maple Ave"/>
    <x v="6"/>
    <x v="0"/>
    <n v="2"/>
    <n v="1365"/>
    <n v="602356"/>
    <n v="441.28644688644687"/>
  </r>
  <r>
    <x v="637"/>
    <s v="Mar"/>
    <x v="2"/>
    <s v="538 Main St"/>
    <x v="2"/>
    <x v="3"/>
    <m/>
    <n v="2294"/>
    <n v="370204"/>
    <n v="161.37925021795991"/>
  </r>
  <r>
    <x v="638"/>
    <s v="Mar"/>
    <x v="14"/>
    <s v="433 Pine Rd"/>
    <x v="6"/>
    <x v="2"/>
    <m/>
    <n v="1169"/>
    <n v="162673"/>
    <n v="139.1556886227545"/>
  </r>
  <r>
    <x v="639"/>
    <s v="Apr"/>
    <x v="13"/>
    <s v="861 Main St"/>
    <x v="0"/>
    <x v="3"/>
    <m/>
    <n v="2003"/>
    <n v="121292"/>
    <n v="60.555167249126313"/>
  </r>
  <r>
    <x v="640"/>
    <s v="Nov"/>
    <x v="13"/>
    <s v="308 Maple Ave"/>
    <x v="6"/>
    <x v="3"/>
    <n v="2"/>
    <n v="2376"/>
    <n v="610668"/>
    <n v="257.0151515151515"/>
  </r>
  <r>
    <x v="641"/>
    <s v="Feb"/>
    <x v="13"/>
    <s v="300 Elm St"/>
    <x v="6"/>
    <x v="2"/>
    <n v="5"/>
    <n v="3046"/>
    <n v="411510"/>
    <n v="135.09848982271831"/>
  </r>
  <r>
    <x v="642"/>
    <s v="Jun"/>
    <x v="16"/>
    <s v="305 Main St"/>
    <x v="0"/>
    <x v="0"/>
    <m/>
    <n v="2093"/>
    <n v="256591"/>
    <n v="122.59483994266603"/>
  </r>
  <r>
    <x v="643"/>
    <s v="Jul"/>
    <x v="8"/>
    <s v="347 Main St"/>
    <x v="4"/>
    <x v="2"/>
    <n v="3"/>
    <n v="2774"/>
    <n v="415815"/>
    <n v="149.89726027397259"/>
  </r>
  <r>
    <x v="644"/>
    <s v="Jan"/>
    <x v="10"/>
    <s v="245 Elm St"/>
    <x v="2"/>
    <x v="1"/>
    <m/>
    <n v="2902"/>
    <n v="205917"/>
    <n v="70.956926257753267"/>
  </r>
  <r>
    <x v="645"/>
    <s v="Mar"/>
    <x v="0"/>
    <s v="351 Oak St"/>
    <x v="2"/>
    <x v="0"/>
    <n v="4"/>
    <n v="2887"/>
    <n v="268507"/>
    <n v="93.005542085209555"/>
  </r>
  <r>
    <x v="646"/>
    <s v="Dec"/>
    <x v="10"/>
    <s v="903 Pine Rd"/>
    <x v="6"/>
    <x v="1"/>
    <n v="5"/>
    <n v="2417"/>
    <n v="107048"/>
    <n v="44.289615225486138"/>
  </r>
  <r>
    <x v="647"/>
    <s v="Sep"/>
    <x v="3"/>
    <s v="324 Pine Rd"/>
    <x v="4"/>
    <x v="3"/>
    <n v="3"/>
    <n v="1063"/>
    <n v="665295"/>
    <n v="625.86547507055502"/>
  </r>
  <r>
    <x v="648"/>
    <s v="Oct"/>
    <x v="19"/>
    <s v="719 Maple Ave"/>
    <x v="3"/>
    <x v="0"/>
    <n v="4"/>
    <n v="2625"/>
    <n v="574580"/>
    <n v="218.88761904761904"/>
  </r>
  <r>
    <x v="649"/>
    <s v="Apr"/>
    <x v="5"/>
    <s v="204 Elm St"/>
    <x v="2"/>
    <x v="1"/>
    <n v="2"/>
    <n v="1185"/>
    <n v="247970"/>
    <n v="209.25738396624473"/>
  </r>
  <r>
    <x v="650"/>
    <s v="Dec"/>
    <x v="10"/>
    <s v="745 Maple Ave"/>
    <x v="2"/>
    <x v="2"/>
    <n v="2"/>
    <n v="2064"/>
    <n v="155614"/>
    <n v="75.394379844961236"/>
  </r>
  <r>
    <x v="651"/>
    <s v="Mar"/>
    <x v="7"/>
    <s v="216 Oak St"/>
    <x v="3"/>
    <x v="0"/>
    <n v="2"/>
    <n v="1985"/>
    <n v="621214"/>
    <n v="312.95415617128464"/>
  </r>
  <r>
    <x v="652"/>
    <s v="Oct"/>
    <x v="1"/>
    <s v="803 Elm St"/>
    <x v="6"/>
    <x v="3"/>
    <n v="5"/>
    <n v="1427"/>
    <n v="487561"/>
    <n v="341.66853538892781"/>
  </r>
  <r>
    <x v="653"/>
    <s v="Jun"/>
    <x v="3"/>
    <s v="228 Main St"/>
    <x v="0"/>
    <x v="2"/>
    <n v="5"/>
    <n v="2094"/>
    <n v="607456"/>
    <n v="290.09360076408785"/>
  </r>
  <r>
    <x v="654"/>
    <s v="Mar"/>
    <x v="8"/>
    <s v="214 Maple Ave"/>
    <x v="6"/>
    <x v="2"/>
    <n v="4"/>
    <n v="2946"/>
    <n v="182433"/>
    <n v="61.925661914460285"/>
  </r>
  <r>
    <x v="116"/>
    <s v="Jan"/>
    <x v="13"/>
    <s v="614 Maple Ave"/>
    <x v="3"/>
    <x v="0"/>
    <m/>
    <n v="3096"/>
    <n v="725187"/>
    <n v="234.23352713178295"/>
  </r>
  <r>
    <x v="655"/>
    <s v="Feb"/>
    <x v="10"/>
    <s v="935 Maple Ave"/>
    <x v="4"/>
    <x v="2"/>
    <m/>
    <n v="3054"/>
    <n v="135338"/>
    <n v="44.314996725605766"/>
  </r>
  <r>
    <x v="656"/>
    <s v="May"/>
    <x v="16"/>
    <s v="217 Oak St"/>
    <x v="4"/>
    <x v="0"/>
    <n v="2"/>
    <n v="1846"/>
    <n v="175236"/>
    <n v="94.927410617551459"/>
  </r>
  <r>
    <x v="515"/>
    <s v="Feb"/>
    <x v="7"/>
    <s v="630 Maple Ave"/>
    <x v="6"/>
    <x v="1"/>
    <m/>
    <n v="1340"/>
    <n v="210847"/>
    <n v="157.34850746268657"/>
  </r>
  <r>
    <x v="657"/>
    <s v="Jun"/>
    <x v="13"/>
    <s v="557 Oak St"/>
    <x v="1"/>
    <x v="1"/>
    <m/>
    <n v="1825"/>
    <n v="747742"/>
    <n v="409.72164383561642"/>
  </r>
  <r>
    <x v="658"/>
    <s v="Jan"/>
    <x v="11"/>
    <s v="172 Elm St"/>
    <x v="0"/>
    <x v="3"/>
    <n v="4"/>
    <n v="3137"/>
    <n v="770260"/>
    <n v="245.54032515141856"/>
  </r>
  <r>
    <x v="659"/>
    <s v="Jun"/>
    <x v="2"/>
    <s v="369 Elm St"/>
    <x v="6"/>
    <x v="1"/>
    <n v="3"/>
    <n v="3018"/>
    <n v="660736"/>
    <n v="218.93174287607687"/>
  </r>
  <r>
    <x v="660"/>
    <s v="Feb"/>
    <x v="7"/>
    <s v="338 Elm St"/>
    <x v="1"/>
    <x v="0"/>
    <n v="5"/>
    <n v="1385"/>
    <n v="184949"/>
    <n v="133.53718411552347"/>
  </r>
  <r>
    <x v="661"/>
    <s v="Apr"/>
    <x v="18"/>
    <s v="840 Oak St"/>
    <x v="6"/>
    <x v="3"/>
    <m/>
    <n v="1572"/>
    <n v="825433"/>
    <n v="525.08460559796436"/>
  </r>
  <r>
    <x v="662"/>
    <s v="Nov"/>
    <x v="9"/>
    <s v="515 Maple Ave"/>
    <x v="6"/>
    <x v="2"/>
    <m/>
    <n v="1761"/>
    <n v="453043"/>
    <n v="257.26462237365132"/>
  </r>
  <r>
    <x v="663"/>
    <s v="Dec"/>
    <x v="15"/>
    <s v="638 Main St"/>
    <x v="5"/>
    <x v="1"/>
    <n v="4"/>
    <n v="2059"/>
    <n v="819802"/>
    <n v="398.15541525012139"/>
  </r>
  <r>
    <x v="664"/>
    <s v="Mar"/>
    <x v="17"/>
    <s v="461 Elm St"/>
    <x v="4"/>
    <x v="3"/>
    <m/>
    <n v="2212"/>
    <n v="134004"/>
    <n v="60.580470162748647"/>
  </r>
  <r>
    <x v="665"/>
    <s v="Aug"/>
    <x v="9"/>
    <s v="275 Oak St"/>
    <x v="6"/>
    <x v="2"/>
    <n v="2"/>
    <n v="1554"/>
    <n v="465058"/>
    <n v="299.26512226512227"/>
  </r>
  <r>
    <x v="666"/>
    <s v="Oct"/>
    <x v="19"/>
    <s v="240 Elm St"/>
    <x v="5"/>
    <x v="3"/>
    <n v="2"/>
    <n v="2512"/>
    <n v="503173"/>
    <n v="200.30772292993632"/>
  </r>
  <r>
    <x v="667"/>
    <s v="Aug"/>
    <x v="12"/>
    <s v="696 Main St"/>
    <x v="0"/>
    <x v="2"/>
    <m/>
    <n v="2353"/>
    <n v="449717"/>
    <n v="191.1249468763281"/>
  </r>
  <r>
    <x v="668"/>
    <s v="May"/>
    <x v="2"/>
    <s v="494 Oak St"/>
    <x v="1"/>
    <x v="2"/>
    <n v="4"/>
    <n v="1681"/>
    <n v="571827"/>
    <n v="340.17073170731709"/>
  </r>
  <r>
    <x v="669"/>
    <s v="Nov"/>
    <x v="15"/>
    <s v="838 Main St"/>
    <x v="4"/>
    <x v="0"/>
    <n v="3"/>
    <n v="2129"/>
    <n v="162665"/>
    <n v="76.404415218412396"/>
  </r>
  <r>
    <x v="670"/>
    <s v="Dec"/>
    <x v="11"/>
    <s v="625 Pine Rd"/>
    <x v="3"/>
    <x v="3"/>
    <m/>
    <n v="3383"/>
    <n v="326760"/>
    <n v="96.588826485368017"/>
  </r>
  <r>
    <x v="671"/>
    <s v="Apr"/>
    <x v="1"/>
    <s v="319 Maple Ave"/>
    <x v="1"/>
    <x v="3"/>
    <n v="5"/>
    <n v="3071"/>
    <n v="279478"/>
    <n v="91.005535656138065"/>
  </r>
  <r>
    <x v="672"/>
    <s v="Dec"/>
    <x v="8"/>
    <s v="251 Pine Rd"/>
    <x v="2"/>
    <x v="3"/>
    <m/>
    <n v="2889"/>
    <n v="513220"/>
    <n v="177.64624437521633"/>
  </r>
  <r>
    <x v="673"/>
    <s v="Feb"/>
    <x v="2"/>
    <s v="914 Elm St"/>
    <x v="4"/>
    <x v="1"/>
    <n v="5"/>
    <n v="2235"/>
    <n v="248635"/>
    <n v="111.24608501118568"/>
  </r>
  <r>
    <x v="674"/>
    <s v="Apr"/>
    <x v="8"/>
    <s v="271 Pine Rd"/>
    <x v="1"/>
    <x v="0"/>
    <n v="2"/>
    <n v="1780"/>
    <n v="497365"/>
    <n v="279.41853932584269"/>
  </r>
  <r>
    <x v="675"/>
    <s v="Mar"/>
    <x v="7"/>
    <s v="402 Maple Ave"/>
    <x v="3"/>
    <x v="3"/>
    <n v="3"/>
    <n v="2042"/>
    <n v="396214"/>
    <n v="194.03232125367288"/>
  </r>
  <r>
    <x v="676"/>
    <s v="Dec"/>
    <x v="0"/>
    <s v="617 Oak St"/>
    <x v="6"/>
    <x v="2"/>
    <m/>
    <n v="2897"/>
    <n v="706778"/>
    <n v="243.96893337935796"/>
  </r>
  <r>
    <x v="677"/>
    <s v="Jul"/>
    <x v="15"/>
    <s v="306 Oak St"/>
    <x v="4"/>
    <x v="3"/>
    <m/>
    <n v="1082"/>
    <n v="238418"/>
    <n v="220.34935304990759"/>
  </r>
  <r>
    <x v="678"/>
    <s v="Jul"/>
    <x v="8"/>
    <s v="630 Oak St"/>
    <x v="4"/>
    <x v="0"/>
    <n v="2"/>
    <n v="3487"/>
    <n v="618524"/>
    <n v="177.37998279323202"/>
  </r>
  <r>
    <x v="679"/>
    <s v="May"/>
    <x v="0"/>
    <s v="887 Main St"/>
    <x v="5"/>
    <x v="0"/>
    <m/>
    <n v="1501"/>
    <n v="175217"/>
    <n v="116.73351099267155"/>
  </r>
  <r>
    <x v="680"/>
    <s v="Aug"/>
    <x v="14"/>
    <s v="118 Pine Rd"/>
    <x v="4"/>
    <x v="0"/>
    <n v="2"/>
    <n v="2367"/>
    <n v="400436"/>
    <n v="169.17448246725814"/>
  </r>
  <r>
    <x v="681"/>
    <s v="Aug"/>
    <x v="12"/>
    <s v="549 Main St"/>
    <x v="2"/>
    <x v="0"/>
    <n v="4"/>
    <n v="2529"/>
    <n v="435702"/>
    <n v="172.28232502965599"/>
  </r>
  <r>
    <x v="682"/>
    <s v="Nov"/>
    <x v="19"/>
    <s v="759 Main St"/>
    <x v="4"/>
    <x v="1"/>
    <m/>
    <n v="1116"/>
    <n v="450484"/>
    <n v="403.65949820788529"/>
  </r>
  <r>
    <x v="683"/>
    <s v="Jul"/>
    <x v="8"/>
    <s v="655 Pine Rd"/>
    <x v="4"/>
    <x v="0"/>
    <n v="2"/>
    <n v="2540"/>
    <n v="542924"/>
    <n v="213.74960629921259"/>
  </r>
  <r>
    <x v="684"/>
    <s v="Jun"/>
    <x v="13"/>
    <s v="720 Elm St"/>
    <x v="4"/>
    <x v="3"/>
    <m/>
    <n v="3339"/>
    <n v="713772"/>
    <n v="213.76819407008085"/>
  </r>
  <r>
    <x v="685"/>
    <s v="Dec"/>
    <x v="1"/>
    <s v="536 Maple Ave"/>
    <x v="2"/>
    <x v="2"/>
    <n v="3"/>
    <n v="2887"/>
    <n v="771878"/>
    <n v="267.36335296155181"/>
  </r>
  <r>
    <x v="686"/>
    <s v="Nov"/>
    <x v="16"/>
    <s v="916 Elm St"/>
    <x v="0"/>
    <x v="1"/>
    <n v="2"/>
    <n v="1080"/>
    <n v="310624"/>
    <n v="287.61481481481479"/>
  </r>
  <r>
    <x v="687"/>
    <s v="Jan"/>
    <x v="15"/>
    <s v="679 Oak St"/>
    <x v="0"/>
    <x v="1"/>
    <n v="5"/>
    <n v="1340"/>
    <n v="374509"/>
    <n v="279.48432835820893"/>
  </r>
  <r>
    <x v="688"/>
    <s v="Jul"/>
    <x v="16"/>
    <s v="579 Oak St"/>
    <x v="6"/>
    <x v="3"/>
    <n v="4"/>
    <n v="1820"/>
    <n v="438661"/>
    <n v="241.02252747252749"/>
  </r>
  <r>
    <x v="689"/>
    <s v="Dec"/>
    <x v="13"/>
    <s v="107 Main St"/>
    <x v="0"/>
    <x v="1"/>
    <n v="5"/>
    <n v="2352"/>
    <n v="688442"/>
    <n v="292.7049319727891"/>
  </r>
  <r>
    <x v="690"/>
    <s v="Apr"/>
    <x v="17"/>
    <s v="736 Pine Rd"/>
    <x v="4"/>
    <x v="0"/>
    <n v="2"/>
    <n v="1234"/>
    <n v="392896"/>
    <n v="318.39222042139386"/>
  </r>
  <r>
    <x v="691"/>
    <s v="Nov"/>
    <x v="4"/>
    <s v="842 Main St"/>
    <x v="0"/>
    <x v="3"/>
    <n v="4"/>
    <n v="3240"/>
    <n v="756699"/>
    <n v="233.54907407407407"/>
  </r>
  <r>
    <x v="692"/>
    <s v="May"/>
    <x v="14"/>
    <s v="530 Oak St"/>
    <x v="2"/>
    <x v="0"/>
    <n v="3"/>
    <n v="3347"/>
    <n v="655435"/>
    <n v="195.82760681207051"/>
  </r>
  <r>
    <x v="368"/>
    <s v="Oct"/>
    <x v="17"/>
    <s v="772 Elm St"/>
    <x v="5"/>
    <x v="3"/>
    <m/>
    <n v="2688"/>
    <n v="540979"/>
    <n v="201.25706845238096"/>
  </r>
  <r>
    <x v="693"/>
    <s v="Oct"/>
    <x v="5"/>
    <s v="327 Oak St"/>
    <x v="1"/>
    <x v="2"/>
    <n v="5"/>
    <n v="2534"/>
    <n v="743989"/>
    <n v="293.60260457774268"/>
  </r>
  <r>
    <x v="694"/>
    <s v="Aug"/>
    <x v="9"/>
    <s v="659 Main St"/>
    <x v="0"/>
    <x v="1"/>
    <n v="5"/>
    <n v="2722"/>
    <n v="252083"/>
    <n v="92.609478324761199"/>
  </r>
  <r>
    <x v="695"/>
    <s v="Sep"/>
    <x v="16"/>
    <s v="387 Oak St"/>
    <x v="6"/>
    <x v="3"/>
    <m/>
    <n v="1095"/>
    <n v="861785"/>
    <n v="787.01826484018261"/>
  </r>
  <r>
    <x v="696"/>
    <s v="Jul"/>
    <x v="10"/>
    <s v="234 Main St"/>
    <x v="4"/>
    <x v="3"/>
    <n v="5"/>
    <n v="3436"/>
    <n v="381929"/>
    <n v="111.15512223515717"/>
  </r>
  <r>
    <x v="697"/>
    <s v="Nov"/>
    <x v="1"/>
    <s v="489 Main St"/>
    <x v="2"/>
    <x v="2"/>
    <n v="4"/>
    <n v="2379"/>
    <n v="782470"/>
    <n v="328.90710382513663"/>
  </r>
  <r>
    <x v="698"/>
    <s v="Oct"/>
    <x v="2"/>
    <s v="936 Elm St"/>
    <x v="3"/>
    <x v="3"/>
    <n v="3"/>
    <n v="3488"/>
    <n v="285921"/>
    <n v="81.972763761467888"/>
  </r>
  <r>
    <x v="699"/>
    <s v="Jul"/>
    <x v="5"/>
    <s v="264 Pine Rd"/>
    <x v="0"/>
    <x v="3"/>
    <n v="4"/>
    <n v="1623"/>
    <n v="467550"/>
    <n v="288.07763401109059"/>
  </r>
  <r>
    <x v="700"/>
    <s v="May"/>
    <x v="17"/>
    <s v="863 Pine Rd"/>
    <x v="0"/>
    <x v="1"/>
    <n v="5"/>
    <n v="1233"/>
    <n v="360896"/>
    <n v="292.69748580697484"/>
  </r>
  <r>
    <x v="701"/>
    <s v="Dec"/>
    <x v="17"/>
    <s v="186 Elm St"/>
    <x v="4"/>
    <x v="1"/>
    <n v="2"/>
    <n v="1194"/>
    <n v="113629"/>
    <n v="95.166666666666671"/>
  </r>
  <r>
    <x v="702"/>
    <s v="Dec"/>
    <x v="5"/>
    <s v="364 Elm St"/>
    <x v="0"/>
    <x v="0"/>
    <n v="5"/>
    <n v="2613"/>
    <n v="188808"/>
    <n v="72.25717566016074"/>
  </r>
  <r>
    <x v="434"/>
    <s v="Aug"/>
    <x v="6"/>
    <s v="365 Maple Ave"/>
    <x v="0"/>
    <x v="1"/>
    <n v="5"/>
    <n v="1676"/>
    <n v="117242"/>
    <n v="69.953460620525064"/>
  </r>
  <r>
    <x v="703"/>
    <s v="Apr"/>
    <x v="19"/>
    <s v="229 Pine Rd"/>
    <x v="4"/>
    <x v="2"/>
    <n v="4"/>
    <n v="1902"/>
    <n v="308680"/>
    <n v="162.29232386961093"/>
  </r>
  <r>
    <x v="704"/>
    <s v="May"/>
    <x v="17"/>
    <s v="151 Pine Rd"/>
    <x v="3"/>
    <x v="1"/>
    <m/>
    <n v="1089"/>
    <n v="880596"/>
    <n v="808.62809917355366"/>
  </r>
  <r>
    <x v="705"/>
    <s v="Jul"/>
    <x v="9"/>
    <s v="145 Maple Ave"/>
    <x v="1"/>
    <x v="3"/>
    <n v="3"/>
    <n v="3279"/>
    <n v="825683"/>
    <n v="251.80939310765478"/>
  </r>
  <r>
    <x v="706"/>
    <s v="Aug"/>
    <x v="2"/>
    <s v="658 Maple Ave"/>
    <x v="0"/>
    <x v="0"/>
    <n v="5"/>
    <n v="1904"/>
    <n v="568467"/>
    <n v="298.56460084033614"/>
  </r>
  <r>
    <x v="18"/>
    <s v="Aug"/>
    <x v="10"/>
    <s v="352 Elm St"/>
    <x v="0"/>
    <x v="1"/>
    <n v="3"/>
    <n v="1722"/>
    <n v="281396"/>
    <n v="163.41231126596981"/>
  </r>
  <r>
    <x v="707"/>
    <s v="Mar"/>
    <x v="14"/>
    <s v="897 Pine Rd"/>
    <x v="1"/>
    <x v="2"/>
    <n v="4"/>
    <n v="2027"/>
    <n v="519143"/>
    <n v="256.11396151948691"/>
  </r>
  <r>
    <x v="708"/>
    <s v="Feb"/>
    <x v="1"/>
    <s v="505 Pine Rd"/>
    <x v="4"/>
    <x v="3"/>
    <n v="3"/>
    <n v="3497"/>
    <n v="656772"/>
    <n v="187.81012296253931"/>
  </r>
  <r>
    <x v="709"/>
    <s v="Dec"/>
    <x v="5"/>
    <s v="672 Oak St"/>
    <x v="6"/>
    <x v="0"/>
    <n v="2"/>
    <n v="1015"/>
    <n v="422176"/>
    <n v="415.93694581280789"/>
  </r>
  <r>
    <x v="710"/>
    <s v="Dec"/>
    <x v="19"/>
    <s v="143 Elm St"/>
    <x v="6"/>
    <x v="1"/>
    <n v="2"/>
    <n v="3213"/>
    <n v="536613"/>
    <n v="167.01307189542484"/>
  </r>
  <r>
    <x v="711"/>
    <s v="Feb"/>
    <x v="17"/>
    <s v="192 Main St"/>
    <x v="6"/>
    <x v="3"/>
    <n v="2"/>
    <n v="2457"/>
    <n v="432485"/>
    <n v="176.02157102157102"/>
  </r>
  <r>
    <x v="712"/>
    <s v="Sep"/>
    <x v="10"/>
    <s v="261 Main St"/>
    <x v="5"/>
    <x v="1"/>
    <n v="4"/>
    <n v="816"/>
    <n v="609060"/>
    <n v="746.39705882352939"/>
  </r>
  <r>
    <x v="713"/>
    <s v="Nov"/>
    <x v="7"/>
    <s v="840 Main St"/>
    <x v="0"/>
    <x v="2"/>
    <n v="5"/>
    <n v="2905"/>
    <n v="374863"/>
    <n v="129.0406196213425"/>
  </r>
  <r>
    <x v="714"/>
    <s v="Apr"/>
    <x v="10"/>
    <s v="386 Pine Rd"/>
    <x v="5"/>
    <x v="0"/>
    <n v="2"/>
    <n v="1137"/>
    <n v="712913"/>
    <n v="627.01231310466142"/>
  </r>
  <r>
    <x v="275"/>
    <s v="Sep"/>
    <x v="6"/>
    <s v="449 Main St"/>
    <x v="6"/>
    <x v="3"/>
    <n v="5"/>
    <n v="1220"/>
    <n v="254298"/>
    <n v="208.44098360655738"/>
  </r>
  <r>
    <x v="715"/>
    <s v="Sep"/>
    <x v="6"/>
    <s v="831 Elm St"/>
    <x v="4"/>
    <x v="2"/>
    <m/>
    <n v="1361"/>
    <n v="708728"/>
    <n v="520.74063188831747"/>
  </r>
  <r>
    <x v="716"/>
    <s v="Jan"/>
    <x v="19"/>
    <s v="290 Pine Rd"/>
    <x v="0"/>
    <x v="3"/>
    <m/>
    <n v="3250"/>
    <n v="357347"/>
    <n v="109.95292307692307"/>
  </r>
  <r>
    <x v="717"/>
    <s v="Mar"/>
    <x v="12"/>
    <s v="264 Pine Rd"/>
    <x v="0"/>
    <x v="3"/>
    <m/>
    <n v="2038"/>
    <n v="174453"/>
    <n v="85.60009813542689"/>
  </r>
  <r>
    <x v="718"/>
    <s v="Jul"/>
    <x v="3"/>
    <s v="401 Main St"/>
    <x v="6"/>
    <x v="3"/>
    <n v="2"/>
    <n v="2172"/>
    <n v="132381"/>
    <n v="60.94889502762431"/>
  </r>
  <r>
    <x v="719"/>
    <s v="Oct"/>
    <x v="13"/>
    <s v="714 Main St"/>
    <x v="3"/>
    <x v="1"/>
    <m/>
    <n v="3155"/>
    <n v="204449"/>
    <n v="64.80158478605388"/>
  </r>
  <r>
    <x v="720"/>
    <s v="Jul"/>
    <x v="15"/>
    <s v="912 Elm St"/>
    <x v="4"/>
    <x v="3"/>
    <n v="4"/>
    <n v="1159"/>
    <n v="638916"/>
    <n v="551.26488352027604"/>
  </r>
  <r>
    <x v="721"/>
    <s v="Aug"/>
    <x v="19"/>
    <s v="572 Main St"/>
    <x v="4"/>
    <x v="1"/>
    <n v="3"/>
    <n v="802"/>
    <n v="863061"/>
    <n v="1076.1359102244389"/>
  </r>
  <r>
    <x v="722"/>
    <s v="Sep"/>
    <x v="9"/>
    <s v="406 Oak St"/>
    <x v="1"/>
    <x v="1"/>
    <n v="5"/>
    <n v="1873"/>
    <n v="776986"/>
    <n v="414.83502402562732"/>
  </r>
  <r>
    <x v="723"/>
    <s v="Apr"/>
    <x v="7"/>
    <s v="594 Oak St"/>
    <x v="0"/>
    <x v="0"/>
    <n v="3"/>
    <n v="2858"/>
    <n v="149990"/>
    <n v="52.480755773268022"/>
  </r>
  <r>
    <x v="724"/>
    <s v="May"/>
    <x v="14"/>
    <s v="122 Main St"/>
    <x v="4"/>
    <x v="3"/>
    <n v="3"/>
    <n v="2496"/>
    <n v="721905"/>
    <n v="289.22475961538464"/>
  </r>
  <r>
    <x v="725"/>
    <s v="Mar"/>
    <x v="17"/>
    <s v="535 Elm St"/>
    <x v="5"/>
    <x v="3"/>
    <n v="3"/>
    <n v="986"/>
    <n v="418736"/>
    <n v="424.68154158215009"/>
  </r>
  <r>
    <x v="726"/>
    <s v="Nov"/>
    <x v="10"/>
    <s v="806 Elm St"/>
    <x v="2"/>
    <x v="1"/>
    <n v="3"/>
    <n v="2681"/>
    <n v="722352"/>
    <n v="269.43379336068631"/>
  </r>
  <r>
    <x v="727"/>
    <s v="Feb"/>
    <x v="4"/>
    <s v="351 Main St"/>
    <x v="0"/>
    <x v="2"/>
    <m/>
    <n v="915"/>
    <n v="713409"/>
    <n v="779.68196721311472"/>
  </r>
  <r>
    <x v="728"/>
    <s v="Feb"/>
    <x v="11"/>
    <s v="495 Main St"/>
    <x v="3"/>
    <x v="2"/>
    <n v="4"/>
    <n v="2621"/>
    <n v="681078"/>
    <n v="259.85425410148798"/>
  </r>
  <r>
    <x v="729"/>
    <s v="Aug"/>
    <x v="18"/>
    <s v="536 Pine Rd"/>
    <x v="6"/>
    <x v="2"/>
    <n v="2"/>
    <n v="1956"/>
    <n v="165821"/>
    <n v="84.775562372188134"/>
  </r>
  <r>
    <x v="730"/>
    <s v="Jan"/>
    <x v="3"/>
    <s v="860 Main St"/>
    <x v="6"/>
    <x v="0"/>
    <n v="2"/>
    <n v="3081"/>
    <n v="559049"/>
    <n v="181.45050308341447"/>
  </r>
  <r>
    <x v="731"/>
    <s v="Dec"/>
    <x v="19"/>
    <s v="376 Elm St"/>
    <x v="4"/>
    <x v="1"/>
    <m/>
    <n v="1725"/>
    <n v="125181"/>
    <n v="72.568695652173915"/>
  </r>
  <r>
    <x v="732"/>
    <s v="Apr"/>
    <x v="10"/>
    <s v="386 Elm St"/>
    <x v="2"/>
    <x v="1"/>
    <m/>
    <n v="2736"/>
    <n v="515248"/>
    <n v="188.32163742690059"/>
  </r>
  <r>
    <x v="733"/>
    <s v="Jun"/>
    <x v="19"/>
    <s v="766 Oak St"/>
    <x v="6"/>
    <x v="2"/>
    <m/>
    <n v="3462"/>
    <n v="233947"/>
    <n v="67.575678798382441"/>
  </r>
  <r>
    <x v="734"/>
    <s v="Oct"/>
    <x v="19"/>
    <s v="332 Main St"/>
    <x v="3"/>
    <x v="2"/>
    <n v="4"/>
    <n v="1719"/>
    <n v="619917"/>
    <n v="360.62652705061083"/>
  </r>
  <r>
    <x v="735"/>
    <s v="Mar"/>
    <x v="14"/>
    <s v="106 Oak St"/>
    <x v="6"/>
    <x v="3"/>
    <n v="5"/>
    <n v="3426"/>
    <n v="360414"/>
    <n v="105.19964973730298"/>
  </r>
  <r>
    <x v="736"/>
    <s v="May"/>
    <x v="10"/>
    <s v="353 Maple Ave"/>
    <x v="0"/>
    <x v="0"/>
    <n v="4"/>
    <n v="1283"/>
    <n v="616182"/>
    <n v="480.26656274356975"/>
  </r>
  <r>
    <x v="421"/>
    <s v="Oct"/>
    <x v="13"/>
    <s v="271 Main St"/>
    <x v="6"/>
    <x v="2"/>
    <n v="4"/>
    <n v="2158"/>
    <n v="599370"/>
    <n v="277.74328081556996"/>
  </r>
  <r>
    <x v="737"/>
    <s v="Mar"/>
    <x v="17"/>
    <s v="705 Main St"/>
    <x v="0"/>
    <x v="0"/>
    <m/>
    <n v="1893"/>
    <n v="776895"/>
    <n v="410.40412044374011"/>
  </r>
  <r>
    <x v="738"/>
    <s v="Jun"/>
    <x v="8"/>
    <s v="100 Oak St"/>
    <x v="6"/>
    <x v="3"/>
    <m/>
    <n v="2642"/>
    <n v="463698"/>
    <n v="175.51021953065859"/>
  </r>
  <r>
    <x v="69"/>
    <s v="May"/>
    <x v="12"/>
    <s v="612 Elm St"/>
    <x v="3"/>
    <x v="3"/>
    <n v="4"/>
    <n v="2928"/>
    <n v="702187"/>
    <n v="239.81796448087431"/>
  </r>
  <r>
    <x v="739"/>
    <s v="Nov"/>
    <x v="7"/>
    <s v="368 Main St"/>
    <x v="4"/>
    <x v="3"/>
    <m/>
    <n v="1585"/>
    <n v="625024"/>
    <n v="394.33690851735014"/>
  </r>
  <r>
    <x v="740"/>
    <s v="Jun"/>
    <x v="0"/>
    <s v="783 Maple Ave"/>
    <x v="0"/>
    <x v="0"/>
    <n v="2"/>
    <n v="2010"/>
    <n v="114598"/>
    <n v="57.013930348258704"/>
  </r>
  <r>
    <x v="570"/>
    <s v="Jul"/>
    <x v="16"/>
    <s v="188 Pine Rd"/>
    <x v="0"/>
    <x v="1"/>
    <n v="4"/>
    <n v="1296"/>
    <n v="474902"/>
    <n v="366.43672839506172"/>
  </r>
  <r>
    <x v="741"/>
    <s v="Jun"/>
    <x v="1"/>
    <s v="418 Oak St"/>
    <x v="1"/>
    <x v="2"/>
    <n v="3"/>
    <n v="3422"/>
    <n v="672628"/>
    <n v="196.55990648743426"/>
  </r>
  <r>
    <x v="742"/>
    <s v="Mar"/>
    <x v="8"/>
    <s v="645 Main St"/>
    <x v="4"/>
    <x v="1"/>
    <n v="3"/>
    <n v="3343"/>
    <n v="617242"/>
    <n v="184.6371522584505"/>
  </r>
  <r>
    <x v="743"/>
    <s v="May"/>
    <x v="4"/>
    <s v="924 Maple Ave"/>
    <x v="6"/>
    <x v="2"/>
    <n v="5"/>
    <n v="1909"/>
    <n v="481346"/>
    <n v="252.14562598218961"/>
  </r>
  <r>
    <x v="744"/>
    <s v="Jul"/>
    <x v="14"/>
    <s v="140 Maple Ave"/>
    <x v="6"/>
    <x v="1"/>
    <n v="2"/>
    <n v="2354"/>
    <n v="478699"/>
    <n v="203.35556499575191"/>
  </r>
  <r>
    <x v="745"/>
    <s v="May"/>
    <x v="6"/>
    <s v="574 Main St"/>
    <x v="4"/>
    <x v="0"/>
    <n v="4"/>
    <n v="2711"/>
    <n v="556835"/>
    <n v="205.39837698266322"/>
  </r>
  <r>
    <x v="746"/>
    <s v="Aug"/>
    <x v="1"/>
    <s v="993 Oak St"/>
    <x v="5"/>
    <x v="2"/>
    <n v="4"/>
    <n v="961"/>
    <n v="629306"/>
    <n v="654.8449531737773"/>
  </r>
  <r>
    <x v="100"/>
    <s v="Jan"/>
    <x v="1"/>
    <s v="454 Oak St"/>
    <x v="3"/>
    <x v="0"/>
    <n v="4"/>
    <n v="1360"/>
    <n v="589831"/>
    <n v="433.69926470588234"/>
  </r>
  <r>
    <x v="747"/>
    <s v="Aug"/>
    <x v="12"/>
    <s v="251 Main St"/>
    <x v="4"/>
    <x v="3"/>
    <n v="3"/>
    <n v="1318"/>
    <n v="137023"/>
    <n v="103.96282245827011"/>
  </r>
  <r>
    <x v="748"/>
    <s v="Jun"/>
    <x v="13"/>
    <s v="521 Main St"/>
    <x v="4"/>
    <x v="2"/>
    <n v="3"/>
    <n v="2068"/>
    <n v="561838"/>
    <n v="271.68181818181819"/>
  </r>
  <r>
    <x v="357"/>
    <s v="Feb"/>
    <x v="0"/>
    <s v="491 Elm St"/>
    <x v="4"/>
    <x v="3"/>
    <n v="4"/>
    <n v="2264"/>
    <n v="409836"/>
    <n v="181.02296819787986"/>
  </r>
  <r>
    <x v="749"/>
    <s v="Apr"/>
    <x v="18"/>
    <s v="189 Elm St"/>
    <x v="0"/>
    <x v="3"/>
    <n v="2"/>
    <n v="3451"/>
    <n v="739795"/>
    <n v="214.3711967545639"/>
  </r>
  <r>
    <x v="750"/>
    <s v="May"/>
    <x v="7"/>
    <s v="928 Oak St"/>
    <x v="4"/>
    <x v="3"/>
    <n v="3"/>
    <n v="2732"/>
    <n v="158328"/>
    <n v="57.95314787701318"/>
  </r>
  <r>
    <x v="751"/>
    <s v="Dec"/>
    <x v="9"/>
    <s v="931 Elm St"/>
    <x v="1"/>
    <x v="1"/>
    <n v="5"/>
    <n v="1818"/>
    <n v="647226"/>
    <n v="356.00990099009903"/>
  </r>
  <r>
    <x v="752"/>
    <s v="Nov"/>
    <x v="14"/>
    <s v="511 Oak St"/>
    <x v="0"/>
    <x v="0"/>
    <n v="3"/>
    <n v="2488"/>
    <n v="407933"/>
    <n v="163.96020900321543"/>
  </r>
  <r>
    <x v="753"/>
    <s v="Feb"/>
    <x v="8"/>
    <s v="335 Oak St"/>
    <x v="6"/>
    <x v="0"/>
    <n v="2"/>
    <n v="1105"/>
    <n v="826460"/>
    <n v="747.92760180995469"/>
  </r>
  <r>
    <x v="754"/>
    <s v="Dec"/>
    <x v="19"/>
    <s v="163 Oak St"/>
    <x v="0"/>
    <x v="0"/>
    <n v="5"/>
    <n v="2561"/>
    <n v="565311"/>
    <n v="220.73838344396719"/>
  </r>
  <r>
    <x v="755"/>
    <s v="Jul"/>
    <x v="15"/>
    <s v="796 Elm St"/>
    <x v="5"/>
    <x v="0"/>
    <m/>
    <n v="1461"/>
    <n v="219780"/>
    <n v="150.43121149897331"/>
  </r>
  <r>
    <x v="756"/>
    <s v="Feb"/>
    <x v="3"/>
    <s v="902 Main St"/>
    <x v="6"/>
    <x v="0"/>
    <n v="4"/>
    <n v="2056"/>
    <n v="717881"/>
    <n v="349.16391050583655"/>
  </r>
  <r>
    <x v="757"/>
    <s v="Nov"/>
    <x v="17"/>
    <s v="654 Elm St"/>
    <x v="4"/>
    <x v="3"/>
    <n v="3"/>
    <n v="2300"/>
    <n v="823399"/>
    <n v="357.99956521739131"/>
  </r>
  <r>
    <x v="758"/>
    <s v="Feb"/>
    <x v="17"/>
    <s v="111 Oak St"/>
    <x v="3"/>
    <x v="1"/>
    <n v="4"/>
    <n v="3273"/>
    <n v="888827"/>
    <n v="271.5633974946532"/>
  </r>
  <r>
    <x v="759"/>
    <s v="Nov"/>
    <x v="3"/>
    <s v="506 Main St"/>
    <x v="3"/>
    <x v="0"/>
    <n v="2"/>
    <n v="964"/>
    <n v="709160"/>
    <n v="735.64315352697099"/>
  </r>
  <r>
    <x v="760"/>
    <s v="Aug"/>
    <x v="7"/>
    <s v="415 Pine Rd"/>
    <x v="6"/>
    <x v="0"/>
    <n v="4"/>
    <n v="2883"/>
    <n v="359211"/>
    <n v="124.59625390218523"/>
  </r>
  <r>
    <x v="189"/>
    <s v="Dec"/>
    <x v="0"/>
    <s v="255 Maple Ave"/>
    <x v="3"/>
    <x v="2"/>
    <m/>
    <n v="1975"/>
    <n v="493778"/>
    <n v="250.01417721518987"/>
  </r>
  <r>
    <x v="761"/>
    <s v="Sep"/>
    <x v="2"/>
    <s v="912 Elm St"/>
    <x v="5"/>
    <x v="3"/>
    <n v="5"/>
    <n v="1004"/>
    <n v="139066"/>
    <n v="138.51195219123505"/>
  </r>
  <r>
    <x v="762"/>
    <s v="Apr"/>
    <x v="10"/>
    <s v="847 Maple Ave"/>
    <x v="6"/>
    <x v="1"/>
    <n v="5"/>
    <n v="1461"/>
    <n v="417675"/>
    <n v="285.88295687885011"/>
  </r>
  <r>
    <x v="763"/>
    <s v="Jun"/>
    <x v="4"/>
    <s v="425 Oak St"/>
    <x v="3"/>
    <x v="1"/>
    <n v="5"/>
    <n v="2320"/>
    <n v="569169"/>
    <n v="245.33146551724138"/>
  </r>
  <r>
    <x v="764"/>
    <s v="Sep"/>
    <x v="13"/>
    <s v="439 Pine Rd"/>
    <x v="5"/>
    <x v="3"/>
    <n v="4"/>
    <n v="989"/>
    <n v="476691"/>
    <n v="481.99292214357939"/>
  </r>
  <r>
    <x v="765"/>
    <s v="Jun"/>
    <x v="12"/>
    <s v="353 Oak St"/>
    <x v="3"/>
    <x v="2"/>
    <n v="2"/>
    <n v="984"/>
    <n v="805500"/>
    <n v="818.59756097560978"/>
  </r>
  <r>
    <x v="766"/>
    <s v="Feb"/>
    <x v="6"/>
    <s v="154 Oak St"/>
    <x v="0"/>
    <x v="2"/>
    <n v="2"/>
    <n v="2361"/>
    <n v="325997"/>
    <n v="138.07581533248623"/>
  </r>
  <r>
    <x v="767"/>
    <s v="Mar"/>
    <x v="18"/>
    <s v="155 Maple Ave"/>
    <x v="1"/>
    <x v="3"/>
    <m/>
    <n v="992"/>
    <n v="859377"/>
    <n v="866.30745967741939"/>
  </r>
  <r>
    <x v="768"/>
    <s v="Sep"/>
    <x v="7"/>
    <s v="353 Elm St"/>
    <x v="6"/>
    <x v="1"/>
    <n v="4"/>
    <n v="1062"/>
    <n v="857727"/>
    <n v="807.65254237288138"/>
  </r>
  <r>
    <x v="769"/>
    <s v="Apr"/>
    <x v="9"/>
    <s v="303 Oak St"/>
    <x v="5"/>
    <x v="2"/>
    <n v="4"/>
    <n v="2080"/>
    <n v="236131"/>
    <n v="113.52451923076923"/>
  </r>
  <r>
    <x v="655"/>
    <s v="Feb"/>
    <x v="10"/>
    <s v="855 Pine Rd"/>
    <x v="1"/>
    <x v="2"/>
    <n v="3"/>
    <n v="1759"/>
    <n v="491893"/>
    <n v="279.64354747015352"/>
  </r>
  <r>
    <x v="770"/>
    <s v="Dec"/>
    <x v="6"/>
    <s v="449 Oak St"/>
    <x v="4"/>
    <x v="0"/>
    <n v="4"/>
    <n v="1618"/>
    <n v="105053"/>
    <n v="64.927688504326326"/>
  </r>
  <r>
    <x v="771"/>
    <s v="Jul"/>
    <x v="14"/>
    <s v="647 Main St"/>
    <x v="1"/>
    <x v="1"/>
    <m/>
    <n v="863"/>
    <n v="337432"/>
    <n v="390.99884125144843"/>
  </r>
  <r>
    <x v="772"/>
    <s v="Jan"/>
    <x v="2"/>
    <s v="150 Maple Ave"/>
    <x v="5"/>
    <x v="2"/>
    <n v="4"/>
    <n v="3205"/>
    <n v="291641"/>
    <n v="90.995631825273009"/>
  </r>
  <r>
    <x v="773"/>
    <s v="Feb"/>
    <x v="17"/>
    <s v="131 Elm St"/>
    <x v="4"/>
    <x v="3"/>
    <n v="5"/>
    <n v="1741"/>
    <n v="297138"/>
    <n v="170.67087880528433"/>
  </r>
  <r>
    <x v="774"/>
    <s v="May"/>
    <x v="6"/>
    <s v="210 Oak St"/>
    <x v="6"/>
    <x v="2"/>
    <n v="4"/>
    <n v="2898"/>
    <n v="269129"/>
    <n v="92.867149758454104"/>
  </r>
  <r>
    <x v="775"/>
    <s v="Oct"/>
    <x v="11"/>
    <s v="230 Maple Ave"/>
    <x v="2"/>
    <x v="3"/>
    <n v="5"/>
    <n v="1699"/>
    <n v="550610"/>
    <n v="324.07886992348438"/>
  </r>
  <r>
    <x v="776"/>
    <s v="Oct"/>
    <x v="8"/>
    <s v="609 Oak St"/>
    <x v="5"/>
    <x v="3"/>
    <n v="2"/>
    <n v="1455"/>
    <n v="196300"/>
    <n v="134.91408934707903"/>
  </r>
  <r>
    <x v="777"/>
    <s v="Dec"/>
    <x v="18"/>
    <s v="688 Main St"/>
    <x v="1"/>
    <x v="1"/>
    <n v="2"/>
    <n v="1720"/>
    <m/>
    <n v="0"/>
  </r>
  <r>
    <x v="778"/>
    <s v="Jul"/>
    <x v="5"/>
    <s v="566 Maple Ave"/>
    <x v="4"/>
    <x v="0"/>
    <n v="5"/>
    <n v="2165"/>
    <n v="449376"/>
    <n v="207.56397228637414"/>
  </r>
  <r>
    <x v="779"/>
    <s v="Feb"/>
    <x v="5"/>
    <s v="109 Pine Rd"/>
    <x v="0"/>
    <x v="3"/>
    <n v="3"/>
    <n v="2714"/>
    <m/>
    <n v="0"/>
  </r>
  <r>
    <x v="780"/>
    <s v="Sep"/>
    <x v="11"/>
    <s v="695 Elm St"/>
    <x v="6"/>
    <x v="3"/>
    <m/>
    <n v="1274"/>
    <n v="797085"/>
    <n v="625.65541601255882"/>
  </r>
  <r>
    <x v="781"/>
    <s v="Jan"/>
    <x v="13"/>
    <s v="713 Pine Rd"/>
    <x v="6"/>
    <x v="2"/>
    <n v="3"/>
    <n v="1936"/>
    <n v="105523"/>
    <n v="54.50568181818182"/>
  </r>
  <r>
    <x v="782"/>
    <s v="Jul"/>
    <x v="3"/>
    <s v="221 Main St"/>
    <x v="2"/>
    <x v="1"/>
    <m/>
    <n v="2476"/>
    <n v="740435"/>
    <n v="299.04483037156706"/>
  </r>
  <r>
    <x v="783"/>
    <s v="Jun"/>
    <x v="4"/>
    <s v="275 Pine Rd"/>
    <x v="0"/>
    <x v="0"/>
    <m/>
    <n v="2964"/>
    <n v="328347"/>
    <n v="110.77834008097166"/>
  </r>
  <r>
    <x v="784"/>
    <s v="Aug"/>
    <x v="6"/>
    <s v="549 Pine Rd"/>
    <x v="4"/>
    <x v="3"/>
    <n v="4"/>
    <n v="3013"/>
    <n v="632199"/>
    <n v="209.82376369067376"/>
  </r>
  <r>
    <x v="97"/>
    <s v="Nov"/>
    <x v="1"/>
    <s v="370 Pine Rd"/>
    <x v="2"/>
    <x v="1"/>
    <n v="4"/>
    <n v="1195"/>
    <n v="737109"/>
    <n v="616.82761506276154"/>
  </r>
  <r>
    <x v="785"/>
    <s v="Oct"/>
    <x v="6"/>
    <s v="116 Pine Rd"/>
    <x v="0"/>
    <x v="1"/>
    <m/>
    <n v="883"/>
    <n v="529474"/>
    <n v="599.63080407701023"/>
  </r>
  <r>
    <x v="786"/>
    <s v="Sep"/>
    <x v="12"/>
    <s v="898 Main St"/>
    <x v="2"/>
    <x v="1"/>
    <n v="5"/>
    <n v="988"/>
    <n v="312061"/>
    <n v="315.85121457489879"/>
  </r>
  <r>
    <x v="787"/>
    <s v="Jan"/>
    <x v="7"/>
    <s v="502 Oak St"/>
    <x v="4"/>
    <x v="1"/>
    <n v="2"/>
    <n v="1922"/>
    <n v="388893"/>
    <n v="202.33766909469304"/>
  </r>
  <r>
    <x v="788"/>
    <s v="Jan"/>
    <x v="0"/>
    <s v="427 Main St"/>
    <x v="1"/>
    <x v="1"/>
    <n v="2"/>
    <n v="2115"/>
    <n v="896350"/>
    <n v="423.80614657210401"/>
  </r>
  <r>
    <x v="789"/>
    <s v="Jan"/>
    <x v="0"/>
    <s v="392 Maple Ave"/>
    <x v="4"/>
    <x v="3"/>
    <n v="3"/>
    <n v="2403"/>
    <n v="526485"/>
    <n v="219.0948813982522"/>
  </r>
  <r>
    <x v="790"/>
    <s v="Mar"/>
    <x v="1"/>
    <s v="862 Elm St"/>
    <x v="4"/>
    <x v="2"/>
    <n v="2"/>
    <n v="2989"/>
    <n v="105690"/>
    <n v="35.359652057544331"/>
  </r>
  <r>
    <x v="791"/>
    <s v="Jul"/>
    <x v="18"/>
    <s v="352 Maple Ave"/>
    <x v="4"/>
    <x v="2"/>
    <n v="4"/>
    <n v="2954"/>
    <n v="470602"/>
    <n v="159.31008801624915"/>
  </r>
  <r>
    <x v="792"/>
    <s v="Nov"/>
    <x v="9"/>
    <s v="894 Maple Ave"/>
    <x v="4"/>
    <x v="2"/>
    <m/>
    <n v="3498"/>
    <n v="353233"/>
    <n v="100.98141795311606"/>
  </r>
  <r>
    <x v="793"/>
    <s v="Aug"/>
    <x v="3"/>
    <s v="468 Oak St"/>
    <x v="4"/>
    <x v="1"/>
    <n v="4"/>
    <n v="1766"/>
    <n v="622752"/>
    <n v="352.63420158550394"/>
  </r>
  <r>
    <x v="794"/>
    <s v="Dec"/>
    <x v="12"/>
    <s v="470 Maple Ave"/>
    <x v="2"/>
    <x v="3"/>
    <m/>
    <n v="2026"/>
    <n v="610887"/>
    <n v="301.52369200394867"/>
  </r>
  <r>
    <x v="795"/>
    <s v="May"/>
    <x v="2"/>
    <s v="244 Pine Rd"/>
    <x v="5"/>
    <x v="3"/>
    <n v="5"/>
    <n v="2258"/>
    <n v="542927"/>
    <n v="240.44596988485387"/>
  </r>
  <r>
    <x v="796"/>
    <s v="Nov"/>
    <x v="16"/>
    <s v="671 Maple Ave"/>
    <x v="4"/>
    <x v="2"/>
    <n v="3"/>
    <n v="1405"/>
    <n v="352998"/>
    <n v="251.24412811387901"/>
  </r>
  <r>
    <x v="797"/>
    <s v="Jan"/>
    <x v="19"/>
    <s v="141 Elm St"/>
    <x v="4"/>
    <x v="0"/>
    <n v="2"/>
    <n v="2413"/>
    <n v="506304"/>
    <n v="209.82345627849151"/>
  </r>
  <r>
    <x v="798"/>
    <s v="Mar"/>
    <x v="16"/>
    <s v="487 Pine Rd"/>
    <x v="6"/>
    <x v="3"/>
    <n v="2"/>
    <n v="1505"/>
    <n v="807628"/>
    <n v="536.62990033222593"/>
  </r>
  <r>
    <x v="799"/>
    <s v="Nov"/>
    <x v="7"/>
    <s v="585 Main St"/>
    <x v="6"/>
    <x v="3"/>
    <n v="4"/>
    <n v="3084"/>
    <n v="757355"/>
    <n v="245.57555123216602"/>
  </r>
  <r>
    <x v="800"/>
    <s v="Aug"/>
    <x v="18"/>
    <s v="238 Oak St"/>
    <x v="0"/>
    <x v="2"/>
    <n v="5"/>
    <n v="1795"/>
    <n v="115959"/>
    <n v="64.60111420612813"/>
  </r>
  <r>
    <x v="801"/>
    <s v="Mar"/>
    <x v="16"/>
    <s v="535 Pine Rd"/>
    <x v="3"/>
    <x v="2"/>
    <n v="5"/>
    <n v="903"/>
    <n v="128957"/>
    <n v="142.8095238095238"/>
  </r>
  <r>
    <x v="483"/>
    <s v="Oct"/>
    <x v="4"/>
    <s v="557 Oak St"/>
    <x v="4"/>
    <x v="1"/>
    <n v="4"/>
    <n v="2744"/>
    <n v="639854"/>
    <n v="233.182944606414"/>
  </r>
  <r>
    <x v="802"/>
    <s v="Jul"/>
    <x v="1"/>
    <s v="260 Main St"/>
    <x v="5"/>
    <x v="2"/>
    <n v="5"/>
    <n v="2818"/>
    <n v="407297"/>
    <n v="144.53406671398156"/>
  </r>
  <r>
    <x v="803"/>
    <s v="Feb"/>
    <x v="14"/>
    <s v="499 Elm St"/>
    <x v="0"/>
    <x v="2"/>
    <n v="2"/>
    <n v="1459"/>
    <n v="106468"/>
    <n v="72.973269362577113"/>
  </r>
  <r>
    <x v="804"/>
    <s v="Apr"/>
    <x v="16"/>
    <s v="657 Elm St"/>
    <x v="3"/>
    <x v="0"/>
    <n v="5"/>
    <n v="1413"/>
    <n v="493256"/>
    <n v="349.08421797593775"/>
  </r>
  <r>
    <x v="805"/>
    <s v="Aug"/>
    <x v="7"/>
    <s v="193 Maple Ave"/>
    <x v="6"/>
    <x v="2"/>
    <n v="4"/>
    <n v="2083"/>
    <n v="101109"/>
    <n v="48.540086413826209"/>
  </r>
  <r>
    <x v="806"/>
    <s v="Jan"/>
    <x v="6"/>
    <s v="441 Oak St"/>
    <x v="0"/>
    <x v="0"/>
    <m/>
    <n v="1857"/>
    <n v="144225"/>
    <n v="77.665589660743137"/>
  </r>
  <r>
    <x v="807"/>
    <s v="Apr"/>
    <x v="15"/>
    <s v="740 Elm St"/>
    <x v="6"/>
    <x v="1"/>
    <m/>
    <n v="1819"/>
    <n v="230780"/>
    <n v="126.87190764156129"/>
  </r>
  <r>
    <x v="808"/>
    <s v="Nov"/>
    <x v="12"/>
    <s v="782 Elm St"/>
    <x v="6"/>
    <x v="3"/>
    <n v="4"/>
    <n v="1033"/>
    <m/>
    <n v="0"/>
  </r>
  <r>
    <x v="809"/>
    <s v="Sep"/>
    <x v="18"/>
    <s v="306 Pine Rd"/>
    <x v="2"/>
    <x v="3"/>
    <n v="4"/>
    <n v="1298"/>
    <n v="437100"/>
    <n v="336.74884437596302"/>
  </r>
  <r>
    <x v="810"/>
    <s v="Oct"/>
    <x v="1"/>
    <s v="903 Pine Rd"/>
    <x v="3"/>
    <x v="1"/>
    <m/>
    <n v="1303"/>
    <n v="134289"/>
    <n v="103.06139677666923"/>
  </r>
  <r>
    <x v="811"/>
    <s v="Oct"/>
    <x v="12"/>
    <s v="111 Elm St"/>
    <x v="2"/>
    <x v="3"/>
    <n v="5"/>
    <n v="1810"/>
    <n v="779996"/>
    <n v="430.93701657458564"/>
  </r>
  <r>
    <x v="812"/>
    <s v="Sep"/>
    <x v="5"/>
    <s v="944 Main St"/>
    <x v="0"/>
    <x v="2"/>
    <n v="5"/>
    <n v="2538"/>
    <n v="224366"/>
    <n v="88.402679275019707"/>
  </r>
  <r>
    <x v="308"/>
    <s v="Jul"/>
    <x v="16"/>
    <s v="158 Pine Rd"/>
    <x v="5"/>
    <x v="1"/>
    <m/>
    <n v="1455"/>
    <n v="555338"/>
    <n v="381.67560137457042"/>
  </r>
  <r>
    <x v="813"/>
    <s v="Aug"/>
    <x v="4"/>
    <s v="933 Maple Ave"/>
    <x v="0"/>
    <x v="2"/>
    <n v="5"/>
    <n v="1582"/>
    <n v="174251"/>
    <n v="110.14601769911505"/>
  </r>
  <r>
    <x v="814"/>
    <s v="Jun"/>
    <x v="2"/>
    <s v="894 Maple Ave"/>
    <x v="4"/>
    <x v="0"/>
    <n v="3"/>
    <n v="2161"/>
    <n v="145303"/>
    <n v="67.238778343359556"/>
  </r>
  <r>
    <x v="815"/>
    <s v="Sep"/>
    <x v="10"/>
    <s v="729 Oak St"/>
    <x v="3"/>
    <x v="0"/>
    <n v="2"/>
    <n v="2278"/>
    <n v="491536"/>
    <n v="215.77524143985951"/>
  </r>
  <r>
    <x v="816"/>
    <s v="Nov"/>
    <x v="8"/>
    <s v="476 Elm St"/>
    <x v="0"/>
    <x v="3"/>
    <n v="5"/>
    <n v="3110"/>
    <n v="878491"/>
    <n v="282.47299035369775"/>
  </r>
  <r>
    <x v="817"/>
    <s v="Nov"/>
    <x v="18"/>
    <s v="359 Main St"/>
    <x v="2"/>
    <x v="2"/>
    <n v="5"/>
    <n v="2819"/>
    <n v="502788"/>
    <n v="178.35686413621852"/>
  </r>
  <r>
    <x v="818"/>
    <s v="Jan"/>
    <x v="11"/>
    <s v="993 Oak St"/>
    <x v="6"/>
    <x v="0"/>
    <n v="4"/>
    <n v="3157"/>
    <n v="697037"/>
    <n v="220.79094076655053"/>
  </r>
  <r>
    <x v="819"/>
    <s v="Apr"/>
    <x v="0"/>
    <s v="457 Oak St"/>
    <x v="4"/>
    <x v="3"/>
    <n v="2"/>
    <n v="1311"/>
    <n v="221981"/>
    <n v="169.32189168573609"/>
  </r>
  <r>
    <x v="820"/>
    <s v="Sep"/>
    <x v="6"/>
    <s v="252 Pine Rd"/>
    <x v="5"/>
    <x v="3"/>
    <m/>
    <n v="1188"/>
    <n v="372048"/>
    <n v="313.17171717171715"/>
  </r>
  <r>
    <x v="821"/>
    <s v="Jan"/>
    <x v="4"/>
    <s v="605 Maple Ave"/>
    <x v="5"/>
    <x v="1"/>
    <n v="5"/>
    <n v="2289"/>
    <n v="427057"/>
    <n v="186.56924421144603"/>
  </r>
  <r>
    <x v="822"/>
    <s v="May"/>
    <x v="17"/>
    <s v="774 Main St"/>
    <x v="6"/>
    <x v="0"/>
    <n v="2"/>
    <n v="3114"/>
    <n v="531177"/>
    <n v="170.57707129094413"/>
  </r>
  <r>
    <x v="823"/>
    <s v="Jul"/>
    <x v="3"/>
    <s v="946 Maple Ave"/>
    <x v="2"/>
    <x v="3"/>
    <m/>
    <n v="1487"/>
    <n v="519559"/>
    <n v="349.40080699394753"/>
  </r>
  <r>
    <x v="824"/>
    <s v="Apr"/>
    <x v="17"/>
    <s v="452 Elm St"/>
    <x v="6"/>
    <x v="0"/>
    <n v="2"/>
    <n v="2024"/>
    <n v="815840"/>
    <n v="403.08300395256919"/>
  </r>
  <r>
    <x v="825"/>
    <s v="Aug"/>
    <x v="17"/>
    <s v="106 Main St"/>
    <x v="5"/>
    <x v="2"/>
    <m/>
    <n v="1442"/>
    <n v="205157"/>
    <n v="142.27253814147019"/>
  </r>
  <r>
    <x v="826"/>
    <s v="Jan"/>
    <x v="16"/>
    <s v="106 Oak St"/>
    <x v="0"/>
    <x v="0"/>
    <m/>
    <n v="2165"/>
    <n v="305184"/>
    <n v="140.96258660508084"/>
  </r>
  <r>
    <x v="827"/>
    <s v="Nov"/>
    <x v="7"/>
    <s v="996 Elm St"/>
    <x v="2"/>
    <x v="1"/>
    <n v="5"/>
    <n v="1594"/>
    <n v="254866"/>
    <n v="159.89084065244668"/>
  </r>
  <r>
    <x v="505"/>
    <s v="Oct"/>
    <x v="4"/>
    <s v="793 Elm St"/>
    <x v="4"/>
    <x v="1"/>
    <n v="4"/>
    <n v="1214"/>
    <n v="214591"/>
    <n v="176.76359143327841"/>
  </r>
  <r>
    <x v="828"/>
    <s v="Jun"/>
    <x v="11"/>
    <s v="266 Elm St"/>
    <x v="2"/>
    <x v="0"/>
    <n v="5"/>
    <n v="1310"/>
    <n v="305788"/>
    <n v="233.42595419847328"/>
  </r>
  <r>
    <x v="829"/>
    <s v="Nov"/>
    <x v="5"/>
    <s v="834 Oak St"/>
    <x v="3"/>
    <x v="2"/>
    <n v="5"/>
    <n v="3240"/>
    <n v="846936"/>
    <n v="261.39999999999998"/>
  </r>
  <r>
    <x v="830"/>
    <s v="Mar"/>
    <x v="2"/>
    <s v="518 Pine Rd"/>
    <x v="0"/>
    <x v="2"/>
    <m/>
    <n v="2226"/>
    <n v="664966"/>
    <n v="298.72686433063791"/>
  </r>
  <r>
    <x v="831"/>
    <s v="Jun"/>
    <x v="8"/>
    <s v="777 Main St"/>
    <x v="0"/>
    <x v="1"/>
    <n v="4"/>
    <n v="3411"/>
    <n v="726021"/>
    <n v="212.84696569920845"/>
  </r>
  <r>
    <x v="832"/>
    <s v="Sep"/>
    <x v="6"/>
    <s v="210 Pine Rd"/>
    <x v="4"/>
    <x v="1"/>
    <n v="2"/>
    <n v="2038"/>
    <n v="519835"/>
    <n v="255.0711481844946"/>
  </r>
  <r>
    <x v="833"/>
    <s v="Sep"/>
    <x v="15"/>
    <s v="642 Oak St"/>
    <x v="6"/>
    <x v="0"/>
    <n v="5"/>
    <n v="2335"/>
    <n v="556686"/>
    <n v="238.40942184154176"/>
  </r>
  <r>
    <x v="834"/>
    <s v="Mar"/>
    <x v="17"/>
    <s v="413 Elm St"/>
    <x v="0"/>
    <x v="2"/>
    <n v="3"/>
    <n v="2955"/>
    <n v="668573"/>
    <n v="226.25143824027072"/>
  </r>
  <r>
    <x v="835"/>
    <s v="Aug"/>
    <x v="5"/>
    <s v="600 Elm St"/>
    <x v="4"/>
    <x v="0"/>
    <m/>
    <n v="1839"/>
    <n v="820625"/>
    <n v="446.23436650353455"/>
  </r>
  <r>
    <x v="836"/>
    <s v="Jul"/>
    <x v="0"/>
    <s v="451 Maple Ave"/>
    <x v="5"/>
    <x v="1"/>
    <m/>
    <n v="2815"/>
    <n v="316242"/>
    <n v="112.34174067495559"/>
  </r>
  <r>
    <x v="837"/>
    <s v="Nov"/>
    <x v="19"/>
    <s v="624 Maple Ave"/>
    <x v="2"/>
    <x v="2"/>
    <m/>
    <n v="2667"/>
    <n v="401991"/>
    <n v="150.72778402699663"/>
  </r>
  <r>
    <x v="291"/>
    <s v="Mar"/>
    <x v="6"/>
    <s v="428 Elm St"/>
    <x v="4"/>
    <x v="0"/>
    <m/>
    <n v="1992"/>
    <n v="741325"/>
    <n v="372.15110441767069"/>
  </r>
  <r>
    <x v="838"/>
    <s v="Feb"/>
    <x v="4"/>
    <s v="834 Oak St"/>
    <x v="6"/>
    <x v="3"/>
    <m/>
    <n v="3386"/>
    <n v="756598"/>
    <n v="223.4489072652097"/>
  </r>
  <r>
    <x v="839"/>
    <s v="Mar"/>
    <x v="19"/>
    <s v="797 Main St"/>
    <x v="1"/>
    <x v="2"/>
    <m/>
    <n v="1731"/>
    <n v="135311"/>
    <n v="78.169266320046219"/>
  </r>
  <r>
    <x v="840"/>
    <s v="Feb"/>
    <x v="8"/>
    <s v="637 Pine Rd"/>
    <x v="6"/>
    <x v="1"/>
    <n v="5"/>
    <n v="1463"/>
    <n v="207512"/>
    <n v="141.84005468215994"/>
  </r>
  <r>
    <x v="841"/>
    <s v="Nov"/>
    <x v="3"/>
    <s v="150 Oak St"/>
    <x v="0"/>
    <x v="3"/>
    <m/>
    <n v="2712"/>
    <n v="301750"/>
    <n v="111.26474926253687"/>
  </r>
  <r>
    <x v="842"/>
    <s v="Feb"/>
    <x v="12"/>
    <s v="605 Maple Ave"/>
    <x v="0"/>
    <x v="1"/>
    <n v="4"/>
    <n v="963"/>
    <n v="889474"/>
    <n v="923.64901349948082"/>
  </r>
  <r>
    <x v="843"/>
    <s v="May"/>
    <x v="9"/>
    <s v="625 Elm St"/>
    <x v="0"/>
    <x v="3"/>
    <n v="5"/>
    <n v="2762"/>
    <n v="757061"/>
    <n v="274.09884141926142"/>
  </r>
  <r>
    <x v="844"/>
    <s v="Feb"/>
    <x v="19"/>
    <s v="732 Maple Ave"/>
    <x v="6"/>
    <x v="2"/>
    <n v="5"/>
    <n v="2531"/>
    <n v="463501"/>
    <n v="183.1295930462268"/>
  </r>
  <r>
    <x v="845"/>
    <s v="Nov"/>
    <x v="10"/>
    <s v="500 Main St"/>
    <x v="2"/>
    <x v="2"/>
    <n v="2"/>
    <n v="2948"/>
    <n v="179206"/>
    <n v="60.78900949796472"/>
  </r>
  <r>
    <x v="846"/>
    <s v="Sep"/>
    <x v="3"/>
    <s v="807 Elm St"/>
    <x v="4"/>
    <x v="0"/>
    <m/>
    <n v="1837"/>
    <n v="152281"/>
    <n v="82.896570495372885"/>
  </r>
  <r>
    <x v="847"/>
    <s v="Nov"/>
    <x v="0"/>
    <s v="278 Maple Ave"/>
    <x v="6"/>
    <x v="0"/>
    <n v="4"/>
    <n v="1432"/>
    <n v="671715"/>
    <n v="469.07472067039106"/>
  </r>
  <r>
    <x v="848"/>
    <s v="Apr"/>
    <x v="13"/>
    <s v="496 Oak St"/>
    <x v="6"/>
    <x v="1"/>
    <m/>
    <n v="2299"/>
    <n v="495674"/>
    <n v="215.60417572857764"/>
  </r>
  <r>
    <x v="849"/>
    <s v="Nov"/>
    <x v="5"/>
    <s v="404 Oak St"/>
    <x v="5"/>
    <x v="3"/>
    <n v="3"/>
    <n v="3245"/>
    <n v="206691"/>
    <n v="63.695223420647146"/>
  </r>
  <r>
    <x v="850"/>
    <s v="Mar"/>
    <x v="16"/>
    <s v="382 Oak St"/>
    <x v="2"/>
    <x v="1"/>
    <m/>
    <n v="1087"/>
    <n v="683456"/>
    <n v="628.75436982520694"/>
  </r>
  <r>
    <x v="799"/>
    <s v="Nov"/>
    <x v="7"/>
    <s v="711 Pine Rd"/>
    <x v="2"/>
    <x v="1"/>
    <m/>
    <n v="3426"/>
    <n v="141561"/>
    <n v="41.319614711033275"/>
  </r>
  <r>
    <x v="851"/>
    <s v="Apr"/>
    <x v="12"/>
    <s v="624 Maple Ave"/>
    <x v="6"/>
    <x v="2"/>
    <n v="4"/>
    <n v="1518"/>
    <n v="272005"/>
    <n v="179.18642951251647"/>
  </r>
  <r>
    <x v="852"/>
    <s v="Dec"/>
    <x v="7"/>
    <s v="896 Maple Ave"/>
    <x v="0"/>
    <x v="3"/>
    <n v="5"/>
    <n v="2741"/>
    <m/>
    <n v="0"/>
  </r>
  <r>
    <x v="853"/>
    <s v="May"/>
    <x v="12"/>
    <s v="928 Main St"/>
    <x v="6"/>
    <x v="3"/>
    <m/>
    <n v="2302"/>
    <n v="680190"/>
    <n v="295.47784535186793"/>
  </r>
  <r>
    <x v="529"/>
    <s v="Dec"/>
    <x v="4"/>
    <s v="141 Maple Ave"/>
    <x v="0"/>
    <x v="2"/>
    <n v="3"/>
    <n v="1425"/>
    <n v="823739"/>
    <n v="578.06245614035083"/>
  </r>
  <r>
    <x v="854"/>
    <s v="Jun"/>
    <x v="12"/>
    <s v="956 Maple Ave"/>
    <x v="4"/>
    <x v="0"/>
    <m/>
    <n v="2702"/>
    <n v="632677"/>
    <n v="234.15136935603257"/>
  </r>
  <r>
    <x v="855"/>
    <s v="Nov"/>
    <x v="10"/>
    <s v="159 Maple Ave"/>
    <x v="5"/>
    <x v="3"/>
    <n v="3"/>
    <n v="1759"/>
    <n v="718465"/>
    <n v="408.45082433200685"/>
  </r>
  <r>
    <x v="856"/>
    <s v="Apr"/>
    <x v="9"/>
    <s v="552 Oak St"/>
    <x v="0"/>
    <x v="3"/>
    <m/>
    <n v="3330"/>
    <n v="417519"/>
    <n v="125.38108108108108"/>
  </r>
  <r>
    <x v="857"/>
    <s v="May"/>
    <x v="6"/>
    <s v="848 Oak St"/>
    <x v="6"/>
    <x v="2"/>
    <m/>
    <n v="3311"/>
    <n v="884364"/>
    <n v="267.09876170341289"/>
  </r>
  <r>
    <x v="858"/>
    <s v="Jan"/>
    <x v="16"/>
    <s v="632 Pine Rd"/>
    <x v="4"/>
    <x v="1"/>
    <n v="4"/>
    <n v="3475"/>
    <n v="204983"/>
    <n v="58.987913669064746"/>
  </r>
  <r>
    <x v="859"/>
    <s v="Jan"/>
    <x v="11"/>
    <s v="368 Elm St"/>
    <x v="3"/>
    <x v="1"/>
    <n v="3"/>
    <n v="3033"/>
    <n v="549839"/>
    <n v="181.28552588196504"/>
  </r>
  <r>
    <x v="860"/>
    <s v="Jan"/>
    <x v="1"/>
    <s v="796 Pine Rd"/>
    <x v="3"/>
    <x v="0"/>
    <n v="4"/>
    <n v="2381"/>
    <n v="677299"/>
    <n v="284.45989080218396"/>
  </r>
  <r>
    <x v="861"/>
    <s v="Jun"/>
    <x v="11"/>
    <s v="717 Oak St"/>
    <x v="5"/>
    <x v="0"/>
    <n v="5"/>
    <n v="1798"/>
    <n v="374280"/>
    <n v="208.16462736373748"/>
  </r>
  <r>
    <x v="862"/>
    <s v="Apr"/>
    <x v="8"/>
    <s v="153 Maple Ave"/>
    <x v="4"/>
    <x v="0"/>
    <n v="5"/>
    <n v="2618"/>
    <n v="307891"/>
    <n v="117.60542398777693"/>
  </r>
  <r>
    <x v="863"/>
    <s v="Sep"/>
    <x v="17"/>
    <s v="204 Pine Rd"/>
    <x v="2"/>
    <x v="1"/>
    <n v="5"/>
    <n v="1808"/>
    <n v="436756"/>
    <n v="241.56858407079645"/>
  </r>
  <r>
    <x v="864"/>
    <s v="Jan"/>
    <x v="12"/>
    <s v="333 Oak St"/>
    <x v="2"/>
    <x v="1"/>
    <n v="3"/>
    <n v="2798"/>
    <n v="823845"/>
    <n v="294.44067190850609"/>
  </r>
  <r>
    <x v="865"/>
    <s v="Jun"/>
    <x v="13"/>
    <s v="804 Elm St"/>
    <x v="2"/>
    <x v="2"/>
    <n v="2"/>
    <n v="3413"/>
    <n v="107386"/>
    <n v="31.463814825666567"/>
  </r>
  <r>
    <x v="661"/>
    <s v="Apr"/>
    <x v="18"/>
    <s v="953 Elm St"/>
    <x v="6"/>
    <x v="0"/>
    <m/>
    <n v="1331"/>
    <n v="125274"/>
    <n v="94.120210368144257"/>
  </r>
  <r>
    <x v="866"/>
    <s v="May"/>
    <x v="18"/>
    <s v="291 Oak St"/>
    <x v="1"/>
    <x v="2"/>
    <n v="5"/>
    <n v="1642"/>
    <n v="668996"/>
    <n v="407.42752740560292"/>
  </r>
  <r>
    <x v="867"/>
    <s v="May"/>
    <x v="7"/>
    <s v="528 Main St"/>
    <x v="3"/>
    <x v="0"/>
    <n v="4"/>
    <n v="1095"/>
    <m/>
    <n v="0"/>
  </r>
  <r>
    <x v="868"/>
    <s v="May"/>
    <x v="17"/>
    <s v="213 Maple Ave"/>
    <x v="2"/>
    <x v="0"/>
    <n v="2"/>
    <n v="1256"/>
    <n v="549364"/>
    <n v="437.39171974522293"/>
  </r>
  <r>
    <x v="869"/>
    <s v="Jun"/>
    <x v="4"/>
    <s v="392 Oak St"/>
    <x v="0"/>
    <x v="2"/>
    <m/>
    <n v="1906"/>
    <n v="700017"/>
    <n v="367.27019937040922"/>
  </r>
  <r>
    <x v="870"/>
    <s v="Dec"/>
    <x v="13"/>
    <s v="807 Oak St"/>
    <x v="5"/>
    <x v="0"/>
    <n v="4"/>
    <n v="860"/>
    <n v="316554"/>
    <n v="368.0860465116279"/>
  </r>
  <r>
    <x v="871"/>
    <s v="Feb"/>
    <x v="8"/>
    <s v="922 Oak St"/>
    <x v="0"/>
    <x v="2"/>
    <n v="5"/>
    <n v="2752"/>
    <n v="131007"/>
    <n v="47.604287790697676"/>
  </r>
  <r>
    <x v="872"/>
    <s v="Feb"/>
    <x v="19"/>
    <s v="782 Oak St"/>
    <x v="5"/>
    <x v="2"/>
    <m/>
    <n v="3158"/>
    <n v="434317"/>
    <n v="137.52913236225459"/>
  </r>
  <r>
    <x v="873"/>
    <s v="Jan"/>
    <x v="8"/>
    <s v="228 Pine Rd"/>
    <x v="2"/>
    <x v="1"/>
    <m/>
    <n v="944"/>
    <n v="814331"/>
    <n v="862.63877118644064"/>
  </r>
  <r>
    <x v="874"/>
    <s v="Aug"/>
    <x v="6"/>
    <s v="207 Main St"/>
    <x v="0"/>
    <x v="1"/>
    <n v="3"/>
    <n v="1447"/>
    <n v="125160"/>
    <n v="86.496199032481002"/>
  </r>
  <r>
    <x v="875"/>
    <s v="Oct"/>
    <x v="18"/>
    <s v="497 Main St"/>
    <x v="5"/>
    <x v="2"/>
    <n v="4"/>
    <n v="1723"/>
    <n v="848475"/>
    <n v="492.44051073708647"/>
  </r>
  <r>
    <x v="876"/>
    <s v="Aug"/>
    <x v="6"/>
    <s v="404 Main St"/>
    <x v="2"/>
    <x v="0"/>
    <n v="4"/>
    <n v="1658"/>
    <n v="202819"/>
    <n v="122.32750301568154"/>
  </r>
  <r>
    <x v="877"/>
    <s v="Aug"/>
    <x v="14"/>
    <s v="359 Pine Rd"/>
    <x v="3"/>
    <x v="1"/>
    <n v="2"/>
    <n v="3434"/>
    <n v="819696"/>
    <n v="238.70005824111823"/>
  </r>
  <r>
    <x v="878"/>
    <s v="Jan"/>
    <x v="18"/>
    <s v="889 Maple Ave"/>
    <x v="4"/>
    <x v="0"/>
    <n v="3"/>
    <n v="2988"/>
    <n v="663573"/>
    <n v="222.07931726907631"/>
  </r>
  <r>
    <x v="879"/>
    <s v="Mar"/>
    <x v="12"/>
    <s v="743 Main St"/>
    <x v="1"/>
    <x v="3"/>
    <m/>
    <n v="1646"/>
    <n v="891429"/>
    <n v="541.57290400972056"/>
  </r>
  <r>
    <x v="880"/>
    <s v="Aug"/>
    <x v="13"/>
    <s v="569 Oak St"/>
    <x v="6"/>
    <x v="0"/>
    <m/>
    <n v="3153"/>
    <n v="694271"/>
    <n v="220.19378369806535"/>
  </r>
  <r>
    <x v="881"/>
    <s v="Nov"/>
    <x v="5"/>
    <s v="367 Pine Rd"/>
    <x v="0"/>
    <x v="2"/>
    <n v="4"/>
    <n v="2252"/>
    <n v="378737"/>
    <n v="168.17806394316165"/>
  </r>
  <r>
    <x v="882"/>
    <s v="Apr"/>
    <x v="1"/>
    <s v="553 Main St"/>
    <x v="5"/>
    <x v="2"/>
    <n v="3"/>
    <n v="2912"/>
    <n v="827230"/>
    <n v="284.07623626373629"/>
  </r>
  <r>
    <x v="28"/>
    <s v="Apr"/>
    <x v="0"/>
    <s v="234 Main St"/>
    <x v="6"/>
    <x v="2"/>
    <n v="5"/>
    <n v="1603"/>
    <n v="344532"/>
    <n v="214.92950717404867"/>
  </r>
  <r>
    <x v="883"/>
    <s v="Aug"/>
    <x v="17"/>
    <s v="744 Pine Rd"/>
    <x v="0"/>
    <x v="0"/>
    <m/>
    <n v="1957"/>
    <n v="280206"/>
    <n v="143.18140010219724"/>
  </r>
  <r>
    <x v="884"/>
    <s v="Apr"/>
    <x v="13"/>
    <s v="416 Elm St"/>
    <x v="3"/>
    <x v="2"/>
    <m/>
    <n v="1813"/>
    <n v="153273"/>
    <n v="84.541092112520687"/>
  </r>
  <r>
    <x v="885"/>
    <s v="Sep"/>
    <x v="1"/>
    <s v="472 Pine Rd"/>
    <x v="1"/>
    <x v="1"/>
    <n v="3"/>
    <n v="2261"/>
    <n v="101650"/>
    <n v="44.957983193277308"/>
  </r>
  <r>
    <x v="886"/>
    <s v="Jan"/>
    <x v="1"/>
    <s v="762 Main St"/>
    <x v="2"/>
    <x v="2"/>
    <m/>
    <n v="2729"/>
    <m/>
    <n v="0"/>
  </r>
  <r>
    <x v="38"/>
    <s v="Dec"/>
    <x v="17"/>
    <s v="154 Maple Ave"/>
    <x v="2"/>
    <x v="0"/>
    <m/>
    <n v="1306"/>
    <n v="699719"/>
    <n v="535.7725880551302"/>
  </r>
  <r>
    <x v="737"/>
    <s v="Mar"/>
    <x v="17"/>
    <s v="132 Pine Rd"/>
    <x v="0"/>
    <x v="3"/>
    <n v="2"/>
    <n v="842"/>
    <n v="516057"/>
    <n v="612.89429928741094"/>
  </r>
  <r>
    <x v="887"/>
    <s v="Feb"/>
    <x v="10"/>
    <s v="679 Oak St"/>
    <x v="1"/>
    <x v="1"/>
    <n v="5"/>
    <n v="1036"/>
    <n v="638921"/>
    <n v="616.71911196911196"/>
  </r>
  <r>
    <x v="888"/>
    <s v="Jun"/>
    <x v="9"/>
    <s v="639 Maple Ave"/>
    <x v="6"/>
    <x v="3"/>
    <n v="3"/>
    <n v="1064"/>
    <n v="496442"/>
    <n v="466.58082706766919"/>
  </r>
  <r>
    <x v="889"/>
    <s v="Jul"/>
    <x v="0"/>
    <s v="568 Maple Ave"/>
    <x v="5"/>
    <x v="0"/>
    <n v="5"/>
    <n v="2041"/>
    <n v="146895"/>
    <n v="71.97207251347379"/>
  </r>
  <r>
    <x v="890"/>
    <s v="Jun"/>
    <x v="4"/>
    <s v="503 Main St"/>
    <x v="6"/>
    <x v="1"/>
    <m/>
    <n v="1716"/>
    <n v="304734"/>
    <n v="177.58391608391608"/>
  </r>
  <r>
    <x v="169"/>
    <s v="Feb"/>
    <x v="16"/>
    <s v="697 Maple Ave"/>
    <x v="0"/>
    <x v="0"/>
    <m/>
    <n v="2580"/>
    <n v="176184"/>
    <n v="68.288372093023256"/>
  </r>
  <r>
    <x v="393"/>
    <s v="Jul"/>
    <x v="15"/>
    <s v="437 Oak St"/>
    <x v="4"/>
    <x v="0"/>
    <m/>
    <n v="3424"/>
    <n v="646879"/>
    <n v="188.92494158878506"/>
  </r>
  <r>
    <x v="891"/>
    <s v="Dec"/>
    <x v="3"/>
    <s v="670 Maple Ave"/>
    <x v="0"/>
    <x v="2"/>
    <m/>
    <n v="2653"/>
    <n v="184421"/>
    <n v="69.514134941575577"/>
  </r>
  <r>
    <x v="892"/>
    <s v="Jan"/>
    <x v="9"/>
    <s v="270 Maple Ave"/>
    <x v="4"/>
    <x v="0"/>
    <m/>
    <n v="3271"/>
    <n v="525307"/>
    <n v="160.59523081626415"/>
  </r>
  <r>
    <x v="893"/>
    <s v="Jul"/>
    <x v="4"/>
    <s v="812 Elm St"/>
    <x v="2"/>
    <x v="2"/>
    <m/>
    <n v="1805"/>
    <n v="624089"/>
    <n v="345.75567867036011"/>
  </r>
  <r>
    <x v="894"/>
    <s v="Nov"/>
    <x v="14"/>
    <s v="288 Oak St"/>
    <x v="4"/>
    <x v="3"/>
    <n v="4"/>
    <n v="1939"/>
    <n v="830496"/>
    <n v="428.31150077359462"/>
  </r>
  <r>
    <x v="895"/>
    <s v="Jun"/>
    <x v="16"/>
    <s v="149 Main St"/>
    <x v="6"/>
    <x v="1"/>
    <m/>
    <n v="1884"/>
    <n v="207464"/>
    <n v="110.11889596602973"/>
  </r>
  <r>
    <x v="896"/>
    <s v="Apr"/>
    <x v="1"/>
    <s v="638 Maple Ave"/>
    <x v="0"/>
    <x v="0"/>
    <n v="4"/>
    <n v="963"/>
    <n v="577039"/>
    <n v="599.20976116303223"/>
  </r>
  <r>
    <x v="897"/>
    <s v="Nov"/>
    <x v="16"/>
    <s v="991 Maple Ave"/>
    <x v="2"/>
    <x v="2"/>
    <m/>
    <n v="859"/>
    <n v="703379"/>
    <n v="818.83469150174619"/>
  </r>
  <r>
    <x v="618"/>
    <s v="Jan"/>
    <x v="0"/>
    <s v="935 Elm St"/>
    <x v="3"/>
    <x v="2"/>
    <n v="3"/>
    <n v="1755"/>
    <n v="688362"/>
    <n v="392.22905982905985"/>
  </r>
  <r>
    <x v="898"/>
    <s v="May"/>
    <x v="0"/>
    <s v="994 Oak St"/>
    <x v="6"/>
    <x v="2"/>
    <n v="3"/>
    <n v="1515"/>
    <n v="534136"/>
    <n v="352.56501650165018"/>
  </r>
  <r>
    <x v="899"/>
    <s v="Sep"/>
    <x v="18"/>
    <s v="421 Pine Rd"/>
    <x v="1"/>
    <x v="0"/>
    <m/>
    <n v="1893"/>
    <n v="840843"/>
    <n v="444.1854199683043"/>
  </r>
  <r>
    <x v="900"/>
    <s v="Feb"/>
    <x v="8"/>
    <s v="170 Oak St"/>
    <x v="5"/>
    <x v="1"/>
    <n v="5"/>
    <n v="2911"/>
    <n v="427195"/>
    <n v="146.75197526623154"/>
  </r>
  <r>
    <x v="901"/>
    <s v="Oct"/>
    <x v="15"/>
    <s v="869 Pine Rd"/>
    <x v="4"/>
    <x v="2"/>
    <n v="2"/>
    <n v="3115"/>
    <n v="348972"/>
    <n v="112.02953451043339"/>
  </r>
  <r>
    <x v="902"/>
    <s v="Jul"/>
    <x v="14"/>
    <s v="191 Elm St"/>
    <x v="6"/>
    <x v="1"/>
    <n v="5"/>
    <n v="3047"/>
    <n v="209840"/>
    <n v="68.867738759435511"/>
  </r>
  <r>
    <x v="903"/>
    <s v="Oct"/>
    <x v="7"/>
    <s v="674 Oak St"/>
    <x v="1"/>
    <x v="0"/>
    <n v="5"/>
    <n v="3090"/>
    <n v="135601"/>
    <n v="43.88381877022654"/>
  </r>
  <r>
    <x v="904"/>
    <s v="Dec"/>
    <x v="13"/>
    <s v="454 Maple Ave"/>
    <x v="0"/>
    <x v="2"/>
    <n v="2"/>
    <n v="1282"/>
    <n v="179140"/>
    <n v="139.73478939157567"/>
  </r>
  <r>
    <x v="818"/>
    <s v="Jan"/>
    <x v="11"/>
    <s v="257 Pine Rd"/>
    <x v="4"/>
    <x v="2"/>
    <n v="2"/>
    <n v="1173"/>
    <n v="584336"/>
    <n v="498.15515771526003"/>
  </r>
  <r>
    <x v="905"/>
    <s v="Apr"/>
    <x v="15"/>
    <s v="471 Elm St"/>
    <x v="1"/>
    <x v="3"/>
    <m/>
    <n v="2935"/>
    <n v="172779"/>
    <n v="58.868483816013629"/>
  </r>
  <r>
    <x v="906"/>
    <s v="May"/>
    <x v="8"/>
    <s v="744 Oak St"/>
    <x v="3"/>
    <x v="1"/>
    <n v="3"/>
    <n v="1992"/>
    <n v="299048"/>
    <n v="150.12449799196787"/>
  </r>
  <r>
    <x v="907"/>
    <s v="May"/>
    <x v="12"/>
    <s v="967 Main St"/>
    <x v="0"/>
    <x v="0"/>
    <m/>
    <n v="1043"/>
    <n v="216032"/>
    <n v="207.12559923298178"/>
  </r>
  <r>
    <x v="908"/>
    <s v="Feb"/>
    <x v="2"/>
    <s v="288 Maple Ave"/>
    <x v="4"/>
    <x v="3"/>
    <n v="4"/>
    <n v="1948"/>
    <n v="627116"/>
    <n v="321.9281314168378"/>
  </r>
  <r>
    <x v="909"/>
    <s v="Oct"/>
    <x v="1"/>
    <s v="151 Maple Ave"/>
    <x v="3"/>
    <x v="2"/>
    <m/>
    <n v="2006"/>
    <n v="557401"/>
    <n v="277.86689930209371"/>
  </r>
  <r>
    <x v="910"/>
    <s v="Jul"/>
    <x v="17"/>
    <s v="224 Oak St"/>
    <x v="0"/>
    <x v="1"/>
    <n v="4"/>
    <n v="1408"/>
    <n v="181258"/>
    <n v="128.734375"/>
  </r>
  <r>
    <x v="559"/>
    <s v="Jan"/>
    <x v="11"/>
    <s v="441 Elm St"/>
    <x v="2"/>
    <x v="1"/>
    <n v="5"/>
    <n v="2249"/>
    <n v="862975"/>
    <n v="383.71498443752779"/>
  </r>
  <r>
    <x v="462"/>
    <s v="Jan"/>
    <x v="17"/>
    <s v="204 Maple Ave"/>
    <x v="2"/>
    <x v="0"/>
    <m/>
    <n v="1029"/>
    <n v="236043"/>
    <n v="229.39067055393585"/>
  </r>
  <r>
    <x v="911"/>
    <s v="Oct"/>
    <x v="15"/>
    <s v="506 Elm St"/>
    <x v="2"/>
    <x v="0"/>
    <m/>
    <n v="3094"/>
    <n v="495674"/>
    <n v="160.20491273432449"/>
  </r>
  <r>
    <x v="912"/>
    <s v="Apr"/>
    <x v="1"/>
    <s v="129 Main St"/>
    <x v="2"/>
    <x v="2"/>
    <n v="2"/>
    <n v="2333"/>
    <n v="692767"/>
    <n v="296.94256322331762"/>
  </r>
  <r>
    <x v="913"/>
    <s v="Mar"/>
    <x v="1"/>
    <s v="455 Elm St"/>
    <x v="6"/>
    <x v="0"/>
    <n v="4"/>
    <n v="1470"/>
    <n v="884977"/>
    <n v="602.02517006802725"/>
  </r>
  <r>
    <x v="330"/>
    <s v="May"/>
    <x v="1"/>
    <s v="417 Oak St"/>
    <x v="5"/>
    <x v="0"/>
    <m/>
    <n v="2695"/>
    <n v="862743"/>
    <n v="320.12727272727273"/>
  </r>
  <r>
    <x v="914"/>
    <s v="Feb"/>
    <x v="12"/>
    <s v="419 Pine Rd"/>
    <x v="4"/>
    <x v="0"/>
    <m/>
    <n v="3038"/>
    <n v="790315"/>
    <n v="260.14318630678076"/>
  </r>
  <r>
    <x v="455"/>
    <s v="Aug"/>
    <x v="6"/>
    <s v="278 Maple Ave"/>
    <x v="6"/>
    <x v="2"/>
    <n v="4"/>
    <n v="2495"/>
    <n v="241391"/>
    <n v="96.749899799599191"/>
  </r>
  <r>
    <x v="915"/>
    <s v="Sep"/>
    <x v="2"/>
    <s v="791 Oak St"/>
    <x v="1"/>
    <x v="0"/>
    <n v="4"/>
    <n v="1097"/>
    <n v="433168"/>
    <n v="394.86599817684595"/>
  </r>
  <r>
    <x v="916"/>
    <s v="Sep"/>
    <x v="13"/>
    <s v="473 Main St"/>
    <x v="4"/>
    <x v="3"/>
    <m/>
    <n v="3032"/>
    <n v="878620"/>
    <n v="289.78232189973613"/>
  </r>
  <r>
    <x v="917"/>
    <s v="Jun"/>
    <x v="19"/>
    <s v="528 Pine Rd"/>
    <x v="3"/>
    <x v="0"/>
    <m/>
    <n v="963"/>
    <n v="899763"/>
    <n v="934.33333333333337"/>
  </r>
  <r>
    <x v="918"/>
    <s v="Sep"/>
    <x v="17"/>
    <s v="591 Maple Ave"/>
    <x v="4"/>
    <x v="1"/>
    <n v="3"/>
    <n v="1928"/>
    <n v="606708"/>
    <n v="314.68257261410787"/>
  </r>
  <r>
    <x v="919"/>
    <s v="Jul"/>
    <x v="16"/>
    <s v="435 Main St"/>
    <x v="2"/>
    <x v="2"/>
    <m/>
    <n v="2656"/>
    <n v="356646"/>
    <n v="134.27936746987953"/>
  </r>
  <r>
    <x v="920"/>
    <s v="Jan"/>
    <x v="19"/>
    <s v="934 Oak St"/>
    <x v="1"/>
    <x v="3"/>
    <n v="2"/>
    <n v="2578"/>
    <n v="289181"/>
    <n v="112.17261442979054"/>
  </r>
  <r>
    <x v="845"/>
    <s v="Nov"/>
    <x v="10"/>
    <s v="918 Elm St"/>
    <x v="0"/>
    <x v="1"/>
    <m/>
    <n v="3420"/>
    <n v="479650"/>
    <n v="140.2485380116959"/>
  </r>
  <r>
    <x v="921"/>
    <s v="Sep"/>
    <x v="13"/>
    <s v="553 Maple Ave"/>
    <x v="4"/>
    <x v="0"/>
    <m/>
    <n v="846"/>
    <n v="392652"/>
    <n v="464.12765957446811"/>
  </r>
  <r>
    <x v="922"/>
    <s v="Jul"/>
    <x v="1"/>
    <s v="234 Pine Rd"/>
    <x v="6"/>
    <x v="1"/>
    <m/>
    <n v="2788"/>
    <n v="853254"/>
    <n v="306.04519368723101"/>
  </r>
  <r>
    <x v="923"/>
    <s v="Jun"/>
    <x v="4"/>
    <s v="557 Oak St"/>
    <x v="1"/>
    <x v="3"/>
    <m/>
    <n v="2244"/>
    <n v="569626"/>
    <n v="253.84402852049911"/>
  </r>
  <r>
    <x v="924"/>
    <s v="Oct"/>
    <x v="5"/>
    <s v="784 Oak St"/>
    <x v="5"/>
    <x v="1"/>
    <m/>
    <n v="3198"/>
    <n v="352834"/>
    <n v="110.32958098811757"/>
  </r>
  <r>
    <x v="925"/>
    <s v="Aug"/>
    <x v="13"/>
    <s v="406 Maple Ave"/>
    <x v="5"/>
    <x v="1"/>
    <m/>
    <n v="1381"/>
    <n v="813954"/>
    <n v="589.39464156408394"/>
  </r>
  <r>
    <x v="926"/>
    <s v="Dec"/>
    <x v="14"/>
    <s v="221 Main St"/>
    <x v="2"/>
    <x v="3"/>
    <n v="5"/>
    <n v="2564"/>
    <n v="761974"/>
    <n v="297.18174726989082"/>
  </r>
  <r>
    <x v="927"/>
    <s v="Oct"/>
    <x v="13"/>
    <s v="259 Main St"/>
    <x v="1"/>
    <x v="3"/>
    <n v="2"/>
    <n v="1421"/>
    <n v="761360"/>
    <n v="535.79169598874034"/>
  </r>
  <r>
    <x v="928"/>
    <s v="Nov"/>
    <x v="3"/>
    <s v="391 Elm St"/>
    <x v="3"/>
    <x v="2"/>
    <n v="2"/>
    <n v="1693"/>
    <n v="845617"/>
    <n v="499.47844063792087"/>
  </r>
  <r>
    <x v="929"/>
    <s v="May"/>
    <x v="10"/>
    <s v="904 Elm St"/>
    <x v="1"/>
    <x v="3"/>
    <n v="3"/>
    <n v="2079"/>
    <n v="595168"/>
    <n v="286.27609427609428"/>
  </r>
  <r>
    <x v="930"/>
    <s v="Apr"/>
    <x v="19"/>
    <s v="916 Oak St"/>
    <x v="6"/>
    <x v="3"/>
    <m/>
    <n v="1788"/>
    <n v="220931"/>
    <n v="123.56319910514542"/>
  </r>
  <r>
    <x v="553"/>
    <s v="Aug"/>
    <x v="13"/>
    <s v="711 Elm St"/>
    <x v="3"/>
    <x v="2"/>
    <n v="3"/>
    <n v="1389"/>
    <n v="235340"/>
    <n v="169.43124550035998"/>
  </r>
  <r>
    <x v="931"/>
    <s v="Jul"/>
    <x v="11"/>
    <s v="668 Main St"/>
    <x v="3"/>
    <x v="0"/>
    <n v="2"/>
    <n v="3146"/>
    <n v="831668"/>
    <n v="264.35727908455181"/>
  </r>
  <r>
    <x v="672"/>
    <s v="Dec"/>
    <x v="8"/>
    <s v="603 Elm St"/>
    <x v="5"/>
    <x v="3"/>
    <m/>
    <n v="900"/>
    <n v="715719"/>
    <n v="795.24333333333334"/>
  </r>
  <r>
    <x v="932"/>
    <s v="Aug"/>
    <x v="4"/>
    <s v="156 Oak St"/>
    <x v="6"/>
    <x v="2"/>
    <m/>
    <n v="2812"/>
    <n v="162829"/>
    <n v="57.905049786628737"/>
  </r>
  <r>
    <x v="439"/>
    <s v="Jul"/>
    <x v="1"/>
    <s v="189 Main St"/>
    <x v="5"/>
    <x v="3"/>
    <n v="3"/>
    <n v="3161"/>
    <n v="778732"/>
    <n v="246.35621638721923"/>
  </r>
  <r>
    <x v="933"/>
    <s v="Oct"/>
    <x v="14"/>
    <s v="742 Maple Ave"/>
    <x v="4"/>
    <x v="2"/>
    <n v="2"/>
    <n v="1618"/>
    <m/>
    <n v="0"/>
  </r>
  <r>
    <x v="934"/>
    <s v="Mar"/>
    <x v="18"/>
    <s v="963 Oak St"/>
    <x v="4"/>
    <x v="2"/>
    <n v="3"/>
    <n v="3495"/>
    <n v="157807"/>
    <n v="45.15221745350501"/>
  </r>
  <r>
    <x v="935"/>
    <s v="Oct"/>
    <x v="19"/>
    <s v="467 Elm St"/>
    <x v="3"/>
    <x v="2"/>
    <n v="2"/>
    <n v="2122"/>
    <n v="512606"/>
    <n v="241.56738925541941"/>
  </r>
  <r>
    <x v="936"/>
    <s v="Aug"/>
    <x v="16"/>
    <s v="548 Pine Rd"/>
    <x v="3"/>
    <x v="2"/>
    <m/>
    <n v="1347"/>
    <n v="763893"/>
    <n v="567.10690423162589"/>
  </r>
  <r>
    <x v="937"/>
    <s v="May"/>
    <x v="3"/>
    <s v="943 Main St"/>
    <x v="0"/>
    <x v="3"/>
    <m/>
    <n v="1499"/>
    <n v="692055"/>
    <n v="461.67778519012677"/>
  </r>
  <r>
    <x v="938"/>
    <s v="Sep"/>
    <x v="2"/>
    <s v="172 Maple Ave"/>
    <x v="4"/>
    <x v="0"/>
    <n v="3"/>
    <n v="3388"/>
    <n v="216935"/>
    <n v="64.030401416765059"/>
  </r>
  <r>
    <x v="939"/>
    <s v="Apr"/>
    <x v="2"/>
    <s v="531 Main St"/>
    <x v="0"/>
    <x v="1"/>
    <n v="2"/>
    <n v="1344"/>
    <n v="384200"/>
    <n v="285.86309523809524"/>
  </r>
  <r>
    <x v="940"/>
    <s v="Jun"/>
    <x v="16"/>
    <s v="267 Pine Rd"/>
    <x v="6"/>
    <x v="3"/>
    <n v="2"/>
    <n v="3096"/>
    <n v="560974"/>
    <n v="181.19315245478037"/>
  </r>
  <r>
    <x v="941"/>
    <s v="May"/>
    <x v="7"/>
    <s v="513 Oak St"/>
    <x v="0"/>
    <x v="2"/>
    <m/>
    <n v="1951"/>
    <n v="806447"/>
    <n v="413.35058944131214"/>
  </r>
  <r>
    <x v="942"/>
    <s v="Nov"/>
    <x v="6"/>
    <s v="143 Oak St"/>
    <x v="3"/>
    <x v="0"/>
    <n v="3"/>
    <n v="1182"/>
    <n v="207245"/>
    <n v="175.33417935702201"/>
  </r>
  <r>
    <x v="943"/>
    <s v="Jun"/>
    <x v="19"/>
    <s v="823 Oak St"/>
    <x v="0"/>
    <x v="3"/>
    <n v="2"/>
    <n v="1540"/>
    <n v="148269"/>
    <n v="96.278571428571425"/>
  </r>
  <r>
    <x v="944"/>
    <s v="Jan"/>
    <x v="11"/>
    <s v="956 Oak St"/>
    <x v="0"/>
    <x v="2"/>
    <n v="4"/>
    <n v="1373"/>
    <n v="383537"/>
    <n v="279.34231609613983"/>
  </r>
  <r>
    <x v="945"/>
    <s v="Feb"/>
    <x v="3"/>
    <s v="343 Elm St"/>
    <x v="4"/>
    <x v="3"/>
    <n v="5"/>
    <n v="815"/>
    <n v="268368"/>
    <n v="329.28588957055217"/>
  </r>
  <r>
    <x v="159"/>
    <s v="Nov"/>
    <x v="8"/>
    <s v="625 Oak St"/>
    <x v="2"/>
    <x v="1"/>
    <n v="2"/>
    <n v="2581"/>
    <n v="626391"/>
    <n v="242.69314219294847"/>
  </r>
  <r>
    <x v="68"/>
    <s v="Nov"/>
    <x v="19"/>
    <s v="478 Elm St"/>
    <x v="2"/>
    <x v="2"/>
    <n v="4"/>
    <n v="2577"/>
    <n v="858727"/>
    <n v="333.22739619712843"/>
  </r>
  <r>
    <x v="946"/>
    <s v="Apr"/>
    <x v="3"/>
    <s v="352 Pine Rd"/>
    <x v="6"/>
    <x v="0"/>
    <n v="5"/>
    <n v="2790"/>
    <n v="600426"/>
    <n v="215.20645161290324"/>
  </r>
  <r>
    <x v="947"/>
    <s v="Apr"/>
    <x v="17"/>
    <s v="709 Oak St"/>
    <x v="6"/>
    <x v="2"/>
    <m/>
    <n v="3029"/>
    <n v="356434"/>
    <n v="117.67381974248927"/>
  </r>
  <r>
    <x v="948"/>
    <s v="Nov"/>
    <x v="12"/>
    <s v="337 Oak St"/>
    <x v="6"/>
    <x v="0"/>
    <n v="2"/>
    <n v="2467"/>
    <n v="538104"/>
    <n v="218.12079448723145"/>
  </r>
  <r>
    <x v="949"/>
    <s v="Sep"/>
    <x v="15"/>
    <s v="650 Pine Rd"/>
    <x v="5"/>
    <x v="0"/>
    <n v="5"/>
    <n v="1099"/>
    <n v="504269"/>
    <n v="458.84349408553231"/>
  </r>
  <r>
    <x v="950"/>
    <s v="Jan"/>
    <x v="0"/>
    <s v="652 Maple Ave"/>
    <x v="4"/>
    <x v="2"/>
    <n v="4"/>
    <n v="2325"/>
    <n v="510424"/>
    <n v="219.53720430107526"/>
  </r>
  <r>
    <x v="951"/>
    <s v="Dec"/>
    <x v="0"/>
    <s v="426 Oak St"/>
    <x v="4"/>
    <x v="0"/>
    <n v="4"/>
    <n v="2389"/>
    <n v="486435"/>
    <n v="203.61448304730013"/>
  </r>
  <r>
    <x v="952"/>
    <s v="Nov"/>
    <x v="19"/>
    <s v="106 Oak St"/>
    <x v="4"/>
    <x v="2"/>
    <n v="3"/>
    <n v="2891"/>
    <n v="149339"/>
    <n v="51.656520235212732"/>
  </r>
  <r>
    <x v="573"/>
    <s v="Dec"/>
    <x v="5"/>
    <s v="174 Main St"/>
    <x v="6"/>
    <x v="1"/>
    <m/>
    <n v="1562"/>
    <n v="732599"/>
    <n v="469.01344430217671"/>
  </r>
  <r>
    <x v="953"/>
    <s v="Mar"/>
    <x v="3"/>
    <s v="975 Maple Ave"/>
    <x v="6"/>
    <x v="1"/>
    <n v="3"/>
    <n v="883"/>
    <n v="810815"/>
    <n v="918.25028312570782"/>
  </r>
  <r>
    <x v="954"/>
    <s v="Jul"/>
    <x v="14"/>
    <s v="411 Maple Ave"/>
    <x v="4"/>
    <x v="3"/>
    <n v="2"/>
    <n v="3096"/>
    <n v="501831"/>
    <n v="162.09011627906978"/>
  </r>
  <r>
    <x v="955"/>
    <s v="Jan"/>
    <x v="6"/>
    <s v="803 Main St"/>
    <x v="6"/>
    <x v="1"/>
    <n v="3"/>
    <n v="1196"/>
    <n v="257610"/>
    <n v="215.39297658862876"/>
  </r>
  <r>
    <x v="253"/>
    <s v="Sep"/>
    <x v="8"/>
    <s v="985 Oak St"/>
    <x v="4"/>
    <x v="2"/>
    <n v="2"/>
    <n v="1308"/>
    <n v="113132"/>
    <n v="86.49235474006116"/>
  </r>
  <r>
    <x v="343"/>
    <s v="Apr"/>
    <x v="11"/>
    <s v="116 Main St"/>
    <x v="0"/>
    <x v="1"/>
    <n v="3"/>
    <n v="1629"/>
    <n v="284067"/>
    <n v="174.38121546961327"/>
  </r>
  <r>
    <x v="956"/>
    <s v="Feb"/>
    <x v="17"/>
    <s v="219 Pine Rd"/>
    <x v="6"/>
    <x v="0"/>
    <n v="2"/>
    <n v="3217"/>
    <n v="178269"/>
    <n v="55.414672054709357"/>
  </r>
  <r>
    <x v="957"/>
    <s v="Jul"/>
    <x v="15"/>
    <s v="521 Maple Ave"/>
    <x v="3"/>
    <x v="0"/>
    <n v="2"/>
    <n v="1676"/>
    <n v="872729"/>
    <n v="520.72136038186159"/>
  </r>
  <r>
    <x v="958"/>
    <s v="Nov"/>
    <x v="8"/>
    <s v="957 Oak St"/>
    <x v="2"/>
    <x v="3"/>
    <m/>
    <n v="2310"/>
    <n v="801836"/>
    <n v="347.11515151515152"/>
  </r>
  <r>
    <x v="959"/>
    <s v="Jan"/>
    <x v="10"/>
    <s v="431 Elm St"/>
    <x v="1"/>
    <x v="1"/>
    <n v="3"/>
    <n v="1848"/>
    <m/>
    <n v="0"/>
  </r>
  <r>
    <x v="47"/>
    <s v="Jul"/>
    <x v="7"/>
    <s v="442 Maple Ave"/>
    <x v="6"/>
    <x v="1"/>
    <n v="3"/>
    <n v="883"/>
    <n v="130301"/>
    <n v="147.56625141562853"/>
  </r>
  <r>
    <x v="960"/>
    <s v="Oct"/>
    <x v="0"/>
    <s v="942 Oak St"/>
    <x v="6"/>
    <x v="2"/>
    <n v="3"/>
    <n v="1346"/>
    <n v="578323"/>
    <n v="429.66047548291232"/>
  </r>
  <r>
    <x v="961"/>
    <s v="Sep"/>
    <x v="7"/>
    <s v="287 Oak St"/>
    <x v="3"/>
    <x v="1"/>
    <n v="2"/>
    <n v="1694"/>
    <n v="832581"/>
    <n v="491.48819362455725"/>
  </r>
  <r>
    <x v="962"/>
    <s v="Apr"/>
    <x v="2"/>
    <s v="275 Pine Rd"/>
    <x v="4"/>
    <x v="0"/>
    <n v="3"/>
    <n v="2774"/>
    <n v="748537"/>
    <n v="269.84030281182407"/>
  </r>
  <r>
    <x v="963"/>
    <s v="Apr"/>
    <x v="5"/>
    <s v="645 Main St"/>
    <x v="2"/>
    <x v="2"/>
    <n v="4"/>
    <n v="948"/>
    <n v="303877"/>
    <n v="320.54535864978902"/>
  </r>
  <r>
    <x v="964"/>
    <s v="Aug"/>
    <x v="10"/>
    <s v="428 Elm St"/>
    <x v="5"/>
    <x v="1"/>
    <n v="5"/>
    <n v="1517"/>
    <n v="380237"/>
    <n v="250.65062623599209"/>
  </r>
  <r>
    <x v="965"/>
    <s v="Apr"/>
    <x v="3"/>
    <s v="864 Pine Rd"/>
    <x v="3"/>
    <x v="1"/>
    <n v="2"/>
    <n v="924"/>
    <n v="538391"/>
    <n v="582.67424242424238"/>
  </r>
  <r>
    <x v="966"/>
    <s v="Jun"/>
    <x v="17"/>
    <s v="507 Elm St"/>
    <x v="0"/>
    <x v="2"/>
    <m/>
    <n v="2777"/>
    <n v="389495"/>
    <n v="140.25747209218582"/>
  </r>
  <r>
    <x v="967"/>
    <s v="Oct"/>
    <x v="9"/>
    <s v="566 Oak St"/>
    <x v="4"/>
    <x v="2"/>
    <n v="3"/>
    <n v="2934"/>
    <n v="721054"/>
    <n v="245.75800954328562"/>
  </r>
  <r>
    <x v="968"/>
    <s v="Oct"/>
    <x v="17"/>
    <s v="131 Elm St"/>
    <x v="2"/>
    <x v="1"/>
    <m/>
    <n v="2628"/>
    <n v="686381"/>
    <n v="261.17998477929984"/>
  </r>
  <r>
    <x v="969"/>
    <s v="Nov"/>
    <x v="9"/>
    <s v="512 Oak St"/>
    <x v="5"/>
    <x v="1"/>
    <n v="4"/>
    <n v="2420"/>
    <n v="435034"/>
    <n v="179.76611570247934"/>
  </r>
  <r>
    <x v="970"/>
    <s v="Sep"/>
    <x v="12"/>
    <s v="344 Oak St"/>
    <x v="3"/>
    <x v="2"/>
    <n v="4"/>
    <n v="3136"/>
    <n v="482051"/>
    <n v="153.71524234693877"/>
  </r>
  <r>
    <x v="971"/>
    <s v="Apr"/>
    <x v="0"/>
    <s v="148 Main St"/>
    <x v="1"/>
    <x v="1"/>
    <n v="4"/>
    <n v="3458"/>
    <n v="115210"/>
    <n v="33.316946211683053"/>
  </r>
  <r>
    <x v="972"/>
    <s v="Mar"/>
    <x v="14"/>
    <s v="631 Oak St"/>
    <x v="0"/>
    <x v="2"/>
    <n v="5"/>
    <n v="3176"/>
    <n v="229322"/>
    <n v="72.204659949622169"/>
  </r>
  <r>
    <x v="973"/>
    <s v="Feb"/>
    <x v="5"/>
    <s v="321 Main St"/>
    <x v="3"/>
    <x v="1"/>
    <m/>
    <n v="1068"/>
    <n v="628247"/>
    <n v="588.24625468164788"/>
  </r>
  <r>
    <x v="732"/>
    <s v="Apr"/>
    <x v="10"/>
    <s v="686 Oak St"/>
    <x v="3"/>
    <x v="3"/>
    <n v="4"/>
    <n v="2952"/>
    <n v="381666"/>
    <n v="129.29065040650406"/>
  </r>
  <r>
    <x v="974"/>
    <s v="Oct"/>
    <x v="14"/>
    <s v="305 Main St"/>
    <x v="3"/>
    <x v="0"/>
    <n v="5"/>
    <n v="2288"/>
    <n v="741439"/>
    <n v="324.05550699300699"/>
  </r>
  <r>
    <x v="975"/>
    <s v="Mar"/>
    <x v="0"/>
    <s v="467 Pine Rd"/>
    <x v="4"/>
    <x v="3"/>
    <m/>
    <n v="2520"/>
    <n v="815604"/>
    <n v="323.65238095238095"/>
  </r>
  <r>
    <x v="976"/>
    <s v="Sep"/>
    <x v="0"/>
    <s v="253 Oak St"/>
    <x v="6"/>
    <x v="1"/>
    <n v="5"/>
    <n v="2715"/>
    <n v="402399"/>
    <n v="148.2132596685083"/>
  </r>
  <r>
    <x v="977"/>
    <s v="Jan"/>
    <x v="17"/>
    <s v="511 Elm St"/>
    <x v="5"/>
    <x v="2"/>
    <n v="4"/>
    <n v="3126"/>
    <n v="203165"/>
    <n v="64.99200255918106"/>
  </r>
  <r>
    <x v="978"/>
    <s v="Apr"/>
    <x v="12"/>
    <s v="854 Pine Rd"/>
    <x v="1"/>
    <x v="0"/>
    <n v="4"/>
    <n v="1678"/>
    <n v="804681"/>
    <n v="479.54767580452921"/>
  </r>
  <r>
    <x v="979"/>
    <s v="Feb"/>
    <x v="18"/>
    <s v="227 Elm St"/>
    <x v="0"/>
    <x v="2"/>
    <n v="4"/>
    <n v="2080"/>
    <n v="598150"/>
    <n v="287.57211538461536"/>
  </r>
  <r>
    <x v="980"/>
    <s v="Dec"/>
    <x v="12"/>
    <s v="394 Oak St"/>
    <x v="3"/>
    <x v="1"/>
    <m/>
    <n v="3436"/>
    <n v="290249"/>
    <n v="84.472933643771825"/>
  </r>
  <r>
    <x v="981"/>
    <s v="Jan"/>
    <x v="1"/>
    <s v="379 Maple Ave"/>
    <x v="4"/>
    <x v="1"/>
    <m/>
    <n v="1278"/>
    <n v="185088"/>
    <n v="144.82629107981219"/>
  </r>
  <r>
    <x v="982"/>
    <s v="Dec"/>
    <x v="4"/>
    <s v="991 Main St"/>
    <x v="6"/>
    <x v="0"/>
    <m/>
    <n v="3109"/>
    <n v="207777"/>
    <n v="66.830813766484397"/>
  </r>
  <r>
    <x v="983"/>
    <s v="Apr"/>
    <x v="6"/>
    <s v="451 Main St"/>
    <x v="1"/>
    <x v="1"/>
    <m/>
    <n v="1445"/>
    <n v="826982"/>
    <n v="572.30588235294113"/>
  </r>
  <r>
    <x v="984"/>
    <s v="Nov"/>
    <x v="16"/>
    <s v="890 Pine Rd"/>
    <x v="4"/>
    <x v="1"/>
    <m/>
    <n v="3296"/>
    <n v="219383"/>
    <n v="66.560376213592235"/>
  </r>
  <r>
    <x v="985"/>
    <s v="Feb"/>
    <x v="18"/>
    <s v="286 Main St"/>
    <x v="3"/>
    <x v="1"/>
    <n v="3"/>
    <n v="2978"/>
    <n v="653982"/>
    <n v="219.60443250503693"/>
  </r>
  <r>
    <x v="986"/>
    <s v="Dec"/>
    <x v="4"/>
    <s v="688 Pine Rd"/>
    <x v="4"/>
    <x v="1"/>
    <n v="3"/>
    <n v="1520"/>
    <n v="452621"/>
    <n v="297.77697368421053"/>
  </r>
  <r>
    <x v="987"/>
    <s v="May"/>
    <x v="10"/>
    <s v="621 Main St"/>
    <x v="1"/>
    <x v="2"/>
    <n v="5"/>
    <n v="2197"/>
    <n v="138433"/>
    <n v="63.010013654984071"/>
  </r>
  <r>
    <x v="988"/>
    <s v="Jul"/>
    <x v="6"/>
    <s v="599 Pine Rd"/>
    <x v="1"/>
    <x v="0"/>
    <n v="4"/>
    <n v="1227"/>
    <n v="814549"/>
    <n v="663.85411572942132"/>
  </r>
  <r>
    <x v="989"/>
    <s v="Nov"/>
    <x v="17"/>
    <s v="420 Oak St"/>
    <x v="2"/>
    <x v="2"/>
    <m/>
    <n v="1525"/>
    <n v="415879"/>
    <n v="272.70754098360658"/>
  </r>
  <r>
    <x v="568"/>
    <s v="May"/>
    <x v="3"/>
    <s v="113 Maple Ave"/>
    <x v="0"/>
    <x v="3"/>
    <m/>
    <n v="2524"/>
    <n v="736361"/>
    <n v="291.74366085578447"/>
  </r>
  <r>
    <x v="990"/>
    <s v="Sep"/>
    <x v="0"/>
    <s v="215 Main St"/>
    <x v="0"/>
    <x v="1"/>
    <n v="2"/>
    <n v="3310"/>
    <n v="509709"/>
    <n v="153.99063444108762"/>
  </r>
  <r>
    <x v="96"/>
    <s v="Jan"/>
    <x v="4"/>
    <s v="392 Pine Rd"/>
    <x v="3"/>
    <x v="2"/>
    <n v="2"/>
    <n v="1632"/>
    <n v="464176"/>
    <n v="284.42156862745099"/>
  </r>
  <r>
    <x v="991"/>
    <s v="Dec"/>
    <x v="16"/>
    <s v="519 Main St"/>
    <x v="4"/>
    <x v="3"/>
    <n v="2"/>
    <n v="2039"/>
    <n v="376986"/>
    <n v="184.88769004413928"/>
  </r>
  <r>
    <x v="505"/>
    <s v="Oct"/>
    <x v="4"/>
    <s v="919 Pine Rd"/>
    <x v="3"/>
    <x v="0"/>
    <n v="4"/>
    <n v="3292"/>
    <n v="186312"/>
    <n v="56.59538274605103"/>
  </r>
  <r>
    <x v="992"/>
    <s v="Nov"/>
    <x v="17"/>
    <s v="102 Maple Ave"/>
    <x v="0"/>
    <x v="0"/>
    <m/>
    <n v="1480"/>
    <n v="718565"/>
    <n v="485.51689189189187"/>
  </r>
  <r>
    <x v="993"/>
    <s v="Dec"/>
    <x v="0"/>
    <s v="681 Elm St"/>
    <x v="1"/>
    <x v="0"/>
    <m/>
    <n v="2025"/>
    <n v="778824"/>
    <n v="384.60444444444443"/>
  </r>
  <r>
    <x v="994"/>
    <s v="Sep"/>
    <x v="12"/>
    <s v="243 Main St"/>
    <x v="1"/>
    <x v="0"/>
    <n v="3"/>
    <n v="2640"/>
    <n v="300483"/>
    <n v="113.81931818181818"/>
  </r>
  <r>
    <x v="995"/>
    <s v="Oct"/>
    <x v="6"/>
    <s v="550 Oak St"/>
    <x v="1"/>
    <x v="2"/>
    <m/>
    <n v="1549"/>
    <n v="848800"/>
    <n v="547.96642995480954"/>
  </r>
  <r>
    <x v="996"/>
    <s v="May"/>
    <x v="4"/>
    <s v="396 Pine Rd"/>
    <x v="4"/>
    <x v="2"/>
    <m/>
    <n v="1501"/>
    <n v="235397"/>
    <n v="156.82678214523651"/>
  </r>
  <r>
    <x v="997"/>
    <s v="Aug"/>
    <x v="19"/>
    <s v="389 Oak St"/>
    <x v="3"/>
    <x v="2"/>
    <m/>
    <n v="3134"/>
    <n v="375148"/>
    <n v="119.70261646458201"/>
  </r>
  <r>
    <x v="998"/>
    <s v="Feb"/>
    <x v="2"/>
    <s v="818 Pine Rd"/>
    <x v="4"/>
    <x v="3"/>
    <m/>
    <n v="2356"/>
    <n v="697381"/>
    <n v="296.00212224108657"/>
  </r>
  <r>
    <x v="999"/>
    <s v="Mar"/>
    <x v="6"/>
    <s v="430 Pine Rd"/>
    <x v="3"/>
    <x v="2"/>
    <m/>
    <n v="2725"/>
    <n v="545644"/>
    <n v="200.23633027522936"/>
  </r>
  <r>
    <x v="1000"/>
    <s v="Aug"/>
    <x v="10"/>
    <s v="430 Pine Rd"/>
    <x v="0"/>
    <x v="3"/>
    <m/>
    <n v="1869"/>
    <n v="888138"/>
    <n v="475.19422150882826"/>
  </r>
  <r>
    <x v="288"/>
    <s v="Aug"/>
    <x v="1"/>
    <s v="708 Pine Rd"/>
    <x v="2"/>
    <x v="2"/>
    <n v="2"/>
    <n v="3438"/>
    <n v="493744"/>
    <n v="143.61372891215822"/>
  </r>
  <r>
    <x v="1001"/>
    <s v="Jul"/>
    <x v="1"/>
    <s v="759 Pine Rd"/>
    <x v="6"/>
    <x v="1"/>
    <n v="4"/>
    <n v="1998"/>
    <n v="624720"/>
    <n v="312.67267267267266"/>
  </r>
  <r>
    <x v="1002"/>
    <s v="Aug"/>
    <x v="18"/>
    <s v="920 Main St"/>
    <x v="0"/>
    <x v="2"/>
    <m/>
    <n v="815"/>
    <n v="350486"/>
    <n v="430.0441717791411"/>
  </r>
  <r>
    <x v="1003"/>
    <s v="Feb"/>
    <x v="19"/>
    <s v="983 Pine Rd"/>
    <x v="5"/>
    <x v="0"/>
    <n v="3"/>
    <n v="1907"/>
    <n v="389806"/>
    <n v="204.40797063450447"/>
  </r>
  <r>
    <x v="1004"/>
    <s v="Nov"/>
    <x v="14"/>
    <s v="958 Main St"/>
    <x v="3"/>
    <x v="2"/>
    <n v="3"/>
    <n v="3392"/>
    <n v="238541"/>
    <n v="70.324587264150949"/>
  </r>
  <r>
    <x v="1005"/>
    <s v="May"/>
    <x v="7"/>
    <s v="932 Oak St"/>
    <x v="6"/>
    <x v="1"/>
    <m/>
    <n v="2325"/>
    <n v="167053"/>
    <n v="71.850752688172037"/>
  </r>
  <r>
    <x v="1006"/>
    <s v="Dec"/>
    <x v="13"/>
    <s v="658 Elm St"/>
    <x v="4"/>
    <x v="1"/>
    <m/>
    <n v="1485"/>
    <n v="197009"/>
    <n v="132.66599326599328"/>
  </r>
  <r>
    <x v="1007"/>
    <s v="Jun"/>
    <x v="9"/>
    <s v="648 Maple Ave"/>
    <x v="6"/>
    <x v="2"/>
    <n v="5"/>
    <n v="1910"/>
    <n v="708868"/>
    <n v="371.13507853403144"/>
  </r>
  <r>
    <x v="1008"/>
    <s v="Apr"/>
    <x v="8"/>
    <s v="114 Maple Ave"/>
    <x v="4"/>
    <x v="0"/>
    <n v="5"/>
    <n v="2620"/>
    <n v="202750"/>
    <n v="77.385496183206101"/>
  </r>
  <r>
    <x v="1009"/>
    <s v="Jun"/>
    <x v="5"/>
    <s v="169 Oak St"/>
    <x v="2"/>
    <x v="1"/>
    <n v="2"/>
    <n v="3435"/>
    <n v="174828"/>
    <n v="50.896069868995632"/>
  </r>
  <r>
    <x v="1010"/>
    <s v="Oct"/>
    <x v="13"/>
    <s v="110 Maple Ave"/>
    <x v="6"/>
    <x v="3"/>
    <n v="4"/>
    <n v="1433"/>
    <n v="493987"/>
    <n v="344.72226099092813"/>
  </r>
  <r>
    <x v="1011"/>
    <s v="Mar"/>
    <x v="17"/>
    <s v="764 Elm St"/>
    <x v="0"/>
    <x v="3"/>
    <m/>
    <n v="1881"/>
    <n v="700288"/>
    <n v="372.2955874534822"/>
  </r>
  <r>
    <x v="1012"/>
    <s v="Aug"/>
    <x v="16"/>
    <s v="779 Oak St"/>
    <x v="3"/>
    <x v="3"/>
    <m/>
    <n v="3077"/>
    <n v="631611"/>
    <n v="205.26844328891778"/>
  </r>
  <r>
    <x v="1013"/>
    <s v="Dec"/>
    <x v="11"/>
    <s v="738 Main St"/>
    <x v="2"/>
    <x v="2"/>
    <m/>
    <n v="2956"/>
    <n v="697309"/>
    <n v="235.89614343707714"/>
  </r>
  <r>
    <x v="1014"/>
    <s v="Jan"/>
    <x v="1"/>
    <s v="257 Maple Ave"/>
    <x v="6"/>
    <x v="1"/>
    <n v="5"/>
    <n v="1027"/>
    <n v="166992"/>
    <n v="162.60175267770205"/>
  </r>
  <r>
    <x v="1015"/>
    <s v="Feb"/>
    <x v="5"/>
    <s v="978 Oak St"/>
    <x v="6"/>
    <x v="3"/>
    <n v="5"/>
    <n v="2347"/>
    <n v="562033"/>
    <n v="239.46868342564977"/>
  </r>
  <r>
    <x v="650"/>
    <s v="Dec"/>
    <x v="10"/>
    <s v="400 Pine Rd"/>
    <x v="6"/>
    <x v="1"/>
    <n v="5"/>
    <n v="2567"/>
    <n v="639638"/>
    <n v="249.17724970783016"/>
  </r>
  <r>
    <x v="1014"/>
    <s v="Jan"/>
    <x v="1"/>
    <s v="659 Pine Rd"/>
    <x v="0"/>
    <x v="2"/>
    <n v="2"/>
    <n v="1999"/>
    <n v="446100"/>
    <n v="223.16158079039519"/>
  </r>
  <r>
    <x v="1016"/>
    <s v="May"/>
    <x v="4"/>
    <s v="175 Oak St"/>
    <x v="5"/>
    <x v="0"/>
    <m/>
    <n v="1201"/>
    <n v="501375"/>
    <n v="417.46461282264778"/>
  </r>
  <r>
    <x v="1017"/>
    <s v="Oct"/>
    <x v="2"/>
    <s v="890 Elm St"/>
    <x v="0"/>
    <x v="0"/>
    <m/>
    <n v="3131"/>
    <n v="638191"/>
    <n v="203.82976684765251"/>
  </r>
  <r>
    <x v="1018"/>
    <s v="Jun"/>
    <x v="2"/>
    <s v="565 Elm St"/>
    <x v="6"/>
    <x v="3"/>
    <n v="4"/>
    <n v="3360"/>
    <n v="530816"/>
    <n v="157.98095238095237"/>
  </r>
  <r>
    <x v="1019"/>
    <s v="May"/>
    <x v="4"/>
    <s v="699 Pine Rd"/>
    <x v="6"/>
    <x v="2"/>
    <m/>
    <n v="1307"/>
    <n v="158833"/>
    <n v="121.5248661055853"/>
  </r>
  <r>
    <x v="1020"/>
    <s v="Mar"/>
    <x v="10"/>
    <s v="503 Oak St"/>
    <x v="6"/>
    <x v="0"/>
    <n v="5"/>
    <n v="3355"/>
    <n v="387866"/>
    <n v="115.60834575260805"/>
  </r>
  <r>
    <x v="1021"/>
    <s v="Jun"/>
    <x v="1"/>
    <s v="511 Pine Rd"/>
    <x v="1"/>
    <x v="1"/>
    <n v="4"/>
    <n v="1887"/>
    <m/>
    <n v="0"/>
  </r>
  <r>
    <x v="1022"/>
    <s v="May"/>
    <x v="16"/>
    <s v="333 Main St"/>
    <x v="1"/>
    <x v="2"/>
    <m/>
    <n v="877"/>
    <n v="668779"/>
    <n v="762.57582668187001"/>
  </r>
  <r>
    <x v="1023"/>
    <s v="Aug"/>
    <x v="1"/>
    <s v="587 Elm St"/>
    <x v="0"/>
    <x v="0"/>
    <n v="5"/>
    <n v="1969"/>
    <n v="705752"/>
    <n v="358.43169121381413"/>
  </r>
  <r>
    <x v="1024"/>
    <s v="Jan"/>
    <x v="3"/>
    <s v="355 Main St"/>
    <x v="3"/>
    <x v="1"/>
    <n v="3"/>
    <n v="1066"/>
    <n v="349684"/>
    <n v="328.03377110694186"/>
  </r>
  <r>
    <x v="1025"/>
    <s v="Aug"/>
    <x v="11"/>
    <s v="262 Maple Ave"/>
    <x v="4"/>
    <x v="1"/>
    <n v="4"/>
    <n v="2496"/>
    <n v="101033"/>
    <n v="40.477964743589745"/>
  </r>
  <r>
    <x v="1026"/>
    <s v="Oct"/>
    <x v="11"/>
    <s v="733 Main St"/>
    <x v="0"/>
    <x v="3"/>
    <m/>
    <n v="2575"/>
    <n v="437842"/>
    <n v="170.0357281553398"/>
  </r>
  <r>
    <x v="1027"/>
    <s v="Apr"/>
    <x v="3"/>
    <s v="646 Elm St"/>
    <x v="2"/>
    <x v="2"/>
    <m/>
    <n v="3373"/>
    <n v="590756"/>
    <n v="175.14260302401422"/>
  </r>
  <r>
    <x v="1028"/>
    <s v="Feb"/>
    <x v="8"/>
    <s v="139 Oak St"/>
    <x v="6"/>
    <x v="2"/>
    <n v="5"/>
    <n v="1936"/>
    <n v="552261"/>
    <n v="285.25878099173553"/>
  </r>
  <r>
    <x v="552"/>
    <s v="Oct"/>
    <x v="15"/>
    <s v="173 Pine Rd"/>
    <x v="1"/>
    <x v="2"/>
    <m/>
    <n v="2276"/>
    <n v="609855"/>
    <n v="267.95035149384887"/>
  </r>
  <r>
    <x v="1029"/>
    <s v="Jun"/>
    <x v="5"/>
    <s v="230 Maple Ave"/>
    <x v="5"/>
    <x v="1"/>
    <n v="4"/>
    <n v="821"/>
    <n v="761975"/>
    <n v="928.1059683313033"/>
  </r>
  <r>
    <x v="1030"/>
    <s v="Mar"/>
    <x v="7"/>
    <s v="485 Main St"/>
    <x v="4"/>
    <x v="0"/>
    <n v="2"/>
    <n v="3078"/>
    <n v="129407"/>
    <n v="42.042560103963609"/>
  </r>
  <r>
    <x v="1031"/>
    <s v="Apr"/>
    <x v="19"/>
    <s v="454 Elm St"/>
    <x v="4"/>
    <x v="1"/>
    <m/>
    <n v="2793"/>
    <n v="726506"/>
    <n v="260.11672037235945"/>
  </r>
  <r>
    <x v="1032"/>
    <s v="Aug"/>
    <x v="16"/>
    <s v="922 Main St"/>
    <x v="1"/>
    <x v="1"/>
    <n v="2"/>
    <n v="1733"/>
    <n v="382132"/>
    <n v="220.50317368724754"/>
  </r>
  <r>
    <x v="1033"/>
    <s v="Aug"/>
    <x v="11"/>
    <s v="853 Maple Ave"/>
    <x v="0"/>
    <x v="3"/>
    <n v="4"/>
    <n v="3210"/>
    <n v="895723"/>
    <n v="279.04143302180688"/>
  </r>
  <r>
    <x v="1034"/>
    <s v="Dec"/>
    <x v="16"/>
    <s v="838 Elm St"/>
    <x v="4"/>
    <x v="3"/>
    <m/>
    <n v="2475"/>
    <n v="353508"/>
    <n v="142.83151515151516"/>
  </r>
  <r>
    <x v="1035"/>
    <s v="Jan"/>
    <x v="9"/>
    <s v="973 Elm St"/>
    <x v="4"/>
    <x v="2"/>
    <n v="5"/>
    <n v="1169"/>
    <n v="602073"/>
    <n v="515.03250641573993"/>
  </r>
  <r>
    <x v="1036"/>
    <s v="Mar"/>
    <x v="8"/>
    <s v="546 Oak St"/>
    <x v="6"/>
    <x v="1"/>
    <m/>
    <n v="1956"/>
    <n v="503096"/>
    <n v="257.20654396728014"/>
  </r>
  <r>
    <x v="401"/>
    <s v="Jul"/>
    <x v="9"/>
    <s v="489 Pine Rd"/>
    <x v="3"/>
    <x v="2"/>
    <n v="5"/>
    <n v="954"/>
    <n v="684134"/>
    <n v="717.12159329140457"/>
  </r>
  <r>
    <x v="770"/>
    <s v="Dec"/>
    <x v="6"/>
    <s v="873 Oak St"/>
    <x v="6"/>
    <x v="0"/>
    <m/>
    <n v="1319"/>
    <n v="723050"/>
    <n v="548.18043972706596"/>
  </r>
  <r>
    <x v="678"/>
    <s v="Jul"/>
    <x v="8"/>
    <s v="737 Oak St"/>
    <x v="4"/>
    <x v="0"/>
    <m/>
    <n v="3450"/>
    <n v="340217"/>
    <n v="98.613623188405796"/>
  </r>
  <r>
    <x v="1037"/>
    <s v="Mar"/>
    <x v="11"/>
    <s v="416 Maple Ave"/>
    <x v="5"/>
    <x v="3"/>
    <n v="4"/>
    <n v="3464"/>
    <n v="217926"/>
    <n v="62.911662817551964"/>
  </r>
  <r>
    <x v="1038"/>
    <s v="Jul"/>
    <x v="3"/>
    <s v="927 Main St"/>
    <x v="3"/>
    <x v="0"/>
    <n v="3"/>
    <n v="2486"/>
    <n v="616019"/>
    <n v="247.79525341914723"/>
  </r>
  <r>
    <x v="1039"/>
    <s v="Jan"/>
    <x v="6"/>
    <s v="468 Elm St"/>
    <x v="1"/>
    <x v="2"/>
    <m/>
    <n v="1302"/>
    <n v="288382"/>
    <n v="221.49155145929339"/>
  </r>
  <r>
    <x v="1040"/>
    <s v="Oct"/>
    <x v="8"/>
    <s v="581 Oak St"/>
    <x v="5"/>
    <x v="2"/>
    <n v="4"/>
    <n v="2783"/>
    <n v="888202"/>
    <n v="319.15271289974845"/>
  </r>
  <r>
    <x v="1041"/>
    <s v="Jan"/>
    <x v="12"/>
    <s v="754 Maple Ave"/>
    <x v="3"/>
    <x v="1"/>
    <n v="3"/>
    <n v="866"/>
    <n v="188069"/>
    <n v="217.16974595842956"/>
  </r>
  <r>
    <x v="1042"/>
    <s v="Jul"/>
    <x v="5"/>
    <s v="132 Maple Ave"/>
    <x v="0"/>
    <x v="2"/>
    <n v="4"/>
    <n v="2303"/>
    <n v="646871"/>
    <n v="280.88189318280502"/>
  </r>
  <r>
    <x v="1043"/>
    <s v="Dec"/>
    <x v="4"/>
    <s v="711 Oak St"/>
    <x v="5"/>
    <x v="3"/>
    <n v="4"/>
    <n v="2024"/>
    <n v="403187"/>
    <n v="199.20306324110672"/>
  </r>
  <r>
    <x v="1044"/>
    <s v="May"/>
    <x v="18"/>
    <s v="295 Pine Rd"/>
    <x v="4"/>
    <x v="0"/>
    <m/>
    <n v="2743"/>
    <n v="664121"/>
    <n v="242.11483776886621"/>
  </r>
  <r>
    <x v="1045"/>
    <s v="Aug"/>
    <x v="0"/>
    <s v="186 Main St"/>
    <x v="2"/>
    <x v="1"/>
    <n v="2"/>
    <n v="1467"/>
    <n v="442811"/>
    <n v="301.84798909338787"/>
  </r>
  <r>
    <x v="1046"/>
    <s v="Aug"/>
    <x v="19"/>
    <s v="635 Pine Rd"/>
    <x v="4"/>
    <x v="3"/>
    <m/>
    <n v="817"/>
    <n v="530214"/>
    <n v="648.97674418604652"/>
  </r>
  <r>
    <x v="1047"/>
    <s v="Jan"/>
    <x v="2"/>
    <s v="181 Main St"/>
    <x v="6"/>
    <x v="0"/>
    <n v="5"/>
    <n v="1686"/>
    <n v="837171"/>
    <n v="496.54270462633451"/>
  </r>
  <r>
    <x v="1048"/>
    <s v="Sep"/>
    <x v="15"/>
    <s v="423 Oak St"/>
    <x v="0"/>
    <x v="2"/>
    <m/>
    <n v="2875"/>
    <n v="338737"/>
    <n v="117.82156521739131"/>
  </r>
  <r>
    <x v="1049"/>
    <s v="Jul"/>
    <x v="15"/>
    <s v="627 Pine Rd"/>
    <x v="0"/>
    <x v="1"/>
    <n v="3"/>
    <n v="1805"/>
    <n v="116841"/>
    <n v="64.731855955678668"/>
  </r>
  <r>
    <x v="1050"/>
    <s v="Jun"/>
    <x v="18"/>
    <s v="907 Pine Rd"/>
    <x v="0"/>
    <x v="2"/>
    <n v="3"/>
    <n v="1432"/>
    <n v="452981"/>
    <n v="316.32751396648047"/>
  </r>
  <r>
    <x v="1051"/>
    <s v="Oct"/>
    <x v="12"/>
    <s v="368 Main St"/>
    <x v="0"/>
    <x v="0"/>
    <n v="2"/>
    <n v="2581"/>
    <n v="176036"/>
    <n v="68.204571871367691"/>
  </r>
  <r>
    <x v="1052"/>
    <s v="Mar"/>
    <x v="1"/>
    <s v="489 Maple Ave"/>
    <x v="4"/>
    <x v="2"/>
    <n v="4"/>
    <n v="973"/>
    <n v="233283"/>
    <n v="239.75642343268242"/>
  </r>
  <r>
    <x v="627"/>
    <s v="Nov"/>
    <x v="18"/>
    <s v="495 Pine Rd"/>
    <x v="4"/>
    <x v="0"/>
    <n v="5"/>
    <n v="1831"/>
    <n v="493433"/>
    <n v="269.48825778263245"/>
  </r>
  <r>
    <x v="1053"/>
    <s v="Feb"/>
    <x v="10"/>
    <s v="339 Elm St"/>
    <x v="0"/>
    <x v="3"/>
    <n v="5"/>
    <n v="3207"/>
    <n v="557836"/>
    <n v="173.94324914250078"/>
  </r>
  <r>
    <x v="44"/>
    <s v="Sep"/>
    <x v="3"/>
    <s v="291 Pine Rd"/>
    <x v="0"/>
    <x v="3"/>
    <m/>
    <n v="1012"/>
    <n v="224605"/>
    <n v="221.94169960474309"/>
  </r>
  <r>
    <x v="1054"/>
    <s v="Jul"/>
    <x v="5"/>
    <s v="389 Maple Ave"/>
    <x v="4"/>
    <x v="2"/>
    <n v="2"/>
    <n v="2045"/>
    <n v="617089"/>
    <n v="301.75501222493887"/>
  </r>
  <r>
    <x v="650"/>
    <s v="Dec"/>
    <x v="10"/>
    <s v="146 Main St"/>
    <x v="3"/>
    <x v="2"/>
    <n v="3"/>
    <n v="1784"/>
    <n v="555758"/>
    <n v="311.52354260089686"/>
  </r>
  <r>
    <x v="1055"/>
    <s v="Dec"/>
    <x v="17"/>
    <s v="271 Elm St"/>
    <x v="2"/>
    <x v="1"/>
    <n v="3"/>
    <n v="1553"/>
    <n v="115887"/>
    <n v="74.621377978106892"/>
  </r>
  <r>
    <x v="1056"/>
    <s v="Nov"/>
    <x v="18"/>
    <s v="928 Pine Rd"/>
    <x v="6"/>
    <x v="0"/>
    <n v="5"/>
    <n v="2768"/>
    <n v="313974"/>
    <n v="113.42991329479769"/>
  </r>
  <r>
    <x v="1057"/>
    <s v="Apr"/>
    <x v="2"/>
    <s v="304 Elm St"/>
    <x v="4"/>
    <x v="0"/>
    <n v="4"/>
    <n v="1017"/>
    <n v="530971"/>
    <n v="522.09537856440511"/>
  </r>
  <r>
    <x v="1058"/>
    <s v="Sep"/>
    <x v="8"/>
    <s v="378 Elm St"/>
    <x v="6"/>
    <x v="3"/>
    <m/>
    <n v="1380"/>
    <n v="753830"/>
    <n v="546.25362318840575"/>
  </r>
  <r>
    <x v="1059"/>
    <s v="Jun"/>
    <x v="9"/>
    <s v="970 Main St"/>
    <x v="2"/>
    <x v="2"/>
    <m/>
    <n v="3304"/>
    <n v="711261"/>
    <n v="215.27269975786925"/>
  </r>
  <r>
    <x v="1060"/>
    <s v="Feb"/>
    <x v="7"/>
    <s v="185 Main St"/>
    <x v="6"/>
    <x v="0"/>
    <n v="4"/>
    <n v="2713"/>
    <n v="429299"/>
    <n v="158.2377441946185"/>
  </r>
  <r>
    <x v="1061"/>
    <s v="Mar"/>
    <x v="11"/>
    <s v="182 Oak St"/>
    <x v="6"/>
    <x v="3"/>
    <n v="4"/>
    <n v="2658"/>
    <n v="784945"/>
    <n v="295.31414597441687"/>
  </r>
  <r>
    <x v="1062"/>
    <s v="Jul"/>
    <x v="7"/>
    <s v="891 Oak St"/>
    <x v="2"/>
    <x v="2"/>
    <n v="2"/>
    <n v="1629"/>
    <n v="621930"/>
    <n v="381.78637200736648"/>
  </r>
  <r>
    <x v="1063"/>
    <s v="Nov"/>
    <x v="13"/>
    <s v="541 Elm St"/>
    <x v="4"/>
    <x v="1"/>
    <n v="5"/>
    <n v="1457"/>
    <n v="263934"/>
    <n v="181.14893617021278"/>
  </r>
  <r>
    <x v="1064"/>
    <s v="Aug"/>
    <x v="0"/>
    <s v="175 Pine Rd"/>
    <x v="4"/>
    <x v="3"/>
    <n v="5"/>
    <n v="1161"/>
    <n v="787625"/>
    <n v="678.40223944875106"/>
  </r>
  <r>
    <x v="1065"/>
    <s v="Aug"/>
    <x v="2"/>
    <s v="872 Maple Ave"/>
    <x v="1"/>
    <x v="0"/>
    <m/>
    <n v="2026"/>
    <n v="287975"/>
    <n v="142.13968410661403"/>
  </r>
  <r>
    <x v="1066"/>
    <s v="Jun"/>
    <x v="4"/>
    <s v="936 Oak St"/>
    <x v="4"/>
    <x v="1"/>
    <n v="2"/>
    <n v="1348"/>
    <n v="302505"/>
    <n v="224.41023738872403"/>
  </r>
  <r>
    <x v="1067"/>
    <s v="Oct"/>
    <x v="16"/>
    <s v="902 Maple Ave"/>
    <x v="0"/>
    <x v="2"/>
    <m/>
    <n v="964"/>
    <n v="385758"/>
    <n v="400.16390041493776"/>
  </r>
  <r>
    <x v="1068"/>
    <s v="Dec"/>
    <x v="9"/>
    <s v="514 Pine Rd"/>
    <x v="6"/>
    <x v="2"/>
    <n v="5"/>
    <n v="2007"/>
    <n v="724094"/>
    <n v="360.78425510712503"/>
  </r>
  <r>
    <x v="1069"/>
    <s v="May"/>
    <x v="9"/>
    <s v="418 Maple Ave"/>
    <x v="0"/>
    <x v="2"/>
    <m/>
    <n v="1239"/>
    <n v="782467"/>
    <n v="631.5310734463277"/>
  </r>
  <r>
    <x v="1070"/>
    <s v="Dec"/>
    <x v="11"/>
    <s v="523 Maple Ave"/>
    <x v="6"/>
    <x v="3"/>
    <m/>
    <n v="2455"/>
    <n v="896536"/>
    <n v="365.18778004073317"/>
  </r>
  <r>
    <x v="1071"/>
    <s v="Jan"/>
    <x v="2"/>
    <s v="879 Elm St"/>
    <x v="4"/>
    <x v="1"/>
    <n v="5"/>
    <n v="1346"/>
    <n v="350762"/>
    <n v="260.59583952451709"/>
  </r>
  <r>
    <x v="1072"/>
    <s v="Jul"/>
    <x v="3"/>
    <s v="612 Maple Ave"/>
    <x v="0"/>
    <x v="0"/>
    <m/>
    <n v="2126"/>
    <n v="471080"/>
    <n v="221.58043273753529"/>
  </r>
  <r>
    <x v="814"/>
    <s v="Jun"/>
    <x v="2"/>
    <s v="877 Elm St"/>
    <x v="2"/>
    <x v="3"/>
    <m/>
    <n v="952"/>
    <n v="709889"/>
    <n v="745.68172268907563"/>
  </r>
  <r>
    <x v="1073"/>
    <s v="Jul"/>
    <x v="7"/>
    <s v="855 Oak St"/>
    <x v="2"/>
    <x v="3"/>
    <n v="5"/>
    <n v="2077"/>
    <n v="157926"/>
    <n v="76.035628310062592"/>
  </r>
  <r>
    <x v="1074"/>
    <s v="Jan"/>
    <x v="7"/>
    <s v="715 Maple Ave"/>
    <x v="6"/>
    <x v="2"/>
    <n v="4"/>
    <n v="1162"/>
    <n v="209599"/>
    <n v="180.37779690189328"/>
  </r>
  <r>
    <x v="1075"/>
    <s v="Sep"/>
    <x v="16"/>
    <s v="483 Main St"/>
    <x v="5"/>
    <x v="0"/>
    <n v="4"/>
    <n v="952"/>
    <n v="429802"/>
    <n v="451.47268907563023"/>
  </r>
  <r>
    <x v="1076"/>
    <s v="Nov"/>
    <x v="6"/>
    <s v="858 Maple Ave"/>
    <x v="0"/>
    <x v="3"/>
    <n v="2"/>
    <n v="2687"/>
    <n v="320070"/>
    <n v="119.11797543729065"/>
  </r>
  <r>
    <x v="1077"/>
    <s v="Oct"/>
    <x v="15"/>
    <s v="151 Pine Rd"/>
    <x v="3"/>
    <x v="0"/>
    <n v="4"/>
    <n v="2910"/>
    <n v="252266"/>
    <n v="86.689347079037802"/>
  </r>
  <r>
    <x v="925"/>
    <s v="Aug"/>
    <x v="13"/>
    <s v="807 Maple Ave"/>
    <x v="5"/>
    <x v="0"/>
    <n v="2"/>
    <n v="3065"/>
    <n v="667078"/>
    <n v="217.64371941272429"/>
  </r>
  <r>
    <x v="1078"/>
    <s v="Jul"/>
    <x v="19"/>
    <s v="505 Elm St"/>
    <x v="5"/>
    <x v="1"/>
    <n v="4"/>
    <n v="1345"/>
    <n v="327819"/>
    <n v="243.73159851301116"/>
  </r>
  <r>
    <x v="1079"/>
    <s v="Sep"/>
    <x v="13"/>
    <s v="708 Maple Ave"/>
    <x v="4"/>
    <x v="2"/>
    <n v="3"/>
    <n v="2871"/>
    <n v="297723"/>
    <n v="103.70010449320795"/>
  </r>
  <r>
    <x v="1080"/>
    <s v="Mar"/>
    <x v="17"/>
    <s v="818 Pine Rd"/>
    <x v="1"/>
    <x v="0"/>
    <n v="2"/>
    <n v="2947"/>
    <n v="172073"/>
    <n v="58.389209365456395"/>
  </r>
  <r>
    <x v="1081"/>
    <s v="Jun"/>
    <x v="11"/>
    <s v="547 Pine Rd"/>
    <x v="6"/>
    <x v="3"/>
    <n v="2"/>
    <n v="2384"/>
    <n v="312723"/>
    <n v="131.17575503355704"/>
  </r>
  <r>
    <x v="1082"/>
    <s v="Oct"/>
    <x v="18"/>
    <s v="707 Oak St"/>
    <x v="1"/>
    <x v="2"/>
    <n v="3"/>
    <n v="3053"/>
    <n v="795680"/>
    <n v="260.62233868326234"/>
  </r>
  <r>
    <x v="51"/>
    <s v="Jan"/>
    <x v="7"/>
    <s v="753 Main St"/>
    <x v="2"/>
    <x v="1"/>
    <n v="4"/>
    <n v="2083"/>
    <n v="591057"/>
    <n v="283.75276044167066"/>
  </r>
  <r>
    <x v="737"/>
    <s v="Mar"/>
    <x v="17"/>
    <s v="183 Maple Ave"/>
    <x v="6"/>
    <x v="1"/>
    <m/>
    <n v="2827"/>
    <n v="763024"/>
    <n v="269.90590732224973"/>
  </r>
  <r>
    <x v="1083"/>
    <s v="Nov"/>
    <x v="16"/>
    <s v="276 Main St"/>
    <x v="6"/>
    <x v="0"/>
    <m/>
    <n v="2068"/>
    <n v="493473"/>
    <n v="238.6233075435203"/>
  </r>
  <r>
    <x v="1084"/>
    <s v="Apr"/>
    <x v="15"/>
    <s v="411 Pine Rd"/>
    <x v="1"/>
    <x v="0"/>
    <m/>
    <n v="2187"/>
    <n v="880976"/>
    <n v="402.82395976223137"/>
  </r>
  <r>
    <x v="984"/>
    <s v="Nov"/>
    <x v="16"/>
    <s v="351 Pine Rd"/>
    <x v="6"/>
    <x v="3"/>
    <n v="2"/>
    <n v="2861"/>
    <n v="755177"/>
    <n v="263.9556099265991"/>
  </r>
  <r>
    <x v="1085"/>
    <s v="Sep"/>
    <x v="3"/>
    <s v="561 Elm St"/>
    <x v="5"/>
    <x v="2"/>
    <n v="5"/>
    <n v="1430"/>
    <n v="540366"/>
    <n v="377.8783216783217"/>
  </r>
  <r>
    <x v="654"/>
    <s v="Mar"/>
    <x v="8"/>
    <s v="543 Main St"/>
    <x v="6"/>
    <x v="0"/>
    <m/>
    <n v="2529"/>
    <n v="360638"/>
    <n v="142.60102807433768"/>
  </r>
  <r>
    <x v="1086"/>
    <s v="Apr"/>
    <x v="1"/>
    <s v="266 Elm St"/>
    <x v="2"/>
    <x v="1"/>
    <m/>
    <n v="1660"/>
    <n v="240825"/>
    <n v="145.07530120481928"/>
  </r>
  <r>
    <x v="1087"/>
    <s v="Apr"/>
    <x v="3"/>
    <s v="534 Oak St"/>
    <x v="6"/>
    <x v="0"/>
    <m/>
    <n v="2958"/>
    <n v="843807"/>
    <n v="285.26267748478699"/>
  </r>
  <r>
    <x v="1088"/>
    <s v="Aug"/>
    <x v="19"/>
    <s v="861 Maple Ave"/>
    <x v="1"/>
    <x v="3"/>
    <n v="3"/>
    <n v="1048"/>
    <n v="644568"/>
    <n v="615.04580152671758"/>
  </r>
  <r>
    <x v="856"/>
    <s v="Apr"/>
    <x v="9"/>
    <s v="829 Oak St"/>
    <x v="4"/>
    <x v="1"/>
    <n v="3"/>
    <n v="2447"/>
    <n v="394350"/>
    <n v="161.15651818553332"/>
  </r>
  <r>
    <x v="1089"/>
    <s v="Dec"/>
    <x v="6"/>
    <s v="847 Elm St"/>
    <x v="2"/>
    <x v="1"/>
    <m/>
    <n v="1742"/>
    <n v="884135"/>
    <n v="507.5401836969001"/>
  </r>
  <r>
    <x v="1090"/>
    <s v="Mar"/>
    <x v="5"/>
    <s v="858 Pine Rd"/>
    <x v="4"/>
    <x v="3"/>
    <n v="5"/>
    <n v="2928"/>
    <n v="339520"/>
    <n v="115.95628415300547"/>
  </r>
  <r>
    <x v="1091"/>
    <s v="Jan"/>
    <x v="11"/>
    <s v="136 Oak St"/>
    <x v="0"/>
    <x v="1"/>
    <m/>
    <n v="2553"/>
    <n v="165557"/>
    <n v="64.848021934978462"/>
  </r>
  <r>
    <x v="26"/>
    <s v="Sep"/>
    <x v="14"/>
    <s v="206 Maple Ave"/>
    <x v="6"/>
    <x v="2"/>
    <n v="2"/>
    <n v="2338"/>
    <n v="351497"/>
    <n v="150.3408896492729"/>
  </r>
  <r>
    <x v="1092"/>
    <s v="May"/>
    <x v="0"/>
    <s v="215 Main St"/>
    <x v="4"/>
    <x v="2"/>
    <m/>
    <n v="2088"/>
    <n v="592181"/>
    <n v="283.61159003831415"/>
  </r>
  <r>
    <x v="1093"/>
    <s v="Mar"/>
    <x v="11"/>
    <s v="109 Main St"/>
    <x v="0"/>
    <x v="0"/>
    <n v="5"/>
    <n v="1273"/>
    <n v="810402"/>
    <n v="636.60801256873526"/>
  </r>
  <r>
    <x v="1094"/>
    <s v="Oct"/>
    <x v="5"/>
    <s v="872 Pine Rd"/>
    <x v="6"/>
    <x v="2"/>
    <n v="3"/>
    <n v="2038"/>
    <n v="259511"/>
    <n v="127.3361138370952"/>
  </r>
  <r>
    <x v="714"/>
    <s v="Apr"/>
    <x v="10"/>
    <s v="182 Pine Rd"/>
    <x v="3"/>
    <x v="3"/>
    <n v="4"/>
    <n v="2383"/>
    <n v="545291"/>
    <n v="228.82543013008814"/>
  </r>
  <r>
    <x v="1095"/>
    <s v="Dec"/>
    <x v="0"/>
    <s v="185 Oak St"/>
    <x v="4"/>
    <x v="0"/>
    <n v="5"/>
    <n v="1961"/>
    <n v="284330"/>
    <n v="144.99235084140744"/>
  </r>
  <r>
    <x v="1096"/>
    <s v="Aug"/>
    <x v="5"/>
    <s v="197 Oak St"/>
    <x v="5"/>
    <x v="0"/>
    <m/>
    <n v="2526"/>
    <n v="870547"/>
    <n v="344.63460015835312"/>
  </r>
  <r>
    <x v="1097"/>
    <s v="Apr"/>
    <x v="13"/>
    <s v="769 Maple Ave"/>
    <x v="1"/>
    <x v="0"/>
    <n v="3"/>
    <n v="2427"/>
    <n v="429664"/>
    <n v="177.03502266172228"/>
  </r>
  <r>
    <x v="1098"/>
    <s v="Jul"/>
    <x v="17"/>
    <s v="933 Oak St"/>
    <x v="5"/>
    <x v="3"/>
    <n v="4"/>
    <n v="3272"/>
    <n v="220983"/>
    <n v="67.537591687041569"/>
  </r>
  <r>
    <x v="1099"/>
    <s v="Feb"/>
    <x v="18"/>
    <s v="941 Pine Rd"/>
    <x v="0"/>
    <x v="0"/>
    <m/>
    <n v="2819"/>
    <n v="397902"/>
    <n v="141.15005321035829"/>
  </r>
  <r>
    <x v="1100"/>
    <s v="Oct"/>
    <x v="10"/>
    <s v="986 Maple Ave"/>
    <x v="2"/>
    <x v="3"/>
    <n v="4"/>
    <n v="1202"/>
    <n v="527801"/>
    <n v="439.10232945091514"/>
  </r>
  <r>
    <x v="1101"/>
    <s v="Jul"/>
    <x v="1"/>
    <s v="245 Pine Rd"/>
    <x v="4"/>
    <x v="2"/>
    <n v="5"/>
    <n v="3055"/>
    <n v="109458"/>
    <n v="35.829132569558098"/>
  </r>
  <r>
    <x v="1102"/>
    <s v="Jun"/>
    <x v="18"/>
    <s v="510 Main St"/>
    <x v="6"/>
    <x v="1"/>
    <n v="3"/>
    <n v="2288"/>
    <n v="731071"/>
    <n v="319.52403846153845"/>
  </r>
  <r>
    <x v="1103"/>
    <s v="Oct"/>
    <x v="11"/>
    <s v="195 Elm St"/>
    <x v="0"/>
    <x v="0"/>
    <m/>
    <n v="3378"/>
    <n v="622158"/>
    <n v="184.17939609236234"/>
  </r>
  <r>
    <x v="1104"/>
    <s v="Mar"/>
    <x v="10"/>
    <s v="167 Elm St"/>
    <x v="6"/>
    <x v="1"/>
    <n v="3"/>
    <n v="3324"/>
    <n v="853013"/>
    <n v="256.62244283995187"/>
  </r>
  <r>
    <x v="1105"/>
    <s v="Sep"/>
    <x v="12"/>
    <s v="108 Oak St"/>
    <x v="0"/>
    <x v="0"/>
    <m/>
    <n v="3323"/>
    <n v="619008"/>
    <n v="186.27986758952753"/>
  </r>
  <r>
    <x v="404"/>
    <s v="Dec"/>
    <x v="7"/>
    <s v="227 Main St"/>
    <x v="6"/>
    <x v="2"/>
    <n v="2"/>
    <n v="1152"/>
    <n v="208051"/>
    <n v="180.59982638888889"/>
  </r>
  <r>
    <x v="1106"/>
    <s v="May"/>
    <x v="10"/>
    <s v="901 Elm St"/>
    <x v="0"/>
    <x v="0"/>
    <m/>
    <n v="3373"/>
    <n v="143645"/>
    <n v="42.586718055143791"/>
  </r>
  <r>
    <x v="1107"/>
    <s v="Aug"/>
    <x v="13"/>
    <s v="499 Pine Rd"/>
    <x v="3"/>
    <x v="1"/>
    <n v="5"/>
    <n v="1704"/>
    <n v="688430"/>
    <n v="404.00821596244134"/>
  </r>
  <r>
    <x v="1108"/>
    <s v="May"/>
    <x v="11"/>
    <s v="460 Maple Ave"/>
    <x v="5"/>
    <x v="0"/>
    <n v="5"/>
    <n v="2830"/>
    <n v="287446"/>
    <n v="101.57102473498233"/>
  </r>
  <r>
    <x v="1109"/>
    <s v="Sep"/>
    <x v="8"/>
    <s v="498 Main St"/>
    <x v="5"/>
    <x v="3"/>
    <m/>
    <n v="3447"/>
    <n v="272051"/>
    <n v="78.923991876994492"/>
  </r>
  <r>
    <x v="1110"/>
    <s v="Aug"/>
    <x v="9"/>
    <s v="211 Oak St"/>
    <x v="1"/>
    <x v="3"/>
    <m/>
    <n v="857"/>
    <n v="701721"/>
    <n v="818.81096849474909"/>
  </r>
  <r>
    <x v="1111"/>
    <s v="May"/>
    <x v="14"/>
    <s v="847 Maple Ave"/>
    <x v="6"/>
    <x v="3"/>
    <m/>
    <n v="2895"/>
    <n v="726167"/>
    <n v="250.83488773747843"/>
  </r>
  <r>
    <x v="1112"/>
    <s v="Aug"/>
    <x v="7"/>
    <s v="513 Elm St"/>
    <x v="6"/>
    <x v="2"/>
    <n v="2"/>
    <n v="2845"/>
    <n v="834770"/>
    <n v="293.41652021089629"/>
  </r>
  <r>
    <x v="1113"/>
    <s v="Oct"/>
    <x v="1"/>
    <s v="259 Main St"/>
    <x v="0"/>
    <x v="0"/>
    <n v="3"/>
    <n v="1713"/>
    <n v="258639"/>
    <n v="150.9859894921191"/>
  </r>
  <r>
    <x v="1114"/>
    <s v="Nov"/>
    <x v="19"/>
    <s v="574 Main St"/>
    <x v="5"/>
    <x v="1"/>
    <n v="3"/>
    <n v="889"/>
    <n v="548401"/>
    <n v="616.87401574803152"/>
  </r>
  <r>
    <x v="1115"/>
    <s v="Oct"/>
    <x v="3"/>
    <s v="743 Main St"/>
    <x v="2"/>
    <x v="1"/>
    <n v="2"/>
    <n v="2428"/>
    <n v="703435"/>
    <n v="289.71787479406919"/>
  </r>
  <r>
    <x v="1116"/>
    <s v="Jun"/>
    <x v="17"/>
    <s v="613 Elm St"/>
    <x v="2"/>
    <x v="1"/>
    <m/>
    <n v="2892"/>
    <n v="204646"/>
    <n v="70.762793914246203"/>
  </r>
  <r>
    <x v="1117"/>
    <s v="Jan"/>
    <x v="4"/>
    <s v="269 Oak St"/>
    <x v="2"/>
    <x v="0"/>
    <m/>
    <n v="2303"/>
    <n v="519967"/>
    <n v="225.77811550151975"/>
  </r>
  <r>
    <x v="1118"/>
    <s v="Sep"/>
    <x v="10"/>
    <s v="799 Maple Ave"/>
    <x v="0"/>
    <x v="0"/>
    <n v="3"/>
    <n v="1378"/>
    <n v="217155"/>
    <n v="157.58708272859215"/>
  </r>
  <r>
    <x v="1119"/>
    <s v="Jan"/>
    <x v="19"/>
    <s v="461 Maple Ave"/>
    <x v="4"/>
    <x v="3"/>
    <m/>
    <n v="1866"/>
    <n v="399335"/>
    <n v="214.00589496248659"/>
  </r>
  <r>
    <x v="1120"/>
    <s v="Mar"/>
    <x v="17"/>
    <s v="297 Pine Rd"/>
    <x v="1"/>
    <x v="2"/>
    <m/>
    <n v="2803"/>
    <n v="719619"/>
    <n v="256.73171601855154"/>
  </r>
  <r>
    <x v="1121"/>
    <s v="Nov"/>
    <x v="14"/>
    <s v="135 Pine Rd"/>
    <x v="1"/>
    <x v="2"/>
    <n v="2"/>
    <n v="1959"/>
    <n v="779216"/>
    <n v="397.76212353241448"/>
  </r>
  <r>
    <x v="779"/>
    <s v="Feb"/>
    <x v="5"/>
    <s v="674 Pine Rd"/>
    <x v="4"/>
    <x v="1"/>
    <n v="4"/>
    <n v="1366"/>
    <n v="570843"/>
    <n v="417.89385065885796"/>
  </r>
  <r>
    <x v="1122"/>
    <s v="Nov"/>
    <x v="10"/>
    <s v="644 Main St"/>
    <x v="0"/>
    <x v="3"/>
    <m/>
    <n v="3122"/>
    <n v="636995"/>
    <n v="204.0342729019859"/>
  </r>
  <r>
    <x v="1123"/>
    <s v="Apr"/>
    <x v="2"/>
    <s v="174 Main St"/>
    <x v="0"/>
    <x v="1"/>
    <n v="2"/>
    <n v="3445"/>
    <n v="178428"/>
    <n v="51.793323657474602"/>
  </r>
  <r>
    <x v="1124"/>
    <s v="Mar"/>
    <x v="3"/>
    <s v="534 Main St"/>
    <x v="1"/>
    <x v="2"/>
    <m/>
    <n v="1339"/>
    <n v="478349"/>
    <n v="357.24346527259149"/>
  </r>
  <r>
    <x v="1125"/>
    <s v="Aug"/>
    <x v="13"/>
    <s v="453 Main St"/>
    <x v="6"/>
    <x v="0"/>
    <m/>
    <n v="3290"/>
    <n v="583828"/>
    <n v="177.45531914893618"/>
  </r>
  <r>
    <x v="1126"/>
    <s v="Aug"/>
    <x v="8"/>
    <s v="949 Oak St"/>
    <x v="4"/>
    <x v="1"/>
    <n v="2"/>
    <n v="2024"/>
    <n v="839587"/>
    <n v="414.81571146245057"/>
  </r>
  <r>
    <x v="1127"/>
    <s v="Apr"/>
    <x v="6"/>
    <s v="453 Pine Rd"/>
    <x v="3"/>
    <x v="3"/>
    <m/>
    <n v="2220"/>
    <n v="616624"/>
    <n v="277.75855855855855"/>
  </r>
  <r>
    <x v="408"/>
    <s v="May"/>
    <x v="15"/>
    <s v="266 Oak St"/>
    <x v="4"/>
    <x v="1"/>
    <n v="3"/>
    <n v="2697"/>
    <n v="575992"/>
    <n v="213.56766777901373"/>
  </r>
  <r>
    <x v="1128"/>
    <s v="Mar"/>
    <x v="16"/>
    <s v="280 Oak St"/>
    <x v="6"/>
    <x v="3"/>
    <m/>
    <n v="3064"/>
    <n v="463502"/>
    <n v="151.27349869451697"/>
  </r>
  <r>
    <x v="594"/>
    <s v="Nov"/>
    <x v="3"/>
    <s v="133 Maple Ave"/>
    <x v="0"/>
    <x v="1"/>
    <m/>
    <n v="937"/>
    <n v="177349"/>
    <n v="189.27321237993596"/>
  </r>
  <r>
    <x v="1129"/>
    <s v="Jul"/>
    <x v="19"/>
    <s v="141 Maple Ave"/>
    <x v="6"/>
    <x v="2"/>
    <n v="5"/>
    <n v="985"/>
    <n v="156606"/>
    <n v="158.99086294416244"/>
  </r>
  <r>
    <x v="1130"/>
    <s v="May"/>
    <x v="11"/>
    <s v="133 Maple Ave"/>
    <x v="4"/>
    <x v="0"/>
    <m/>
    <n v="2217"/>
    <n v="863116"/>
    <n v="389.31709517365812"/>
  </r>
  <r>
    <x v="1131"/>
    <s v="Nov"/>
    <x v="14"/>
    <s v="609 Elm St"/>
    <x v="5"/>
    <x v="0"/>
    <n v="4"/>
    <n v="3468"/>
    <n v="137216"/>
    <n v="39.566320645905421"/>
  </r>
  <r>
    <x v="1132"/>
    <s v="May"/>
    <x v="5"/>
    <s v="563 Pine Rd"/>
    <x v="0"/>
    <x v="3"/>
    <n v="2"/>
    <n v="1237"/>
    <n v="271803"/>
    <n v="219.72756669361357"/>
  </r>
  <r>
    <x v="1133"/>
    <s v="Mar"/>
    <x v="1"/>
    <s v="419 Elm St"/>
    <x v="2"/>
    <x v="1"/>
    <m/>
    <n v="3185"/>
    <n v="561918"/>
    <n v="176.42637362637362"/>
  </r>
  <r>
    <x v="1134"/>
    <s v="Mar"/>
    <x v="8"/>
    <s v="668 Elm St"/>
    <x v="4"/>
    <x v="1"/>
    <n v="3"/>
    <n v="1221"/>
    <n v="709754"/>
    <n v="581.28910728910728"/>
  </r>
  <r>
    <x v="1135"/>
    <s v="Oct"/>
    <x v="2"/>
    <s v="708 Elm St"/>
    <x v="5"/>
    <x v="2"/>
    <n v="4"/>
    <n v="2292"/>
    <n v="661708"/>
    <n v="288.70331588132638"/>
  </r>
  <r>
    <x v="1136"/>
    <s v="Feb"/>
    <x v="5"/>
    <s v="650 Pine Rd"/>
    <x v="0"/>
    <x v="2"/>
    <n v="3"/>
    <n v="1514"/>
    <n v="429147"/>
    <n v="283.45244385733156"/>
  </r>
  <r>
    <x v="1137"/>
    <s v="Sep"/>
    <x v="5"/>
    <s v="778 Oak St"/>
    <x v="1"/>
    <x v="3"/>
    <n v="5"/>
    <n v="2666"/>
    <n v="246445"/>
    <n v="92.439984996249066"/>
  </r>
  <r>
    <x v="1138"/>
    <s v="Nov"/>
    <x v="19"/>
    <s v="331 Oak St"/>
    <x v="4"/>
    <x v="1"/>
    <m/>
    <n v="2229"/>
    <n v="398329"/>
    <n v="178.70300583221174"/>
  </r>
  <r>
    <x v="1139"/>
    <s v="Sep"/>
    <x v="18"/>
    <s v="259 Pine Rd"/>
    <x v="0"/>
    <x v="1"/>
    <n v="4"/>
    <n v="2900"/>
    <n v="756637"/>
    <n v="260.90931034482759"/>
  </r>
  <r>
    <x v="1140"/>
    <s v="Apr"/>
    <x v="8"/>
    <s v="484 Elm St"/>
    <x v="4"/>
    <x v="2"/>
    <n v="3"/>
    <n v="1221"/>
    <n v="357165"/>
    <n v="292.51842751842753"/>
  </r>
  <r>
    <x v="1141"/>
    <s v="Jul"/>
    <x v="0"/>
    <s v="301 Oak St"/>
    <x v="4"/>
    <x v="0"/>
    <n v="2"/>
    <n v="2611"/>
    <n v="638182"/>
    <n v="244.42052853312907"/>
  </r>
  <r>
    <x v="1142"/>
    <s v="Jun"/>
    <x v="16"/>
    <s v="922 Main St"/>
    <x v="4"/>
    <x v="1"/>
    <n v="4"/>
    <n v="1765"/>
    <n v="419286"/>
    <n v="237.55580736543908"/>
  </r>
  <r>
    <x v="1143"/>
    <s v="Aug"/>
    <x v="15"/>
    <s v="798 Maple Ave"/>
    <x v="0"/>
    <x v="1"/>
    <n v="5"/>
    <n v="3005"/>
    <n v="752794"/>
    <n v="250.51381031613977"/>
  </r>
  <r>
    <x v="830"/>
    <s v="Mar"/>
    <x v="2"/>
    <s v="291 Elm St"/>
    <x v="6"/>
    <x v="0"/>
    <n v="3"/>
    <n v="2729"/>
    <n v="603405"/>
    <n v="221.10846463906194"/>
  </r>
  <r>
    <x v="1144"/>
    <s v="Mar"/>
    <x v="15"/>
    <s v="799 Pine Rd"/>
    <x v="4"/>
    <x v="2"/>
    <n v="2"/>
    <n v="2616"/>
    <n v="635494"/>
    <n v="242.92584097859327"/>
  </r>
  <r>
    <x v="1145"/>
    <s v="Aug"/>
    <x v="1"/>
    <s v="835 Maple Ave"/>
    <x v="0"/>
    <x v="3"/>
    <n v="3"/>
    <n v="2048"/>
    <n v="622307"/>
    <n v="303.86083984375"/>
  </r>
  <r>
    <x v="1146"/>
    <s v="Mar"/>
    <x v="9"/>
    <s v="423 Elm St"/>
    <x v="6"/>
    <x v="1"/>
    <n v="3"/>
    <n v="3295"/>
    <n v="807839"/>
    <n v="245.17116843702578"/>
  </r>
  <r>
    <x v="1147"/>
    <s v="Sep"/>
    <x v="12"/>
    <s v="145 Pine Rd"/>
    <x v="0"/>
    <x v="3"/>
    <m/>
    <n v="1047"/>
    <n v="166505"/>
    <n v="159.03056351480421"/>
  </r>
  <r>
    <x v="429"/>
    <s v="Nov"/>
    <x v="13"/>
    <s v="779 Main St"/>
    <x v="6"/>
    <x v="3"/>
    <m/>
    <n v="1143"/>
    <n v="185694"/>
    <n v="162.46194225721786"/>
  </r>
  <r>
    <x v="1148"/>
    <s v="Jul"/>
    <x v="14"/>
    <s v="376 Pine Rd"/>
    <x v="1"/>
    <x v="3"/>
    <m/>
    <n v="1770"/>
    <n v="340362"/>
    <n v="192.29491525423728"/>
  </r>
  <r>
    <x v="1149"/>
    <s v="Jun"/>
    <x v="2"/>
    <s v="732 Maple Ave"/>
    <x v="0"/>
    <x v="0"/>
    <n v="5"/>
    <n v="3130"/>
    <n v="433421"/>
    <n v="138.47316293929711"/>
  </r>
  <r>
    <x v="1150"/>
    <s v="Mar"/>
    <x v="13"/>
    <s v="969 Main St"/>
    <x v="2"/>
    <x v="2"/>
    <n v="4"/>
    <n v="2776"/>
    <n v="801263"/>
    <n v="288.63940922190204"/>
  </r>
  <r>
    <x v="1151"/>
    <s v="Oct"/>
    <x v="7"/>
    <s v="647 Elm St"/>
    <x v="0"/>
    <x v="1"/>
    <m/>
    <n v="2777"/>
    <n v="402831"/>
    <n v="145.05977673748649"/>
  </r>
  <r>
    <x v="1152"/>
    <s v="Jun"/>
    <x v="3"/>
    <s v="264 Main St"/>
    <x v="2"/>
    <x v="1"/>
    <m/>
    <n v="1907"/>
    <n v="604096"/>
    <n v="316.77818563188254"/>
  </r>
  <r>
    <x v="902"/>
    <s v="Jul"/>
    <x v="14"/>
    <s v="308 Main St"/>
    <x v="2"/>
    <x v="0"/>
    <n v="2"/>
    <n v="2647"/>
    <n v="814262"/>
    <n v="307.61692482055156"/>
  </r>
  <r>
    <x v="1153"/>
    <s v="Jan"/>
    <x v="3"/>
    <s v="767 Pine Rd"/>
    <x v="3"/>
    <x v="3"/>
    <n v="2"/>
    <n v="2901"/>
    <n v="264253"/>
    <n v="91.090313684936234"/>
  </r>
  <r>
    <x v="1154"/>
    <s v="Sep"/>
    <x v="12"/>
    <s v="929 Pine Rd"/>
    <x v="4"/>
    <x v="3"/>
    <n v="4"/>
    <n v="3223"/>
    <n v="595258"/>
    <n v="184.69066087496122"/>
  </r>
  <r>
    <x v="1155"/>
    <s v="Nov"/>
    <x v="7"/>
    <s v="465 Main St"/>
    <x v="6"/>
    <x v="2"/>
    <m/>
    <n v="3459"/>
    <n v="896546"/>
    <n v="259.19225209598147"/>
  </r>
  <r>
    <x v="1156"/>
    <s v="Sep"/>
    <x v="6"/>
    <s v="844 Maple Ave"/>
    <x v="0"/>
    <x v="2"/>
    <m/>
    <n v="2142"/>
    <n v="320353"/>
    <n v="149.55788982259571"/>
  </r>
  <r>
    <x v="1157"/>
    <s v="Jul"/>
    <x v="9"/>
    <s v="146 Pine Rd"/>
    <x v="4"/>
    <x v="0"/>
    <m/>
    <n v="1845"/>
    <n v="291158"/>
    <n v="157.80921409214093"/>
  </r>
  <r>
    <x v="1158"/>
    <s v="Jan"/>
    <x v="18"/>
    <s v="593 Main St"/>
    <x v="5"/>
    <x v="3"/>
    <n v="5"/>
    <n v="2345"/>
    <n v="816408"/>
    <n v="348.14840085287847"/>
  </r>
  <r>
    <x v="1159"/>
    <s v="Feb"/>
    <x v="11"/>
    <s v="930 Pine Rd"/>
    <x v="4"/>
    <x v="0"/>
    <n v="4"/>
    <n v="2015"/>
    <n v="389657"/>
    <n v="193.37816377171217"/>
  </r>
  <r>
    <x v="1160"/>
    <s v="May"/>
    <x v="8"/>
    <s v="763 Pine Rd"/>
    <x v="1"/>
    <x v="3"/>
    <m/>
    <n v="1311"/>
    <n v="720433"/>
    <n v="549.52936689549961"/>
  </r>
  <r>
    <x v="1161"/>
    <s v="May"/>
    <x v="8"/>
    <s v="410 Pine Rd"/>
    <x v="3"/>
    <x v="0"/>
    <m/>
    <n v="3235"/>
    <n v="237375"/>
    <n v="73.377125193199376"/>
  </r>
  <r>
    <x v="1162"/>
    <s v="Jun"/>
    <x v="18"/>
    <s v="109 Main St"/>
    <x v="4"/>
    <x v="2"/>
    <n v="4"/>
    <n v="2087"/>
    <n v="729688"/>
    <n v="349.63488260661234"/>
  </r>
  <r>
    <x v="1163"/>
    <s v="Apr"/>
    <x v="10"/>
    <s v="309 Maple Ave"/>
    <x v="3"/>
    <x v="3"/>
    <n v="2"/>
    <n v="2393"/>
    <n v="690258"/>
    <n v="288.44880902632678"/>
  </r>
  <r>
    <x v="1164"/>
    <s v="Oct"/>
    <x v="7"/>
    <s v="492 Maple Ave"/>
    <x v="5"/>
    <x v="3"/>
    <n v="4"/>
    <n v="2906"/>
    <n v="341420"/>
    <n v="117.48795595320027"/>
  </r>
  <r>
    <x v="1165"/>
    <s v="Dec"/>
    <x v="3"/>
    <s v="141 Main St"/>
    <x v="4"/>
    <x v="2"/>
    <n v="3"/>
    <n v="947"/>
    <n v="269085"/>
    <n v="284.14466737064413"/>
  </r>
  <r>
    <x v="1166"/>
    <s v="Dec"/>
    <x v="12"/>
    <s v="174 Oak St"/>
    <x v="4"/>
    <x v="0"/>
    <n v="5"/>
    <n v="3137"/>
    <m/>
    <n v="0"/>
  </r>
  <r>
    <x v="830"/>
    <s v="Mar"/>
    <x v="2"/>
    <s v="753 Main St"/>
    <x v="3"/>
    <x v="1"/>
    <n v="2"/>
    <n v="1998"/>
    <n v="596596"/>
    <n v="298.59659659659661"/>
  </r>
  <r>
    <x v="1167"/>
    <s v="Oct"/>
    <x v="7"/>
    <s v="378 Elm St"/>
    <x v="0"/>
    <x v="1"/>
    <n v="3"/>
    <n v="2870"/>
    <n v="572360"/>
    <n v="199.42857142857142"/>
  </r>
  <r>
    <x v="1168"/>
    <s v="Aug"/>
    <x v="0"/>
    <s v="154 Pine Rd"/>
    <x v="6"/>
    <x v="1"/>
    <n v="4"/>
    <n v="825"/>
    <n v="604380"/>
    <n v="732.58181818181822"/>
  </r>
  <r>
    <x v="1169"/>
    <s v="Oct"/>
    <x v="18"/>
    <s v="377 Elm St"/>
    <x v="4"/>
    <x v="2"/>
    <n v="2"/>
    <n v="2186"/>
    <n v="795972"/>
    <n v="364.12259835315643"/>
  </r>
  <r>
    <x v="1170"/>
    <s v="May"/>
    <x v="5"/>
    <s v="936 Pine Rd"/>
    <x v="5"/>
    <x v="0"/>
    <n v="2"/>
    <n v="1018"/>
    <n v="255163"/>
    <n v="250.65127701375246"/>
  </r>
  <r>
    <x v="1171"/>
    <s v="Dec"/>
    <x v="11"/>
    <s v="957 Elm St"/>
    <x v="4"/>
    <x v="2"/>
    <m/>
    <n v="1274"/>
    <n v="635872"/>
    <n v="499.11459968602827"/>
  </r>
  <r>
    <x v="435"/>
    <s v="Oct"/>
    <x v="3"/>
    <s v="959 Main St"/>
    <x v="0"/>
    <x v="3"/>
    <n v="2"/>
    <n v="1277"/>
    <n v="860335"/>
    <n v="673.71574001566171"/>
  </r>
  <r>
    <x v="1172"/>
    <s v="Aug"/>
    <x v="2"/>
    <s v="618 Main St"/>
    <x v="5"/>
    <x v="3"/>
    <n v="4"/>
    <n v="2776"/>
    <n v="314742"/>
    <n v="113.37968299711815"/>
  </r>
  <r>
    <x v="1173"/>
    <s v="Aug"/>
    <x v="2"/>
    <s v="328 Pine Rd"/>
    <x v="4"/>
    <x v="3"/>
    <m/>
    <n v="3205"/>
    <n v="588974"/>
    <n v="183.76723868954758"/>
  </r>
  <r>
    <x v="1174"/>
    <s v="Jul"/>
    <x v="4"/>
    <s v="130 Elm St"/>
    <x v="6"/>
    <x v="0"/>
    <n v="3"/>
    <n v="1376"/>
    <n v="545372"/>
    <n v="396.34593023255815"/>
  </r>
  <r>
    <x v="1175"/>
    <s v="Oct"/>
    <x v="3"/>
    <s v="771 Elm St"/>
    <x v="0"/>
    <x v="3"/>
    <n v="5"/>
    <n v="3195"/>
    <n v="523466"/>
    <n v="163.83912363067293"/>
  </r>
  <r>
    <x v="1176"/>
    <s v="Apr"/>
    <x v="11"/>
    <s v="683 Oak St"/>
    <x v="0"/>
    <x v="3"/>
    <n v="5"/>
    <n v="2386"/>
    <n v="334013"/>
    <n v="139.98868398994134"/>
  </r>
  <r>
    <x v="1177"/>
    <s v="Sep"/>
    <x v="16"/>
    <s v="938 Main St"/>
    <x v="1"/>
    <x v="0"/>
    <n v="2"/>
    <n v="2961"/>
    <n v="595043"/>
    <n v="200.96014859844647"/>
  </r>
  <r>
    <x v="1178"/>
    <s v="Apr"/>
    <x v="10"/>
    <s v="941 Maple Ave"/>
    <x v="6"/>
    <x v="1"/>
    <m/>
    <n v="1342"/>
    <n v="417086"/>
    <n v="310.79433681073027"/>
  </r>
  <r>
    <x v="1179"/>
    <s v="Jul"/>
    <x v="9"/>
    <s v="130 Pine Rd"/>
    <x v="4"/>
    <x v="2"/>
    <n v="2"/>
    <n v="2371"/>
    <n v="835409"/>
    <n v="352.34458034584566"/>
  </r>
  <r>
    <x v="1180"/>
    <s v="Apr"/>
    <x v="11"/>
    <s v="463 Elm St"/>
    <x v="6"/>
    <x v="0"/>
    <n v="2"/>
    <n v="2577"/>
    <n v="483706"/>
    <n v="187.70120294916569"/>
  </r>
  <r>
    <x v="1181"/>
    <s v="Mar"/>
    <x v="7"/>
    <s v="702 Main St"/>
    <x v="3"/>
    <x v="3"/>
    <n v="4"/>
    <n v="1280"/>
    <n v="577582"/>
    <n v="451.23593749999998"/>
  </r>
  <r>
    <x v="71"/>
    <s v="Feb"/>
    <x v="19"/>
    <s v="931 Pine Rd"/>
    <x v="6"/>
    <x v="3"/>
    <n v="5"/>
    <n v="1037"/>
    <n v="106310"/>
    <n v="102.5168756027001"/>
  </r>
  <r>
    <x v="1182"/>
    <s v="Jul"/>
    <x v="16"/>
    <s v="510 Pine Rd"/>
    <x v="1"/>
    <x v="1"/>
    <m/>
    <n v="3455"/>
    <n v="761974"/>
    <n v="220.54240231548479"/>
  </r>
  <r>
    <x v="1183"/>
    <s v="Sep"/>
    <x v="8"/>
    <s v="694 Pine Rd"/>
    <x v="6"/>
    <x v="1"/>
    <n v="3"/>
    <n v="1046"/>
    <n v="302761"/>
    <n v="289.44646271510516"/>
  </r>
  <r>
    <x v="1184"/>
    <s v="Jul"/>
    <x v="14"/>
    <s v="179 Elm St"/>
    <x v="3"/>
    <x v="2"/>
    <n v="3"/>
    <n v="2654"/>
    <n v="238089"/>
    <n v="89.709495101733239"/>
  </r>
  <r>
    <x v="1185"/>
    <s v="Jul"/>
    <x v="4"/>
    <s v="307 Pine Rd"/>
    <x v="1"/>
    <x v="3"/>
    <n v="2"/>
    <n v="1673"/>
    <m/>
    <n v="0"/>
  </r>
  <r>
    <x v="1186"/>
    <s v="Nov"/>
    <x v="7"/>
    <s v="975 Oak St"/>
    <x v="6"/>
    <x v="3"/>
    <n v="5"/>
    <n v="1299"/>
    <n v="441579"/>
    <n v="339.93764434180139"/>
  </r>
  <r>
    <x v="1187"/>
    <s v="Nov"/>
    <x v="0"/>
    <s v="320 Elm St"/>
    <x v="4"/>
    <x v="1"/>
    <n v="2"/>
    <n v="1185"/>
    <n v="248437"/>
    <n v="209.65147679324895"/>
  </r>
  <r>
    <x v="245"/>
    <s v="May"/>
    <x v="10"/>
    <s v="898 Pine Rd"/>
    <x v="4"/>
    <x v="2"/>
    <m/>
    <n v="2278"/>
    <m/>
    <n v="0"/>
  </r>
  <r>
    <x v="1188"/>
    <s v="May"/>
    <x v="1"/>
    <s v="184 Elm St"/>
    <x v="6"/>
    <x v="1"/>
    <n v="5"/>
    <n v="1864"/>
    <m/>
    <n v="0"/>
  </r>
  <r>
    <x v="1189"/>
    <s v="Jul"/>
    <x v="10"/>
    <s v="846 Oak St"/>
    <x v="4"/>
    <x v="2"/>
    <n v="4"/>
    <n v="3207"/>
    <n v="672674"/>
    <n v="209.75179295291551"/>
  </r>
  <r>
    <x v="1190"/>
    <s v="May"/>
    <x v="15"/>
    <s v="501 Oak St"/>
    <x v="0"/>
    <x v="3"/>
    <n v="3"/>
    <n v="2058"/>
    <n v="769777"/>
    <n v="374.04130223517978"/>
  </r>
  <r>
    <x v="1191"/>
    <s v="Mar"/>
    <x v="5"/>
    <s v="704 Oak St"/>
    <x v="0"/>
    <x v="0"/>
    <n v="3"/>
    <n v="3017"/>
    <n v="426796"/>
    <n v="141.46370566788201"/>
  </r>
  <r>
    <x v="1192"/>
    <s v="Dec"/>
    <x v="4"/>
    <s v="201 Main St"/>
    <x v="1"/>
    <x v="3"/>
    <n v="3"/>
    <n v="3369"/>
    <n v="661937"/>
    <n v="196.47877708518848"/>
  </r>
  <r>
    <x v="1193"/>
    <s v="Mar"/>
    <x v="4"/>
    <s v="862 Elm St"/>
    <x v="2"/>
    <x v="3"/>
    <m/>
    <n v="1826"/>
    <n v="375024"/>
    <n v="205.38006571741511"/>
  </r>
  <r>
    <x v="1194"/>
    <s v="Jul"/>
    <x v="17"/>
    <s v="242 Elm St"/>
    <x v="6"/>
    <x v="2"/>
    <m/>
    <n v="1956"/>
    <n v="605427"/>
    <n v="309.52300613496931"/>
  </r>
  <r>
    <x v="1195"/>
    <s v="Oct"/>
    <x v="10"/>
    <s v="501 Pine Rd"/>
    <x v="1"/>
    <x v="2"/>
    <n v="4"/>
    <n v="1119"/>
    <n v="343722"/>
    <n v="307.16890080428954"/>
  </r>
  <r>
    <x v="1196"/>
    <s v="Jan"/>
    <x v="7"/>
    <s v="291 Maple Ave"/>
    <x v="6"/>
    <x v="1"/>
    <n v="2"/>
    <n v="1001"/>
    <n v="652992"/>
    <n v="652.33966033966033"/>
  </r>
  <r>
    <x v="1197"/>
    <s v="Jul"/>
    <x v="19"/>
    <s v="364 Pine Rd"/>
    <x v="1"/>
    <x v="1"/>
    <n v="2"/>
    <n v="2120"/>
    <n v="441400"/>
    <n v="208.20754716981133"/>
  </r>
  <r>
    <x v="1198"/>
    <s v="Jan"/>
    <x v="5"/>
    <s v="945 Maple Ave"/>
    <x v="6"/>
    <x v="0"/>
    <n v="4"/>
    <n v="2484"/>
    <n v="687752"/>
    <n v="276.87278582930759"/>
  </r>
  <r>
    <x v="980"/>
    <s v="Dec"/>
    <x v="12"/>
    <s v="212 Main St"/>
    <x v="5"/>
    <x v="3"/>
    <m/>
    <n v="1105"/>
    <n v="414146"/>
    <n v="374.79276018099546"/>
  </r>
  <r>
    <x v="1199"/>
    <s v="Oct"/>
    <x v="6"/>
    <s v="828 Elm St"/>
    <x v="3"/>
    <x v="2"/>
    <n v="2"/>
    <n v="1432"/>
    <n v="473935"/>
    <n v="330.96019553072625"/>
  </r>
  <r>
    <x v="1200"/>
    <s v="Feb"/>
    <x v="12"/>
    <s v="530 Oak St"/>
    <x v="4"/>
    <x v="2"/>
    <m/>
    <n v="3258"/>
    <n v="291574"/>
    <n v="89.494782074892569"/>
  </r>
  <r>
    <x v="1201"/>
    <s v="Jul"/>
    <x v="14"/>
    <s v="551 Maple Ave"/>
    <x v="2"/>
    <x v="0"/>
    <n v="5"/>
    <n v="2138"/>
    <n v="583700"/>
    <n v="273.01216089803557"/>
  </r>
  <r>
    <x v="1202"/>
    <s v="Jan"/>
    <x v="15"/>
    <s v="138 Elm St"/>
    <x v="4"/>
    <x v="2"/>
    <n v="4"/>
    <n v="1525"/>
    <n v="181436"/>
    <n v="118.9744262295082"/>
  </r>
  <r>
    <x v="1203"/>
    <s v="Jan"/>
    <x v="16"/>
    <s v="139 Pine Rd"/>
    <x v="4"/>
    <x v="2"/>
    <m/>
    <n v="2280"/>
    <n v="340007"/>
    <n v="149.12587719298244"/>
  </r>
  <r>
    <x v="1204"/>
    <s v="Feb"/>
    <x v="6"/>
    <s v="745 Maple Ave"/>
    <x v="1"/>
    <x v="1"/>
    <n v="2"/>
    <n v="2251"/>
    <n v="725425"/>
    <n v="322.26788094180364"/>
  </r>
  <r>
    <x v="1205"/>
    <s v="Oct"/>
    <x v="9"/>
    <s v="885 Maple Ave"/>
    <x v="3"/>
    <x v="3"/>
    <n v="3"/>
    <n v="3183"/>
    <n v="572657"/>
    <n v="179.91109016650958"/>
  </r>
  <r>
    <x v="1206"/>
    <s v="Feb"/>
    <x v="1"/>
    <s v="523 Elm St"/>
    <x v="6"/>
    <x v="0"/>
    <n v="4"/>
    <n v="3063"/>
    <n v="149146"/>
    <n v="48.692784851452821"/>
  </r>
  <r>
    <x v="1207"/>
    <s v="Oct"/>
    <x v="15"/>
    <s v="199 Main St"/>
    <x v="6"/>
    <x v="2"/>
    <m/>
    <n v="2832"/>
    <n v="482673"/>
    <n v="170.43538135593221"/>
  </r>
  <r>
    <x v="1208"/>
    <s v="Oct"/>
    <x v="10"/>
    <s v="849 Main St"/>
    <x v="0"/>
    <x v="1"/>
    <n v="4"/>
    <n v="2436"/>
    <n v="514493"/>
    <n v="211.20402298850576"/>
  </r>
  <r>
    <x v="1209"/>
    <s v="Mar"/>
    <x v="18"/>
    <s v="966 Pine Rd"/>
    <x v="2"/>
    <x v="3"/>
    <m/>
    <n v="2194"/>
    <n v="433932"/>
    <n v="197.78122151321787"/>
  </r>
  <r>
    <x v="1210"/>
    <s v="Jun"/>
    <x v="12"/>
    <s v="303 Pine Rd"/>
    <x v="6"/>
    <x v="2"/>
    <m/>
    <n v="1115"/>
    <n v="298718"/>
    <n v="267.9085201793722"/>
  </r>
  <r>
    <x v="1211"/>
    <s v="Dec"/>
    <x v="1"/>
    <s v="183 Main St"/>
    <x v="2"/>
    <x v="3"/>
    <n v="3"/>
    <n v="1074"/>
    <n v="778139"/>
    <n v="724.52420856610797"/>
  </r>
  <r>
    <x v="1212"/>
    <s v="Dec"/>
    <x v="10"/>
    <s v="646 Oak St"/>
    <x v="1"/>
    <x v="0"/>
    <n v="4"/>
    <n v="984"/>
    <n v="374840"/>
    <n v="380.9349593495935"/>
  </r>
  <r>
    <x v="1213"/>
    <s v="Jun"/>
    <x v="15"/>
    <s v="738 Maple Ave"/>
    <x v="4"/>
    <x v="3"/>
    <n v="3"/>
    <n v="1346"/>
    <n v="525225"/>
    <n v="390.21173848439821"/>
  </r>
  <r>
    <x v="1214"/>
    <s v="May"/>
    <x v="4"/>
    <s v="716 Maple Ave"/>
    <x v="4"/>
    <x v="0"/>
    <m/>
    <n v="1049"/>
    <n v="418356"/>
    <n v="398.81410867492849"/>
  </r>
  <r>
    <x v="1215"/>
    <s v="Dec"/>
    <x v="13"/>
    <s v="185 Oak St"/>
    <x v="6"/>
    <x v="2"/>
    <n v="5"/>
    <n v="1597"/>
    <n v="649580"/>
    <n v="406.7501565435191"/>
  </r>
  <r>
    <x v="364"/>
    <s v="Jul"/>
    <x v="6"/>
    <s v="783 Oak St"/>
    <x v="4"/>
    <x v="0"/>
    <n v="2"/>
    <n v="3011"/>
    <n v="196260"/>
    <n v="65.181002989040181"/>
  </r>
  <r>
    <x v="1216"/>
    <s v="Mar"/>
    <x v="13"/>
    <s v="147 Main St"/>
    <x v="6"/>
    <x v="3"/>
    <n v="3"/>
    <n v="2872"/>
    <m/>
    <n v="0"/>
  </r>
  <r>
    <x v="1217"/>
    <s v="May"/>
    <x v="2"/>
    <s v="401 Elm St"/>
    <x v="0"/>
    <x v="1"/>
    <n v="2"/>
    <n v="3359"/>
    <n v="566241"/>
    <n v="168.57427805894611"/>
  </r>
  <r>
    <x v="1218"/>
    <s v="Apr"/>
    <x v="14"/>
    <s v="385 Main St"/>
    <x v="6"/>
    <x v="2"/>
    <n v="3"/>
    <n v="2142"/>
    <n v="229786"/>
    <n v="107.27637721755369"/>
  </r>
  <r>
    <x v="1219"/>
    <s v="Jun"/>
    <x v="12"/>
    <s v="996 Elm St"/>
    <x v="0"/>
    <x v="3"/>
    <n v="3"/>
    <n v="1297"/>
    <n v="144899"/>
    <n v="111.71858134155744"/>
  </r>
  <r>
    <x v="1135"/>
    <s v="Oct"/>
    <x v="2"/>
    <s v="333 Elm St"/>
    <x v="5"/>
    <x v="0"/>
    <n v="2"/>
    <n v="2678"/>
    <n v="834468"/>
    <n v="311.60119492158327"/>
  </r>
  <r>
    <x v="1220"/>
    <s v="Jun"/>
    <x v="14"/>
    <s v="494 Elm St"/>
    <x v="0"/>
    <x v="1"/>
    <m/>
    <n v="3099"/>
    <n v="251643"/>
    <n v="81.201355275895452"/>
  </r>
  <r>
    <x v="1221"/>
    <s v="May"/>
    <x v="4"/>
    <s v="219 Main St"/>
    <x v="1"/>
    <x v="2"/>
    <n v="5"/>
    <n v="1096"/>
    <n v="245779"/>
    <n v="224.25091240875912"/>
  </r>
  <r>
    <x v="1222"/>
    <s v="May"/>
    <x v="9"/>
    <s v="866 Main St"/>
    <x v="0"/>
    <x v="3"/>
    <n v="5"/>
    <n v="3298"/>
    <n v="246203"/>
    <n v="74.652213462704665"/>
  </r>
  <r>
    <x v="1223"/>
    <s v="Dec"/>
    <x v="10"/>
    <s v="638 Main St"/>
    <x v="2"/>
    <x v="3"/>
    <m/>
    <n v="1912"/>
    <n v="872884"/>
    <n v="456.52928870292885"/>
  </r>
  <r>
    <x v="1224"/>
    <s v="Feb"/>
    <x v="2"/>
    <s v="813 Main St"/>
    <x v="5"/>
    <x v="0"/>
    <n v="4"/>
    <n v="1830"/>
    <n v="562108"/>
    <n v="307.16284153005466"/>
  </r>
  <r>
    <x v="1225"/>
    <s v="Sep"/>
    <x v="0"/>
    <s v="694 Elm St"/>
    <x v="1"/>
    <x v="0"/>
    <n v="5"/>
    <n v="1106"/>
    <m/>
    <n v="0"/>
  </r>
  <r>
    <x v="1226"/>
    <s v="Feb"/>
    <x v="4"/>
    <s v="516 Oak St"/>
    <x v="3"/>
    <x v="3"/>
    <m/>
    <n v="837"/>
    <n v="281395"/>
    <n v="336.19474313022698"/>
  </r>
  <r>
    <x v="1227"/>
    <s v="Apr"/>
    <x v="10"/>
    <s v="553 Main St"/>
    <x v="6"/>
    <x v="3"/>
    <n v="3"/>
    <n v="1533"/>
    <n v="626644"/>
    <n v="408.76973255055447"/>
  </r>
  <r>
    <x v="1228"/>
    <s v="Apr"/>
    <x v="6"/>
    <s v="569 Oak St"/>
    <x v="0"/>
    <x v="2"/>
    <n v="2"/>
    <n v="2873"/>
    <n v="213928"/>
    <n v="74.461538461538467"/>
  </r>
  <r>
    <x v="1148"/>
    <s v="Jul"/>
    <x v="14"/>
    <s v="934 Elm St"/>
    <x v="0"/>
    <x v="0"/>
    <m/>
    <n v="2020"/>
    <n v="292837"/>
    <n v="144.96881188118812"/>
  </r>
  <r>
    <x v="1229"/>
    <s v="Jan"/>
    <x v="0"/>
    <s v="274 Oak St"/>
    <x v="4"/>
    <x v="2"/>
    <m/>
    <n v="2736"/>
    <n v="371722"/>
    <n v="135.86330409356725"/>
  </r>
  <r>
    <x v="906"/>
    <s v="May"/>
    <x v="8"/>
    <s v="995 Oak St"/>
    <x v="3"/>
    <x v="1"/>
    <n v="2"/>
    <n v="2402"/>
    <n v="668013"/>
    <n v="278.10699417152375"/>
  </r>
  <r>
    <x v="1230"/>
    <s v="Jan"/>
    <x v="7"/>
    <s v="416 Elm St"/>
    <x v="2"/>
    <x v="1"/>
    <n v="3"/>
    <n v="2312"/>
    <n v="574140"/>
    <n v="248.33044982698962"/>
  </r>
  <r>
    <x v="1231"/>
    <s v="Apr"/>
    <x v="15"/>
    <s v="126 Elm St"/>
    <x v="4"/>
    <x v="1"/>
    <n v="5"/>
    <n v="1734"/>
    <n v="609322"/>
    <n v="351.39677047289501"/>
  </r>
  <r>
    <x v="1232"/>
    <s v="Oct"/>
    <x v="4"/>
    <s v="765 Pine Rd"/>
    <x v="0"/>
    <x v="1"/>
    <m/>
    <n v="2108"/>
    <n v="279078"/>
    <n v="132.38994307400378"/>
  </r>
  <r>
    <x v="1233"/>
    <s v="Dec"/>
    <x v="8"/>
    <s v="444 Elm St"/>
    <x v="0"/>
    <x v="1"/>
    <n v="2"/>
    <n v="2717"/>
    <n v="294491"/>
    <n v="108.3882959146117"/>
  </r>
  <r>
    <x v="1234"/>
    <s v="Mar"/>
    <x v="18"/>
    <s v="949 Main St"/>
    <x v="4"/>
    <x v="0"/>
    <n v="4"/>
    <n v="1892"/>
    <n v="811907"/>
    <n v="429.12632135306552"/>
  </r>
  <r>
    <x v="1235"/>
    <s v="Aug"/>
    <x v="12"/>
    <s v="561 Pine Rd"/>
    <x v="4"/>
    <x v="2"/>
    <n v="3"/>
    <n v="3117"/>
    <n v="670119"/>
    <n v="214.98845043310877"/>
  </r>
  <r>
    <x v="1236"/>
    <s v="Nov"/>
    <x v="14"/>
    <s v="813 Pine Rd"/>
    <x v="1"/>
    <x v="1"/>
    <n v="4"/>
    <n v="2692"/>
    <n v="147788"/>
    <n v="54.898959881129272"/>
  </r>
  <r>
    <x v="1237"/>
    <s v="Feb"/>
    <x v="0"/>
    <s v="931 Maple Ave"/>
    <x v="4"/>
    <x v="0"/>
    <m/>
    <n v="2205"/>
    <n v="870473"/>
    <n v="394.77233560090701"/>
  </r>
  <r>
    <x v="1238"/>
    <s v="Mar"/>
    <x v="19"/>
    <s v="438 Pine Rd"/>
    <x v="3"/>
    <x v="3"/>
    <m/>
    <n v="1406"/>
    <n v="260768"/>
    <n v="185.46799431009958"/>
  </r>
  <r>
    <x v="1239"/>
    <s v="Mar"/>
    <x v="11"/>
    <s v="728 Oak St"/>
    <x v="4"/>
    <x v="0"/>
    <n v="4"/>
    <n v="977"/>
    <n v="467747"/>
    <n v="478.75844421699077"/>
  </r>
  <r>
    <x v="1240"/>
    <s v="Sep"/>
    <x v="7"/>
    <s v="261 Main St"/>
    <x v="2"/>
    <x v="1"/>
    <m/>
    <n v="3404"/>
    <n v="399204"/>
    <n v="117.27497062279672"/>
  </r>
  <r>
    <x v="1241"/>
    <s v="Dec"/>
    <x v="0"/>
    <s v="376 Oak St"/>
    <x v="6"/>
    <x v="1"/>
    <n v="4"/>
    <n v="1310"/>
    <n v="331996"/>
    <n v="253.4320610687023"/>
  </r>
  <r>
    <x v="1242"/>
    <s v="Jan"/>
    <x v="6"/>
    <s v="347 Oak St"/>
    <x v="2"/>
    <x v="2"/>
    <n v="3"/>
    <n v="3082"/>
    <n v="402004"/>
    <n v="130.43608046722906"/>
  </r>
  <r>
    <x v="1243"/>
    <s v="Dec"/>
    <x v="15"/>
    <s v="895 Pine Rd"/>
    <x v="3"/>
    <x v="3"/>
    <n v="3"/>
    <n v="2234"/>
    <m/>
    <n v="0"/>
  </r>
  <r>
    <x v="1244"/>
    <s v="Sep"/>
    <x v="9"/>
    <s v="510 Oak St"/>
    <x v="2"/>
    <x v="1"/>
    <n v="5"/>
    <n v="924"/>
    <n v="851538"/>
    <n v="921.57792207792204"/>
  </r>
  <r>
    <x v="1245"/>
    <s v="Jul"/>
    <x v="13"/>
    <s v="361 Main St"/>
    <x v="0"/>
    <x v="1"/>
    <n v="3"/>
    <n v="3094"/>
    <n v="192880"/>
    <n v="62.340012928248221"/>
  </r>
  <r>
    <x v="1246"/>
    <s v="Feb"/>
    <x v="6"/>
    <s v="189 Maple Ave"/>
    <x v="4"/>
    <x v="3"/>
    <m/>
    <n v="864"/>
    <n v="507352"/>
    <n v="587.21296296296293"/>
  </r>
  <r>
    <x v="1247"/>
    <s v="Feb"/>
    <x v="15"/>
    <s v="548 Pine Rd"/>
    <x v="4"/>
    <x v="1"/>
    <m/>
    <n v="1668"/>
    <n v="412430"/>
    <n v="247.26019184652279"/>
  </r>
  <r>
    <x v="1248"/>
    <s v="Feb"/>
    <x v="0"/>
    <s v="450 Oak St"/>
    <x v="1"/>
    <x v="0"/>
    <n v="2"/>
    <n v="2388"/>
    <n v="612123"/>
    <n v="256.3329145728643"/>
  </r>
  <r>
    <x v="1249"/>
    <s v="Aug"/>
    <x v="10"/>
    <s v="706 Elm St"/>
    <x v="2"/>
    <x v="1"/>
    <n v="5"/>
    <n v="1711"/>
    <n v="704925"/>
    <n v="411.99590882524842"/>
  </r>
  <r>
    <x v="1250"/>
    <s v="Dec"/>
    <x v="12"/>
    <s v="234 Pine Rd"/>
    <x v="4"/>
    <x v="0"/>
    <n v="2"/>
    <n v="3064"/>
    <n v="709637"/>
    <n v="231.60476501305482"/>
  </r>
  <r>
    <x v="1251"/>
    <s v="Sep"/>
    <x v="7"/>
    <s v="658 Elm St"/>
    <x v="1"/>
    <x v="3"/>
    <m/>
    <n v="869"/>
    <n v="763378"/>
    <n v="878.45569620253161"/>
  </r>
  <r>
    <x v="552"/>
    <s v="Oct"/>
    <x v="15"/>
    <s v="808 Elm St"/>
    <x v="4"/>
    <x v="0"/>
    <n v="2"/>
    <n v="1320"/>
    <n v="254225"/>
    <n v="192.59469696969697"/>
  </r>
  <r>
    <x v="1252"/>
    <s v="Nov"/>
    <x v="4"/>
    <s v="691 Pine Rd"/>
    <x v="3"/>
    <x v="1"/>
    <n v="4"/>
    <n v="1890"/>
    <n v="135393"/>
    <n v="71.63650793650794"/>
  </r>
  <r>
    <x v="1253"/>
    <s v="Mar"/>
    <x v="9"/>
    <s v="465 Elm St"/>
    <x v="6"/>
    <x v="2"/>
    <m/>
    <n v="1559"/>
    <n v="550698"/>
    <n v="353.2379730596536"/>
  </r>
  <r>
    <x v="1254"/>
    <s v="Jul"/>
    <x v="5"/>
    <s v="145 Elm St"/>
    <x v="0"/>
    <x v="0"/>
    <n v="4"/>
    <n v="857"/>
    <n v="805608"/>
    <n v="940.03267211201864"/>
  </r>
  <r>
    <x v="1255"/>
    <s v="Sep"/>
    <x v="1"/>
    <s v="939 Maple Ave"/>
    <x v="6"/>
    <x v="0"/>
    <n v="4"/>
    <n v="1583"/>
    <n v="384157"/>
    <n v="242.67656348704992"/>
  </r>
  <r>
    <x v="1256"/>
    <s v="Aug"/>
    <x v="3"/>
    <s v="283 Main St"/>
    <x v="1"/>
    <x v="3"/>
    <m/>
    <n v="1073"/>
    <n v="623586"/>
    <n v="581.16123019571296"/>
  </r>
  <r>
    <x v="1257"/>
    <s v="Feb"/>
    <x v="12"/>
    <s v="763 Pine Rd"/>
    <x v="4"/>
    <x v="2"/>
    <n v="2"/>
    <n v="1994"/>
    <n v="289772"/>
    <n v="145.32196589769308"/>
  </r>
  <r>
    <x v="1258"/>
    <s v="Oct"/>
    <x v="2"/>
    <s v="488 Elm St"/>
    <x v="4"/>
    <x v="1"/>
    <n v="4"/>
    <n v="2088"/>
    <n v="352020"/>
    <n v="168.59195402298852"/>
  </r>
  <r>
    <x v="1259"/>
    <s v="May"/>
    <x v="17"/>
    <s v="356 Main St"/>
    <x v="0"/>
    <x v="3"/>
    <m/>
    <n v="3131"/>
    <n v="152542"/>
    <n v="48.719897796231237"/>
  </r>
  <r>
    <x v="1260"/>
    <s v="Mar"/>
    <x v="5"/>
    <s v="752 Main St"/>
    <x v="6"/>
    <x v="0"/>
    <n v="5"/>
    <n v="2961"/>
    <n v="828501"/>
    <n v="279.80445795339415"/>
  </r>
  <r>
    <x v="1261"/>
    <s v="Feb"/>
    <x v="10"/>
    <s v="511 Pine Rd"/>
    <x v="4"/>
    <x v="2"/>
    <m/>
    <n v="2549"/>
    <n v="531564"/>
    <n v="208.53825029423302"/>
  </r>
  <r>
    <x v="1262"/>
    <s v="Oct"/>
    <x v="13"/>
    <s v="717 Pine Rd"/>
    <x v="2"/>
    <x v="2"/>
    <m/>
    <n v="3175"/>
    <n v="871829"/>
    <n v="274.59181102362203"/>
  </r>
  <r>
    <x v="1263"/>
    <s v="May"/>
    <x v="18"/>
    <s v="325 Main St"/>
    <x v="4"/>
    <x v="1"/>
    <n v="3"/>
    <n v="882"/>
    <n v="794052"/>
    <n v="900.28571428571433"/>
  </r>
  <r>
    <x v="1264"/>
    <s v="Nov"/>
    <x v="14"/>
    <s v="268 Main St"/>
    <x v="6"/>
    <x v="3"/>
    <m/>
    <n v="2419"/>
    <n v="262041"/>
    <n v="108.32616783794957"/>
  </r>
  <r>
    <x v="1265"/>
    <s v="Jul"/>
    <x v="13"/>
    <s v="960 Pine Rd"/>
    <x v="0"/>
    <x v="2"/>
    <n v="4"/>
    <n v="3016"/>
    <n v="441586"/>
    <n v="146.41445623342176"/>
  </r>
  <r>
    <x v="329"/>
    <s v="Jun"/>
    <x v="5"/>
    <s v="765 Main St"/>
    <x v="3"/>
    <x v="3"/>
    <n v="4"/>
    <n v="1699"/>
    <n v="524570"/>
    <n v="308.75220718069454"/>
  </r>
  <r>
    <x v="706"/>
    <s v="Aug"/>
    <x v="2"/>
    <s v="627 Maple Ave"/>
    <x v="0"/>
    <x v="3"/>
    <n v="5"/>
    <n v="887"/>
    <n v="452245"/>
    <n v="509.85907553551294"/>
  </r>
  <r>
    <x v="1266"/>
    <s v="May"/>
    <x v="5"/>
    <s v="760 Elm St"/>
    <x v="0"/>
    <x v="3"/>
    <n v="2"/>
    <n v="1680"/>
    <n v="746829"/>
    <n v="444.54107142857146"/>
  </r>
  <r>
    <x v="1267"/>
    <s v="Sep"/>
    <x v="13"/>
    <s v="743 Main St"/>
    <x v="1"/>
    <x v="2"/>
    <n v="3"/>
    <n v="2770"/>
    <n v="631305"/>
    <n v="227.90794223826714"/>
  </r>
  <r>
    <x v="1268"/>
    <s v="Dec"/>
    <x v="0"/>
    <s v="462 Maple Ave"/>
    <x v="0"/>
    <x v="1"/>
    <n v="4"/>
    <n v="1785"/>
    <n v="632188"/>
    <n v="354.16694677871146"/>
  </r>
  <r>
    <x v="1269"/>
    <s v="Aug"/>
    <x v="11"/>
    <s v="336 Maple Ave"/>
    <x v="5"/>
    <x v="1"/>
    <m/>
    <n v="2761"/>
    <n v="888755"/>
    <n v="321.89605215501632"/>
  </r>
  <r>
    <x v="1270"/>
    <s v="Apr"/>
    <x v="3"/>
    <s v="499 Main St"/>
    <x v="6"/>
    <x v="2"/>
    <m/>
    <n v="1937"/>
    <n v="686576"/>
    <n v="354.45327826535879"/>
  </r>
  <r>
    <x v="1271"/>
    <s v="Sep"/>
    <x v="4"/>
    <s v="333 Oak St"/>
    <x v="2"/>
    <x v="1"/>
    <m/>
    <n v="2324"/>
    <n v="888664"/>
    <n v="382.3855421686747"/>
  </r>
  <r>
    <x v="1272"/>
    <s v="Feb"/>
    <x v="7"/>
    <s v="930 Main St"/>
    <x v="0"/>
    <x v="0"/>
    <n v="3"/>
    <n v="2577"/>
    <n v="585468"/>
    <n v="227.18975552968567"/>
  </r>
  <r>
    <x v="1273"/>
    <s v="May"/>
    <x v="19"/>
    <s v="640 Oak St"/>
    <x v="5"/>
    <x v="2"/>
    <n v="4"/>
    <n v="1379"/>
    <n v="500408"/>
    <n v="362.87744742567077"/>
  </r>
  <r>
    <x v="1274"/>
    <s v="Feb"/>
    <x v="10"/>
    <s v="456 Maple Ave"/>
    <x v="0"/>
    <x v="1"/>
    <m/>
    <n v="3269"/>
    <n v="349593"/>
    <n v="106.94187825022942"/>
  </r>
  <r>
    <x v="1275"/>
    <s v="May"/>
    <x v="2"/>
    <s v="221 Pine Rd"/>
    <x v="1"/>
    <x v="0"/>
    <n v="2"/>
    <n v="3037"/>
    <n v="802450"/>
    <n v="264.22456371419162"/>
  </r>
  <r>
    <x v="1276"/>
    <s v="Dec"/>
    <x v="10"/>
    <s v="153 Oak St"/>
    <x v="6"/>
    <x v="3"/>
    <n v="2"/>
    <n v="2625"/>
    <m/>
    <n v="0"/>
  </r>
  <r>
    <x v="1277"/>
    <s v="Dec"/>
    <x v="8"/>
    <s v="255 Pine Rd"/>
    <x v="1"/>
    <x v="1"/>
    <m/>
    <n v="1549"/>
    <n v="236914"/>
    <n v="152.94641704325372"/>
  </r>
  <r>
    <x v="585"/>
    <s v="Feb"/>
    <x v="7"/>
    <s v="534 Main St"/>
    <x v="2"/>
    <x v="0"/>
    <n v="2"/>
    <n v="2903"/>
    <n v="704292"/>
    <n v="242.60833620392697"/>
  </r>
  <r>
    <x v="1278"/>
    <s v="Apr"/>
    <x v="19"/>
    <s v="293 Main St"/>
    <x v="6"/>
    <x v="0"/>
    <n v="3"/>
    <n v="2577"/>
    <n v="316776"/>
    <n v="122.92433061699651"/>
  </r>
  <r>
    <x v="1279"/>
    <s v="Dec"/>
    <x v="0"/>
    <s v="567 Oak St"/>
    <x v="4"/>
    <x v="0"/>
    <n v="5"/>
    <n v="3404"/>
    <n v="792591"/>
    <n v="232.84106933019976"/>
  </r>
  <r>
    <x v="798"/>
    <s v="Mar"/>
    <x v="16"/>
    <s v="681 Main St"/>
    <x v="5"/>
    <x v="3"/>
    <n v="3"/>
    <n v="2317"/>
    <n v="116327"/>
    <n v="50.205869659041866"/>
  </r>
  <r>
    <x v="1280"/>
    <s v="May"/>
    <x v="17"/>
    <s v="791 Main St"/>
    <x v="0"/>
    <x v="2"/>
    <n v="3"/>
    <n v="2469"/>
    <n v="593853"/>
    <n v="240.52369380315918"/>
  </r>
  <r>
    <x v="1281"/>
    <s v="Jan"/>
    <x v="18"/>
    <s v="121 Maple Ave"/>
    <x v="3"/>
    <x v="3"/>
    <n v="4"/>
    <n v="3394"/>
    <n v="368892"/>
    <n v="108.68945197407189"/>
  </r>
  <r>
    <x v="1282"/>
    <s v="Jan"/>
    <x v="17"/>
    <s v="725 Maple Ave"/>
    <x v="6"/>
    <x v="0"/>
    <n v="4"/>
    <n v="2625"/>
    <n v="447423"/>
    <n v="170.44685714285714"/>
  </r>
  <r>
    <x v="1283"/>
    <s v="Jun"/>
    <x v="13"/>
    <s v="953 Main St"/>
    <x v="0"/>
    <x v="1"/>
    <n v="2"/>
    <n v="1665"/>
    <n v="568849"/>
    <n v="341.65105105105107"/>
  </r>
  <r>
    <x v="418"/>
    <s v="Mar"/>
    <x v="2"/>
    <s v="476 Elm St"/>
    <x v="5"/>
    <x v="0"/>
    <n v="2"/>
    <n v="3338"/>
    <n v="771864"/>
    <n v="231.23547034152188"/>
  </r>
  <r>
    <x v="1284"/>
    <s v="Feb"/>
    <x v="3"/>
    <s v="120 Elm St"/>
    <x v="0"/>
    <x v="0"/>
    <m/>
    <n v="1185"/>
    <n v="645827"/>
    <n v="545.00168776371311"/>
  </r>
  <r>
    <x v="1285"/>
    <s v="Feb"/>
    <x v="3"/>
    <s v="669 Main St"/>
    <x v="6"/>
    <x v="3"/>
    <n v="4"/>
    <n v="3122"/>
    <n v="489530"/>
    <n v="156.80012812299807"/>
  </r>
  <r>
    <x v="1286"/>
    <s v="Jul"/>
    <x v="6"/>
    <s v="820 Pine Rd"/>
    <x v="6"/>
    <x v="1"/>
    <n v="2"/>
    <n v="1532"/>
    <n v="643320"/>
    <n v="419.92167101827675"/>
  </r>
  <r>
    <x v="1287"/>
    <s v="Jul"/>
    <x v="2"/>
    <s v="658 Main St"/>
    <x v="4"/>
    <x v="3"/>
    <m/>
    <n v="2107"/>
    <n v="486863"/>
    <n v="231.06929283341245"/>
  </r>
  <r>
    <x v="1288"/>
    <s v="Feb"/>
    <x v="14"/>
    <s v="323 Elm St"/>
    <x v="0"/>
    <x v="0"/>
    <m/>
    <n v="2351"/>
    <n v="692321"/>
    <n v="294.47937048064654"/>
  </r>
  <r>
    <x v="1289"/>
    <s v="Jan"/>
    <x v="10"/>
    <s v="572 Elm St"/>
    <x v="6"/>
    <x v="0"/>
    <m/>
    <n v="2706"/>
    <n v="397946"/>
    <n v="147.06060606060606"/>
  </r>
  <r>
    <x v="1290"/>
    <s v="Aug"/>
    <x v="8"/>
    <s v="376 Maple Ave"/>
    <x v="5"/>
    <x v="2"/>
    <m/>
    <n v="949"/>
    <n v="295612"/>
    <n v="311.49841938883037"/>
  </r>
  <r>
    <x v="1291"/>
    <s v="May"/>
    <x v="7"/>
    <s v="411 Maple Ave"/>
    <x v="0"/>
    <x v="0"/>
    <n v="2"/>
    <n v="1962"/>
    <n v="458279"/>
    <n v="233.57747196738023"/>
  </r>
  <r>
    <x v="1292"/>
    <s v="Apr"/>
    <x v="14"/>
    <s v="385 Elm St"/>
    <x v="2"/>
    <x v="0"/>
    <m/>
    <n v="1651"/>
    <n v="867127"/>
    <n v="525.21320411871591"/>
  </r>
  <r>
    <x v="1293"/>
    <s v="Nov"/>
    <x v="7"/>
    <s v="525 Elm St"/>
    <x v="4"/>
    <x v="1"/>
    <n v="2"/>
    <n v="2942"/>
    <n v="131530"/>
    <n v="44.707681849082256"/>
  </r>
  <r>
    <x v="1294"/>
    <s v="Jan"/>
    <x v="15"/>
    <s v="655 Main St"/>
    <x v="0"/>
    <x v="0"/>
    <n v="5"/>
    <n v="3084"/>
    <n v="142751"/>
    <n v="46.28761348897536"/>
  </r>
  <r>
    <x v="1295"/>
    <s v="Jan"/>
    <x v="9"/>
    <s v="381 Maple Ave"/>
    <x v="6"/>
    <x v="0"/>
    <m/>
    <n v="1805"/>
    <n v="761483"/>
    <n v="421.8742382271468"/>
  </r>
  <r>
    <x v="1296"/>
    <s v="Feb"/>
    <x v="18"/>
    <s v="495 Elm St"/>
    <x v="4"/>
    <x v="1"/>
    <n v="5"/>
    <n v="1933"/>
    <n v="160944"/>
    <n v="83.261251939989648"/>
  </r>
  <r>
    <x v="1297"/>
    <s v="Apr"/>
    <x v="16"/>
    <s v="833 Pine Rd"/>
    <x v="4"/>
    <x v="0"/>
    <n v="2"/>
    <n v="2165"/>
    <n v="780274"/>
    <n v="360.40369515011548"/>
  </r>
  <r>
    <x v="650"/>
    <s v="Dec"/>
    <x v="10"/>
    <s v="212 Maple Ave"/>
    <x v="5"/>
    <x v="0"/>
    <n v="2"/>
    <n v="2439"/>
    <n v="833560"/>
    <n v="341.76301763017631"/>
  </r>
  <r>
    <x v="285"/>
    <s v="Apr"/>
    <x v="2"/>
    <s v="192 Pine Rd"/>
    <x v="0"/>
    <x v="3"/>
    <n v="5"/>
    <n v="3039"/>
    <n v="522553"/>
    <n v="171.94899638038828"/>
  </r>
  <r>
    <x v="1298"/>
    <s v="Aug"/>
    <x v="14"/>
    <s v="254 Pine Rd"/>
    <x v="6"/>
    <x v="3"/>
    <n v="3"/>
    <n v="1788"/>
    <n v="500329"/>
    <n v="279.82606263982103"/>
  </r>
  <r>
    <x v="1299"/>
    <s v="Sep"/>
    <x v="10"/>
    <s v="551 Main St"/>
    <x v="6"/>
    <x v="2"/>
    <m/>
    <n v="2046"/>
    <n v="870115"/>
    <n v="425.27614858260017"/>
  </r>
  <r>
    <x v="1300"/>
    <s v="Sep"/>
    <x v="6"/>
    <s v="554 Elm St"/>
    <x v="6"/>
    <x v="1"/>
    <m/>
    <n v="1320"/>
    <n v="726610"/>
    <n v="550.46212121212125"/>
  </r>
  <r>
    <x v="1301"/>
    <s v="Mar"/>
    <x v="0"/>
    <s v="653 Main St"/>
    <x v="4"/>
    <x v="2"/>
    <n v="3"/>
    <n v="3131"/>
    <n v="305195"/>
    <n v="97.475247524752476"/>
  </r>
  <r>
    <x v="1302"/>
    <s v="May"/>
    <x v="15"/>
    <s v="282 Main St"/>
    <x v="3"/>
    <x v="2"/>
    <n v="3"/>
    <n v="1193"/>
    <n v="371235"/>
    <n v="311.17770326906958"/>
  </r>
  <r>
    <x v="219"/>
    <s v="Oct"/>
    <x v="3"/>
    <s v="271 Maple Ave"/>
    <x v="0"/>
    <x v="3"/>
    <n v="4"/>
    <n v="3244"/>
    <n v="343253"/>
    <n v="105.8116522811344"/>
  </r>
  <r>
    <x v="1303"/>
    <s v="Dec"/>
    <x v="1"/>
    <s v="241 Pine Rd"/>
    <x v="4"/>
    <x v="3"/>
    <n v="5"/>
    <n v="821"/>
    <n v="629936"/>
    <n v="767.27892813641904"/>
  </r>
  <r>
    <x v="1304"/>
    <s v="Nov"/>
    <x v="18"/>
    <s v="455 Main St"/>
    <x v="4"/>
    <x v="0"/>
    <n v="3"/>
    <n v="2235"/>
    <n v="443873"/>
    <n v="198.60089485458613"/>
  </r>
  <r>
    <x v="1305"/>
    <s v="Jun"/>
    <x v="14"/>
    <s v="659 Main St"/>
    <x v="6"/>
    <x v="3"/>
    <n v="5"/>
    <n v="2619"/>
    <n v="384178"/>
    <n v="146.68881252386407"/>
  </r>
  <r>
    <x v="1306"/>
    <s v="Aug"/>
    <x v="7"/>
    <s v="884 Elm St"/>
    <x v="4"/>
    <x v="1"/>
    <m/>
    <n v="2709"/>
    <n v="767310"/>
    <n v="283.24473975636766"/>
  </r>
  <r>
    <x v="1307"/>
    <s v="Jan"/>
    <x v="1"/>
    <s v="670 Pine Rd"/>
    <x v="0"/>
    <x v="3"/>
    <n v="2"/>
    <n v="2729"/>
    <n v="790047"/>
    <n v="289.50054965188713"/>
  </r>
  <r>
    <x v="1308"/>
    <s v="Apr"/>
    <x v="16"/>
    <s v="120 Maple Ave"/>
    <x v="3"/>
    <x v="1"/>
    <m/>
    <n v="2355"/>
    <n v="633943"/>
    <n v="269.19023354564757"/>
  </r>
  <r>
    <x v="1309"/>
    <s v="Mar"/>
    <x v="17"/>
    <s v="751 Main St"/>
    <x v="0"/>
    <x v="0"/>
    <m/>
    <n v="2996"/>
    <n v="892977"/>
    <n v="298.05640854472631"/>
  </r>
  <r>
    <x v="1310"/>
    <s v="Jan"/>
    <x v="6"/>
    <s v="338 Pine Rd"/>
    <x v="2"/>
    <x v="0"/>
    <n v="2"/>
    <n v="3454"/>
    <n v="232511"/>
    <n v="67.316444701795021"/>
  </r>
  <r>
    <x v="692"/>
    <s v="May"/>
    <x v="14"/>
    <s v="254 Oak St"/>
    <x v="4"/>
    <x v="0"/>
    <m/>
    <n v="1030"/>
    <n v="540687"/>
    <n v="524.93883495145633"/>
  </r>
  <r>
    <x v="1311"/>
    <s v="Mar"/>
    <x v="0"/>
    <s v="712 Maple Ave"/>
    <x v="4"/>
    <x v="2"/>
    <n v="3"/>
    <n v="1658"/>
    <m/>
    <n v="0"/>
  </r>
  <r>
    <x v="1312"/>
    <s v="Sep"/>
    <x v="2"/>
    <s v="712 Pine Rd"/>
    <x v="0"/>
    <x v="1"/>
    <n v="3"/>
    <n v="1623"/>
    <n v="689611"/>
    <n v="424.89895255699321"/>
  </r>
  <r>
    <x v="1313"/>
    <s v="Feb"/>
    <x v="5"/>
    <s v="516 Elm St"/>
    <x v="6"/>
    <x v="3"/>
    <n v="5"/>
    <n v="1155"/>
    <n v="307380"/>
    <n v="266.12987012987014"/>
  </r>
  <r>
    <x v="1314"/>
    <s v="Jan"/>
    <x v="9"/>
    <s v="415 Main St"/>
    <x v="3"/>
    <x v="2"/>
    <n v="2"/>
    <n v="2166"/>
    <n v="396077"/>
    <n v="182.86103416435827"/>
  </r>
  <r>
    <x v="1315"/>
    <s v="Oct"/>
    <x v="14"/>
    <s v="794 Elm St"/>
    <x v="0"/>
    <x v="0"/>
    <n v="3"/>
    <n v="2160"/>
    <n v="179279"/>
    <n v="82.999537037037044"/>
  </r>
  <r>
    <x v="578"/>
    <s v="Sep"/>
    <x v="5"/>
    <s v="829 Pine Rd"/>
    <x v="0"/>
    <x v="3"/>
    <n v="5"/>
    <n v="1452"/>
    <n v="361520"/>
    <n v="248.98071625344352"/>
  </r>
  <r>
    <x v="1316"/>
    <s v="Apr"/>
    <x v="4"/>
    <s v="195 Oak St"/>
    <x v="2"/>
    <x v="2"/>
    <n v="3"/>
    <n v="2871"/>
    <n v="782379"/>
    <n v="272.51097178683386"/>
  </r>
  <r>
    <x v="1317"/>
    <s v="May"/>
    <x v="10"/>
    <s v="805 Main St"/>
    <x v="2"/>
    <x v="0"/>
    <n v="3"/>
    <n v="2793"/>
    <n v="437980"/>
    <n v="156.81346222699605"/>
  </r>
  <r>
    <x v="1318"/>
    <s v="Sep"/>
    <x v="5"/>
    <s v="293 Elm St"/>
    <x v="0"/>
    <x v="0"/>
    <n v="5"/>
    <n v="3057"/>
    <n v="637773"/>
    <n v="208.6270853778214"/>
  </r>
  <r>
    <x v="197"/>
    <s v="Sep"/>
    <x v="15"/>
    <s v="237 Pine Rd"/>
    <x v="5"/>
    <x v="0"/>
    <n v="4"/>
    <n v="1024"/>
    <n v="520245"/>
    <n v="508.0517578125"/>
  </r>
  <r>
    <x v="1319"/>
    <s v="Jun"/>
    <x v="12"/>
    <s v="722 Oak St"/>
    <x v="0"/>
    <x v="3"/>
    <m/>
    <n v="2301"/>
    <n v="450663"/>
    <n v="195.85528031290744"/>
  </r>
  <r>
    <x v="1320"/>
    <s v="Aug"/>
    <x v="18"/>
    <s v="963 Main St"/>
    <x v="4"/>
    <x v="1"/>
    <n v="4"/>
    <n v="3253"/>
    <n v="412556"/>
    <n v="126.82324008607439"/>
  </r>
  <r>
    <x v="1321"/>
    <s v="Dec"/>
    <x v="10"/>
    <s v="294 Main St"/>
    <x v="0"/>
    <x v="1"/>
    <m/>
    <n v="2677"/>
    <n v="544440"/>
    <n v="203.37691445648113"/>
  </r>
  <r>
    <x v="1322"/>
    <s v="Jan"/>
    <x v="19"/>
    <s v="778 Maple Ave"/>
    <x v="4"/>
    <x v="3"/>
    <n v="4"/>
    <n v="3481"/>
    <n v="158072"/>
    <n v="45.409939672507903"/>
  </r>
  <r>
    <x v="1323"/>
    <s v="Feb"/>
    <x v="0"/>
    <s v="357 Elm St"/>
    <x v="1"/>
    <x v="0"/>
    <n v="4"/>
    <n v="1673"/>
    <n v="412547"/>
    <n v="246.59115361625823"/>
  </r>
  <r>
    <x v="1324"/>
    <s v="Oct"/>
    <x v="13"/>
    <s v="563 Oak St"/>
    <x v="2"/>
    <x v="0"/>
    <n v="2"/>
    <n v="1941"/>
    <n v="376118"/>
    <n v="193.77537351880474"/>
  </r>
  <r>
    <x v="1325"/>
    <s v="Mar"/>
    <x v="12"/>
    <s v="868 Pine Rd"/>
    <x v="4"/>
    <x v="2"/>
    <n v="3"/>
    <n v="2588"/>
    <n v="835176"/>
    <n v="322.71097372488407"/>
  </r>
  <r>
    <x v="1326"/>
    <s v="Apr"/>
    <x v="19"/>
    <s v="311 Pine Rd"/>
    <x v="6"/>
    <x v="3"/>
    <n v="3"/>
    <n v="1198"/>
    <n v="383197"/>
    <n v="319.86393989983304"/>
  </r>
  <r>
    <x v="1327"/>
    <s v="Jan"/>
    <x v="13"/>
    <s v="950 Elm St"/>
    <x v="0"/>
    <x v="3"/>
    <n v="2"/>
    <n v="3379"/>
    <n v="431254"/>
    <n v="127.62770050310743"/>
  </r>
  <r>
    <x v="1328"/>
    <s v="Jun"/>
    <x v="11"/>
    <s v="142 Main St"/>
    <x v="6"/>
    <x v="0"/>
    <m/>
    <n v="1118"/>
    <n v="360916"/>
    <n v="322.82289803220038"/>
  </r>
  <r>
    <x v="1329"/>
    <s v="Aug"/>
    <x v="13"/>
    <s v="487 Maple Ave"/>
    <x v="3"/>
    <x v="0"/>
    <n v="3"/>
    <n v="1248"/>
    <n v="581098"/>
    <n v="465.62339743589746"/>
  </r>
  <r>
    <x v="1330"/>
    <s v="Nov"/>
    <x v="2"/>
    <s v="398 Maple Ave"/>
    <x v="6"/>
    <x v="0"/>
    <n v="5"/>
    <n v="1420"/>
    <n v="829866"/>
    <n v="584.412676056338"/>
  </r>
  <r>
    <x v="599"/>
    <s v="Mar"/>
    <x v="12"/>
    <s v="541 Main St"/>
    <x v="4"/>
    <x v="1"/>
    <n v="3"/>
    <n v="3277"/>
    <n v="175072"/>
    <n v="53.424473603906009"/>
  </r>
  <r>
    <x v="1331"/>
    <s v="Oct"/>
    <x v="8"/>
    <s v="784 Pine Rd"/>
    <x v="0"/>
    <x v="3"/>
    <n v="5"/>
    <n v="2354"/>
    <n v="854331"/>
    <n v="362.92735768903992"/>
  </r>
  <r>
    <x v="1332"/>
    <s v="Jul"/>
    <x v="7"/>
    <s v="600 Pine Rd"/>
    <x v="0"/>
    <x v="2"/>
    <n v="5"/>
    <n v="3082"/>
    <n v="185725"/>
    <n v="60.261194029850749"/>
  </r>
  <r>
    <x v="1333"/>
    <s v="Jan"/>
    <x v="0"/>
    <s v="839 Elm St"/>
    <x v="4"/>
    <x v="2"/>
    <n v="3"/>
    <n v="930"/>
    <n v="384489"/>
    <n v="413.42903225806452"/>
  </r>
  <r>
    <x v="1334"/>
    <s v="Jan"/>
    <x v="6"/>
    <s v="505 Pine Rd"/>
    <x v="0"/>
    <x v="2"/>
    <n v="5"/>
    <n v="3280"/>
    <n v="332218"/>
    <n v="101.28597560975609"/>
  </r>
  <r>
    <x v="1335"/>
    <s v="Apr"/>
    <x v="9"/>
    <s v="164 Elm St"/>
    <x v="6"/>
    <x v="3"/>
    <m/>
    <n v="822"/>
    <n v="358574"/>
    <n v="436.22141119221413"/>
  </r>
  <r>
    <x v="1336"/>
    <s v="Jul"/>
    <x v="16"/>
    <s v="251 Main St"/>
    <x v="4"/>
    <x v="2"/>
    <n v="5"/>
    <n v="998"/>
    <n v="798131"/>
    <n v="799.7304609218437"/>
  </r>
  <r>
    <x v="542"/>
    <s v="Dec"/>
    <x v="3"/>
    <s v="318 Elm St"/>
    <x v="0"/>
    <x v="1"/>
    <n v="2"/>
    <n v="1236"/>
    <n v="513997"/>
    <n v="415.85517799352749"/>
  </r>
  <r>
    <x v="1337"/>
    <s v="Aug"/>
    <x v="12"/>
    <s v="578 Oak St"/>
    <x v="0"/>
    <x v="3"/>
    <m/>
    <n v="1030"/>
    <n v="299824"/>
    <n v="291.09126213592231"/>
  </r>
  <r>
    <x v="1338"/>
    <s v="Sep"/>
    <x v="14"/>
    <s v="557 Maple Ave"/>
    <x v="6"/>
    <x v="3"/>
    <n v="3"/>
    <n v="2930"/>
    <n v="896563"/>
    <n v="305.99419795221843"/>
  </r>
  <r>
    <x v="1339"/>
    <s v="Jan"/>
    <x v="2"/>
    <s v="590 Pine Rd"/>
    <x v="4"/>
    <x v="2"/>
    <n v="4"/>
    <n v="2090"/>
    <n v="294578"/>
    <n v="140.9464114832536"/>
  </r>
  <r>
    <x v="1139"/>
    <s v="Sep"/>
    <x v="18"/>
    <s v="296 Main St"/>
    <x v="1"/>
    <x v="2"/>
    <m/>
    <n v="3054"/>
    <n v="717825"/>
    <n v="235.04420432220039"/>
  </r>
  <r>
    <x v="1340"/>
    <s v="Feb"/>
    <x v="6"/>
    <s v="295 Oak St"/>
    <x v="6"/>
    <x v="0"/>
    <m/>
    <n v="2922"/>
    <n v="163060"/>
    <n v="55.804243668720055"/>
  </r>
  <r>
    <x v="942"/>
    <s v="Nov"/>
    <x v="6"/>
    <s v="752 Pine Rd"/>
    <x v="5"/>
    <x v="2"/>
    <m/>
    <n v="1427"/>
    <n v="219640"/>
    <n v="153.91730903994394"/>
  </r>
  <r>
    <x v="1341"/>
    <s v="Feb"/>
    <x v="16"/>
    <s v="649 Pine Rd"/>
    <x v="0"/>
    <x v="3"/>
    <n v="2"/>
    <n v="2429"/>
    <n v="192606"/>
    <n v="79.294359818855497"/>
  </r>
  <r>
    <x v="1342"/>
    <s v="Dec"/>
    <x v="12"/>
    <s v="763 Main St"/>
    <x v="3"/>
    <x v="0"/>
    <n v="5"/>
    <n v="3347"/>
    <n v="381456"/>
    <n v="113.96952494771438"/>
  </r>
  <r>
    <x v="1343"/>
    <s v="Oct"/>
    <x v="7"/>
    <s v="467 Elm St"/>
    <x v="4"/>
    <x v="2"/>
    <n v="3"/>
    <n v="941"/>
    <n v="335990"/>
    <n v="357.05632306057385"/>
  </r>
  <r>
    <x v="1344"/>
    <s v="Oct"/>
    <x v="1"/>
    <s v="307 Oak St"/>
    <x v="4"/>
    <x v="0"/>
    <m/>
    <n v="2834"/>
    <n v="745615"/>
    <n v="263.09633027522938"/>
  </r>
  <r>
    <x v="1345"/>
    <s v="Jan"/>
    <x v="6"/>
    <s v="995 Main St"/>
    <x v="0"/>
    <x v="1"/>
    <n v="5"/>
    <n v="3066"/>
    <n v="150533"/>
    <n v="49.097521200260928"/>
  </r>
  <r>
    <x v="1346"/>
    <s v="Sep"/>
    <x v="12"/>
    <s v="610 Elm St"/>
    <x v="4"/>
    <x v="1"/>
    <n v="4"/>
    <n v="2479"/>
    <n v="591324"/>
    <n v="238.53327954820492"/>
  </r>
  <r>
    <x v="888"/>
    <s v="Jun"/>
    <x v="9"/>
    <s v="519 Pine Rd"/>
    <x v="1"/>
    <x v="2"/>
    <m/>
    <n v="2663"/>
    <n v="788602"/>
    <n v="296.13293278257606"/>
  </r>
  <r>
    <x v="1347"/>
    <s v="Jan"/>
    <x v="0"/>
    <s v="413 Maple Ave"/>
    <x v="0"/>
    <x v="0"/>
    <n v="5"/>
    <n v="1713"/>
    <n v="798454"/>
    <n v="466.11441914769409"/>
  </r>
  <r>
    <x v="1348"/>
    <s v="Jun"/>
    <x v="3"/>
    <s v="875 Maple Ave"/>
    <x v="3"/>
    <x v="2"/>
    <m/>
    <n v="2184"/>
    <n v="268131"/>
    <n v="122.77060439560439"/>
  </r>
  <r>
    <x v="1349"/>
    <s v="Jan"/>
    <x v="11"/>
    <s v="948 Pine Rd"/>
    <x v="0"/>
    <x v="1"/>
    <m/>
    <n v="2759"/>
    <n v="555418"/>
    <n v="201.3113446901051"/>
  </r>
  <r>
    <x v="607"/>
    <s v="Dec"/>
    <x v="14"/>
    <s v="300 Pine Rd"/>
    <x v="6"/>
    <x v="0"/>
    <m/>
    <n v="2583"/>
    <n v="611293"/>
    <n v="236.6600851722803"/>
  </r>
  <r>
    <x v="1350"/>
    <s v="Feb"/>
    <x v="18"/>
    <s v="102 Pine Rd"/>
    <x v="6"/>
    <x v="0"/>
    <n v="3"/>
    <n v="3330"/>
    <n v="768259"/>
    <n v="230.70840840840842"/>
  </r>
  <r>
    <x v="1351"/>
    <s v="Jun"/>
    <x v="5"/>
    <s v="789 Elm St"/>
    <x v="0"/>
    <x v="2"/>
    <m/>
    <n v="1549"/>
    <n v="373367"/>
    <n v="241.0374435119432"/>
  </r>
  <r>
    <x v="1352"/>
    <s v="Sep"/>
    <x v="1"/>
    <s v="970 Oak St"/>
    <x v="2"/>
    <x v="1"/>
    <m/>
    <n v="1084"/>
    <n v="757915"/>
    <n v="699.18357933579341"/>
  </r>
  <r>
    <x v="1353"/>
    <s v="May"/>
    <x v="9"/>
    <s v="138 Elm St"/>
    <x v="0"/>
    <x v="1"/>
    <n v="3"/>
    <n v="1486"/>
    <n v="293792"/>
    <n v="197.70659488559892"/>
  </r>
  <r>
    <x v="1354"/>
    <s v="Nov"/>
    <x v="1"/>
    <s v="610 Elm St"/>
    <x v="4"/>
    <x v="1"/>
    <m/>
    <n v="3034"/>
    <n v="632112"/>
    <n v="208.34278180619643"/>
  </r>
  <r>
    <x v="200"/>
    <s v="Feb"/>
    <x v="2"/>
    <s v="208 Maple Ave"/>
    <x v="1"/>
    <x v="0"/>
    <n v="2"/>
    <n v="2237"/>
    <n v="454427"/>
    <n v="203.14126061689763"/>
  </r>
  <r>
    <x v="1355"/>
    <s v="May"/>
    <x v="7"/>
    <s v="397 Maple Ave"/>
    <x v="6"/>
    <x v="1"/>
    <n v="3"/>
    <n v="1236"/>
    <n v="289713"/>
    <n v="234.39563106796118"/>
  </r>
  <r>
    <x v="1356"/>
    <s v="Nov"/>
    <x v="4"/>
    <s v="108 Elm St"/>
    <x v="6"/>
    <x v="1"/>
    <n v="4"/>
    <n v="2133"/>
    <n v="729623"/>
    <n v="342.06422878574779"/>
  </r>
  <r>
    <x v="1357"/>
    <s v="Jan"/>
    <x v="7"/>
    <s v="525 Oak St"/>
    <x v="4"/>
    <x v="3"/>
    <m/>
    <n v="2948"/>
    <n v="239950"/>
    <n v="81.394165535956574"/>
  </r>
  <r>
    <x v="1358"/>
    <s v="Jan"/>
    <x v="14"/>
    <s v="641 Elm St"/>
    <x v="4"/>
    <x v="0"/>
    <m/>
    <n v="2623"/>
    <n v="153041"/>
    <n v="58.345787266488756"/>
  </r>
  <r>
    <x v="1359"/>
    <s v="May"/>
    <x v="3"/>
    <s v="782 Oak St"/>
    <x v="2"/>
    <x v="1"/>
    <n v="4"/>
    <n v="2263"/>
    <n v="424741"/>
    <n v="187.68935041979674"/>
  </r>
  <r>
    <x v="1360"/>
    <s v="Mar"/>
    <x v="7"/>
    <s v="274 Pine Rd"/>
    <x v="1"/>
    <x v="2"/>
    <n v="4"/>
    <n v="1872"/>
    <n v="303523"/>
    <n v="162.13835470085471"/>
  </r>
  <r>
    <x v="1361"/>
    <s v="Dec"/>
    <x v="16"/>
    <s v="888 Maple Ave"/>
    <x v="5"/>
    <x v="1"/>
    <n v="2"/>
    <n v="1490"/>
    <n v="478828"/>
    <n v="321.36107382550335"/>
  </r>
  <r>
    <x v="1362"/>
    <s v="Mar"/>
    <x v="14"/>
    <s v="730 Oak St"/>
    <x v="6"/>
    <x v="3"/>
    <n v="3"/>
    <n v="1500"/>
    <n v="894758"/>
    <n v="596.50533333333328"/>
  </r>
  <r>
    <x v="1363"/>
    <s v="May"/>
    <x v="12"/>
    <s v="615 Pine Rd"/>
    <x v="6"/>
    <x v="3"/>
    <n v="5"/>
    <n v="3347"/>
    <n v="741817"/>
    <n v="221.63639079772932"/>
  </r>
  <r>
    <x v="1364"/>
    <s v="Nov"/>
    <x v="11"/>
    <s v="868 Maple Ave"/>
    <x v="3"/>
    <x v="2"/>
    <n v="4"/>
    <n v="1644"/>
    <n v="174013"/>
    <n v="105.84732360097324"/>
  </r>
  <r>
    <x v="1365"/>
    <s v="Dec"/>
    <x v="2"/>
    <s v="879 Maple Ave"/>
    <x v="0"/>
    <x v="3"/>
    <m/>
    <n v="3128"/>
    <n v="277808"/>
    <n v="88.813299232736568"/>
  </r>
  <r>
    <x v="1366"/>
    <s v="May"/>
    <x v="6"/>
    <s v="119 Elm St"/>
    <x v="5"/>
    <x v="2"/>
    <n v="5"/>
    <n v="3242"/>
    <n v="375778"/>
    <n v="115.90931523750771"/>
  </r>
  <r>
    <x v="1367"/>
    <s v="May"/>
    <x v="12"/>
    <s v="839 Elm St"/>
    <x v="5"/>
    <x v="2"/>
    <n v="2"/>
    <n v="1474"/>
    <n v="315613"/>
    <n v="214.12008141112619"/>
  </r>
  <r>
    <x v="421"/>
    <s v="Oct"/>
    <x v="13"/>
    <s v="706 Oak St"/>
    <x v="3"/>
    <x v="3"/>
    <n v="2"/>
    <n v="2133"/>
    <n v="871826"/>
    <n v="408.73230192217534"/>
  </r>
  <r>
    <x v="1368"/>
    <s v="Mar"/>
    <x v="11"/>
    <s v="702 Oak St"/>
    <x v="4"/>
    <x v="0"/>
    <m/>
    <n v="1486"/>
    <n v="857347"/>
    <n v="576.94952893674292"/>
  </r>
  <r>
    <x v="1369"/>
    <s v="Jun"/>
    <x v="12"/>
    <s v="650 Elm St"/>
    <x v="6"/>
    <x v="1"/>
    <n v="2"/>
    <n v="3188"/>
    <n v="535960"/>
    <n v="168.11794228356337"/>
  </r>
  <r>
    <x v="1370"/>
    <s v="Aug"/>
    <x v="10"/>
    <s v="150 Oak St"/>
    <x v="0"/>
    <x v="0"/>
    <n v="5"/>
    <n v="1435"/>
    <n v="430412"/>
    <n v="299.93867595818813"/>
  </r>
  <r>
    <x v="1371"/>
    <s v="Nov"/>
    <x v="11"/>
    <s v="803 Oak St"/>
    <x v="5"/>
    <x v="2"/>
    <n v="2"/>
    <n v="2151"/>
    <n v="776314"/>
    <n v="360.90841469084148"/>
  </r>
  <r>
    <x v="1372"/>
    <s v="Aug"/>
    <x v="12"/>
    <s v="272 Maple Ave"/>
    <x v="0"/>
    <x v="1"/>
    <n v="2"/>
    <n v="2285"/>
    <n v="626493"/>
    <n v="274.17636761487967"/>
  </r>
  <r>
    <x v="1063"/>
    <s v="Nov"/>
    <x v="13"/>
    <s v="320 Main St"/>
    <x v="3"/>
    <x v="2"/>
    <n v="4"/>
    <n v="1694"/>
    <n v="725206"/>
    <n v="428.10271546635181"/>
  </r>
  <r>
    <x v="1257"/>
    <s v="Feb"/>
    <x v="12"/>
    <s v="740 Main St"/>
    <x v="3"/>
    <x v="3"/>
    <n v="5"/>
    <n v="2327"/>
    <n v="801480"/>
    <n v="344.42629995702623"/>
  </r>
  <r>
    <x v="1373"/>
    <s v="Nov"/>
    <x v="2"/>
    <s v="662 Maple Ave"/>
    <x v="4"/>
    <x v="3"/>
    <n v="4"/>
    <n v="3037"/>
    <n v="611292"/>
    <n v="201.28152782351003"/>
  </r>
  <r>
    <x v="1374"/>
    <s v="Nov"/>
    <x v="7"/>
    <s v="797 Oak St"/>
    <x v="6"/>
    <x v="0"/>
    <m/>
    <n v="1476"/>
    <n v="350036"/>
    <n v="237.15176151761517"/>
  </r>
  <r>
    <x v="545"/>
    <s v="Oct"/>
    <x v="0"/>
    <s v="146 Pine Rd"/>
    <x v="0"/>
    <x v="1"/>
    <n v="3"/>
    <n v="1828"/>
    <n v="346863"/>
    <n v="189.75"/>
  </r>
  <r>
    <x v="564"/>
    <s v="Dec"/>
    <x v="15"/>
    <s v="247 Main St"/>
    <x v="4"/>
    <x v="3"/>
    <n v="5"/>
    <n v="1383"/>
    <n v="583285"/>
    <n v="421.75343456254518"/>
  </r>
  <r>
    <x v="1375"/>
    <s v="Jun"/>
    <x v="13"/>
    <s v="697 Pine Rd"/>
    <x v="1"/>
    <x v="1"/>
    <n v="5"/>
    <n v="2471"/>
    <n v="596887"/>
    <n v="241.55685957102386"/>
  </r>
  <r>
    <x v="1376"/>
    <s v="Aug"/>
    <x v="4"/>
    <s v="271 Main St"/>
    <x v="1"/>
    <x v="3"/>
    <m/>
    <n v="2933"/>
    <n v="489476"/>
    <n v="166.88578247528127"/>
  </r>
  <r>
    <x v="1377"/>
    <s v="Apr"/>
    <x v="4"/>
    <s v="225 Oak St"/>
    <x v="2"/>
    <x v="0"/>
    <n v="4"/>
    <n v="2676"/>
    <n v="402749"/>
    <n v="150.50411061285502"/>
  </r>
  <r>
    <x v="1026"/>
    <s v="Oct"/>
    <x v="11"/>
    <s v="439 Oak St"/>
    <x v="0"/>
    <x v="0"/>
    <m/>
    <n v="2494"/>
    <n v="746956"/>
    <n v="299.50120288692864"/>
  </r>
  <r>
    <x v="1378"/>
    <s v="Apr"/>
    <x v="3"/>
    <s v="201 Main St"/>
    <x v="6"/>
    <x v="0"/>
    <n v="3"/>
    <n v="2803"/>
    <n v="164528"/>
    <n v="58.697110239029612"/>
  </r>
  <r>
    <x v="1379"/>
    <s v="Feb"/>
    <x v="11"/>
    <s v="284 Maple Ave"/>
    <x v="2"/>
    <x v="1"/>
    <n v="4"/>
    <n v="3130"/>
    <n v="332531"/>
    <n v="106.23993610223643"/>
  </r>
  <r>
    <x v="1380"/>
    <s v="Sep"/>
    <x v="8"/>
    <s v="480 Pine Rd"/>
    <x v="0"/>
    <x v="0"/>
    <n v="2"/>
    <n v="2403"/>
    <n v="267906"/>
    <n v="111.48813982521848"/>
  </r>
  <r>
    <x v="1381"/>
    <s v="Nov"/>
    <x v="11"/>
    <s v="477 Pine Rd"/>
    <x v="4"/>
    <x v="1"/>
    <n v="4"/>
    <n v="2575"/>
    <n v="762381"/>
    <n v="296.07029126213592"/>
  </r>
  <r>
    <x v="1382"/>
    <s v="Oct"/>
    <x v="16"/>
    <s v="863 Main St"/>
    <x v="5"/>
    <x v="2"/>
    <n v="2"/>
    <n v="1932"/>
    <n v="559198"/>
    <n v="289.43995859213248"/>
  </r>
  <r>
    <x v="1383"/>
    <s v="Jan"/>
    <x v="15"/>
    <s v="113 Pine Rd"/>
    <x v="3"/>
    <x v="0"/>
    <n v="3"/>
    <n v="2000"/>
    <n v="442438"/>
    <n v="221.21899999999999"/>
  </r>
  <r>
    <x v="1384"/>
    <s v="Oct"/>
    <x v="19"/>
    <s v="156 Pine Rd"/>
    <x v="5"/>
    <x v="3"/>
    <n v="3"/>
    <n v="2784"/>
    <n v="585207"/>
    <n v="210.20366379310346"/>
  </r>
  <r>
    <x v="1385"/>
    <s v="May"/>
    <x v="7"/>
    <s v="154 Pine Rd"/>
    <x v="4"/>
    <x v="1"/>
    <n v="4"/>
    <n v="2430"/>
    <n v="653998"/>
    <n v="269.13497942386829"/>
  </r>
  <r>
    <x v="1386"/>
    <s v="Feb"/>
    <x v="11"/>
    <s v="498 Main St"/>
    <x v="6"/>
    <x v="2"/>
    <n v="5"/>
    <n v="1542"/>
    <n v="124397"/>
    <n v="80.672503242542149"/>
  </r>
  <r>
    <x v="102"/>
    <s v="Jul"/>
    <x v="2"/>
    <s v="895 Maple Ave"/>
    <x v="4"/>
    <x v="3"/>
    <m/>
    <n v="885"/>
    <n v="827075"/>
    <n v="934.54802259887003"/>
  </r>
  <r>
    <x v="1387"/>
    <s v="Mar"/>
    <x v="8"/>
    <s v="338 Main St"/>
    <x v="6"/>
    <x v="0"/>
    <m/>
    <n v="2987"/>
    <n v="581012"/>
    <n v="194.51355875460328"/>
  </r>
  <r>
    <x v="1388"/>
    <s v="Jun"/>
    <x v="13"/>
    <s v="705 Pine Rd"/>
    <x v="2"/>
    <x v="0"/>
    <n v="3"/>
    <n v="2993"/>
    <n v="889468"/>
    <n v="297.18275977280319"/>
  </r>
  <r>
    <x v="1389"/>
    <s v="Sep"/>
    <x v="11"/>
    <s v="447 Pine Rd"/>
    <x v="2"/>
    <x v="1"/>
    <n v="3"/>
    <n v="1937"/>
    <n v="500200"/>
    <n v="258.23438306659784"/>
  </r>
  <r>
    <x v="1390"/>
    <s v="Mar"/>
    <x v="0"/>
    <s v="518 Oak St"/>
    <x v="0"/>
    <x v="3"/>
    <n v="3"/>
    <n v="1069"/>
    <n v="844796"/>
    <n v="790.26753975678207"/>
  </r>
  <r>
    <x v="1391"/>
    <s v="Dec"/>
    <x v="7"/>
    <s v="564 Elm St"/>
    <x v="6"/>
    <x v="2"/>
    <m/>
    <n v="879"/>
    <n v="629893"/>
    <n v="716.60182025028439"/>
  </r>
  <r>
    <x v="1392"/>
    <s v="Feb"/>
    <x v="10"/>
    <s v="791 Pine Rd"/>
    <x v="2"/>
    <x v="3"/>
    <n v="2"/>
    <n v="2213"/>
    <n v="378806"/>
    <n v="171.17306823316764"/>
  </r>
  <r>
    <x v="1393"/>
    <s v="Sep"/>
    <x v="13"/>
    <s v="254 Elm St"/>
    <x v="2"/>
    <x v="2"/>
    <n v="5"/>
    <n v="3473"/>
    <n v="276904"/>
    <n v="79.730492369709182"/>
  </r>
  <r>
    <x v="1394"/>
    <s v="Jan"/>
    <x v="1"/>
    <s v="619 Pine Rd"/>
    <x v="4"/>
    <x v="3"/>
    <n v="4"/>
    <n v="1359"/>
    <n v="829348"/>
    <n v="610.26342899190581"/>
  </r>
  <r>
    <x v="1395"/>
    <s v="Sep"/>
    <x v="10"/>
    <s v="199 Main St"/>
    <x v="1"/>
    <x v="0"/>
    <n v="2"/>
    <n v="3080"/>
    <n v="288505"/>
    <n v="93.670454545454547"/>
  </r>
  <r>
    <x v="1396"/>
    <s v="Jan"/>
    <x v="13"/>
    <s v="794 Oak St"/>
    <x v="6"/>
    <x v="3"/>
    <n v="5"/>
    <n v="2771"/>
    <n v="863784"/>
    <n v="311.72284373872247"/>
  </r>
  <r>
    <x v="1397"/>
    <s v="Jan"/>
    <x v="14"/>
    <s v="155 Elm St"/>
    <x v="2"/>
    <x v="0"/>
    <m/>
    <n v="3496"/>
    <n v="147047"/>
    <n v="42.061498855835239"/>
  </r>
  <r>
    <x v="1398"/>
    <s v="Mar"/>
    <x v="11"/>
    <s v="876 Main St"/>
    <x v="6"/>
    <x v="3"/>
    <n v="3"/>
    <n v="1308"/>
    <n v="790322"/>
    <n v="604.22171253822626"/>
  </r>
  <r>
    <x v="1399"/>
    <s v="Apr"/>
    <x v="9"/>
    <s v="110 Elm St"/>
    <x v="5"/>
    <x v="3"/>
    <m/>
    <n v="2887"/>
    <n v="465873"/>
    <n v="161.36924142708693"/>
  </r>
  <r>
    <x v="1400"/>
    <s v="Jun"/>
    <x v="19"/>
    <s v="844 Main St"/>
    <x v="4"/>
    <x v="3"/>
    <n v="3"/>
    <n v="1251"/>
    <n v="650612"/>
    <n v="520.07354116706631"/>
  </r>
  <r>
    <x v="1401"/>
    <s v="Mar"/>
    <x v="12"/>
    <s v="558 Elm St"/>
    <x v="0"/>
    <x v="1"/>
    <m/>
    <n v="1385"/>
    <n v="223011"/>
    <n v="161.0187725631769"/>
  </r>
  <r>
    <x v="1402"/>
    <s v="Jan"/>
    <x v="0"/>
    <s v="778 Oak St"/>
    <x v="3"/>
    <x v="0"/>
    <m/>
    <n v="3421"/>
    <n v="411858"/>
    <n v="120.39111370944168"/>
  </r>
  <r>
    <x v="116"/>
    <s v="Jan"/>
    <x v="13"/>
    <s v="763 Pine Rd"/>
    <x v="4"/>
    <x v="1"/>
    <n v="5"/>
    <n v="2723"/>
    <n v="648546"/>
    <n v="238.17333822989349"/>
  </r>
  <r>
    <x v="1403"/>
    <s v="Apr"/>
    <x v="14"/>
    <s v="513 Pine Rd"/>
    <x v="1"/>
    <x v="1"/>
    <m/>
    <n v="911"/>
    <n v="138997"/>
    <n v="152.57628979143797"/>
  </r>
  <r>
    <x v="1404"/>
    <s v="Nov"/>
    <x v="3"/>
    <s v="700 Main St"/>
    <x v="3"/>
    <x v="1"/>
    <m/>
    <n v="1939"/>
    <n v="663007"/>
    <n v="341.93243940175347"/>
  </r>
  <r>
    <x v="1405"/>
    <s v="Jan"/>
    <x v="7"/>
    <s v="441 Oak St"/>
    <x v="0"/>
    <x v="1"/>
    <n v="5"/>
    <n v="2833"/>
    <n v="472915"/>
    <n v="166.93081539004589"/>
  </r>
  <r>
    <x v="1406"/>
    <s v="May"/>
    <x v="19"/>
    <s v="359 Maple Ave"/>
    <x v="4"/>
    <x v="3"/>
    <n v="4"/>
    <n v="2835"/>
    <m/>
    <n v="0"/>
  </r>
  <r>
    <x v="1407"/>
    <s v="Oct"/>
    <x v="15"/>
    <s v="640 Pine Rd"/>
    <x v="0"/>
    <x v="3"/>
    <n v="2"/>
    <n v="2251"/>
    <n v="228054"/>
    <n v="101.31230564193692"/>
  </r>
  <r>
    <x v="1408"/>
    <s v="Jan"/>
    <x v="3"/>
    <s v="354 Main St"/>
    <x v="5"/>
    <x v="2"/>
    <m/>
    <n v="2665"/>
    <n v="532426"/>
    <n v="199.78461538461539"/>
  </r>
  <r>
    <x v="77"/>
    <s v="Oct"/>
    <x v="10"/>
    <s v="985 Pine Rd"/>
    <x v="0"/>
    <x v="2"/>
    <n v="3"/>
    <n v="2306"/>
    <n v="677142"/>
    <n v="293.64353859496964"/>
  </r>
  <r>
    <x v="780"/>
    <s v="Sep"/>
    <x v="11"/>
    <s v="885 Oak St"/>
    <x v="3"/>
    <x v="0"/>
    <n v="2"/>
    <n v="1103"/>
    <n v="163420"/>
    <n v="148.15956482320942"/>
  </r>
  <r>
    <x v="1409"/>
    <s v="Aug"/>
    <x v="17"/>
    <s v="941 Elm St"/>
    <x v="3"/>
    <x v="2"/>
    <m/>
    <n v="1443"/>
    <n v="623989"/>
    <n v="432.42480942480944"/>
  </r>
  <r>
    <x v="1410"/>
    <s v="Jul"/>
    <x v="15"/>
    <s v="680 Pine Rd"/>
    <x v="6"/>
    <x v="3"/>
    <n v="2"/>
    <n v="2670"/>
    <n v="642043"/>
    <n v="240.46554307116105"/>
  </r>
  <r>
    <x v="367"/>
    <s v="Aug"/>
    <x v="16"/>
    <s v="888 Oak St"/>
    <x v="3"/>
    <x v="1"/>
    <m/>
    <n v="2155"/>
    <n v="356006"/>
    <n v="165.2"/>
  </r>
  <r>
    <x v="1411"/>
    <s v="Feb"/>
    <x v="3"/>
    <s v="324 Pine Rd"/>
    <x v="5"/>
    <x v="1"/>
    <n v="4"/>
    <n v="2019"/>
    <n v="255679"/>
    <n v="126.63645368994551"/>
  </r>
  <r>
    <x v="1412"/>
    <s v="Apr"/>
    <x v="12"/>
    <s v="964 Elm St"/>
    <x v="0"/>
    <x v="1"/>
    <n v="5"/>
    <n v="1678"/>
    <n v="814875"/>
    <n v="485.62276519666267"/>
  </r>
  <r>
    <x v="1413"/>
    <s v="May"/>
    <x v="14"/>
    <s v="294 Elm St"/>
    <x v="6"/>
    <x v="3"/>
    <n v="5"/>
    <n v="2382"/>
    <n v="685251"/>
    <n v="287.67884130982367"/>
  </r>
  <r>
    <x v="1414"/>
    <s v="Apr"/>
    <x v="12"/>
    <s v="418 Pine Rd"/>
    <x v="3"/>
    <x v="1"/>
    <n v="4"/>
    <n v="2210"/>
    <n v="771895"/>
    <n v="349.27375565610862"/>
  </r>
  <r>
    <x v="1415"/>
    <s v="Nov"/>
    <x v="14"/>
    <s v="692 Maple Ave"/>
    <x v="6"/>
    <x v="3"/>
    <n v="3"/>
    <n v="1616"/>
    <n v="557231"/>
    <n v="344.82116336633663"/>
  </r>
  <r>
    <x v="480"/>
    <s v="Dec"/>
    <x v="13"/>
    <s v="609 Pine Rd"/>
    <x v="6"/>
    <x v="1"/>
    <m/>
    <n v="2337"/>
    <n v="471847"/>
    <n v="201.90286692340607"/>
  </r>
  <r>
    <x v="430"/>
    <s v="Dec"/>
    <x v="5"/>
    <s v="251 Maple Ave"/>
    <x v="5"/>
    <x v="1"/>
    <m/>
    <n v="1807"/>
    <n v="286341"/>
    <n v="158.46209186496955"/>
  </r>
  <r>
    <x v="144"/>
    <s v="Jun"/>
    <x v="1"/>
    <s v="662 Main St"/>
    <x v="4"/>
    <x v="0"/>
    <n v="3"/>
    <n v="2388"/>
    <n v="228085"/>
    <n v="95.512981574539367"/>
  </r>
  <r>
    <x v="998"/>
    <s v="Feb"/>
    <x v="2"/>
    <s v="951 Main St"/>
    <x v="5"/>
    <x v="3"/>
    <n v="5"/>
    <n v="3336"/>
    <n v="315684"/>
    <n v="94.629496402877692"/>
  </r>
  <r>
    <x v="1416"/>
    <s v="Jul"/>
    <x v="19"/>
    <s v="531 Main St"/>
    <x v="0"/>
    <x v="3"/>
    <n v="3"/>
    <n v="3474"/>
    <n v="192652"/>
    <n v="55.455382843983877"/>
  </r>
  <r>
    <x v="1417"/>
    <s v="Aug"/>
    <x v="11"/>
    <s v="607 Maple Ave"/>
    <x v="5"/>
    <x v="3"/>
    <m/>
    <n v="2939"/>
    <n v="103485"/>
    <n v="35.210956107519564"/>
  </r>
  <r>
    <x v="283"/>
    <s v="Apr"/>
    <x v="13"/>
    <s v="246 Pine Rd"/>
    <x v="0"/>
    <x v="2"/>
    <n v="4"/>
    <n v="1065"/>
    <n v="508115"/>
    <n v="477.10328638497651"/>
  </r>
  <r>
    <x v="1418"/>
    <s v="Oct"/>
    <x v="14"/>
    <s v="425 Elm St"/>
    <x v="1"/>
    <x v="2"/>
    <m/>
    <n v="1940"/>
    <n v="150275"/>
    <n v="77.461340206185568"/>
  </r>
  <r>
    <x v="1419"/>
    <s v="Nov"/>
    <x v="17"/>
    <s v="886 Elm St"/>
    <x v="6"/>
    <x v="2"/>
    <n v="4"/>
    <n v="1692"/>
    <n v="573974"/>
    <n v="339.22813238770686"/>
  </r>
  <r>
    <x v="1420"/>
    <s v="Jan"/>
    <x v="18"/>
    <s v="204 Main St"/>
    <x v="0"/>
    <x v="3"/>
    <m/>
    <n v="1995"/>
    <n v="435545"/>
    <n v="218.31829573934837"/>
  </r>
  <r>
    <x v="13"/>
    <s v="May"/>
    <x v="6"/>
    <s v="328 Oak St"/>
    <x v="5"/>
    <x v="2"/>
    <m/>
    <n v="1777"/>
    <n v="166110"/>
    <n v="93.477771525042201"/>
  </r>
  <r>
    <x v="716"/>
    <s v="Jan"/>
    <x v="19"/>
    <s v="647 Oak St"/>
    <x v="0"/>
    <x v="2"/>
    <n v="3"/>
    <n v="1531"/>
    <n v="125592"/>
    <n v="82.032658393207058"/>
  </r>
  <r>
    <x v="1421"/>
    <s v="Dec"/>
    <x v="18"/>
    <s v="756 Elm St"/>
    <x v="5"/>
    <x v="0"/>
    <n v="5"/>
    <n v="3447"/>
    <n v="631911"/>
    <n v="183.32201914708443"/>
  </r>
  <r>
    <x v="1422"/>
    <s v="Oct"/>
    <x v="11"/>
    <s v="412 Elm St"/>
    <x v="5"/>
    <x v="2"/>
    <m/>
    <n v="3284"/>
    <n v="284697"/>
    <n v="86.692143727161991"/>
  </r>
  <r>
    <x v="1423"/>
    <s v="Feb"/>
    <x v="4"/>
    <s v="247 Elm St"/>
    <x v="0"/>
    <x v="1"/>
    <n v="4"/>
    <n v="3057"/>
    <n v="547630"/>
    <n v="179.13967942427217"/>
  </r>
  <r>
    <x v="1424"/>
    <s v="Oct"/>
    <x v="3"/>
    <s v="860 Pine Rd"/>
    <x v="2"/>
    <x v="3"/>
    <m/>
    <n v="3080"/>
    <n v="475768"/>
    <n v="154.47012987012988"/>
  </r>
  <r>
    <x v="1425"/>
    <s v="May"/>
    <x v="15"/>
    <s v="132 Pine Rd"/>
    <x v="1"/>
    <x v="0"/>
    <n v="3"/>
    <n v="2630"/>
    <n v="164306"/>
    <n v="62.473764258555136"/>
  </r>
  <r>
    <x v="1426"/>
    <s v="Jun"/>
    <x v="4"/>
    <s v="626 Elm St"/>
    <x v="4"/>
    <x v="0"/>
    <n v="4"/>
    <n v="872"/>
    <n v="105207"/>
    <n v="120.65022935779817"/>
  </r>
  <r>
    <x v="1427"/>
    <s v="Mar"/>
    <x v="8"/>
    <s v="543 Oak St"/>
    <x v="2"/>
    <x v="3"/>
    <n v="3"/>
    <n v="1125"/>
    <n v="108261"/>
    <n v="96.231999999999999"/>
  </r>
  <r>
    <x v="674"/>
    <s v="Apr"/>
    <x v="8"/>
    <s v="151 Pine Rd"/>
    <x v="4"/>
    <x v="2"/>
    <m/>
    <n v="3395"/>
    <n v="720572"/>
    <n v="212.24506627393225"/>
  </r>
  <r>
    <x v="1428"/>
    <s v="Mar"/>
    <x v="1"/>
    <s v="227 Maple Ave"/>
    <x v="0"/>
    <x v="2"/>
    <n v="5"/>
    <n v="1464"/>
    <n v="814701"/>
    <n v="556.48975409836066"/>
  </r>
  <r>
    <x v="1429"/>
    <s v="Jul"/>
    <x v="11"/>
    <s v="630 Pine Rd"/>
    <x v="4"/>
    <x v="2"/>
    <m/>
    <n v="1779"/>
    <n v="793111"/>
    <n v="445.81843732433953"/>
  </r>
  <r>
    <x v="1430"/>
    <s v="Feb"/>
    <x v="19"/>
    <s v="623 Pine Rd"/>
    <x v="6"/>
    <x v="1"/>
    <n v="3"/>
    <n v="2382"/>
    <n v="691665"/>
    <n v="290.37153652392948"/>
  </r>
  <r>
    <x v="1431"/>
    <s v="Apr"/>
    <x v="13"/>
    <s v="408 Main St"/>
    <x v="3"/>
    <x v="3"/>
    <n v="2"/>
    <n v="916"/>
    <n v="742716"/>
    <n v="810.82532751091708"/>
  </r>
  <r>
    <x v="1432"/>
    <s v="Feb"/>
    <x v="1"/>
    <s v="415 Pine Rd"/>
    <x v="1"/>
    <x v="2"/>
    <m/>
    <n v="2752"/>
    <n v="356474"/>
    <n v="129.53270348837211"/>
  </r>
  <r>
    <x v="1433"/>
    <s v="Jun"/>
    <x v="12"/>
    <s v="584 Maple Ave"/>
    <x v="3"/>
    <x v="3"/>
    <m/>
    <n v="2552"/>
    <n v="193136"/>
    <n v="75.680250783699066"/>
  </r>
  <r>
    <x v="1434"/>
    <s v="Sep"/>
    <x v="17"/>
    <s v="443 Maple Ave"/>
    <x v="5"/>
    <x v="2"/>
    <m/>
    <n v="1035"/>
    <n v="839335"/>
    <n v="810.95169082125608"/>
  </r>
  <r>
    <x v="1435"/>
    <s v="Jan"/>
    <x v="14"/>
    <s v="300 Maple Ave"/>
    <x v="0"/>
    <x v="3"/>
    <n v="2"/>
    <n v="1112"/>
    <n v="605383"/>
    <n v="544.40917266187046"/>
  </r>
  <r>
    <x v="1436"/>
    <s v="Mar"/>
    <x v="5"/>
    <s v="168 Elm St"/>
    <x v="0"/>
    <x v="3"/>
    <n v="2"/>
    <n v="1517"/>
    <n v="863117"/>
    <n v="568.96308503625573"/>
  </r>
  <r>
    <x v="1437"/>
    <s v="Jul"/>
    <x v="19"/>
    <s v="893 Pine Rd"/>
    <x v="6"/>
    <x v="3"/>
    <m/>
    <n v="951"/>
    <n v="404433"/>
    <n v="425.27129337539429"/>
  </r>
  <r>
    <x v="1438"/>
    <s v="Jan"/>
    <x v="6"/>
    <s v="912 Maple Ave"/>
    <x v="6"/>
    <x v="2"/>
    <m/>
    <n v="3225"/>
    <n v="188322"/>
    <n v="58.394418604651165"/>
  </r>
  <r>
    <x v="1439"/>
    <s v="Apr"/>
    <x v="3"/>
    <s v="392 Oak St"/>
    <x v="4"/>
    <x v="3"/>
    <n v="2"/>
    <n v="2578"/>
    <n v="545098"/>
    <n v="211.44220325833979"/>
  </r>
  <r>
    <x v="1440"/>
    <s v="Mar"/>
    <x v="7"/>
    <s v="363 Oak St"/>
    <x v="4"/>
    <x v="3"/>
    <n v="3"/>
    <n v="2002"/>
    <n v="649284"/>
    <n v="324.31768231768234"/>
  </r>
  <r>
    <x v="926"/>
    <s v="Dec"/>
    <x v="14"/>
    <s v="175 Main St"/>
    <x v="6"/>
    <x v="3"/>
    <n v="5"/>
    <n v="1372"/>
    <n v="140888"/>
    <n v="102.68804664723032"/>
  </r>
  <r>
    <x v="1441"/>
    <s v="Jul"/>
    <x v="9"/>
    <s v="882 Elm St"/>
    <x v="3"/>
    <x v="3"/>
    <n v="2"/>
    <n v="2227"/>
    <n v="478586"/>
    <n v="214.90166142792995"/>
  </r>
  <r>
    <x v="1442"/>
    <s v="Nov"/>
    <x v="2"/>
    <s v="451 Pine Rd"/>
    <x v="4"/>
    <x v="2"/>
    <n v="3"/>
    <n v="2614"/>
    <n v="207902"/>
    <n v="79.534047436878353"/>
  </r>
  <r>
    <x v="1443"/>
    <s v="Apr"/>
    <x v="3"/>
    <s v="845 Elm St"/>
    <x v="4"/>
    <x v="3"/>
    <m/>
    <n v="1479"/>
    <n v="121478"/>
    <n v="82.135226504394865"/>
  </r>
  <r>
    <x v="1444"/>
    <s v="Aug"/>
    <x v="0"/>
    <s v="281 Pine Rd"/>
    <x v="6"/>
    <x v="2"/>
    <n v="4"/>
    <n v="1851"/>
    <n v="716394"/>
    <n v="387.03079416531602"/>
  </r>
  <r>
    <x v="1445"/>
    <s v="Apr"/>
    <x v="9"/>
    <s v="783 Oak St"/>
    <x v="0"/>
    <x v="1"/>
    <n v="2"/>
    <n v="2350"/>
    <n v="753469"/>
    <n v="320.62510638297874"/>
  </r>
  <r>
    <x v="1446"/>
    <s v="Jan"/>
    <x v="18"/>
    <s v="134 Pine Rd"/>
    <x v="4"/>
    <x v="0"/>
    <n v="2"/>
    <n v="2999"/>
    <n v="579341"/>
    <n v="193.1780593531177"/>
  </r>
  <r>
    <x v="1447"/>
    <s v="Aug"/>
    <x v="15"/>
    <s v="975 Elm St"/>
    <x v="0"/>
    <x v="2"/>
    <n v="5"/>
    <n v="1152"/>
    <n v="456686"/>
    <n v="396.42881944444446"/>
  </r>
  <r>
    <x v="1448"/>
    <s v="Jun"/>
    <x v="11"/>
    <s v="828 Maple Ave"/>
    <x v="6"/>
    <x v="3"/>
    <n v="2"/>
    <n v="3178"/>
    <n v="679480"/>
    <n v="213.80742605412209"/>
  </r>
  <r>
    <x v="1449"/>
    <s v="Jun"/>
    <x v="10"/>
    <s v="597 Oak St"/>
    <x v="6"/>
    <x v="3"/>
    <m/>
    <n v="3234"/>
    <n v="633581"/>
    <n v="195.91249226963512"/>
  </r>
  <r>
    <x v="1450"/>
    <s v="Sep"/>
    <x v="16"/>
    <s v="785 Elm St"/>
    <x v="0"/>
    <x v="0"/>
    <n v="3"/>
    <n v="865"/>
    <n v="829653"/>
    <n v="959.13641618497115"/>
  </r>
  <r>
    <x v="1451"/>
    <s v="Jul"/>
    <x v="18"/>
    <s v="762 Elm St"/>
    <x v="6"/>
    <x v="0"/>
    <n v="3"/>
    <n v="2601"/>
    <n v="801515"/>
    <n v="308.15647827758556"/>
  </r>
  <r>
    <x v="1452"/>
    <s v="Aug"/>
    <x v="2"/>
    <s v="258 Elm St"/>
    <x v="6"/>
    <x v="0"/>
    <n v="2"/>
    <n v="2553"/>
    <n v="516006"/>
    <n v="202.11750881316098"/>
  </r>
  <r>
    <x v="1453"/>
    <s v="Feb"/>
    <x v="5"/>
    <s v="956 Pine Rd"/>
    <x v="4"/>
    <x v="2"/>
    <n v="4"/>
    <n v="1591"/>
    <n v="392018"/>
    <n v="246.39723444374607"/>
  </r>
  <r>
    <x v="1454"/>
    <s v="Jun"/>
    <x v="14"/>
    <s v="466 Maple Ave"/>
    <x v="0"/>
    <x v="1"/>
    <n v="2"/>
    <n v="2861"/>
    <n v="500121"/>
    <n v="174.80636141209368"/>
  </r>
  <r>
    <x v="1056"/>
    <s v="Nov"/>
    <x v="18"/>
    <s v="790 Elm St"/>
    <x v="0"/>
    <x v="0"/>
    <n v="5"/>
    <n v="1117"/>
    <n v="261238"/>
    <n v="233.8746642793196"/>
  </r>
  <r>
    <x v="827"/>
    <s v="Nov"/>
    <x v="7"/>
    <s v="980 Main St"/>
    <x v="0"/>
    <x v="2"/>
    <n v="5"/>
    <n v="1327"/>
    <n v="524470"/>
    <n v="395.22984174830447"/>
  </r>
  <r>
    <x v="1455"/>
    <s v="Nov"/>
    <x v="13"/>
    <s v="157 Pine Rd"/>
    <x v="6"/>
    <x v="0"/>
    <n v="4"/>
    <n v="2214"/>
    <n v="291721"/>
    <n v="131.76196928635952"/>
  </r>
  <r>
    <x v="330"/>
    <s v="May"/>
    <x v="1"/>
    <s v="701 Pine Rd"/>
    <x v="4"/>
    <x v="1"/>
    <n v="2"/>
    <n v="3221"/>
    <n v="887017"/>
    <n v="275.38559453585844"/>
  </r>
  <r>
    <x v="1456"/>
    <s v="Feb"/>
    <x v="1"/>
    <s v="254 Oak St"/>
    <x v="4"/>
    <x v="3"/>
    <n v="2"/>
    <n v="3196"/>
    <n v="225995"/>
    <n v="70.711827284105127"/>
  </r>
  <r>
    <x v="1457"/>
    <s v="Nov"/>
    <x v="2"/>
    <s v="633 Pine Rd"/>
    <x v="6"/>
    <x v="1"/>
    <n v="2"/>
    <n v="2147"/>
    <n v="421504"/>
    <n v="196.32231020027945"/>
  </r>
  <r>
    <x v="1458"/>
    <s v="Mar"/>
    <x v="18"/>
    <s v="985 Oak St"/>
    <x v="0"/>
    <x v="3"/>
    <n v="2"/>
    <n v="3113"/>
    <n v="194120"/>
    <n v="62.357854159974302"/>
  </r>
  <r>
    <x v="1459"/>
    <s v="Apr"/>
    <x v="9"/>
    <s v="563 Elm St"/>
    <x v="6"/>
    <x v="3"/>
    <n v="2"/>
    <n v="1734"/>
    <n v="512616"/>
    <n v="295.62629757785464"/>
  </r>
  <r>
    <x v="1460"/>
    <s v="Jul"/>
    <x v="17"/>
    <s v="511 Oak St"/>
    <x v="6"/>
    <x v="3"/>
    <n v="5"/>
    <n v="2470"/>
    <n v="604175"/>
    <n v="244.60526315789474"/>
  </r>
  <r>
    <x v="1461"/>
    <s v="Aug"/>
    <x v="0"/>
    <s v="726 Maple Ave"/>
    <x v="1"/>
    <x v="3"/>
    <m/>
    <n v="2524"/>
    <n v="641523"/>
    <n v="254.16917591125198"/>
  </r>
  <r>
    <x v="1462"/>
    <s v="May"/>
    <x v="1"/>
    <s v="417 Main St"/>
    <x v="6"/>
    <x v="2"/>
    <n v="5"/>
    <n v="1208"/>
    <n v="646017"/>
    <n v="534.78228476821187"/>
  </r>
  <r>
    <x v="1463"/>
    <s v="Nov"/>
    <x v="14"/>
    <s v="494 Main St"/>
    <x v="6"/>
    <x v="2"/>
    <n v="5"/>
    <n v="1066"/>
    <n v="292326"/>
    <n v="274.2270168855535"/>
  </r>
  <r>
    <x v="1464"/>
    <s v="Jul"/>
    <x v="6"/>
    <s v="941 Oak St"/>
    <x v="5"/>
    <x v="3"/>
    <n v="4"/>
    <n v="1591"/>
    <n v="339290"/>
    <n v="213.25581395348837"/>
  </r>
  <r>
    <x v="1465"/>
    <s v="Mar"/>
    <x v="4"/>
    <s v="376 Elm St"/>
    <x v="4"/>
    <x v="3"/>
    <m/>
    <n v="1833"/>
    <n v="154542"/>
    <n v="84.310965630114566"/>
  </r>
  <r>
    <x v="1196"/>
    <s v="Jan"/>
    <x v="7"/>
    <s v="194 Elm St"/>
    <x v="0"/>
    <x v="2"/>
    <n v="5"/>
    <n v="2469"/>
    <n v="129068"/>
    <n v="52.275415147833129"/>
  </r>
  <r>
    <x v="1027"/>
    <s v="Apr"/>
    <x v="3"/>
    <s v="354 Elm St"/>
    <x v="4"/>
    <x v="3"/>
    <m/>
    <n v="3494"/>
    <n v="410680"/>
    <n v="117.53863766456783"/>
  </r>
  <r>
    <x v="1466"/>
    <s v="May"/>
    <x v="12"/>
    <s v="930 Elm St"/>
    <x v="3"/>
    <x v="0"/>
    <n v="5"/>
    <n v="3185"/>
    <n v="676125"/>
    <n v="212.28414442700156"/>
  </r>
  <r>
    <x v="393"/>
    <s v="Jul"/>
    <x v="15"/>
    <s v="433 Maple Ave"/>
    <x v="5"/>
    <x v="3"/>
    <n v="4"/>
    <n v="2850"/>
    <n v="623293"/>
    <n v="218.69929824561405"/>
  </r>
  <r>
    <x v="1467"/>
    <s v="Feb"/>
    <x v="4"/>
    <s v="916 Main St"/>
    <x v="0"/>
    <x v="3"/>
    <m/>
    <n v="2530"/>
    <n v="136819"/>
    <n v="54.078656126482215"/>
  </r>
  <r>
    <x v="1468"/>
    <s v="Oct"/>
    <x v="15"/>
    <s v="976 Elm St"/>
    <x v="0"/>
    <x v="1"/>
    <n v="5"/>
    <n v="1961"/>
    <n v="443976"/>
    <n v="226.40285568587456"/>
  </r>
  <r>
    <x v="1469"/>
    <s v="Jan"/>
    <x v="8"/>
    <s v="895 Maple Ave"/>
    <x v="1"/>
    <x v="2"/>
    <n v="4"/>
    <n v="1547"/>
    <n v="330148"/>
    <n v="213.41176470588235"/>
  </r>
  <r>
    <x v="1470"/>
    <s v="Oct"/>
    <x v="17"/>
    <s v="627 Elm St"/>
    <x v="0"/>
    <x v="0"/>
    <m/>
    <n v="1458"/>
    <n v="640918"/>
    <n v="439.58710562414268"/>
  </r>
  <r>
    <x v="1471"/>
    <s v="Aug"/>
    <x v="5"/>
    <s v="531 Main St"/>
    <x v="3"/>
    <x v="0"/>
    <n v="5"/>
    <n v="2397"/>
    <n v="673728"/>
    <n v="281.07133917396749"/>
  </r>
  <r>
    <x v="1472"/>
    <s v="Jun"/>
    <x v="18"/>
    <s v="548 Maple Ave"/>
    <x v="6"/>
    <x v="0"/>
    <n v="3"/>
    <n v="2368"/>
    <n v="444185"/>
    <n v="187.578125"/>
  </r>
  <r>
    <x v="1473"/>
    <s v="Dec"/>
    <x v="1"/>
    <s v="721 Pine Rd"/>
    <x v="3"/>
    <x v="1"/>
    <m/>
    <n v="1798"/>
    <n v="387677"/>
    <n v="215.61568409343715"/>
  </r>
  <r>
    <x v="1474"/>
    <s v="Sep"/>
    <x v="5"/>
    <s v="164 Oak St"/>
    <x v="4"/>
    <x v="0"/>
    <m/>
    <n v="3440"/>
    <n v="582893"/>
    <n v="169.44563953488372"/>
  </r>
  <r>
    <x v="1475"/>
    <s v="Sep"/>
    <x v="0"/>
    <s v="297 Pine Rd"/>
    <x v="0"/>
    <x v="1"/>
    <n v="5"/>
    <n v="1317"/>
    <n v="293923"/>
    <n v="223.17615793470009"/>
  </r>
  <r>
    <x v="1476"/>
    <s v="Apr"/>
    <x v="18"/>
    <s v="749 Oak St"/>
    <x v="0"/>
    <x v="0"/>
    <n v="4"/>
    <n v="1313"/>
    <n v="705282"/>
    <n v="537.15308453922319"/>
  </r>
  <r>
    <x v="1477"/>
    <s v="Sep"/>
    <x v="9"/>
    <s v="252 Oak St"/>
    <x v="6"/>
    <x v="0"/>
    <n v="3"/>
    <n v="1440"/>
    <n v="540258"/>
    <n v="375.17916666666667"/>
  </r>
  <r>
    <x v="1478"/>
    <s v="Jul"/>
    <x v="13"/>
    <s v="389 Pine Rd"/>
    <x v="1"/>
    <x v="3"/>
    <n v="4"/>
    <n v="2257"/>
    <n v="430246"/>
    <n v="190.62738147984049"/>
  </r>
  <r>
    <x v="1479"/>
    <s v="Jul"/>
    <x v="10"/>
    <s v="248 Maple Ave"/>
    <x v="1"/>
    <x v="2"/>
    <n v="5"/>
    <n v="2119"/>
    <n v="273329"/>
    <n v="128.98961774421898"/>
  </r>
  <r>
    <x v="1480"/>
    <s v="Oct"/>
    <x v="11"/>
    <s v="897 Maple Ave"/>
    <x v="0"/>
    <x v="3"/>
    <n v="3"/>
    <n v="2553"/>
    <n v="467403"/>
    <n v="183.07990599294948"/>
  </r>
  <r>
    <x v="1481"/>
    <s v="Aug"/>
    <x v="16"/>
    <s v="145 Main St"/>
    <x v="6"/>
    <x v="0"/>
    <n v="3"/>
    <n v="1877"/>
    <n v="807568"/>
    <n v="430.2440063931806"/>
  </r>
  <r>
    <x v="1482"/>
    <s v="Aug"/>
    <x v="7"/>
    <s v="727 Elm St"/>
    <x v="1"/>
    <x v="3"/>
    <m/>
    <n v="851"/>
    <n v="204830"/>
    <n v="240.69330199764983"/>
  </r>
  <r>
    <x v="1483"/>
    <s v="Jul"/>
    <x v="8"/>
    <s v="543 Elm St"/>
    <x v="0"/>
    <x v="3"/>
    <n v="4"/>
    <n v="3044"/>
    <n v="222628"/>
    <n v="73.136662286465182"/>
  </r>
  <r>
    <x v="1484"/>
    <s v="Jul"/>
    <x v="1"/>
    <s v="313 Oak St"/>
    <x v="4"/>
    <x v="1"/>
    <n v="2"/>
    <n v="1649"/>
    <n v="845621"/>
    <n v="512.80836870830808"/>
  </r>
  <r>
    <x v="359"/>
    <s v="Jul"/>
    <x v="10"/>
    <s v="226 Maple Ave"/>
    <x v="1"/>
    <x v="1"/>
    <n v="3"/>
    <n v="1196"/>
    <n v="500041"/>
    <n v="418.09448160535118"/>
  </r>
  <r>
    <x v="1485"/>
    <s v="Mar"/>
    <x v="19"/>
    <s v="315 Maple Ave"/>
    <x v="0"/>
    <x v="0"/>
    <n v="3"/>
    <n v="1916"/>
    <n v="468757"/>
    <n v="244.65396659707724"/>
  </r>
  <r>
    <x v="742"/>
    <s v="Mar"/>
    <x v="8"/>
    <s v="416 Main St"/>
    <x v="4"/>
    <x v="0"/>
    <m/>
    <n v="1731"/>
    <n v="123126"/>
    <n v="71.129982668977476"/>
  </r>
  <r>
    <x v="1486"/>
    <s v="Jan"/>
    <x v="4"/>
    <s v="919 Elm St"/>
    <x v="3"/>
    <x v="2"/>
    <m/>
    <n v="1306"/>
    <n v="884710"/>
    <n v="677.4196018376723"/>
  </r>
  <r>
    <x v="1487"/>
    <s v="Aug"/>
    <x v="9"/>
    <s v="259 Pine Rd"/>
    <x v="1"/>
    <x v="3"/>
    <m/>
    <n v="3290"/>
    <n v="345283"/>
    <n v="104.94924012158054"/>
  </r>
  <r>
    <x v="1488"/>
    <s v="May"/>
    <x v="14"/>
    <s v="611 Maple Ave"/>
    <x v="0"/>
    <x v="3"/>
    <m/>
    <n v="967"/>
    <n v="659272"/>
    <n v="681.77042399172694"/>
  </r>
  <r>
    <x v="522"/>
    <s v="Dec"/>
    <x v="6"/>
    <s v="112 Main St"/>
    <x v="6"/>
    <x v="1"/>
    <m/>
    <n v="1815"/>
    <n v="118712"/>
    <n v="65.406060606060606"/>
  </r>
  <r>
    <x v="1489"/>
    <s v="Feb"/>
    <x v="17"/>
    <s v="138 Maple Ave"/>
    <x v="6"/>
    <x v="0"/>
    <n v="2"/>
    <n v="3161"/>
    <n v="303576"/>
    <n v="96.037962670041125"/>
  </r>
  <r>
    <x v="20"/>
    <s v="Apr"/>
    <x v="8"/>
    <s v="333 Pine Rd"/>
    <x v="4"/>
    <x v="0"/>
    <n v="3"/>
    <n v="1179"/>
    <n v="840117"/>
    <n v="712.56743002544533"/>
  </r>
  <r>
    <x v="1147"/>
    <s v="Sep"/>
    <x v="12"/>
    <s v="132 Main St"/>
    <x v="0"/>
    <x v="2"/>
    <n v="4"/>
    <n v="3008"/>
    <n v="799000"/>
    <n v="265.625"/>
  </r>
  <r>
    <x v="1490"/>
    <s v="Oct"/>
    <x v="0"/>
    <s v="477 Main St"/>
    <x v="4"/>
    <x v="2"/>
    <n v="4"/>
    <n v="2470"/>
    <n v="301270"/>
    <n v="121.97165991902834"/>
  </r>
  <r>
    <x v="619"/>
    <s v="Jun"/>
    <x v="4"/>
    <s v="498 Oak St"/>
    <x v="4"/>
    <x v="3"/>
    <n v="5"/>
    <n v="2751"/>
    <n v="844712"/>
    <n v="307.05634314794622"/>
  </r>
  <r>
    <x v="1491"/>
    <s v="May"/>
    <x v="0"/>
    <s v="129 Elm St"/>
    <x v="1"/>
    <x v="3"/>
    <m/>
    <n v="3200"/>
    <n v="429646"/>
    <n v="134.264375"/>
  </r>
  <r>
    <x v="1492"/>
    <s v="Nov"/>
    <x v="5"/>
    <s v="610 Pine Rd"/>
    <x v="2"/>
    <x v="1"/>
    <n v="4"/>
    <n v="944"/>
    <n v="492735"/>
    <n v="521.96504237288138"/>
  </r>
  <r>
    <x v="773"/>
    <s v="Feb"/>
    <x v="17"/>
    <s v="174 Maple Ave"/>
    <x v="5"/>
    <x v="1"/>
    <n v="2"/>
    <n v="1268"/>
    <m/>
    <n v="0"/>
  </r>
  <r>
    <x v="1493"/>
    <s v="Dec"/>
    <x v="14"/>
    <s v="615 Elm St"/>
    <x v="5"/>
    <x v="1"/>
    <m/>
    <n v="1367"/>
    <n v="455761"/>
    <n v="333.40234089246525"/>
  </r>
  <r>
    <x v="1494"/>
    <s v="Jul"/>
    <x v="6"/>
    <s v="753 Pine Rd"/>
    <x v="3"/>
    <x v="1"/>
    <n v="5"/>
    <n v="2750"/>
    <n v="364687"/>
    <n v="132.61345454545454"/>
  </r>
  <r>
    <x v="31"/>
    <s v="Dec"/>
    <x v="7"/>
    <s v="915 Pine Rd"/>
    <x v="4"/>
    <x v="0"/>
    <m/>
    <n v="2563"/>
    <n v="304846"/>
    <n v="118.94108466640655"/>
  </r>
  <r>
    <x v="1495"/>
    <s v="Jan"/>
    <x v="16"/>
    <s v="894 Elm St"/>
    <x v="1"/>
    <x v="3"/>
    <n v="2"/>
    <n v="2598"/>
    <n v="547380"/>
    <n v="210.69284064665126"/>
  </r>
  <r>
    <x v="1496"/>
    <s v="Jul"/>
    <x v="5"/>
    <s v="587 Pine Rd"/>
    <x v="4"/>
    <x v="0"/>
    <n v="2"/>
    <n v="3444"/>
    <n v="359555"/>
    <n v="104.40040650406505"/>
  </r>
  <r>
    <x v="1497"/>
    <s v="Nov"/>
    <x v="4"/>
    <s v="596 Oak St"/>
    <x v="4"/>
    <x v="2"/>
    <n v="3"/>
    <n v="1637"/>
    <n v="280959"/>
    <n v="171.63042150274893"/>
  </r>
  <r>
    <x v="1498"/>
    <s v="Feb"/>
    <x v="8"/>
    <s v="343 Oak St"/>
    <x v="0"/>
    <x v="3"/>
    <m/>
    <n v="2747"/>
    <n v="147244"/>
    <n v="53.601747360757187"/>
  </r>
  <r>
    <x v="946"/>
    <s v="Apr"/>
    <x v="3"/>
    <s v="475 Elm St"/>
    <x v="4"/>
    <x v="3"/>
    <m/>
    <n v="2785"/>
    <n v="857920"/>
    <n v="308.05026929982046"/>
  </r>
  <r>
    <x v="1499"/>
    <s v="Aug"/>
    <x v="18"/>
    <s v="500 Main St"/>
    <x v="0"/>
    <x v="0"/>
    <n v="5"/>
    <n v="3210"/>
    <n v="143867"/>
    <n v="44.818380062305295"/>
  </r>
  <r>
    <x v="458"/>
    <s v="Oct"/>
    <x v="18"/>
    <s v="631 Oak St"/>
    <x v="2"/>
    <x v="1"/>
    <n v="3"/>
    <n v="2857"/>
    <n v="499455"/>
    <n v="174.81799089954498"/>
  </r>
  <r>
    <x v="1500"/>
    <s v="May"/>
    <x v="9"/>
    <s v="573 Oak St"/>
    <x v="5"/>
    <x v="1"/>
    <m/>
    <n v="1822"/>
    <n v="265371"/>
    <n v="145.64818880351262"/>
  </r>
  <r>
    <x v="959"/>
    <s v="Jan"/>
    <x v="10"/>
    <s v="844 Maple Ave"/>
    <x v="4"/>
    <x v="0"/>
    <n v="4"/>
    <n v="1910"/>
    <m/>
    <n v="0"/>
  </r>
  <r>
    <x v="1501"/>
    <s v="Mar"/>
    <x v="0"/>
    <s v="383 Maple Ave"/>
    <x v="6"/>
    <x v="0"/>
    <n v="3"/>
    <n v="1066"/>
    <n v="486571"/>
    <n v="456.44559099437146"/>
  </r>
  <r>
    <x v="1502"/>
    <s v="Sep"/>
    <x v="4"/>
    <s v="737 Pine Rd"/>
    <x v="2"/>
    <x v="3"/>
    <m/>
    <n v="1373"/>
    <n v="717126"/>
    <n v="522.30589949016746"/>
  </r>
  <r>
    <x v="1503"/>
    <s v="May"/>
    <x v="3"/>
    <s v="444 Elm St"/>
    <x v="6"/>
    <x v="3"/>
    <n v="2"/>
    <n v="1992"/>
    <n v="397071"/>
    <n v="199.33283132530121"/>
  </r>
  <r>
    <x v="1504"/>
    <s v="May"/>
    <x v="1"/>
    <s v="970 Elm St"/>
    <x v="6"/>
    <x v="2"/>
    <m/>
    <n v="1007"/>
    <n v="814673"/>
    <n v="809.00993048659382"/>
  </r>
  <r>
    <x v="1505"/>
    <s v="Apr"/>
    <x v="2"/>
    <s v="103 Main St"/>
    <x v="6"/>
    <x v="2"/>
    <m/>
    <n v="1021"/>
    <n v="541659"/>
    <n v="530.51811949069543"/>
  </r>
  <r>
    <x v="79"/>
    <s v="Oct"/>
    <x v="13"/>
    <s v="540 Maple Ave"/>
    <x v="0"/>
    <x v="0"/>
    <n v="2"/>
    <n v="1092"/>
    <n v="264779"/>
    <n v="242.47161172161171"/>
  </r>
  <r>
    <x v="1506"/>
    <s v="Dec"/>
    <x v="1"/>
    <s v="282 Oak St"/>
    <x v="4"/>
    <x v="0"/>
    <n v="4"/>
    <n v="1832"/>
    <n v="530947"/>
    <n v="289.81823144104806"/>
  </r>
  <r>
    <x v="1507"/>
    <s v="Dec"/>
    <x v="5"/>
    <s v="857 Oak St"/>
    <x v="4"/>
    <x v="2"/>
    <m/>
    <n v="3420"/>
    <n v="523841"/>
    <n v="153.16988304093567"/>
  </r>
  <r>
    <x v="1482"/>
    <s v="Aug"/>
    <x v="7"/>
    <s v="457 Oak St"/>
    <x v="5"/>
    <x v="3"/>
    <n v="3"/>
    <n v="1411"/>
    <n v="263485"/>
    <n v="186.73635719347979"/>
  </r>
  <r>
    <x v="1508"/>
    <s v="Mar"/>
    <x v="12"/>
    <s v="387 Elm St"/>
    <x v="0"/>
    <x v="1"/>
    <m/>
    <n v="2048"/>
    <n v="376265"/>
    <n v="183.72314453125"/>
  </r>
  <r>
    <x v="1509"/>
    <s v="Oct"/>
    <x v="17"/>
    <s v="857 Pine Rd"/>
    <x v="6"/>
    <x v="1"/>
    <n v="5"/>
    <n v="1645"/>
    <n v="571818"/>
    <n v="347.60972644376898"/>
  </r>
  <r>
    <x v="1510"/>
    <s v="Jul"/>
    <x v="14"/>
    <s v="987 Pine Rd"/>
    <x v="0"/>
    <x v="3"/>
    <m/>
    <n v="1977"/>
    <m/>
    <n v="0"/>
  </r>
  <r>
    <x v="1511"/>
    <s v="Jun"/>
    <x v="18"/>
    <s v="167 Pine Rd"/>
    <x v="2"/>
    <x v="1"/>
    <n v="5"/>
    <n v="835"/>
    <n v="519794"/>
    <n v="622.50778443113768"/>
  </r>
  <r>
    <x v="1512"/>
    <s v="Oct"/>
    <x v="1"/>
    <s v="448 Pine Rd"/>
    <x v="3"/>
    <x v="2"/>
    <n v="2"/>
    <n v="1630"/>
    <n v="319709"/>
    <n v="196.14049079754602"/>
  </r>
  <r>
    <x v="1513"/>
    <s v="Jun"/>
    <x v="0"/>
    <s v="343 Elm St"/>
    <x v="6"/>
    <x v="1"/>
    <n v="3"/>
    <n v="1854"/>
    <n v="116062"/>
    <n v="62.600862998921251"/>
  </r>
  <r>
    <x v="642"/>
    <s v="Jun"/>
    <x v="16"/>
    <s v="672 Main St"/>
    <x v="6"/>
    <x v="3"/>
    <m/>
    <n v="3012"/>
    <n v="761381"/>
    <n v="252.78253652058433"/>
  </r>
  <r>
    <x v="1514"/>
    <s v="May"/>
    <x v="8"/>
    <s v="381 Elm St"/>
    <x v="4"/>
    <x v="1"/>
    <n v="3"/>
    <n v="1984"/>
    <n v="798607"/>
    <n v="402.52368951612902"/>
  </r>
  <r>
    <x v="656"/>
    <s v="May"/>
    <x v="16"/>
    <s v="913 Pine Rd"/>
    <x v="6"/>
    <x v="3"/>
    <n v="2"/>
    <n v="1276"/>
    <n v="662763"/>
    <n v="519.40673981191219"/>
  </r>
  <r>
    <x v="1515"/>
    <s v="Dec"/>
    <x v="14"/>
    <s v="962 Pine Rd"/>
    <x v="5"/>
    <x v="0"/>
    <n v="2"/>
    <n v="2587"/>
    <n v="638115"/>
    <n v="246.66215693853886"/>
  </r>
  <r>
    <x v="224"/>
    <s v="Jan"/>
    <x v="9"/>
    <s v="700 Main St"/>
    <x v="1"/>
    <x v="0"/>
    <m/>
    <n v="2467"/>
    <n v="102106"/>
    <n v="41.388731252533439"/>
  </r>
  <r>
    <x v="1516"/>
    <s v="Jul"/>
    <x v="7"/>
    <s v="332 Oak St"/>
    <x v="6"/>
    <x v="2"/>
    <n v="2"/>
    <n v="3316"/>
    <n v="731511"/>
    <n v="220.60042219541617"/>
  </r>
  <r>
    <x v="1517"/>
    <s v="Jul"/>
    <x v="17"/>
    <s v="824 Main St"/>
    <x v="6"/>
    <x v="0"/>
    <n v="4"/>
    <n v="3042"/>
    <n v="385854"/>
    <n v="126.84220907297831"/>
  </r>
  <r>
    <x v="1518"/>
    <s v="Sep"/>
    <x v="5"/>
    <s v="766 Maple Ave"/>
    <x v="4"/>
    <x v="0"/>
    <n v="5"/>
    <n v="3165"/>
    <n v="883749"/>
    <n v="279.22559241706159"/>
  </r>
  <r>
    <x v="8"/>
    <s v="Jan"/>
    <x v="6"/>
    <s v="244 Oak St"/>
    <x v="1"/>
    <x v="3"/>
    <n v="4"/>
    <n v="2248"/>
    <n v="617667"/>
    <n v="274.76290035587186"/>
  </r>
  <r>
    <x v="1519"/>
    <s v="Oct"/>
    <x v="12"/>
    <s v="754 Oak St"/>
    <x v="0"/>
    <x v="0"/>
    <n v="2"/>
    <n v="2845"/>
    <m/>
    <n v="0"/>
  </r>
  <r>
    <x v="1520"/>
    <s v="Oct"/>
    <x v="2"/>
    <s v="835 Maple Ave"/>
    <x v="0"/>
    <x v="1"/>
    <n v="4"/>
    <n v="2105"/>
    <n v="692828"/>
    <n v="329.13444180522566"/>
  </r>
  <r>
    <x v="1521"/>
    <s v="Jul"/>
    <x v="17"/>
    <s v="294 Oak St"/>
    <x v="4"/>
    <x v="3"/>
    <n v="3"/>
    <n v="1561"/>
    <n v="848130"/>
    <n v="543.32479180012808"/>
  </r>
  <r>
    <x v="1522"/>
    <s v="Dec"/>
    <x v="2"/>
    <s v="283 Elm St"/>
    <x v="4"/>
    <x v="3"/>
    <m/>
    <n v="1996"/>
    <n v="798172"/>
    <n v="399.88577154308615"/>
  </r>
  <r>
    <x v="1523"/>
    <s v="May"/>
    <x v="12"/>
    <s v="288 Elm St"/>
    <x v="0"/>
    <x v="1"/>
    <n v="4"/>
    <n v="2172"/>
    <n v="862606"/>
    <n v="397.14825046040517"/>
  </r>
  <r>
    <x v="1524"/>
    <s v="Mar"/>
    <x v="15"/>
    <s v="509 Elm St"/>
    <x v="5"/>
    <x v="2"/>
    <n v="5"/>
    <n v="2118"/>
    <n v="406787"/>
    <n v="192.06185080264402"/>
  </r>
  <r>
    <x v="1525"/>
    <s v="Jun"/>
    <x v="11"/>
    <s v="790 Maple Ave"/>
    <x v="1"/>
    <x v="3"/>
    <n v="5"/>
    <n v="3462"/>
    <n v="414566"/>
    <n v="119.74754477180821"/>
  </r>
  <r>
    <x v="1526"/>
    <s v="Nov"/>
    <x v="11"/>
    <s v="861 Elm St"/>
    <x v="6"/>
    <x v="2"/>
    <n v="4"/>
    <n v="1397"/>
    <n v="274786"/>
    <n v="196.69720830350752"/>
  </r>
  <r>
    <x v="983"/>
    <s v="Apr"/>
    <x v="6"/>
    <s v="267 Maple Ave"/>
    <x v="4"/>
    <x v="3"/>
    <n v="3"/>
    <n v="1989"/>
    <n v="196290"/>
    <n v="98.687782805429862"/>
  </r>
  <r>
    <x v="115"/>
    <s v="Feb"/>
    <x v="0"/>
    <s v="518 Elm St"/>
    <x v="6"/>
    <x v="2"/>
    <n v="5"/>
    <n v="2664"/>
    <n v="230721"/>
    <n v="86.606981981981988"/>
  </r>
  <r>
    <x v="1527"/>
    <s v="Jan"/>
    <x v="14"/>
    <s v="115 Oak St"/>
    <x v="0"/>
    <x v="0"/>
    <n v="4"/>
    <n v="901"/>
    <n v="498676"/>
    <n v="553.46947835738069"/>
  </r>
  <r>
    <x v="1528"/>
    <s v="Aug"/>
    <x v="8"/>
    <s v="701 Maple Ave"/>
    <x v="6"/>
    <x v="1"/>
    <n v="3"/>
    <n v="1286"/>
    <n v="184359"/>
    <n v="143.35847589424571"/>
  </r>
  <r>
    <x v="200"/>
    <s v="Feb"/>
    <x v="2"/>
    <s v="872 Pine Rd"/>
    <x v="1"/>
    <x v="2"/>
    <m/>
    <n v="2944"/>
    <n v="434273"/>
    <n v="147.51120923913044"/>
  </r>
  <r>
    <x v="1529"/>
    <s v="Dec"/>
    <x v="0"/>
    <s v="975 Main St"/>
    <x v="6"/>
    <x v="2"/>
    <m/>
    <n v="2041"/>
    <n v="268321"/>
    <n v="131.46545810877021"/>
  </r>
  <r>
    <x v="1530"/>
    <s v="Oct"/>
    <x v="4"/>
    <s v="834 Elm St"/>
    <x v="0"/>
    <x v="3"/>
    <n v="2"/>
    <n v="2059"/>
    <n v="220868"/>
    <n v="107.26954832442934"/>
  </r>
  <r>
    <x v="1531"/>
    <s v="Jul"/>
    <x v="4"/>
    <s v="701 Maple Ave"/>
    <x v="5"/>
    <x v="1"/>
    <n v="4"/>
    <n v="2018"/>
    <n v="420033"/>
    <n v="208.14321110009911"/>
  </r>
  <r>
    <x v="1532"/>
    <s v="Feb"/>
    <x v="7"/>
    <s v="114 Main St"/>
    <x v="6"/>
    <x v="0"/>
    <n v="3"/>
    <n v="1316"/>
    <n v="431256"/>
    <n v="327.70212765957444"/>
  </r>
  <r>
    <x v="1533"/>
    <s v="Nov"/>
    <x v="19"/>
    <s v="604 Main St"/>
    <x v="2"/>
    <x v="0"/>
    <n v="4"/>
    <n v="3248"/>
    <n v="830606"/>
    <n v="255.72844827586206"/>
  </r>
  <r>
    <x v="1513"/>
    <s v="Jun"/>
    <x v="0"/>
    <s v="858 Oak St"/>
    <x v="6"/>
    <x v="2"/>
    <n v="3"/>
    <n v="2724"/>
    <n v="335270"/>
    <n v="123.08002936857562"/>
  </r>
  <r>
    <x v="1534"/>
    <s v="Feb"/>
    <x v="18"/>
    <s v="147 Main St"/>
    <x v="4"/>
    <x v="0"/>
    <n v="3"/>
    <n v="3160"/>
    <n v="876631"/>
    <n v="277.41487341772154"/>
  </r>
  <r>
    <x v="1535"/>
    <s v="Feb"/>
    <x v="14"/>
    <s v="236 Elm St"/>
    <x v="3"/>
    <x v="1"/>
    <m/>
    <n v="3217"/>
    <n v="185618"/>
    <n v="57.699098539011501"/>
  </r>
  <r>
    <x v="1536"/>
    <s v="Apr"/>
    <x v="12"/>
    <s v="615 Elm St"/>
    <x v="3"/>
    <x v="3"/>
    <n v="2"/>
    <n v="2395"/>
    <n v="391775"/>
    <n v="163.58037578288099"/>
  </r>
  <r>
    <x v="1537"/>
    <s v="Jun"/>
    <x v="3"/>
    <s v="504 Oak St"/>
    <x v="2"/>
    <x v="0"/>
    <n v="5"/>
    <n v="1552"/>
    <n v="708030"/>
    <n v="456.20489690721649"/>
  </r>
  <r>
    <x v="1538"/>
    <s v="Jul"/>
    <x v="9"/>
    <s v="207 Pine Rd"/>
    <x v="0"/>
    <x v="2"/>
    <n v="3"/>
    <n v="1401"/>
    <n v="851537"/>
    <n v="607.80656673804424"/>
  </r>
  <r>
    <x v="1539"/>
    <s v="May"/>
    <x v="11"/>
    <s v="950 Elm St"/>
    <x v="0"/>
    <x v="0"/>
    <m/>
    <n v="2361"/>
    <n v="166283"/>
    <n v="70.429055484963996"/>
  </r>
  <r>
    <x v="858"/>
    <s v="Jan"/>
    <x v="16"/>
    <s v="996 Pine Rd"/>
    <x v="0"/>
    <x v="3"/>
    <n v="2"/>
    <n v="907"/>
    <n v="127658"/>
    <n v="140.74751929437707"/>
  </r>
  <r>
    <x v="1540"/>
    <s v="Aug"/>
    <x v="15"/>
    <s v="990 Elm St"/>
    <x v="0"/>
    <x v="3"/>
    <m/>
    <n v="3020"/>
    <n v="169231"/>
    <n v="56.036754966887415"/>
  </r>
  <r>
    <x v="1541"/>
    <s v="Sep"/>
    <x v="18"/>
    <s v="932 Pine Rd"/>
    <x v="0"/>
    <x v="2"/>
    <m/>
    <n v="2642"/>
    <n v="861490"/>
    <n v="326.07494322482967"/>
  </r>
  <r>
    <x v="1542"/>
    <s v="May"/>
    <x v="8"/>
    <s v="697 Elm St"/>
    <x v="0"/>
    <x v="2"/>
    <n v="4"/>
    <n v="2591"/>
    <n v="278999"/>
    <n v="107.68004631416441"/>
  </r>
  <r>
    <x v="1543"/>
    <s v="Aug"/>
    <x v="7"/>
    <s v="984 Maple Ave"/>
    <x v="4"/>
    <x v="2"/>
    <n v="3"/>
    <n v="1990"/>
    <n v="737437"/>
    <n v="370.57135678391961"/>
  </r>
  <r>
    <x v="1544"/>
    <s v="Aug"/>
    <x v="6"/>
    <s v="471 Main St"/>
    <x v="5"/>
    <x v="1"/>
    <m/>
    <n v="929"/>
    <n v="683218"/>
    <n v="735.43379978471478"/>
  </r>
  <r>
    <x v="1545"/>
    <s v="Aug"/>
    <x v="17"/>
    <s v="691 Oak St"/>
    <x v="2"/>
    <x v="3"/>
    <n v="3"/>
    <n v="1112"/>
    <n v="756416"/>
    <n v="680.23021582733816"/>
  </r>
  <r>
    <x v="1180"/>
    <s v="Apr"/>
    <x v="11"/>
    <s v="283 Main St"/>
    <x v="2"/>
    <x v="0"/>
    <m/>
    <n v="1712"/>
    <n v="895731"/>
    <n v="523.20735981308417"/>
  </r>
  <r>
    <x v="1546"/>
    <s v="Dec"/>
    <x v="2"/>
    <s v="468 Maple Ave"/>
    <x v="5"/>
    <x v="1"/>
    <n v="5"/>
    <n v="3384"/>
    <n v="507840"/>
    <n v="150.0709219858156"/>
  </r>
  <r>
    <x v="1547"/>
    <s v="Jul"/>
    <x v="13"/>
    <s v="189 Elm St"/>
    <x v="5"/>
    <x v="1"/>
    <n v="2"/>
    <n v="1962"/>
    <n v="743659"/>
    <n v="379.03109072375128"/>
  </r>
  <r>
    <x v="580"/>
    <s v="Jan"/>
    <x v="9"/>
    <s v="323 Oak St"/>
    <x v="4"/>
    <x v="0"/>
    <n v="2"/>
    <n v="1021"/>
    <n v="367692"/>
    <n v="360.1292850146915"/>
  </r>
  <r>
    <x v="1548"/>
    <s v="Aug"/>
    <x v="0"/>
    <s v="758 Pine Rd"/>
    <x v="6"/>
    <x v="3"/>
    <n v="2"/>
    <n v="1212"/>
    <n v="660586"/>
    <n v="545.03795379537951"/>
  </r>
  <r>
    <x v="1549"/>
    <s v="Jan"/>
    <x v="10"/>
    <s v="320 Maple Ave"/>
    <x v="3"/>
    <x v="0"/>
    <m/>
    <n v="2336"/>
    <n v="239273"/>
    <n v="102.42851027397261"/>
  </r>
  <r>
    <x v="950"/>
    <s v="Jan"/>
    <x v="0"/>
    <s v="190 Maple Ave"/>
    <x v="0"/>
    <x v="3"/>
    <m/>
    <n v="1296"/>
    <n v="285175"/>
    <n v="220.04243827160494"/>
  </r>
  <r>
    <x v="1550"/>
    <s v="Jun"/>
    <x v="5"/>
    <s v="296 Pine Rd"/>
    <x v="0"/>
    <x v="0"/>
    <n v="3"/>
    <n v="999"/>
    <n v="820725"/>
    <n v="821.54654654654655"/>
  </r>
  <r>
    <x v="1551"/>
    <s v="Mar"/>
    <x v="2"/>
    <s v="146 Elm St"/>
    <x v="0"/>
    <x v="1"/>
    <n v="5"/>
    <n v="1405"/>
    <n v="826606"/>
    <n v="588.33167259786478"/>
  </r>
  <r>
    <x v="1552"/>
    <s v="Sep"/>
    <x v="14"/>
    <s v="699 Pine Rd"/>
    <x v="3"/>
    <x v="0"/>
    <n v="2"/>
    <n v="2595"/>
    <n v="276194"/>
    <n v="106.43314065510597"/>
  </r>
  <r>
    <x v="1553"/>
    <s v="Nov"/>
    <x v="8"/>
    <s v="769 Pine Rd"/>
    <x v="2"/>
    <x v="3"/>
    <m/>
    <n v="2560"/>
    <n v="707470"/>
    <n v="276.35546875"/>
  </r>
  <r>
    <x v="1554"/>
    <s v="Jul"/>
    <x v="7"/>
    <s v="728 Oak St"/>
    <x v="4"/>
    <x v="1"/>
    <n v="5"/>
    <n v="1051"/>
    <n v="894181"/>
    <n v="850.79067554709798"/>
  </r>
  <r>
    <x v="294"/>
    <s v="Oct"/>
    <x v="14"/>
    <s v="595 Main St"/>
    <x v="0"/>
    <x v="3"/>
    <n v="3"/>
    <n v="3382"/>
    <n v="572323"/>
    <n v="169.22619751626257"/>
  </r>
  <r>
    <x v="1311"/>
    <s v="Mar"/>
    <x v="0"/>
    <s v="972 Oak St"/>
    <x v="4"/>
    <x v="2"/>
    <n v="4"/>
    <n v="1516"/>
    <n v="131228"/>
    <n v="86.562005277044861"/>
  </r>
  <r>
    <x v="1555"/>
    <s v="Jul"/>
    <x v="12"/>
    <s v="519 Oak St"/>
    <x v="4"/>
    <x v="2"/>
    <n v="5"/>
    <n v="2747"/>
    <n v="779835"/>
    <n v="283.88605751729159"/>
  </r>
  <r>
    <x v="1556"/>
    <s v="Aug"/>
    <x v="5"/>
    <s v="457 Pine Rd"/>
    <x v="0"/>
    <x v="2"/>
    <m/>
    <n v="2657"/>
    <n v="444373"/>
    <n v="167.24614226571322"/>
  </r>
  <r>
    <x v="48"/>
    <s v="Jan"/>
    <x v="18"/>
    <s v="239 Main St"/>
    <x v="0"/>
    <x v="0"/>
    <n v="2"/>
    <n v="2165"/>
    <n v="709772"/>
    <n v="327.83926096997692"/>
  </r>
  <r>
    <x v="1557"/>
    <s v="Nov"/>
    <x v="18"/>
    <s v="978 Pine Rd"/>
    <x v="0"/>
    <x v="3"/>
    <m/>
    <n v="2395"/>
    <n v="301645"/>
    <n v="125.94780793319416"/>
  </r>
  <r>
    <x v="1299"/>
    <s v="Sep"/>
    <x v="10"/>
    <s v="456 Pine Rd"/>
    <x v="6"/>
    <x v="3"/>
    <m/>
    <n v="1093"/>
    <n v="569334"/>
    <n v="520.89112534309243"/>
  </r>
  <r>
    <x v="1206"/>
    <s v="Feb"/>
    <x v="1"/>
    <s v="256 Pine Rd"/>
    <x v="0"/>
    <x v="1"/>
    <n v="2"/>
    <n v="1435"/>
    <n v="553790"/>
    <n v="385.91637630662024"/>
  </r>
  <r>
    <x v="1558"/>
    <s v="May"/>
    <x v="6"/>
    <s v="497 Maple Ave"/>
    <x v="0"/>
    <x v="1"/>
    <m/>
    <n v="2239"/>
    <n v="410881"/>
    <n v="183.51094238499331"/>
  </r>
  <r>
    <x v="1559"/>
    <s v="Jan"/>
    <x v="16"/>
    <s v="246 Pine Rd"/>
    <x v="3"/>
    <x v="0"/>
    <n v="2"/>
    <n v="1933"/>
    <n v="294847"/>
    <n v="152.53336782203829"/>
  </r>
  <r>
    <x v="1560"/>
    <s v="May"/>
    <x v="4"/>
    <s v="721 Main St"/>
    <x v="3"/>
    <x v="3"/>
    <n v="2"/>
    <n v="2932"/>
    <m/>
    <n v="0"/>
  </r>
  <r>
    <x v="1561"/>
    <s v="Apr"/>
    <x v="0"/>
    <s v="848 Main St"/>
    <x v="0"/>
    <x v="1"/>
    <n v="2"/>
    <n v="2377"/>
    <n v="350837"/>
    <n v="147.59655027345394"/>
  </r>
  <r>
    <x v="389"/>
    <s v="Jan"/>
    <x v="17"/>
    <s v="263 Maple Ave"/>
    <x v="0"/>
    <x v="0"/>
    <n v="5"/>
    <n v="2889"/>
    <n v="812147"/>
    <n v="281.11699550017306"/>
  </r>
  <r>
    <x v="1562"/>
    <s v="Sep"/>
    <x v="17"/>
    <s v="867 Oak St"/>
    <x v="0"/>
    <x v="0"/>
    <n v="3"/>
    <n v="1396"/>
    <n v="755820"/>
    <n v="541.41833810888249"/>
  </r>
  <r>
    <x v="492"/>
    <s v="Jan"/>
    <x v="12"/>
    <s v="478 Main St"/>
    <x v="6"/>
    <x v="2"/>
    <m/>
    <n v="2480"/>
    <n v="281574"/>
    <n v="113.53790322580645"/>
  </r>
  <r>
    <x v="1563"/>
    <s v="Jul"/>
    <x v="8"/>
    <s v="105 Main St"/>
    <x v="3"/>
    <x v="0"/>
    <n v="5"/>
    <n v="2480"/>
    <n v="757207"/>
    <n v="305.32540322580644"/>
  </r>
  <r>
    <x v="6"/>
    <s v="Mar"/>
    <x v="3"/>
    <s v="985 Pine Rd"/>
    <x v="4"/>
    <x v="3"/>
    <n v="5"/>
    <n v="1036"/>
    <n v="618674"/>
    <n v="597.17567567567562"/>
  </r>
  <r>
    <x v="1564"/>
    <s v="Dec"/>
    <x v="10"/>
    <s v="192 Main St"/>
    <x v="0"/>
    <x v="3"/>
    <n v="3"/>
    <n v="2123"/>
    <n v="144668"/>
    <n v="68.143193593970793"/>
  </r>
  <r>
    <x v="1565"/>
    <s v="Sep"/>
    <x v="2"/>
    <s v="181 Pine Rd"/>
    <x v="0"/>
    <x v="0"/>
    <n v="4"/>
    <n v="3459"/>
    <n v="596190"/>
    <n v="172.35906331309627"/>
  </r>
  <r>
    <x v="1566"/>
    <s v="Jun"/>
    <x v="12"/>
    <s v="804 Main St"/>
    <x v="5"/>
    <x v="1"/>
    <n v="4"/>
    <n v="2250"/>
    <n v="622746"/>
    <n v="276.77600000000001"/>
  </r>
  <r>
    <x v="1567"/>
    <s v="Oct"/>
    <x v="10"/>
    <s v="634 Maple Ave"/>
    <x v="1"/>
    <x v="0"/>
    <m/>
    <n v="1991"/>
    <n v="709919"/>
    <n v="356.56403817177301"/>
  </r>
  <r>
    <x v="1568"/>
    <s v="Oct"/>
    <x v="7"/>
    <s v="872 Pine Rd"/>
    <x v="2"/>
    <x v="1"/>
    <m/>
    <n v="1506"/>
    <n v="277769"/>
    <n v="184.44156706507303"/>
  </r>
  <r>
    <x v="1569"/>
    <s v="Mar"/>
    <x v="3"/>
    <s v="898 Oak St"/>
    <x v="0"/>
    <x v="1"/>
    <m/>
    <n v="2694"/>
    <n v="499345"/>
    <n v="185.35449146250929"/>
  </r>
  <r>
    <x v="1570"/>
    <s v="Oct"/>
    <x v="1"/>
    <s v="772 Main St"/>
    <x v="4"/>
    <x v="3"/>
    <n v="2"/>
    <n v="2653"/>
    <n v="500684"/>
    <n v="188.72370900866943"/>
  </r>
  <r>
    <x v="1571"/>
    <s v="Apr"/>
    <x v="2"/>
    <s v="595 Oak St"/>
    <x v="5"/>
    <x v="2"/>
    <n v="2"/>
    <n v="3214"/>
    <n v="506853"/>
    <n v="157.70161792159303"/>
  </r>
  <r>
    <x v="1572"/>
    <s v="Jul"/>
    <x v="2"/>
    <s v="937 Oak St"/>
    <x v="0"/>
    <x v="2"/>
    <m/>
    <n v="2272"/>
    <n v="375478"/>
    <n v="165.26320422535213"/>
  </r>
  <r>
    <x v="1573"/>
    <s v="Dec"/>
    <x v="6"/>
    <s v="151 Main St"/>
    <x v="3"/>
    <x v="3"/>
    <n v="2"/>
    <n v="2211"/>
    <n v="634752"/>
    <n v="287.08819538670286"/>
  </r>
  <r>
    <x v="1574"/>
    <s v="Dec"/>
    <x v="9"/>
    <s v="629 Pine Rd"/>
    <x v="2"/>
    <x v="2"/>
    <m/>
    <n v="1852"/>
    <n v="635471"/>
    <n v="343.12688984881208"/>
  </r>
  <r>
    <x v="1089"/>
    <s v="Dec"/>
    <x v="6"/>
    <s v="631 Maple Ave"/>
    <x v="6"/>
    <x v="0"/>
    <m/>
    <n v="906"/>
    <n v="280082"/>
    <n v="309.1412803532009"/>
  </r>
  <r>
    <x v="923"/>
    <s v="Jun"/>
    <x v="4"/>
    <s v="636 Maple Ave"/>
    <x v="4"/>
    <x v="2"/>
    <n v="4"/>
    <n v="2123"/>
    <n v="894014"/>
    <n v="421.10880829015542"/>
  </r>
  <r>
    <x v="1575"/>
    <s v="May"/>
    <x v="6"/>
    <s v="347 Oak St"/>
    <x v="5"/>
    <x v="2"/>
    <m/>
    <n v="2362"/>
    <n v="476296"/>
    <n v="201.64944961896697"/>
  </r>
  <r>
    <x v="1576"/>
    <s v="Nov"/>
    <x v="2"/>
    <s v="353 Oak St"/>
    <x v="6"/>
    <x v="2"/>
    <n v="2"/>
    <n v="1487"/>
    <n v="265582"/>
    <n v="178.6025554808339"/>
  </r>
  <r>
    <x v="1577"/>
    <s v="Nov"/>
    <x v="11"/>
    <s v="496 Elm St"/>
    <x v="3"/>
    <x v="3"/>
    <n v="3"/>
    <n v="2080"/>
    <n v="441361"/>
    <n v="212.19278846153847"/>
  </r>
  <r>
    <x v="1578"/>
    <s v="May"/>
    <x v="6"/>
    <s v="881 Main St"/>
    <x v="0"/>
    <x v="0"/>
    <m/>
    <n v="2817"/>
    <n v="128333"/>
    <n v="45.556620518281861"/>
  </r>
  <r>
    <x v="1579"/>
    <s v="Nov"/>
    <x v="1"/>
    <s v="293 Pine Rd"/>
    <x v="4"/>
    <x v="3"/>
    <n v="4"/>
    <n v="2776"/>
    <n v="539433"/>
    <n v="194.32024495677234"/>
  </r>
  <r>
    <x v="1580"/>
    <s v="Sep"/>
    <x v="8"/>
    <s v="141 Pine Rd"/>
    <x v="5"/>
    <x v="1"/>
    <m/>
    <n v="2232"/>
    <m/>
    <n v="0"/>
  </r>
  <r>
    <x v="1581"/>
    <s v="Jul"/>
    <x v="5"/>
    <s v="268 Pine Rd"/>
    <x v="4"/>
    <x v="2"/>
    <n v="4"/>
    <n v="1851"/>
    <n v="412351"/>
    <n v="222.77201512695839"/>
  </r>
  <r>
    <x v="552"/>
    <s v="Oct"/>
    <x v="15"/>
    <s v="910 Maple Ave"/>
    <x v="3"/>
    <x v="0"/>
    <m/>
    <n v="2271"/>
    <n v="715633"/>
    <n v="315.11800968736242"/>
  </r>
  <r>
    <x v="1582"/>
    <s v="Nov"/>
    <x v="15"/>
    <s v="253 Elm St"/>
    <x v="3"/>
    <x v="3"/>
    <m/>
    <n v="2715"/>
    <n v="541995"/>
    <n v="199.62983425414365"/>
  </r>
  <r>
    <x v="1583"/>
    <s v="Sep"/>
    <x v="0"/>
    <s v="268 Maple Ave"/>
    <x v="1"/>
    <x v="1"/>
    <m/>
    <n v="879"/>
    <n v="510086"/>
    <n v="580.30261660978385"/>
  </r>
  <r>
    <x v="1584"/>
    <s v="Jan"/>
    <x v="11"/>
    <s v="864 Elm St"/>
    <x v="0"/>
    <x v="3"/>
    <n v="2"/>
    <n v="1131"/>
    <n v="568331"/>
    <n v="502.5030946065429"/>
  </r>
  <r>
    <x v="47"/>
    <s v="Jul"/>
    <x v="7"/>
    <s v="781 Maple Ave"/>
    <x v="6"/>
    <x v="2"/>
    <m/>
    <n v="3090"/>
    <n v="628767"/>
    <n v="203.48446601941748"/>
  </r>
  <r>
    <x v="1585"/>
    <s v="May"/>
    <x v="13"/>
    <s v="532 Pine Rd"/>
    <x v="6"/>
    <x v="0"/>
    <n v="4"/>
    <n v="3056"/>
    <n v="759748"/>
    <n v="248.60863874345549"/>
  </r>
  <r>
    <x v="1387"/>
    <s v="Mar"/>
    <x v="8"/>
    <s v="820 Elm St"/>
    <x v="2"/>
    <x v="3"/>
    <n v="3"/>
    <n v="987"/>
    <n v="818501"/>
    <n v="829.28166160081048"/>
  </r>
  <r>
    <x v="123"/>
    <s v="Jul"/>
    <x v="0"/>
    <s v="771 Elm St"/>
    <x v="4"/>
    <x v="0"/>
    <n v="5"/>
    <n v="2736"/>
    <n v="737988"/>
    <n v="269.73245614035091"/>
  </r>
  <r>
    <x v="1586"/>
    <s v="May"/>
    <x v="2"/>
    <s v="254 Elm St"/>
    <x v="1"/>
    <x v="2"/>
    <n v="2"/>
    <n v="3448"/>
    <n v="480334"/>
    <n v="139.30800464037122"/>
  </r>
  <r>
    <x v="696"/>
    <s v="Jul"/>
    <x v="10"/>
    <s v="253 Oak St"/>
    <x v="4"/>
    <x v="3"/>
    <m/>
    <n v="1458"/>
    <n v="236847"/>
    <n v="162.44650205761317"/>
  </r>
  <r>
    <x v="1587"/>
    <s v="Apr"/>
    <x v="14"/>
    <s v="747 Maple Ave"/>
    <x v="5"/>
    <x v="3"/>
    <m/>
    <n v="2681"/>
    <n v="630311"/>
    <n v="235.10294666169341"/>
  </r>
  <r>
    <x v="1588"/>
    <s v="Dec"/>
    <x v="4"/>
    <s v="349 Oak St"/>
    <x v="5"/>
    <x v="0"/>
    <m/>
    <n v="3469"/>
    <n v="631847"/>
    <n v="182.14096281349092"/>
  </r>
  <r>
    <x v="1589"/>
    <s v="Nov"/>
    <x v="11"/>
    <s v="944 Pine Rd"/>
    <x v="4"/>
    <x v="2"/>
    <m/>
    <n v="1417"/>
    <n v="463316"/>
    <n v="326.96965419901198"/>
  </r>
  <r>
    <x v="1590"/>
    <s v="Apr"/>
    <x v="8"/>
    <s v="495 Maple Ave"/>
    <x v="2"/>
    <x v="1"/>
    <n v="2"/>
    <n v="2932"/>
    <n v="671914"/>
    <n v="229.16575716234652"/>
  </r>
  <r>
    <x v="1591"/>
    <s v="Jun"/>
    <x v="7"/>
    <s v="968 Oak St"/>
    <x v="4"/>
    <x v="2"/>
    <n v="3"/>
    <n v="1737"/>
    <n v="848925"/>
    <n v="488.73056994818654"/>
  </r>
  <r>
    <x v="1592"/>
    <s v="Dec"/>
    <x v="15"/>
    <s v="370 Maple Ave"/>
    <x v="6"/>
    <x v="3"/>
    <m/>
    <n v="971"/>
    <n v="689829"/>
    <n v="710.43151390319258"/>
  </r>
  <r>
    <x v="1593"/>
    <s v="Sep"/>
    <x v="18"/>
    <s v="251 Pine Rd"/>
    <x v="0"/>
    <x v="0"/>
    <n v="2"/>
    <n v="2709"/>
    <n v="267827"/>
    <n v="98.865633074935403"/>
  </r>
  <r>
    <x v="1594"/>
    <s v="Nov"/>
    <x v="16"/>
    <s v="107 Elm St"/>
    <x v="2"/>
    <x v="0"/>
    <n v="2"/>
    <n v="2612"/>
    <n v="849894"/>
    <n v="325.38055130168453"/>
  </r>
  <r>
    <x v="1151"/>
    <s v="Oct"/>
    <x v="7"/>
    <s v="710 Oak St"/>
    <x v="2"/>
    <x v="1"/>
    <n v="5"/>
    <n v="1818"/>
    <n v="212728"/>
    <n v="117.01210121012102"/>
  </r>
  <r>
    <x v="1595"/>
    <s v="May"/>
    <x v="16"/>
    <s v="162 Elm St"/>
    <x v="0"/>
    <x v="1"/>
    <n v="2"/>
    <n v="2706"/>
    <n v="754398"/>
    <n v="278.78713968957874"/>
  </r>
  <r>
    <x v="1596"/>
    <s v="Jun"/>
    <x v="15"/>
    <s v="233 Maple Ave"/>
    <x v="6"/>
    <x v="3"/>
    <m/>
    <n v="2922"/>
    <n v="714578"/>
    <n v="244.55099247091033"/>
  </r>
  <r>
    <x v="217"/>
    <s v="Jul"/>
    <x v="1"/>
    <s v="974 Main St"/>
    <x v="6"/>
    <x v="0"/>
    <n v="4"/>
    <n v="2108"/>
    <n v="454551"/>
    <n v="215.63140417457305"/>
  </r>
  <r>
    <x v="1597"/>
    <s v="Jul"/>
    <x v="3"/>
    <s v="989 Elm St"/>
    <x v="6"/>
    <x v="3"/>
    <n v="4"/>
    <n v="1332"/>
    <n v="547158"/>
    <n v="410.77927927927925"/>
  </r>
  <r>
    <x v="684"/>
    <s v="Jun"/>
    <x v="13"/>
    <s v="398 Oak St"/>
    <x v="6"/>
    <x v="1"/>
    <n v="5"/>
    <n v="2969"/>
    <n v="239866"/>
    <n v="80.790165038733576"/>
  </r>
  <r>
    <x v="1598"/>
    <s v="Feb"/>
    <x v="3"/>
    <s v="449 Oak St"/>
    <x v="3"/>
    <x v="1"/>
    <n v="3"/>
    <n v="1320"/>
    <n v="179673"/>
    <n v="136.1159090909091"/>
  </r>
  <r>
    <x v="63"/>
    <s v="Jul"/>
    <x v="14"/>
    <s v="917 Maple Ave"/>
    <x v="2"/>
    <x v="0"/>
    <m/>
    <n v="2935"/>
    <n v="703635"/>
    <n v="239.73935264054515"/>
  </r>
  <r>
    <x v="1599"/>
    <s v="Apr"/>
    <x v="16"/>
    <s v="257 Pine Rd"/>
    <x v="3"/>
    <x v="2"/>
    <n v="4"/>
    <n v="2485"/>
    <n v="898026"/>
    <n v="361.37867203219315"/>
  </r>
  <r>
    <x v="1600"/>
    <s v="Jul"/>
    <x v="14"/>
    <s v="458 Pine Rd"/>
    <x v="2"/>
    <x v="1"/>
    <m/>
    <n v="2216"/>
    <n v="303655"/>
    <n v="137.02842960288808"/>
  </r>
  <r>
    <x v="427"/>
    <s v="Jun"/>
    <x v="3"/>
    <s v="853 Main St"/>
    <x v="0"/>
    <x v="1"/>
    <m/>
    <n v="1899"/>
    <n v="428473"/>
    <n v="225.63085834649814"/>
  </r>
  <r>
    <x v="1601"/>
    <s v="Jan"/>
    <x v="16"/>
    <s v="252 Elm St"/>
    <x v="3"/>
    <x v="2"/>
    <n v="3"/>
    <n v="2854"/>
    <n v="395345"/>
    <n v="138.52312543798178"/>
  </r>
  <r>
    <x v="1602"/>
    <s v="Apr"/>
    <x v="3"/>
    <s v="732 Main St"/>
    <x v="3"/>
    <x v="0"/>
    <n v="5"/>
    <n v="2449"/>
    <n v="762632"/>
    <n v="311.40547162106981"/>
  </r>
  <r>
    <x v="1603"/>
    <s v="Jan"/>
    <x v="13"/>
    <s v="190 Elm St"/>
    <x v="1"/>
    <x v="0"/>
    <m/>
    <n v="1539"/>
    <n v="871334"/>
    <n v="566.16894087069522"/>
  </r>
  <r>
    <x v="1604"/>
    <s v="May"/>
    <x v="8"/>
    <s v="913 Maple Ave"/>
    <x v="0"/>
    <x v="1"/>
    <n v="2"/>
    <n v="2119"/>
    <n v="157437"/>
    <n v="74.297781972628599"/>
  </r>
  <r>
    <x v="1605"/>
    <s v="Sep"/>
    <x v="18"/>
    <s v="882 Elm St"/>
    <x v="6"/>
    <x v="1"/>
    <n v="4"/>
    <n v="2814"/>
    <n v="758671"/>
    <n v="269.60589907604833"/>
  </r>
  <r>
    <x v="1606"/>
    <s v="Nov"/>
    <x v="2"/>
    <s v="131 Maple Ave"/>
    <x v="0"/>
    <x v="3"/>
    <m/>
    <n v="2548"/>
    <n v="569682"/>
    <n v="223.58006279434852"/>
  </r>
  <r>
    <x v="1607"/>
    <s v="Jul"/>
    <x v="17"/>
    <s v="211 Main St"/>
    <x v="4"/>
    <x v="0"/>
    <n v="4"/>
    <n v="1808"/>
    <n v="171750"/>
    <n v="94.994469026548671"/>
  </r>
  <r>
    <x v="1608"/>
    <s v="Apr"/>
    <x v="10"/>
    <s v="917 Maple Ave"/>
    <x v="6"/>
    <x v="3"/>
    <m/>
    <n v="2211"/>
    <n v="601803"/>
    <n v="272.18588873812752"/>
  </r>
  <r>
    <x v="1454"/>
    <s v="Jun"/>
    <x v="14"/>
    <s v="662 Maple Ave"/>
    <x v="4"/>
    <x v="1"/>
    <n v="3"/>
    <n v="1662"/>
    <n v="250357"/>
    <n v="150.63598074608905"/>
  </r>
  <r>
    <x v="69"/>
    <s v="May"/>
    <x v="12"/>
    <s v="612 Main St"/>
    <x v="2"/>
    <x v="1"/>
    <m/>
    <n v="1296"/>
    <n v="135054"/>
    <n v="104.20833333333333"/>
  </r>
  <r>
    <x v="1609"/>
    <s v="Sep"/>
    <x v="7"/>
    <s v="534 Maple Ave"/>
    <x v="6"/>
    <x v="0"/>
    <m/>
    <n v="2189"/>
    <n v="562220"/>
    <n v="256.83873915029693"/>
  </r>
  <r>
    <x v="1610"/>
    <s v="Jan"/>
    <x v="16"/>
    <s v="863 Main St"/>
    <x v="5"/>
    <x v="1"/>
    <n v="4"/>
    <n v="1893"/>
    <n v="372541"/>
    <n v="196.79926043317485"/>
  </r>
  <r>
    <x v="1611"/>
    <s v="Mar"/>
    <x v="16"/>
    <s v="907 Oak St"/>
    <x v="6"/>
    <x v="1"/>
    <n v="3"/>
    <n v="2334"/>
    <n v="444153"/>
    <n v="190.29691516709511"/>
  </r>
  <r>
    <x v="609"/>
    <s v="Mar"/>
    <x v="7"/>
    <s v="276 Main St"/>
    <x v="6"/>
    <x v="3"/>
    <n v="4"/>
    <n v="3121"/>
    <n v="321962"/>
    <n v="103.15988465235502"/>
  </r>
  <r>
    <x v="1612"/>
    <s v="Nov"/>
    <x v="8"/>
    <s v="319 Elm St"/>
    <x v="4"/>
    <x v="2"/>
    <n v="2"/>
    <n v="2300"/>
    <n v="662442"/>
    <n v="288.01826086956521"/>
  </r>
  <r>
    <x v="1613"/>
    <s v="Oct"/>
    <x v="19"/>
    <s v="234 Elm St"/>
    <x v="0"/>
    <x v="1"/>
    <n v="2"/>
    <n v="1470"/>
    <n v="839910"/>
    <n v="571.36734693877554"/>
  </r>
  <r>
    <x v="1614"/>
    <s v="Sep"/>
    <x v="13"/>
    <s v="747 Elm St"/>
    <x v="1"/>
    <x v="1"/>
    <n v="3"/>
    <n v="1401"/>
    <n v="727487"/>
    <n v="519.26266952177014"/>
  </r>
  <r>
    <x v="1615"/>
    <s v="Nov"/>
    <x v="15"/>
    <s v="203 Elm St"/>
    <x v="0"/>
    <x v="2"/>
    <n v="3"/>
    <n v="2354"/>
    <n v="724506"/>
    <n v="307.77655055225148"/>
  </r>
  <r>
    <x v="1616"/>
    <s v="Aug"/>
    <x v="10"/>
    <s v="441 Elm St"/>
    <x v="2"/>
    <x v="3"/>
    <n v="3"/>
    <n v="2471"/>
    <n v="268651"/>
    <n v="108.72157021448807"/>
  </r>
  <r>
    <x v="1617"/>
    <s v="Jun"/>
    <x v="4"/>
    <s v="897 Maple Ave"/>
    <x v="4"/>
    <x v="0"/>
    <m/>
    <n v="2582"/>
    <n v="868094"/>
    <n v="336.20991479473275"/>
  </r>
  <r>
    <x v="1211"/>
    <s v="Dec"/>
    <x v="1"/>
    <s v="122 Maple Ave"/>
    <x v="0"/>
    <x v="1"/>
    <m/>
    <n v="1514"/>
    <n v="691499"/>
    <n v="456.73645970937912"/>
  </r>
  <r>
    <x v="1618"/>
    <s v="Sep"/>
    <x v="18"/>
    <s v="516 Maple Ave"/>
    <x v="3"/>
    <x v="0"/>
    <n v="3"/>
    <n v="3191"/>
    <n v="175200"/>
    <n v="54.904418677530558"/>
  </r>
  <r>
    <x v="1263"/>
    <s v="May"/>
    <x v="18"/>
    <s v="221 Elm St"/>
    <x v="4"/>
    <x v="1"/>
    <n v="3"/>
    <n v="2796"/>
    <n v="280420"/>
    <n v="100.29327610872676"/>
  </r>
  <r>
    <x v="1619"/>
    <s v="Aug"/>
    <x v="15"/>
    <s v="935 Maple Ave"/>
    <x v="4"/>
    <x v="2"/>
    <n v="5"/>
    <n v="1053"/>
    <n v="589631"/>
    <n v="559.95346628679965"/>
  </r>
  <r>
    <x v="1620"/>
    <s v="Sep"/>
    <x v="13"/>
    <s v="961 Pine Rd"/>
    <x v="6"/>
    <x v="3"/>
    <n v="4"/>
    <n v="957"/>
    <n v="151074"/>
    <n v="157.86206896551724"/>
  </r>
  <r>
    <x v="1621"/>
    <s v="Sep"/>
    <x v="9"/>
    <s v="311 Main St"/>
    <x v="6"/>
    <x v="2"/>
    <n v="5"/>
    <n v="2983"/>
    <n v="659032"/>
    <n v="220.92926583975864"/>
  </r>
  <r>
    <x v="1622"/>
    <s v="Feb"/>
    <x v="2"/>
    <s v="421 Elm St"/>
    <x v="5"/>
    <x v="0"/>
    <n v="5"/>
    <n v="2716"/>
    <n v="214431"/>
    <n v="78.951030927835049"/>
  </r>
  <r>
    <x v="1623"/>
    <s v="Oct"/>
    <x v="14"/>
    <s v="309 Pine Rd"/>
    <x v="0"/>
    <x v="2"/>
    <n v="3"/>
    <n v="3465"/>
    <n v="463273"/>
    <n v="133.7007215007215"/>
  </r>
  <r>
    <x v="566"/>
    <s v="May"/>
    <x v="18"/>
    <s v="546 Oak St"/>
    <x v="5"/>
    <x v="1"/>
    <n v="2"/>
    <n v="2775"/>
    <n v="543654"/>
    <n v="195.91135135135136"/>
  </r>
  <r>
    <x v="1624"/>
    <s v="Oct"/>
    <x v="19"/>
    <s v="211 Elm St"/>
    <x v="6"/>
    <x v="3"/>
    <n v="2"/>
    <n v="2579"/>
    <n v="770831"/>
    <n v="298.88755331523845"/>
  </r>
  <r>
    <x v="1625"/>
    <s v="Jun"/>
    <x v="3"/>
    <s v="302 Oak St"/>
    <x v="0"/>
    <x v="3"/>
    <n v="5"/>
    <n v="1988"/>
    <n v="143221"/>
    <n v="72.042756539235413"/>
  </r>
  <r>
    <x v="1626"/>
    <s v="Oct"/>
    <x v="4"/>
    <s v="609 Maple Ave"/>
    <x v="2"/>
    <x v="3"/>
    <m/>
    <n v="2108"/>
    <n v="586059"/>
    <n v="278.01660341555976"/>
  </r>
  <r>
    <x v="1627"/>
    <s v="Jun"/>
    <x v="16"/>
    <s v="279 Elm St"/>
    <x v="1"/>
    <x v="0"/>
    <m/>
    <n v="1774"/>
    <n v="290788"/>
    <n v="163.91657271702368"/>
  </r>
  <r>
    <x v="1628"/>
    <s v="Feb"/>
    <x v="8"/>
    <s v="994 Oak St"/>
    <x v="0"/>
    <x v="1"/>
    <n v="2"/>
    <n v="2489"/>
    <n v="578593"/>
    <n v="232.4600241060667"/>
  </r>
  <r>
    <x v="1629"/>
    <s v="Dec"/>
    <x v="2"/>
    <s v="873 Main St"/>
    <x v="4"/>
    <x v="3"/>
    <m/>
    <n v="1190"/>
    <n v="691048"/>
    <n v="580.71260504201678"/>
  </r>
  <r>
    <x v="1488"/>
    <s v="May"/>
    <x v="14"/>
    <s v="935 Pine Rd"/>
    <x v="5"/>
    <x v="1"/>
    <m/>
    <n v="2096"/>
    <n v="897795"/>
    <n v="428.33730916030532"/>
  </r>
  <r>
    <x v="1630"/>
    <s v="May"/>
    <x v="18"/>
    <s v="768 Main St"/>
    <x v="4"/>
    <x v="3"/>
    <m/>
    <n v="1412"/>
    <n v="221667"/>
    <n v="156.98796033994336"/>
  </r>
  <r>
    <x v="1631"/>
    <s v="Apr"/>
    <x v="12"/>
    <s v="398 Pine Rd"/>
    <x v="0"/>
    <x v="3"/>
    <n v="4"/>
    <n v="2701"/>
    <n v="380397"/>
    <n v="140.83561643835617"/>
  </r>
  <r>
    <x v="1632"/>
    <s v="Dec"/>
    <x v="10"/>
    <s v="730 Pine Rd"/>
    <x v="6"/>
    <x v="2"/>
    <n v="4"/>
    <n v="1306"/>
    <n v="383491"/>
    <n v="293.63782542113324"/>
  </r>
  <r>
    <x v="1633"/>
    <s v="Feb"/>
    <x v="14"/>
    <s v="957 Main St"/>
    <x v="4"/>
    <x v="2"/>
    <n v="2"/>
    <n v="3144"/>
    <n v="455612"/>
    <n v="144.9147582697201"/>
  </r>
  <r>
    <x v="214"/>
    <s v="Aug"/>
    <x v="11"/>
    <s v="956 Elm St"/>
    <x v="0"/>
    <x v="1"/>
    <n v="5"/>
    <n v="3157"/>
    <n v="239324"/>
    <n v="75.807412100095021"/>
  </r>
  <r>
    <x v="1634"/>
    <s v="Feb"/>
    <x v="12"/>
    <s v="192 Oak St"/>
    <x v="3"/>
    <x v="1"/>
    <n v="3"/>
    <n v="1120"/>
    <n v="734589"/>
    <n v="655.88303571428571"/>
  </r>
  <r>
    <x v="1043"/>
    <s v="Dec"/>
    <x v="4"/>
    <s v="174 Main St"/>
    <x v="3"/>
    <x v="2"/>
    <m/>
    <n v="2032"/>
    <n v="538702"/>
    <n v="265.10925196850394"/>
  </r>
  <r>
    <x v="1635"/>
    <s v="Jun"/>
    <x v="8"/>
    <s v="620 Main St"/>
    <x v="0"/>
    <x v="3"/>
    <n v="3"/>
    <n v="1003"/>
    <n v="674784"/>
    <n v="672.76570289132599"/>
  </r>
  <r>
    <x v="865"/>
    <s v="Jun"/>
    <x v="13"/>
    <s v="812 Main St"/>
    <x v="4"/>
    <x v="1"/>
    <n v="4"/>
    <n v="1925"/>
    <n v="159948"/>
    <n v="83.089870129870135"/>
  </r>
  <r>
    <x v="1610"/>
    <s v="Jan"/>
    <x v="16"/>
    <s v="939 Main St"/>
    <x v="0"/>
    <x v="1"/>
    <n v="4"/>
    <n v="3204"/>
    <n v="846575"/>
    <n v="264.22440699126093"/>
  </r>
  <r>
    <x v="1636"/>
    <s v="May"/>
    <x v="10"/>
    <s v="905 Oak St"/>
    <x v="0"/>
    <x v="1"/>
    <m/>
    <n v="2749"/>
    <n v="110242"/>
    <n v="40.102582757366314"/>
  </r>
  <r>
    <x v="1637"/>
    <s v="Dec"/>
    <x v="9"/>
    <s v="864 Pine Rd"/>
    <x v="3"/>
    <x v="1"/>
    <n v="5"/>
    <n v="2814"/>
    <n v="715898"/>
    <n v="254.40582800284292"/>
  </r>
  <r>
    <x v="1638"/>
    <s v="Jan"/>
    <x v="5"/>
    <s v="704 Pine Rd"/>
    <x v="0"/>
    <x v="1"/>
    <n v="3"/>
    <n v="3353"/>
    <n v="474917"/>
    <n v="141.63942737846705"/>
  </r>
  <r>
    <x v="1639"/>
    <s v="May"/>
    <x v="14"/>
    <s v="895 Elm St"/>
    <x v="4"/>
    <x v="3"/>
    <n v="3"/>
    <n v="1372"/>
    <n v="540954"/>
    <n v="394.2813411078717"/>
  </r>
  <r>
    <x v="1640"/>
    <s v="Oct"/>
    <x v="5"/>
    <s v="934 Pine Rd"/>
    <x v="2"/>
    <x v="1"/>
    <m/>
    <n v="1794"/>
    <n v="579879"/>
    <n v="323.23244147157192"/>
  </r>
  <r>
    <x v="1641"/>
    <s v="Dec"/>
    <x v="3"/>
    <s v="773 Pine Rd"/>
    <x v="5"/>
    <x v="2"/>
    <n v="3"/>
    <n v="3351"/>
    <n v="709546"/>
    <n v="211.74156968069232"/>
  </r>
  <r>
    <x v="1642"/>
    <s v="Dec"/>
    <x v="9"/>
    <s v="327 Oak St"/>
    <x v="1"/>
    <x v="3"/>
    <n v="3"/>
    <n v="1441"/>
    <n v="794167"/>
    <n v="551.12213740458014"/>
  </r>
  <r>
    <x v="720"/>
    <s v="Jul"/>
    <x v="15"/>
    <s v="271 Maple Ave"/>
    <x v="2"/>
    <x v="2"/>
    <m/>
    <n v="2097"/>
    <n v="395428"/>
    <n v="188.56843109203623"/>
  </r>
  <r>
    <x v="1643"/>
    <s v="Aug"/>
    <x v="0"/>
    <s v="119 Pine Rd"/>
    <x v="6"/>
    <x v="3"/>
    <m/>
    <n v="1855"/>
    <n v="898823"/>
    <n v="484.54070080862533"/>
  </r>
  <r>
    <x v="1644"/>
    <s v="Jan"/>
    <x v="15"/>
    <s v="699 Oak St"/>
    <x v="5"/>
    <x v="0"/>
    <m/>
    <n v="1742"/>
    <n v="823698"/>
    <n v="472.84615384615387"/>
  </r>
  <r>
    <x v="1645"/>
    <s v="Feb"/>
    <x v="5"/>
    <s v="229 Oak St"/>
    <x v="5"/>
    <x v="1"/>
    <n v="5"/>
    <n v="1185"/>
    <n v="747233"/>
    <n v="630.57637130801686"/>
  </r>
  <r>
    <x v="453"/>
    <s v="Sep"/>
    <x v="8"/>
    <s v="392 Elm St"/>
    <x v="5"/>
    <x v="2"/>
    <n v="3"/>
    <n v="3079"/>
    <n v="568644"/>
    <n v="184.68463786943812"/>
  </r>
  <r>
    <x v="1646"/>
    <s v="Jul"/>
    <x v="0"/>
    <s v="703 Oak St"/>
    <x v="4"/>
    <x v="0"/>
    <n v="3"/>
    <n v="2453"/>
    <n v="447169"/>
    <n v="182.29474113330616"/>
  </r>
  <r>
    <x v="1647"/>
    <s v="Aug"/>
    <x v="16"/>
    <s v="253 Main St"/>
    <x v="0"/>
    <x v="0"/>
    <n v="5"/>
    <n v="1411"/>
    <n v="606141"/>
    <n v="429.58256555634301"/>
  </r>
  <r>
    <x v="1648"/>
    <s v="Feb"/>
    <x v="2"/>
    <s v="935 Elm St"/>
    <x v="4"/>
    <x v="2"/>
    <n v="5"/>
    <n v="3473"/>
    <n v="230672"/>
    <n v="66.418658220558598"/>
  </r>
  <r>
    <x v="1649"/>
    <s v="Jun"/>
    <x v="13"/>
    <s v="469 Main St"/>
    <x v="4"/>
    <x v="0"/>
    <n v="2"/>
    <n v="2692"/>
    <n v="523859"/>
    <n v="194.59843982169392"/>
  </r>
  <r>
    <x v="925"/>
    <s v="Aug"/>
    <x v="13"/>
    <s v="796 Maple Ave"/>
    <x v="1"/>
    <x v="1"/>
    <n v="3"/>
    <n v="3000"/>
    <n v="184543"/>
    <n v="61.514333333333333"/>
  </r>
  <r>
    <x v="1650"/>
    <s v="Jul"/>
    <x v="2"/>
    <s v="891 Pine Rd"/>
    <x v="4"/>
    <x v="3"/>
    <n v="4"/>
    <n v="1096"/>
    <n v="568000"/>
    <n v="518.24817518248176"/>
  </r>
  <r>
    <x v="1651"/>
    <s v="May"/>
    <x v="6"/>
    <s v="647 Oak St"/>
    <x v="4"/>
    <x v="0"/>
    <n v="2"/>
    <n v="2174"/>
    <n v="895986"/>
    <n v="412.1370745170193"/>
  </r>
  <r>
    <x v="1652"/>
    <s v="Jul"/>
    <x v="4"/>
    <s v="830 Elm St"/>
    <x v="3"/>
    <x v="1"/>
    <n v="4"/>
    <n v="1442"/>
    <n v="116904"/>
    <n v="81.070735090152567"/>
  </r>
  <r>
    <x v="1653"/>
    <s v="Nov"/>
    <x v="15"/>
    <s v="538 Pine Rd"/>
    <x v="4"/>
    <x v="0"/>
    <m/>
    <n v="2530"/>
    <n v="117422"/>
    <n v="46.411857707509881"/>
  </r>
  <r>
    <x v="1654"/>
    <s v="Apr"/>
    <x v="19"/>
    <s v="427 Pine Rd"/>
    <x v="1"/>
    <x v="2"/>
    <n v="2"/>
    <n v="3001"/>
    <n v="394691"/>
    <n v="131.5198267244252"/>
  </r>
  <r>
    <x v="1655"/>
    <s v="Nov"/>
    <x v="16"/>
    <s v="506 Elm St"/>
    <x v="6"/>
    <x v="3"/>
    <m/>
    <n v="1486"/>
    <n v="803716"/>
    <n v="540.85868102288021"/>
  </r>
  <r>
    <x v="1656"/>
    <s v="Jul"/>
    <x v="4"/>
    <s v="671 Oak St"/>
    <x v="5"/>
    <x v="2"/>
    <m/>
    <n v="3364"/>
    <n v="258945"/>
    <n v="76.975326991676582"/>
  </r>
  <r>
    <x v="1657"/>
    <s v="Dec"/>
    <x v="13"/>
    <s v="941 Oak St"/>
    <x v="0"/>
    <x v="1"/>
    <n v="2"/>
    <n v="2088"/>
    <n v="624472"/>
    <n v="299.07662835249045"/>
  </r>
  <r>
    <x v="1658"/>
    <s v="Sep"/>
    <x v="1"/>
    <s v="422 Elm St"/>
    <x v="6"/>
    <x v="1"/>
    <n v="2"/>
    <n v="2825"/>
    <n v="634778"/>
    <n v="224.70017699115044"/>
  </r>
  <r>
    <x v="1659"/>
    <s v="Mar"/>
    <x v="19"/>
    <s v="860 Oak St"/>
    <x v="6"/>
    <x v="0"/>
    <n v="3"/>
    <n v="2658"/>
    <n v="834686"/>
    <n v="314.02784048156508"/>
  </r>
  <r>
    <x v="1660"/>
    <s v="Jan"/>
    <x v="1"/>
    <s v="159 Elm St"/>
    <x v="4"/>
    <x v="3"/>
    <n v="5"/>
    <n v="3125"/>
    <n v="784163"/>
    <n v="250.93216000000001"/>
  </r>
  <r>
    <x v="1661"/>
    <s v="Jan"/>
    <x v="8"/>
    <s v="255 Pine Rd"/>
    <x v="0"/>
    <x v="3"/>
    <n v="4"/>
    <n v="2994"/>
    <n v="557923"/>
    <n v="186.34702738810955"/>
  </r>
  <r>
    <x v="1662"/>
    <s v="Jan"/>
    <x v="18"/>
    <s v="615 Main St"/>
    <x v="2"/>
    <x v="3"/>
    <m/>
    <n v="1584"/>
    <n v="376445"/>
    <n v="237.65467171717171"/>
  </r>
  <r>
    <x v="1259"/>
    <s v="May"/>
    <x v="17"/>
    <s v="398 Main St"/>
    <x v="5"/>
    <x v="1"/>
    <m/>
    <n v="2746"/>
    <n v="659299"/>
    <n v="240.09431900946831"/>
  </r>
  <r>
    <x v="1663"/>
    <s v="Jan"/>
    <x v="8"/>
    <s v="526 Elm St"/>
    <x v="1"/>
    <x v="2"/>
    <n v="2"/>
    <n v="2296"/>
    <n v="864802"/>
    <n v="376.65592334494772"/>
  </r>
  <r>
    <x v="1664"/>
    <s v="Dec"/>
    <x v="6"/>
    <s v="521 Pine Rd"/>
    <x v="2"/>
    <x v="3"/>
    <n v="4"/>
    <n v="2022"/>
    <n v="389812"/>
    <n v="192.78536102868446"/>
  </r>
  <r>
    <x v="1665"/>
    <s v="Jan"/>
    <x v="17"/>
    <s v="665 Elm St"/>
    <x v="4"/>
    <x v="2"/>
    <m/>
    <n v="887"/>
    <n v="768123"/>
    <n v="865.97857948139801"/>
  </r>
  <r>
    <x v="1666"/>
    <s v="Feb"/>
    <x v="19"/>
    <s v="213 Main St"/>
    <x v="0"/>
    <x v="0"/>
    <n v="4"/>
    <n v="874"/>
    <n v="443348"/>
    <n v="507.26315789473682"/>
  </r>
  <r>
    <x v="1667"/>
    <s v="Dec"/>
    <x v="2"/>
    <s v="208 Maple Ave"/>
    <x v="4"/>
    <x v="1"/>
    <m/>
    <n v="1573"/>
    <m/>
    <n v="0"/>
  </r>
  <r>
    <x v="1668"/>
    <s v="Jul"/>
    <x v="9"/>
    <s v="307 Maple Ave"/>
    <x v="1"/>
    <x v="0"/>
    <n v="2"/>
    <n v="1240"/>
    <n v="769982"/>
    <n v="620.95322580645166"/>
  </r>
  <r>
    <x v="630"/>
    <s v="Apr"/>
    <x v="6"/>
    <s v="295 Maple Ave"/>
    <x v="6"/>
    <x v="0"/>
    <n v="3"/>
    <n v="2240"/>
    <n v="641073"/>
    <n v="286.19330357142854"/>
  </r>
  <r>
    <x v="1669"/>
    <s v="Dec"/>
    <x v="11"/>
    <s v="651 Main St"/>
    <x v="1"/>
    <x v="3"/>
    <n v="5"/>
    <n v="3267"/>
    <n v="257023"/>
    <n v="78.672482399755125"/>
  </r>
  <r>
    <x v="1635"/>
    <s v="Jun"/>
    <x v="8"/>
    <s v="432 Maple Ave"/>
    <x v="0"/>
    <x v="3"/>
    <n v="5"/>
    <n v="865"/>
    <n v="284413"/>
    <n v="328.80115606936414"/>
  </r>
  <r>
    <x v="1670"/>
    <s v="Oct"/>
    <x v="7"/>
    <s v="626 Oak St"/>
    <x v="0"/>
    <x v="3"/>
    <n v="4"/>
    <n v="2517"/>
    <n v="366393"/>
    <n v="145.56734207389749"/>
  </r>
  <r>
    <x v="469"/>
    <s v="Mar"/>
    <x v="4"/>
    <s v="849 Main St"/>
    <x v="2"/>
    <x v="2"/>
    <n v="2"/>
    <n v="1644"/>
    <n v="649794"/>
    <n v="395.25182481751824"/>
  </r>
  <r>
    <x v="1671"/>
    <s v="Nov"/>
    <x v="6"/>
    <s v="691 Elm St"/>
    <x v="0"/>
    <x v="3"/>
    <m/>
    <n v="1494"/>
    <n v="884111"/>
    <n v="591.77443105756356"/>
  </r>
  <r>
    <x v="1672"/>
    <s v="Mar"/>
    <x v="18"/>
    <s v="927 Oak St"/>
    <x v="0"/>
    <x v="3"/>
    <n v="5"/>
    <n v="1454"/>
    <n v="398044"/>
    <n v="273.75790921595598"/>
  </r>
  <r>
    <x v="1673"/>
    <s v="Apr"/>
    <x v="2"/>
    <s v="329 Oak St"/>
    <x v="6"/>
    <x v="0"/>
    <n v="4"/>
    <n v="885"/>
    <n v="892540"/>
    <n v="1008.5197740112994"/>
  </r>
  <r>
    <x v="1674"/>
    <s v="Feb"/>
    <x v="13"/>
    <s v="253 Pine Rd"/>
    <x v="6"/>
    <x v="1"/>
    <m/>
    <n v="3045"/>
    <n v="286888"/>
    <n v="94.216091954022986"/>
  </r>
  <r>
    <x v="1675"/>
    <s v="Nov"/>
    <x v="10"/>
    <s v="396 Maple Ave"/>
    <x v="2"/>
    <x v="2"/>
    <m/>
    <n v="2644"/>
    <n v="479541"/>
    <n v="181.36951588502268"/>
  </r>
  <r>
    <x v="1676"/>
    <s v="Dec"/>
    <x v="18"/>
    <s v="298 Main St"/>
    <x v="3"/>
    <x v="2"/>
    <m/>
    <n v="1378"/>
    <n v="305980"/>
    <n v="222.04644412191581"/>
  </r>
  <r>
    <x v="1288"/>
    <s v="Feb"/>
    <x v="14"/>
    <s v="767 Elm St"/>
    <x v="5"/>
    <x v="2"/>
    <n v="3"/>
    <n v="2083"/>
    <n v="201592"/>
    <n v="96.779644743158912"/>
  </r>
  <r>
    <x v="1677"/>
    <s v="Oct"/>
    <x v="16"/>
    <s v="428 Main St"/>
    <x v="2"/>
    <x v="3"/>
    <m/>
    <n v="867"/>
    <n v="790860"/>
    <n v="912.17993079584778"/>
  </r>
  <r>
    <x v="1678"/>
    <s v="Aug"/>
    <x v="17"/>
    <s v="413 Pine Rd"/>
    <x v="4"/>
    <x v="3"/>
    <m/>
    <n v="3202"/>
    <m/>
    <n v="0"/>
  </r>
  <r>
    <x v="1679"/>
    <s v="Mar"/>
    <x v="18"/>
    <s v="968 Oak St"/>
    <x v="1"/>
    <x v="2"/>
    <m/>
    <n v="2017"/>
    <n v="441316"/>
    <n v="218.79821517104611"/>
  </r>
  <r>
    <x v="1680"/>
    <s v="Jul"/>
    <x v="1"/>
    <s v="745 Oak St"/>
    <x v="1"/>
    <x v="0"/>
    <n v="4"/>
    <n v="2547"/>
    <n v="868891"/>
    <n v="341.14291323125246"/>
  </r>
  <r>
    <x v="1681"/>
    <s v="Jul"/>
    <x v="13"/>
    <s v="257 Pine Rd"/>
    <x v="1"/>
    <x v="1"/>
    <m/>
    <n v="1035"/>
    <n v="807423"/>
    <n v="780.1188405797102"/>
  </r>
  <r>
    <x v="810"/>
    <s v="Oct"/>
    <x v="1"/>
    <s v="371 Oak St"/>
    <x v="5"/>
    <x v="0"/>
    <m/>
    <n v="2124"/>
    <n v="401520"/>
    <n v="189.03954802259886"/>
  </r>
  <r>
    <x v="1512"/>
    <s v="Oct"/>
    <x v="1"/>
    <s v="322 Oak St"/>
    <x v="2"/>
    <x v="2"/>
    <n v="2"/>
    <n v="2251"/>
    <n v="857315"/>
    <n v="380.85961794757884"/>
  </r>
  <r>
    <x v="1682"/>
    <s v="Dec"/>
    <x v="2"/>
    <s v="332 Pine Rd"/>
    <x v="1"/>
    <x v="3"/>
    <m/>
    <n v="2991"/>
    <n v="256196"/>
    <n v="85.655633567368767"/>
  </r>
  <r>
    <x v="696"/>
    <s v="Jul"/>
    <x v="10"/>
    <s v="410 Elm St"/>
    <x v="1"/>
    <x v="1"/>
    <n v="2"/>
    <n v="2108"/>
    <n v="666859"/>
    <n v="316.34677419354841"/>
  </r>
  <r>
    <x v="1683"/>
    <s v="Oct"/>
    <x v="15"/>
    <s v="307 Elm St"/>
    <x v="6"/>
    <x v="0"/>
    <n v="2"/>
    <n v="2286"/>
    <n v="571093"/>
    <n v="249.82195975503063"/>
  </r>
  <r>
    <x v="1684"/>
    <s v="Sep"/>
    <x v="14"/>
    <s v="766 Main St"/>
    <x v="5"/>
    <x v="1"/>
    <n v="2"/>
    <n v="2057"/>
    <n v="539924"/>
    <n v="262.48128342245991"/>
  </r>
  <r>
    <x v="1685"/>
    <s v="Jan"/>
    <x v="15"/>
    <s v="553 Main St"/>
    <x v="0"/>
    <x v="3"/>
    <n v="2"/>
    <n v="1965"/>
    <n v="775605"/>
    <n v="394.70992366412213"/>
  </r>
  <r>
    <x v="1686"/>
    <s v="Sep"/>
    <x v="17"/>
    <s v="126 Main St"/>
    <x v="0"/>
    <x v="3"/>
    <m/>
    <n v="935"/>
    <n v="471550"/>
    <n v="504.33155080213902"/>
  </r>
  <r>
    <x v="1687"/>
    <s v="Dec"/>
    <x v="9"/>
    <s v="220 Elm St"/>
    <x v="0"/>
    <x v="2"/>
    <m/>
    <n v="3038"/>
    <n v="306664"/>
    <n v="100.94272547728769"/>
  </r>
  <r>
    <x v="1688"/>
    <s v="Feb"/>
    <x v="4"/>
    <s v="882 Pine Rd"/>
    <x v="6"/>
    <x v="3"/>
    <n v="5"/>
    <n v="3061"/>
    <n v="445258"/>
    <n v="145.46161385168244"/>
  </r>
  <r>
    <x v="1689"/>
    <s v="Jul"/>
    <x v="18"/>
    <s v="161 Maple Ave"/>
    <x v="0"/>
    <x v="1"/>
    <n v="2"/>
    <n v="1919"/>
    <n v="496945"/>
    <n v="258.96039603960395"/>
  </r>
  <r>
    <x v="1690"/>
    <s v="Jan"/>
    <x v="7"/>
    <s v="510 Elm St"/>
    <x v="0"/>
    <x v="2"/>
    <m/>
    <n v="3069"/>
    <n v="435860"/>
    <n v="142.02020202020202"/>
  </r>
  <r>
    <x v="1604"/>
    <s v="May"/>
    <x v="8"/>
    <s v="440 Elm St"/>
    <x v="2"/>
    <x v="3"/>
    <n v="3"/>
    <n v="1749"/>
    <n v="628486"/>
    <n v="359.34019439679815"/>
  </r>
  <r>
    <x v="1691"/>
    <s v="Mar"/>
    <x v="16"/>
    <s v="546 Pine Rd"/>
    <x v="0"/>
    <x v="2"/>
    <n v="4"/>
    <n v="3286"/>
    <n v="150091"/>
    <n v="45.67589774802191"/>
  </r>
  <r>
    <x v="1692"/>
    <s v="Jan"/>
    <x v="7"/>
    <s v="998 Maple Ave"/>
    <x v="6"/>
    <x v="0"/>
    <n v="2"/>
    <n v="2441"/>
    <n v="290003"/>
    <n v="118.80499795165916"/>
  </r>
  <r>
    <x v="1693"/>
    <s v="Aug"/>
    <x v="15"/>
    <s v="670 Elm St"/>
    <x v="0"/>
    <x v="3"/>
    <m/>
    <n v="1652"/>
    <n v="444295"/>
    <n v="268.94370460048424"/>
  </r>
  <r>
    <x v="437"/>
    <s v="Apr"/>
    <x v="2"/>
    <s v="411 Pine Rd"/>
    <x v="0"/>
    <x v="2"/>
    <m/>
    <n v="3185"/>
    <n v="399735"/>
    <n v="125.50549450549451"/>
  </r>
  <r>
    <x v="1694"/>
    <s v="Mar"/>
    <x v="17"/>
    <s v="287 Main St"/>
    <x v="5"/>
    <x v="1"/>
    <n v="4"/>
    <n v="2677"/>
    <n v="614309"/>
    <n v="229.47665296974225"/>
  </r>
  <r>
    <x v="1158"/>
    <s v="Jan"/>
    <x v="18"/>
    <s v="360 Maple Ave"/>
    <x v="4"/>
    <x v="2"/>
    <n v="3"/>
    <n v="3419"/>
    <n v="817069"/>
    <n v="238.97894121088038"/>
  </r>
  <r>
    <x v="1695"/>
    <s v="Feb"/>
    <x v="16"/>
    <s v="621 Oak St"/>
    <x v="6"/>
    <x v="2"/>
    <n v="2"/>
    <n v="1234"/>
    <n v="722256"/>
    <n v="585.2965964343598"/>
  </r>
  <r>
    <x v="1696"/>
    <s v="May"/>
    <x v="11"/>
    <s v="685 Elm St"/>
    <x v="0"/>
    <x v="0"/>
    <n v="5"/>
    <n v="1609"/>
    <n v="777249"/>
    <n v="483.06339341205717"/>
  </r>
  <r>
    <x v="1697"/>
    <s v="Aug"/>
    <x v="11"/>
    <s v="732 Oak St"/>
    <x v="2"/>
    <x v="0"/>
    <m/>
    <n v="2670"/>
    <n v="492453"/>
    <n v="184.43932584269663"/>
  </r>
  <r>
    <x v="526"/>
    <s v="Feb"/>
    <x v="15"/>
    <s v="191 Maple Ave"/>
    <x v="4"/>
    <x v="3"/>
    <n v="2"/>
    <n v="948"/>
    <n v="717791"/>
    <n v="757.16350210970461"/>
  </r>
  <r>
    <x v="1391"/>
    <s v="Dec"/>
    <x v="7"/>
    <s v="838 Oak St"/>
    <x v="6"/>
    <x v="2"/>
    <m/>
    <n v="2758"/>
    <n v="225193"/>
    <n v="81.650833937635966"/>
  </r>
  <r>
    <x v="1698"/>
    <s v="Jul"/>
    <x v="19"/>
    <s v="670 Elm St"/>
    <x v="4"/>
    <x v="1"/>
    <n v="5"/>
    <n v="1909"/>
    <n v="746374"/>
    <n v="390.97642744892613"/>
  </r>
  <r>
    <x v="1699"/>
    <s v="Jun"/>
    <x v="1"/>
    <s v="754 Main St"/>
    <x v="0"/>
    <x v="1"/>
    <n v="2"/>
    <n v="3307"/>
    <n v="375734"/>
    <n v="113.61778046567886"/>
  </r>
  <r>
    <x v="1700"/>
    <s v="Jul"/>
    <x v="13"/>
    <s v="631 Main St"/>
    <x v="0"/>
    <x v="2"/>
    <n v="3"/>
    <n v="1059"/>
    <n v="606095"/>
    <n v="572.32766761095377"/>
  </r>
  <r>
    <x v="755"/>
    <s v="Jul"/>
    <x v="15"/>
    <s v="182 Maple Ave"/>
    <x v="2"/>
    <x v="3"/>
    <m/>
    <n v="2892"/>
    <n v="660804"/>
    <n v="228.49377593360995"/>
  </r>
  <r>
    <x v="1701"/>
    <s v="Nov"/>
    <x v="8"/>
    <s v="844 Elm St"/>
    <x v="2"/>
    <x v="1"/>
    <n v="4"/>
    <n v="1652"/>
    <n v="377046"/>
    <n v="228.2360774818402"/>
  </r>
  <r>
    <x v="896"/>
    <s v="Apr"/>
    <x v="1"/>
    <s v="669 Elm St"/>
    <x v="2"/>
    <x v="2"/>
    <n v="2"/>
    <n v="840"/>
    <n v="590835"/>
    <n v="703.375"/>
  </r>
  <r>
    <x v="1702"/>
    <s v="Mar"/>
    <x v="9"/>
    <s v="309 Oak St"/>
    <x v="4"/>
    <x v="2"/>
    <n v="4"/>
    <n v="811"/>
    <n v="824293"/>
    <n v="1016.3908754623922"/>
  </r>
  <r>
    <x v="1703"/>
    <s v="Oct"/>
    <x v="19"/>
    <s v="223 Oak St"/>
    <x v="4"/>
    <x v="1"/>
    <n v="2"/>
    <n v="2655"/>
    <n v="414364"/>
    <n v="156.06930320150659"/>
  </r>
  <r>
    <x v="1704"/>
    <s v="Nov"/>
    <x v="6"/>
    <s v="466 Maple Ave"/>
    <x v="0"/>
    <x v="1"/>
    <m/>
    <n v="2466"/>
    <n v="533843"/>
    <n v="216.48134630981346"/>
  </r>
  <r>
    <x v="1705"/>
    <s v="Oct"/>
    <x v="2"/>
    <s v="642 Oak St"/>
    <x v="6"/>
    <x v="0"/>
    <n v="4"/>
    <n v="2267"/>
    <n v="829520"/>
    <n v="365.91089545655052"/>
  </r>
  <r>
    <x v="124"/>
    <s v="Jan"/>
    <x v="11"/>
    <s v="533 Pine Rd"/>
    <x v="3"/>
    <x v="0"/>
    <n v="3"/>
    <n v="1045"/>
    <n v="326139"/>
    <n v="312.09473684210525"/>
  </r>
  <r>
    <x v="1706"/>
    <s v="Dec"/>
    <x v="16"/>
    <s v="502 Pine Rd"/>
    <x v="6"/>
    <x v="3"/>
    <m/>
    <n v="897"/>
    <n v="310809"/>
    <n v="346.49832775919731"/>
  </r>
  <r>
    <x v="70"/>
    <s v="Dec"/>
    <x v="2"/>
    <s v="336 Pine Rd"/>
    <x v="4"/>
    <x v="2"/>
    <n v="5"/>
    <n v="1645"/>
    <n v="193700"/>
    <n v="117.75075987841946"/>
  </r>
  <r>
    <x v="1707"/>
    <s v="Nov"/>
    <x v="11"/>
    <s v="856 Main St"/>
    <x v="2"/>
    <x v="3"/>
    <n v="4"/>
    <n v="2116"/>
    <n v="826545"/>
    <n v="390.61672967863893"/>
  </r>
  <r>
    <x v="1708"/>
    <s v="Aug"/>
    <x v="8"/>
    <s v="514 Main St"/>
    <x v="5"/>
    <x v="0"/>
    <n v="2"/>
    <n v="1462"/>
    <n v="879032"/>
    <n v="601.25307797537619"/>
  </r>
  <r>
    <x v="1709"/>
    <s v="Nov"/>
    <x v="5"/>
    <s v="808 Main St"/>
    <x v="3"/>
    <x v="2"/>
    <m/>
    <n v="3285"/>
    <n v="366265"/>
    <n v="111.49619482496195"/>
  </r>
  <r>
    <x v="1710"/>
    <s v="Apr"/>
    <x v="0"/>
    <s v="721 Oak St"/>
    <x v="4"/>
    <x v="1"/>
    <n v="4"/>
    <n v="880"/>
    <n v="347695"/>
    <n v="395.10795454545456"/>
  </r>
  <r>
    <x v="1487"/>
    <s v="Aug"/>
    <x v="9"/>
    <s v="648 Oak St"/>
    <x v="0"/>
    <x v="2"/>
    <n v="3"/>
    <n v="2903"/>
    <n v="316062"/>
    <n v="108.87426799862212"/>
  </r>
  <r>
    <x v="861"/>
    <s v="Jun"/>
    <x v="11"/>
    <s v="977 Main St"/>
    <x v="6"/>
    <x v="2"/>
    <n v="4"/>
    <n v="3430"/>
    <n v="843001"/>
    <n v="245.77288629737609"/>
  </r>
  <r>
    <x v="1711"/>
    <s v="Jan"/>
    <x v="0"/>
    <s v="239 Oak St"/>
    <x v="0"/>
    <x v="1"/>
    <n v="5"/>
    <n v="3230"/>
    <n v="216004"/>
    <n v="66.874303405572761"/>
  </r>
  <r>
    <x v="1712"/>
    <s v="Mar"/>
    <x v="0"/>
    <s v="103 Pine Rd"/>
    <x v="6"/>
    <x v="0"/>
    <n v="5"/>
    <n v="3265"/>
    <n v="165874"/>
    <n v="50.803675344563551"/>
  </r>
  <r>
    <x v="741"/>
    <s v="Jun"/>
    <x v="1"/>
    <s v="546 Elm St"/>
    <x v="4"/>
    <x v="0"/>
    <m/>
    <n v="1786"/>
    <n v="300940"/>
    <n v="168.49944008958568"/>
  </r>
  <r>
    <x v="1713"/>
    <s v="Sep"/>
    <x v="4"/>
    <s v="349 Pine Rd"/>
    <x v="6"/>
    <x v="2"/>
    <n v="4"/>
    <n v="2754"/>
    <n v="889775"/>
    <n v="323.08460421205518"/>
  </r>
  <r>
    <x v="1714"/>
    <s v="Feb"/>
    <x v="12"/>
    <s v="741 Maple Ave"/>
    <x v="4"/>
    <x v="1"/>
    <n v="4"/>
    <n v="1652"/>
    <n v="154373"/>
    <n v="93.446125907990321"/>
  </r>
  <r>
    <x v="1434"/>
    <s v="Sep"/>
    <x v="17"/>
    <s v="405 Maple Ave"/>
    <x v="4"/>
    <x v="3"/>
    <m/>
    <n v="2903"/>
    <n v="775316"/>
    <n v="267.0740613158801"/>
  </r>
  <r>
    <x v="1715"/>
    <s v="Mar"/>
    <x v="0"/>
    <s v="134 Oak St"/>
    <x v="6"/>
    <x v="3"/>
    <n v="3"/>
    <n v="2432"/>
    <n v="579329"/>
    <n v="238.2109375"/>
  </r>
  <r>
    <x v="1716"/>
    <s v="Dec"/>
    <x v="14"/>
    <s v="371 Oak St"/>
    <x v="1"/>
    <x v="3"/>
    <n v="3"/>
    <n v="3148"/>
    <n v="818861"/>
    <n v="260.1210292249047"/>
  </r>
  <r>
    <x v="1717"/>
    <s v="Feb"/>
    <x v="5"/>
    <s v="256 Oak St"/>
    <x v="4"/>
    <x v="2"/>
    <n v="4"/>
    <n v="1388"/>
    <n v="194892"/>
    <n v="140.41210374639769"/>
  </r>
  <r>
    <x v="1718"/>
    <s v="Sep"/>
    <x v="2"/>
    <s v="356 Main St"/>
    <x v="4"/>
    <x v="0"/>
    <n v="2"/>
    <n v="1045"/>
    <n v="478699"/>
    <n v="458.08516746411482"/>
  </r>
  <r>
    <x v="1719"/>
    <s v="Nov"/>
    <x v="7"/>
    <s v="978 Oak St"/>
    <x v="1"/>
    <x v="2"/>
    <n v="3"/>
    <n v="2257"/>
    <n v="559247"/>
    <n v="247.78334071776695"/>
  </r>
  <r>
    <x v="1720"/>
    <s v="Jul"/>
    <x v="0"/>
    <s v="316 Pine Rd"/>
    <x v="6"/>
    <x v="3"/>
    <n v="3"/>
    <n v="3416"/>
    <n v="747620"/>
    <n v="218.85831381733021"/>
  </r>
  <r>
    <x v="1135"/>
    <s v="Oct"/>
    <x v="2"/>
    <s v="880 Oak St"/>
    <x v="5"/>
    <x v="1"/>
    <m/>
    <n v="2952"/>
    <n v="156287"/>
    <n v="52.942750677506773"/>
  </r>
  <r>
    <x v="476"/>
    <s v="Jun"/>
    <x v="2"/>
    <s v="453 Maple Ave"/>
    <x v="5"/>
    <x v="0"/>
    <n v="5"/>
    <n v="2722"/>
    <n v="705674"/>
    <n v="259.24834680382071"/>
  </r>
  <r>
    <x v="1053"/>
    <s v="Feb"/>
    <x v="10"/>
    <s v="607 Pine Rd"/>
    <x v="0"/>
    <x v="3"/>
    <n v="3"/>
    <n v="2881"/>
    <m/>
    <n v="0"/>
  </r>
  <r>
    <x v="585"/>
    <s v="Feb"/>
    <x v="7"/>
    <s v="631 Pine Rd"/>
    <x v="4"/>
    <x v="2"/>
    <n v="4"/>
    <n v="2249"/>
    <n v="502004"/>
    <n v="223.21209426411738"/>
  </r>
  <r>
    <x v="1721"/>
    <s v="Apr"/>
    <x v="14"/>
    <s v="131 Maple Ave"/>
    <x v="5"/>
    <x v="2"/>
    <m/>
    <n v="2966"/>
    <n v="528281"/>
    <n v="178.1122724207687"/>
  </r>
  <r>
    <x v="1722"/>
    <s v="Dec"/>
    <x v="7"/>
    <s v="886 Elm St"/>
    <x v="1"/>
    <x v="3"/>
    <n v="4"/>
    <n v="2686"/>
    <n v="338688"/>
    <n v="126.09381980640357"/>
  </r>
  <r>
    <x v="1723"/>
    <s v="Mar"/>
    <x v="13"/>
    <s v="173 Maple Ave"/>
    <x v="6"/>
    <x v="3"/>
    <n v="4"/>
    <n v="2229"/>
    <n v="858747"/>
    <n v="385.26110363391655"/>
  </r>
  <r>
    <x v="1724"/>
    <s v="Nov"/>
    <x v="12"/>
    <s v="933 Maple Ave"/>
    <x v="0"/>
    <x v="1"/>
    <m/>
    <n v="1530"/>
    <n v="688044"/>
    <n v="449.70196078431371"/>
  </r>
  <r>
    <x v="1725"/>
    <s v="Aug"/>
    <x v="2"/>
    <s v="560 Pine Rd"/>
    <x v="2"/>
    <x v="2"/>
    <n v="5"/>
    <n v="3381"/>
    <n v="734722"/>
    <n v="217.30908015380066"/>
  </r>
  <r>
    <x v="299"/>
    <s v="Mar"/>
    <x v="15"/>
    <s v="154 Elm St"/>
    <x v="5"/>
    <x v="1"/>
    <n v="5"/>
    <n v="2589"/>
    <n v="694033"/>
    <n v="268.06991116261105"/>
  </r>
  <r>
    <x v="1726"/>
    <s v="Jan"/>
    <x v="14"/>
    <s v="676 Oak St"/>
    <x v="4"/>
    <x v="0"/>
    <n v="2"/>
    <n v="2781"/>
    <n v="138655"/>
    <n v="49.85796476087738"/>
  </r>
  <r>
    <x v="1727"/>
    <s v="Jul"/>
    <x v="8"/>
    <s v="484 Main St"/>
    <x v="2"/>
    <x v="1"/>
    <n v="5"/>
    <n v="3169"/>
    <n v="243120"/>
    <n v="76.718207636478382"/>
  </r>
  <r>
    <x v="1728"/>
    <s v="Dec"/>
    <x v="10"/>
    <s v="508 Maple Ave"/>
    <x v="2"/>
    <x v="1"/>
    <m/>
    <n v="2283"/>
    <n v="650530"/>
    <n v="284.94524748138417"/>
  </r>
  <r>
    <x v="1729"/>
    <s v="Oct"/>
    <x v="18"/>
    <s v="229 Maple Ave"/>
    <x v="0"/>
    <x v="0"/>
    <m/>
    <n v="2810"/>
    <n v="483846"/>
    <n v="172.18718861209965"/>
  </r>
  <r>
    <x v="1730"/>
    <s v="Jul"/>
    <x v="14"/>
    <s v="881 Oak St"/>
    <x v="0"/>
    <x v="2"/>
    <n v="4"/>
    <n v="1513"/>
    <n v="430879"/>
    <n v="284.78453403833441"/>
  </r>
  <r>
    <x v="1636"/>
    <s v="May"/>
    <x v="10"/>
    <s v="367 Maple Ave"/>
    <x v="5"/>
    <x v="3"/>
    <m/>
    <n v="2340"/>
    <n v="368411"/>
    <n v="157.4405982905983"/>
  </r>
  <r>
    <x v="1731"/>
    <s v="Sep"/>
    <x v="13"/>
    <s v="393 Pine Rd"/>
    <x v="4"/>
    <x v="0"/>
    <n v="3"/>
    <n v="2489"/>
    <n v="394320"/>
    <n v="158.42507030936119"/>
  </r>
  <r>
    <x v="1732"/>
    <s v="May"/>
    <x v="3"/>
    <s v="840 Oak St"/>
    <x v="6"/>
    <x v="0"/>
    <m/>
    <n v="2705"/>
    <n v="449817"/>
    <n v="166.29094269870609"/>
  </r>
  <r>
    <x v="1733"/>
    <s v="Jan"/>
    <x v="19"/>
    <s v="616 Maple Ave"/>
    <x v="0"/>
    <x v="3"/>
    <m/>
    <n v="2861"/>
    <n v="323649"/>
    <n v="113.12443201677735"/>
  </r>
  <r>
    <x v="1734"/>
    <s v="Apr"/>
    <x v="18"/>
    <s v="650 Oak St"/>
    <x v="0"/>
    <x v="3"/>
    <n v="2"/>
    <n v="2119"/>
    <n v="166281"/>
    <n v="78.471448796602175"/>
  </r>
  <r>
    <x v="620"/>
    <s v="Aug"/>
    <x v="19"/>
    <s v="957 Main St"/>
    <x v="4"/>
    <x v="2"/>
    <n v="4"/>
    <n v="3297"/>
    <n v="704032"/>
    <n v="213.53715498938428"/>
  </r>
  <r>
    <x v="1735"/>
    <s v="Aug"/>
    <x v="14"/>
    <s v="998 Oak St"/>
    <x v="5"/>
    <x v="0"/>
    <n v="2"/>
    <n v="1378"/>
    <n v="419522"/>
    <n v="304.44267053701014"/>
  </r>
  <r>
    <x v="123"/>
    <s v="Jul"/>
    <x v="0"/>
    <s v="721 Elm St"/>
    <x v="3"/>
    <x v="2"/>
    <n v="5"/>
    <n v="1480"/>
    <n v="766704"/>
    <n v="518.0432432432433"/>
  </r>
  <r>
    <x v="1736"/>
    <s v="Mar"/>
    <x v="6"/>
    <s v="376 Elm St"/>
    <x v="0"/>
    <x v="0"/>
    <m/>
    <n v="2925"/>
    <n v="322195"/>
    <n v="110.15213675213676"/>
  </r>
  <r>
    <x v="1737"/>
    <s v="Feb"/>
    <x v="10"/>
    <s v="693 Pine Rd"/>
    <x v="1"/>
    <x v="3"/>
    <n v="5"/>
    <n v="2008"/>
    <n v="474198"/>
    <n v="236.15438247011951"/>
  </r>
  <r>
    <x v="364"/>
    <s v="Jul"/>
    <x v="6"/>
    <s v="781 Maple Ave"/>
    <x v="0"/>
    <x v="2"/>
    <m/>
    <n v="2507"/>
    <n v="586292"/>
    <n v="233.86198643797368"/>
  </r>
  <r>
    <x v="1738"/>
    <s v="Apr"/>
    <x v="8"/>
    <s v="167 Main St"/>
    <x v="1"/>
    <x v="3"/>
    <m/>
    <n v="2926"/>
    <n v="449402"/>
    <n v="153.5892002734108"/>
  </r>
  <r>
    <x v="1739"/>
    <s v="Apr"/>
    <x v="18"/>
    <s v="114 Pine Rd"/>
    <x v="2"/>
    <x v="1"/>
    <m/>
    <n v="2727"/>
    <n v="110870"/>
    <n v="40.656398973230658"/>
  </r>
  <r>
    <x v="1740"/>
    <s v="May"/>
    <x v="18"/>
    <s v="133 Pine Rd"/>
    <x v="2"/>
    <x v="3"/>
    <m/>
    <n v="2224"/>
    <n v="341280"/>
    <n v="153.45323741007195"/>
  </r>
  <r>
    <x v="386"/>
    <s v="Jul"/>
    <x v="6"/>
    <s v="304 Oak St"/>
    <x v="4"/>
    <x v="3"/>
    <n v="3"/>
    <n v="1400"/>
    <n v="108971"/>
    <n v="77.83642857142857"/>
  </r>
  <r>
    <x v="1741"/>
    <s v="Jul"/>
    <x v="10"/>
    <s v="599 Pine Rd"/>
    <x v="0"/>
    <x v="3"/>
    <m/>
    <n v="3389"/>
    <n v="726082"/>
    <n v="214.24668043670698"/>
  </r>
  <r>
    <x v="107"/>
    <s v="Mar"/>
    <x v="18"/>
    <s v="266 Oak St"/>
    <x v="5"/>
    <x v="0"/>
    <n v="2"/>
    <n v="2121"/>
    <n v="327125"/>
    <n v="154.23149457802924"/>
  </r>
  <r>
    <x v="1742"/>
    <s v="Apr"/>
    <x v="7"/>
    <s v="275 Oak St"/>
    <x v="0"/>
    <x v="0"/>
    <n v="2"/>
    <n v="1180"/>
    <n v="808470"/>
    <n v="685.14406779661022"/>
  </r>
  <r>
    <x v="1743"/>
    <s v="Oct"/>
    <x v="17"/>
    <s v="295 Oak St"/>
    <x v="6"/>
    <x v="3"/>
    <m/>
    <n v="1621"/>
    <n v="629235"/>
    <n v="388.17705120296114"/>
  </r>
  <r>
    <x v="1744"/>
    <s v="Aug"/>
    <x v="4"/>
    <s v="280 Maple Ave"/>
    <x v="0"/>
    <x v="2"/>
    <n v="4"/>
    <n v="2737"/>
    <n v="583828"/>
    <n v="213.30946291560102"/>
  </r>
  <r>
    <x v="1745"/>
    <s v="Mar"/>
    <x v="18"/>
    <s v="406 Pine Rd"/>
    <x v="0"/>
    <x v="3"/>
    <n v="3"/>
    <n v="2697"/>
    <n v="122603"/>
    <n v="45.459028550241008"/>
  </r>
  <r>
    <x v="1746"/>
    <s v="May"/>
    <x v="9"/>
    <s v="452 Oak St"/>
    <x v="1"/>
    <x v="3"/>
    <n v="3"/>
    <n v="2315"/>
    <n v="815208"/>
    <n v="352.14168466522676"/>
  </r>
  <r>
    <x v="664"/>
    <s v="Mar"/>
    <x v="17"/>
    <s v="772 Maple Ave"/>
    <x v="4"/>
    <x v="2"/>
    <n v="3"/>
    <n v="1553"/>
    <n v="142555"/>
    <n v="91.793303283966523"/>
  </r>
  <r>
    <x v="1747"/>
    <s v="Dec"/>
    <x v="3"/>
    <s v="148 Maple Ave"/>
    <x v="3"/>
    <x v="0"/>
    <n v="3"/>
    <n v="3076"/>
    <n v="614519"/>
    <n v="199.77860858257478"/>
  </r>
  <r>
    <x v="1748"/>
    <s v="Feb"/>
    <x v="11"/>
    <s v="619 Maple Ave"/>
    <x v="6"/>
    <x v="2"/>
    <n v="2"/>
    <n v="3268"/>
    <n v="354595"/>
    <n v="108.50520195838433"/>
  </r>
  <r>
    <x v="1749"/>
    <s v="May"/>
    <x v="13"/>
    <s v="953 Main St"/>
    <x v="6"/>
    <x v="0"/>
    <m/>
    <n v="2741"/>
    <n v="176115"/>
    <n v="64.252097774534846"/>
  </r>
  <r>
    <x v="1750"/>
    <s v="Feb"/>
    <x v="18"/>
    <s v="274 Oak St"/>
    <x v="6"/>
    <x v="3"/>
    <n v="3"/>
    <n v="1359"/>
    <n v="262827"/>
    <n v="193.39735099337747"/>
  </r>
  <r>
    <x v="1751"/>
    <s v="Jun"/>
    <x v="3"/>
    <s v="928 Main St"/>
    <x v="4"/>
    <x v="3"/>
    <m/>
    <n v="2942"/>
    <n v="844437"/>
    <n v="287.02821210061182"/>
  </r>
  <r>
    <x v="1132"/>
    <s v="May"/>
    <x v="5"/>
    <s v="419 Maple Ave"/>
    <x v="6"/>
    <x v="3"/>
    <n v="2"/>
    <n v="2820"/>
    <n v="261050"/>
    <n v="92.570921985815602"/>
  </r>
  <r>
    <x v="1752"/>
    <s v="Mar"/>
    <x v="16"/>
    <s v="881 Elm St"/>
    <x v="6"/>
    <x v="3"/>
    <n v="2"/>
    <n v="1862"/>
    <n v="216361"/>
    <n v="116.19817400644469"/>
  </r>
  <r>
    <x v="97"/>
    <s v="Nov"/>
    <x v="1"/>
    <s v="274 Elm St"/>
    <x v="0"/>
    <x v="1"/>
    <n v="2"/>
    <n v="3140"/>
    <n v="772474"/>
    <n v="246.01082802547771"/>
  </r>
  <r>
    <x v="1753"/>
    <s v="Mar"/>
    <x v="19"/>
    <s v="260 Oak St"/>
    <x v="5"/>
    <x v="3"/>
    <n v="4"/>
    <n v="1965"/>
    <n v="666903"/>
    <n v="339.39083969465651"/>
  </r>
  <r>
    <x v="1223"/>
    <s v="Dec"/>
    <x v="10"/>
    <s v="120 Elm St"/>
    <x v="6"/>
    <x v="3"/>
    <n v="2"/>
    <n v="1178"/>
    <n v="686405"/>
    <n v="582.68675721561965"/>
  </r>
  <r>
    <x v="1540"/>
    <s v="Aug"/>
    <x v="15"/>
    <s v="705 Maple Ave"/>
    <x v="0"/>
    <x v="3"/>
    <n v="4"/>
    <n v="1411"/>
    <n v="117882"/>
    <n v="83.545003543586105"/>
  </r>
  <r>
    <x v="1754"/>
    <s v="Jun"/>
    <x v="9"/>
    <s v="768 Maple Ave"/>
    <x v="6"/>
    <x v="0"/>
    <n v="3"/>
    <n v="2039"/>
    <n v="123542"/>
    <n v="60.589504659146641"/>
  </r>
  <r>
    <x v="1755"/>
    <s v="Feb"/>
    <x v="10"/>
    <s v="565 Oak St"/>
    <x v="4"/>
    <x v="1"/>
    <m/>
    <n v="2649"/>
    <n v="688562"/>
    <n v="259.9328048320121"/>
  </r>
  <r>
    <x v="1756"/>
    <s v="Feb"/>
    <x v="17"/>
    <s v="684 Main St"/>
    <x v="0"/>
    <x v="1"/>
    <n v="2"/>
    <n v="928"/>
    <n v="152576"/>
    <n v="164.41379310344828"/>
  </r>
  <r>
    <x v="832"/>
    <s v="Sep"/>
    <x v="6"/>
    <s v="974 Maple Ave"/>
    <x v="6"/>
    <x v="2"/>
    <n v="4"/>
    <n v="3288"/>
    <n v="402699"/>
    <n v="122.47536496350365"/>
  </r>
  <r>
    <x v="1757"/>
    <s v="Aug"/>
    <x v="12"/>
    <s v="887 Pine Rd"/>
    <x v="1"/>
    <x v="2"/>
    <m/>
    <n v="2783"/>
    <n v="360873"/>
    <n v="129.67049946101329"/>
  </r>
  <r>
    <x v="1118"/>
    <s v="Sep"/>
    <x v="10"/>
    <s v="561 Oak St"/>
    <x v="4"/>
    <x v="1"/>
    <m/>
    <n v="1535"/>
    <n v="127340"/>
    <n v="82.957654723127035"/>
  </r>
  <r>
    <x v="1758"/>
    <s v="Aug"/>
    <x v="6"/>
    <s v="916 Oak St"/>
    <x v="2"/>
    <x v="0"/>
    <m/>
    <n v="2692"/>
    <n v="164969"/>
    <n v="61.281203566121846"/>
  </r>
  <r>
    <x v="1759"/>
    <s v="Jul"/>
    <x v="10"/>
    <s v="570 Oak St"/>
    <x v="5"/>
    <x v="2"/>
    <m/>
    <n v="3221"/>
    <n v="107667"/>
    <n v="33.426575597640486"/>
  </r>
  <r>
    <x v="1760"/>
    <s v="Oct"/>
    <x v="8"/>
    <s v="212 Pine Rd"/>
    <x v="4"/>
    <x v="3"/>
    <n v="4"/>
    <n v="1868"/>
    <n v="837301"/>
    <n v="448.23394004282653"/>
  </r>
  <r>
    <x v="1761"/>
    <s v="Jun"/>
    <x v="9"/>
    <s v="459 Maple Ave"/>
    <x v="6"/>
    <x v="3"/>
    <n v="4"/>
    <n v="2755"/>
    <n v="346578"/>
    <n v="125.79963702359346"/>
  </r>
  <r>
    <x v="1762"/>
    <s v="Sep"/>
    <x v="2"/>
    <s v="934 Oak St"/>
    <x v="0"/>
    <x v="1"/>
    <n v="3"/>
    <n v="1295"/>
    <n v="822806"/>
    <n v="635.37142857142862"/>
  </r>
  <r>
    <x v="588"/>
    <s v="Apr"/>
    <x v="7"/>
    <s v="626 Maple Ave"/>
    <x v="5"/>
    <x v="1"/>
    <n v="3"/>
    <n v="3393"/>
    <n v="776898"/>
    <n v="228.9708222811671"/>
  </r>
  <r>
    <x v="1763"/>
    <s v="Jul"/>
    <x v="1"/>
    <s v="584 Maple Ave"/>
    <x v="3"/>
    <x v="0"/>
    <m/>
    <n v="1804"/>
    <n v="345906"/>
    <n v="191.7439024390244"/>
  </r>
  <r>
    <x v="1764"/>
    <s v="Mar"/>
    <x v="16"/>
    <s v="174 Elm St"/>
    <x v="4"/>
    <x v="0"/>
    <n v="2"/>
    <n v="2229"/>
    <n v="776996"/>
    <n v="348.58501570210859"/>
  </r>
  <r>
    <x v="1765"/>
    <s v="Oct"/>
    <x v="16"/>
    <s v="451 Main St"/>
    <x v="0"/>
    <x v="2"/>
    <n v="2"/>
    <n v="1213"/>
    <n v="795843"/>
    <n v="656.09480626545758"/>
  </r>
  <r>
    <x v="1766"/>
    <s v="Jun"/>
    <x v="18"/>
    <s v="196 Maple Ave"/>
    <x v="2"/>
    <x v="1"/>
    <n v="4"/>
    <n v="1805"/>
    <n v="557505"/>
    <n v="308.86703601108036"/>
  </r>
  <r>
    <x v="1767"/>
    <s v="Jul"/>
    <x v="18"/>
    <s v="846 Pine Rd"/>
    <x v="1"/>
    <x v="1"/>
    <n v="4"/>
    <n v="2840"/>
    <n v="297629"/>
    <n v="104.79894366197183"/>
  </r>
  <r>
    <x v="1768"/>
    <s v="Jun"/>
    <x v="16"/>
    <s v="126 Main St"/>
    <x v="0"/>
    <x v="1"/>
    <n v="5"/>
    <n v="1659"/>
    <n v="833629"/>
    <n v="502.48884870403856"/>
  </r>
  <r>
    <x v="952"/>
    <s v="Nov"/>
    <x v="19"/>
    <s v="268 Elm St"/>
    <x v="6"/>
    <x v="1"/>
    <n v="4"/>
    <n v="1449"/>
    <n v="124581"/>
    <n v="85.97722567287785"/>
  </r>
  <r>
    <x v="1769"/>
    <s v="Mar"/>
    <x v="1"/>
    <s v="621 Main St"/>
    <x v="0"/>
    <x v="3"/>
    <n v="2"/>
    <n v="2369"/>
    <n v="440937"/>
    <n v="186.12790206838329"/>
  </r>
  <r>
    <x v="900"/>
    <s v="Feb"/>
    <x v="8"/>
    <s v="716 Pine Rd"/>
    <x v="2"/>
    <x v="3"/>
    <n v="3"/>
    <n v="892"/>
    <n v="516958"/>
    <n v="579.54932735426007"/>
  </r>
  <r>
    <x v="1770"/>
    <s v="Jun"/>
    <x v="19"/>
    <s v="240 Maple Ave"/>
    <x v="5"/>
    <x v="0"/>
    <n v="5"/>
    <n v="2368"/>
    <n v="659018"/>
    <n v="278.30152027027026"/>
  </r>
  <r>
    <x v="710"/>
    <s v="Dec"/>
    <x v="19"/>
    <s v="901 Oak St"/>
    <x v="0"/>
    <x v="1"/>
    <m/>
    <n v="1467"/>
    <n v="102185"/>
    <n v="69.655760054533062"/>
  </r>
  <r>
    <x v="1771"/>
    <s v="Dec"/>
    <x v="4"/>
    <s v="626 Oak St"/>
    <x v="4"/>
    <x v="1"/>
    <n v="3"/>
    <n v="1468"/>
    <n v="280490"/>
    <n v="191.06948228882834"/>
  </r>
  <r>
    <x v="1772"/>
    <s v="Apr"/>
    <x v="17"/>
    <s v="259 Pine Rd"/>
    <x v="0"/>
    <x v="0"/>
    <n v="3"/>
    <n v="3315"/>
    <n v="162280"/>
    <n v="48.953242835595773"/>
  </r>
  <r>
    <x v="385"/>
    <s v="Oct"/>
    <x v="19"/>
    <s v="513 Pine Rd"/>
    <x v="4"/>
    <x v="1"/>
    <n v="4"/>
    <n v="2216"/>
    <n v="410545"/>
    <n v="185.26398916967509"/>
  </r>
  <r>
    <x v="1773"/>
    <s v="Feb"/>
    <x v="4"/>
    <s v="845 Pine Rd"/>
    <x v="3"/>
    <x v="3"/>
    <m/>
    <n v="873"/>
    <n v="873112"/>
    <n v="1000.1282932416954"/>
  </r>
  <r>
    <x v="1774"/>
    <s v="Apr"/>
    <x v="14"/>
    <s v="844 Elm St"/>
    <x v="4"/>
    <x v="3"/>
    <m/>
    <n v="1678"/>
    <n v="896898"/>
    <n v="534.50417163289626"/>
  </r>
  <r>
    <x v="1775"/>
    <s v="Aug"/>
    <x v="4"/>
    <s v="491 Maple Ave"/>
    <x v="1"/>
    <x v="3"/>
    <n v="2"/>
    <n v="862"/>
    <n v="362293"/>
    <n v="420.29350348027845"/>
  </r>
  <r>
    <x v="1776"/>
    <s v="Jan"/>
    <x v="10"/>
    <s v="585 Oak St"/>
    <x v="4"/>
    <x v="2"/>
    <m/>
    <n v="2950"/>
    <n v="523748"/>
    <n v="177.54169491525423"/>
  </r>
  <r>
    <x v="1777"/>
    <s v="Sep"/>
    <x v="3"/>
    <s v="584 Oak St"/>
    <x v="0"/>
    <x v="0"/>
    <n v="2"/>
    <n v="915"/>
    <n v="358619"/>
    <n v="391.93333333333334"/>
  </r>
  <r>
    <x v="1778"/>
    <s v="Aug"/>
    <x v="17"/>
    <s v="486 Oak St"/>
    <x v="6"/>
    <x v="1"/>
    <n v="2"/>
    <n v="2985"/>
    <n v="529883"/>
    <n v="177.51524288107203"/>
  </r>
  <r>
    <x v="1779"/>
    <s v="Jun"/>
    <x v="17"/>
    <s v="251 Main St"/>
    <x v="3"/>
    <x v="0"/>
    <n v="2"/>
    <n v="2540"/>
    <n v="307662"/>
    <n v="121.1267716535433"/>
  </r>
  <r>
    <x v="1780"/>
    <s v="Dec"/>
    <x v="19"/>
    <s v="399 Elm St"/>
    <x v="5"/>
    <x v="0"/>
    <n v="5"/>
    <n v="1267"/>
    <n v="890402"/>
    <n v="702.7640094711918"/>
  </r>
  <r>
    <x v="1781"/>
    <s v="Jul"/>
    <x v="19"/>
    <s v="903 Maple Ave"/>
    <x v="3"/>
    <x v="1"/>
    <m/>
    <n v="2859"/>
    <n v="660041"/>
    <n v="230.86428821266176"/>
  </r>
  <r>
    <x v="629"/>
    <s v="Jun"/>
    <x v="4"/>
    <s v="627 Oak St"/>
    <x v="4"/>
    <x v="2"/>
    <n v="3"/>
    <n v="1190"/>
    <m/>
    <n v="0"/>
  </r>
  <r>
    <x v="1782"/>
    <s v="Apr"/>
    <x v="17"/>
    <s v="540 Pine Rd"/>
    <x v="1"/>
    <x v="2"/>
    <m/>
    <n v="1482"/>
    <n v="174122"/>
    <n v="117.49122807017544"/>
  </r>
  <r>
    <x v="1783"/>
    <s v="Oct"/>
    <x v="10"/>
    <s v="264 Maple Ave"/>
    <x v="6"/>
    <x v="1"/>
    <n v="4"/>
    <n v="3306"/>
    <n v="269345"/>
    <n v="81.471566848154865"/>
  </r>
  <r>
    <x v="1784"/>
    <s v="Mar"/>
    <x v="8"/>
    <s v="204 Pine Rd"/>
    <x v="5"/>
    <x v="2"/>
    <n v="3"/>
    <n v="3471"/>
    <n v="305625"/>
    <n v="88.05099394987036"/>
  </r>
  <r>
    <x v="1785"/>
    <s v="Mar"/>
    <x v="15"/>
    <s v="676 Oak St"/>
    <x v="5"/>
    <x v="3"/>
    <n v="2"/>
    <n v="1898"/>
    <n v="667583"/>
    <n v="351.72971548998947"/>
  </r>
  <r>
    <x v="1786"/>
    <s v="Sep"/>
    <x v="3"/>
    <s v="445 Oak St"/>
    <x v="0"/>
    <x v="2"/>
    <n v="4"/>
    <n v="2260"/>
    <n v="642897"/>
    <n v="284.46769911504424"/>
  </r>
  <r>
    <x v="1787"/>
    <s v="Jun"/>
    <x v="18"/>
    <s v="911 Main St"/>
    <x v="1"/>
    <x v="1"/>
    <n v="2"/>
    <n v="3461"/>
    <n v="224511"/>
    <n v="64.868824039295006"/>
  </r>
  <r>
    <x v="1788"/>
    <s v="Jun"/>
    <x v="3"/>
    <s v="629 Oak St"/>
    <x v="1"/>
    <x v="0"/>
    <m/>
    <n v="1533"/>
    <n v="659120"/>
    <n v="429.95433789954336"/>
  </r>
  <r>
    <x v="1789"/>
    <s v="Jan"/>
    <x v="0"/>
    <s v="199 Oak St"/>
    <x v="6"/>
    <x v="1"/>
    <m/>
    <n v="2507"/>
    <n v="655949"/>
    <n v="261.64698843238932"/>
  </r>
  <r>
    <x v="1790"/>
    <s v="Jun"/>
    <x v="6"/>
    <s v="422 Elm St"/>
    <x v="5"/>
    <x v="2"/>
    <m/>
    <n v="1553"/>
    <n v="442442"/>
    <n v="284.89504185447521"/>
  </r>
  <r>
    <x v="94"/>
    <s v="Feb"/>
    <x v="10"/>
    <s v="906 Elm St"/>
    <x v="6"/>
    <x v="1"/>
    <n v="2"/>
    <n v="846"/>
    <n v="627883"/>
    <n v="742.1784869976359"/>
  </r>
  <r>
    <x v="1791"/>
    <s v="Sep"/>
    <x v="14"/>
    <s v="514 Maple Ave"/>
    <x v="1"/>
    <x v="1"/>
    <m/>
    <n v="1481"/>
    <n v="164643"/>
    <n v="111.17015530047266"/>
  </r>
  <r>
    <x v="1792"/>
    <s v="Oct"/>
    <x v="18"/>
    <s v="917 Oak St"/>
    <x v="0"/>
    <x v="2"/>
    <n v="2"/>
    <n v="1151"/>
    <n v="292716"/>
    <n v="254.31450912250216"/>
  </r>
  <r>
    <x v="1793"/>
    <s v="Apr"/>
    <x v="15"/>
    <s v="213 Main St"/>
    <x v="6"/>
    <x v="0"/>
    <n v="5"/>
    <n v="1226"/>
    <n v="305673"/>
    <n v="249.32544861337684"/>
  </r>
  <r>
    <x v="1794"/>
    <s v="Dec"/>
    <x v="15"/>
    <s v="854 Main St"/>
    <x v="4"/>
    <x v="2"/>
    <n v="3"/>
    <n v="1683"/>
    <n v="532563"/>
    <n v="316.4367201426025"/>
  </r>
  <r>
    <x v="1795"/>
    <s v="Dec"/>
    <x v="14"/>
    <s v="624 Elm St"/>
    <x v="3"/>
    <x v="1"/>
    <m/>
    <n v="1934"/>
    <n v="399577"/>
    <n v="206.60651499482938"/>
  </r>
  <r>
    <x v="1796"/>
    <s v="Jun"/>
    <x v="1"/>
    <s v="503 Pine Rd"/>
    <x v="2"/>
    <x v="0"/>
    <n v="3"/>
    <n v="1414"/>
    <n v="381623"/>
    <n v="269.88896746817539"/>
  </r>
  <r>
    <x v="1797"/>
    <s v="Feb"/>
    <x v="15"/>
    <s v="833 Pine Rd"/>
    <x v="0"/>
    <x v="1"/>
    <n v="4"/>
    <n v="3002"/>
    <n v="877088"/>
    <n v="292.16788807461694"/>
  </r>
  <r>
    <x v="657"/>
    <s v="Jun"/>
    <x v="13"/>
    <s v="146 Main St"/>
    <x v="2"/>
    <x v="3"/>
    <m/>
    <n v="3280"/>
    <n v="103521"/>
    <n v="31.561280487804879"/>
  </r>
  <r>
    <x v="1798"/>
    <s v="Dec"/>
    <x v="1"/>
    <s v="422 Oak St"/>
    <x v="1"/>
    <x v="3"/>
    <n v="3"/>
    <n v="885"/>
    <n v="429499"/>
    <n v="485.30960451977398"/>
  </r>
  <r>
    <x v="1799"/>
    <s v="Dec"/>
    <x v="8"/>
    <s v="725 Maple Ave"/>
    <x v="2"/>
    <x v="0"/>
    <n v="3"/>
    <n v="1418"/>
    <n v="140437"/>
    <n v="99.038787023977434"/>
  </r>
  <r>
    <x v="1800"/>
    <s v="Apr"/>
    <x v="6"/>
    <s v="890 Pine Rd"/>
    <x v="2"/>
    <x v="1"/>
    <n v="3"/>
    <n v="1400"/>
    <n v="225876"/>
    <n v="161.34"/>
  </r>
  <r>
    <x v="1801"/>
    <s v="Nov"/>
    <x v="16"/>
    <s v="641 Main St"/>
    <x v="6"/>
    <x v="0"/>
    <n v="5"/>
    <n v="3483"/>
    <n v="198323"/>
    <n v="56.940281366637954"/>
  </r>
  <r>
    <x v="1802"/>
    <s v="Dec"/>
    <x v="18"/>
    <s v="164 Elm St"/>
    <x v="4"/>
    <x v="1"/>
    <n v="2"/>
    <n v="2027"/>
    <n v="381360"/>
    <n v="188.14010853478047"/>
  </r>
  <r>
    <x v="1803"/>
    <s v="Dec"/>
    <x v="6"/>
    <s v="764 Main St"/>
    <x v="0"/>
    <x v="3"/>
    <n v="4"/>
    <n v="1050"/>
    <n v="170194"/>
    <n v="162.0895238095238"/>
  </r>
  <r>
    <x v="1804"/>
    <s v="Jun"/>
    <x v="15"/>
    <s v="175 Pine Rd"/>
    <x v="1"/>
    <x v="1"/>
    <n v="3"/>
    <n v="2008"/>
    <n v="130680"/>
    <n v="65.079681274900395"/>
  </r>
  <r>
    <x v="1805"/>
    <s v="Feb"/>
    <x v="8"/>
    <s v="243 Pine Rd"/>
    <x v="5"/>
    <x v="3"/>
    <m/>
    <n v="1484"/>
    <n v="110296"/>
    <n v="74.323450134770894"/>
  </r>
  <r>
    <x v="1806"/>
    <s v="Jan"/>
    <x v="7"/>
    <s v="555 Oak St"/>
    <x v="4"/>
    <x v="1"/>
    <n v="3"/>
    <n v="2039"/>
    <n v="701701"/>
    <n v="344.1397743992153"/>
  </r>
  <r>
    <x v="1807"/>
    <s v="Sep"/>
    <x v="19"/>
    <s v="858 Elm St"/>
    <x v="5"/>
    <x v="3"/>
    <n v="5"/>
    <n v="1908"/>
    <n v="253077"/>
    <n v="132.63993710691824"/>
  </r>
  <r>
    <x v="1808"/>
    <s v="Sep"/>
    <x v="8"/>
    <s v="256 Main St"/>
    <x v="1"/>
    <x v="1"/>
    <n v="5"/>
    <n v="1985"/>
    <n v="702228"/>
    <n v="353.76725440806047"/>
  </r>
  <r>
    <x v="1809"/>
    <s v="Apr"/>
    <x v="10"/>
    <s v="263 Maple Ave"/>
    <x v="1"/>
    <x v="3"/>
    <n v="5"/>
    <n v="1339"/>
    <n v="444037"/>
    <n v="331.61837191934279"/>
  </r>
  <r>
    <x v="1810"/>
    <s v="Jun"/>
    <x v="15"/>
    <s v="189 Main St"/>
    <x v="2"/>
    <x v="0"/>
    <n v="3"/>
    <n v="2691"/>
    <n v="747033"/>
    <n v="277.60423634336678"/>
  </r>
  <r>
    <x v="1811"/>
    <s v="Oct"/>
    <x v="19"/>
    <s v="485 Elm St"/>
    <x v="4"/>
    <x v="0"/>
    <m/>
    <n v="2606"/>
    <n v="418733"/>
    <n v="160.68035303146584"/>
  </r>
  <r>
    <x v="1812"/>
    <s v="Oct"/>
    <x v="14"/>
    <s v="997 Elm St"/>
    <x v="5"/>
    <x v="0"/>
    <n v="2"/>
    <n v="2935"/>
    <n v="444463"/>
    <n v="151.43543441226575"/>
  </r>
  <r>
    <x v="155"/>
    <s v="Jan"/>
    <x v="4"/>
    <s v="930 Main St"/>
    <x v="4"/>
    <x v="1"/>
    <m/>
    <n v="1021"/>
    <n v="664430"/>
    <n v="650.7639569049951"/>
  </r>
  <r>
    <x v="728"/>
    <s v="Feb"/>
    <x v="11"/>
    <s v="495 Pine Rd"/>
    <x v="4"/>
    <x v="3"/>
    <n v="4"/>
    <n v="986"/>
    <n v="719115"/>
    <n v="729.32555780933058"/>
  </r>
  <r>
    <x v="1813"/>
    <s v="Oct"/>
    <x v="3"/>
    <s v="509 Pine Rd"/>
    <x v="2"/>
    <x v="0"/>
    <n v="3"/>
    <n v="2361"/>
    <n v="134209"/>
    <n v="56.844133841592544"/>
  </r>
  <r>
    <x v="1814"/>
    <s v="Apr"/>
    <x v="14"/>
    <s v="690 Elm St"/>
    <x v="2"/>
    <x v="2"/>
    <m/>
    <n v="3069"/>
    <n v="732089"/>
    <n v="238.54317367220594"/>
  </r>
  <r>
    <x v="1815"/>
    <s v="Apr"/>
    <x v="14"/>
    <s v="598 Maple Ave"/>
    <x v="2"/>
    <x v="0"/>
    <m/>
    <n v="3173"/>
    <n v="341370"/>
    <n v="107.58588086983927"/>
  </r>
  <r>
    <x v="1816"/>
    <s v="Feb"/>
    <x v="2"/>
    <s v="703 Main St"/>
    <x v="4"/>
    <x v="3"/>
    <n v="2"/>
    <n v="2499"/>
    <n v="596999"/>
    <n v="238.8951580632253"/>
  </r>
  <r>
    <x v="1708"/>
    <s v="Aug"/>
    <x v="8"/>
    <s v="345 Elm St"/>
    <x v="6"/>
    <x v="0"/>
    <m/>
    <n v="2803"/>
    <n v="137525"/>
    <n v="49.063503389225829"/>
  </r>
  <r>
    <x v="315"/>
    <s v="Jul"/>
    <x v="11"/>
    <s v="609 Pine Rd"/>
    <x v="4"/>
    <x v="0"/>
    <n v="4"/>
    <n v="1687"/>
    <n v="593865"/>
    <n v="352.02430349733254"/>
  </r>
  <r>
    <x v="451"/>
    <s v="Apr"/>
    <x v="12"/>
    <s v="137 Pine Rd"/>
    <x v="6"/>
    <x v="1"/>
    <n v="5"/>
    <n v="1545"/>
    <n v="409565"/>
    <n v="265.09061488673137"/>
  </r>
  <r>
    <x v="1817"/>
    <s v="Jul"/>
    <x v="12"/>
    <s v="945 Oak St"/>
    <x v="0"/>
    <x v="2"/>
    <n v="3"/>
    <n v="3208"/>
    <n v="773104"/>
    <n v="240.9925187032419"/>
  </r>
  <r>
    <x v="1818"/>
    <s v="Nov"/>
    <x v="9"/>
    <s v="468 Pine Rd"/>
    <x v="3"/>
    <x v="1"/>
    <n v="2"/>
    <n v="2379"/>
    <n v="628519"/>
    <n v="264.19461958806221"/>
  </r>
  <r>
    <x v="1819"/>
    <s v="Apr"/>
    <x v="7"/>
    <s v="770 Maple Ave"/>
    <x v="3"/>
    <x v="3"/>
    <m/>
    <n v="2166"/>
    <n v="609955"/>
    <n v="281.60433979686059"/>
  </r>
  <r>
    <x v="1820"/>
    <s v="Dec"/>
    <x v="4"/>
    <s v="570 Pine Rd"/>
    <x v="2"/>
    <x v="3"/>
    <m/>
    <n v="1194"/>
    <n v="893710"/>
    <n v="748.50083752093803"/>
  </r>
  <r>
    <x v="1815"/>
    <s v="Apr"/>
    <x v="14"/>
    <s v="213 Oak St"/>
    <x v="6"/>
    <x v="0"/>
    <n v="4"/>
    <n v="2351"/>
    <n v="785764"/>
    <n v="334.22543598468735"/>
  </r>
  <r>
    <x v="1821"/>
    <s v="Oct"/>
    <x v="9"/>
    <s v="323 Oak St"/>
    <x v="1"/>
    <x v="2"/>
    <m/>
    <n v="3130"/>
    <n v="420818"/>
    <n v="134.44664536741215"/>
  </r>
  <r>
    <x v="982"/>
    <s v="Dec"/>
    <x v="4"/>
    <s v="364 Elm St"/>
    <x v="4"/>
    <x v="3"/>
    <n v="2"/>
    <n v="2105"/>
    <n v="506311"/>
    <n v="240.52779097387173"/>
  </r>
  <r>
    <x v="1822"/>
    <s v="May"/>
    <x v="11"/>
    <s v="294 Elm St"/>
    <x v="0"/>
    <x v="1"/>
    <n v="4"/>
    <n v="1269"/>
    <n v="851333"/>
    <n v="670.8691883372735"/>
  </r>
  <r>
    <x v="1823"/>
    <s v="Nov"/>
    <x v="11"/>
    <s v="651 Elm St"/>
    <x v="4"/>
    <x v="1"/>
    <m/>
    <n v="1892"/>
    <n v="757689"/>
    <n v="400.46987315010568"/>
  </r>
  <r>
    <x v="1824"/>
    <s v="Mar"/>
    <x v="12"/>
    <s v="114 Oak St"/>
    <x v="2"/>
    <x v="3"/>
    <n v="5"/>
    <n v="2475"/>
    <n v="179396"/>
    <n v="72.483232323232329"/>
  </r>
  <r>
    <x v="1825"/>
    <s v="Jun"/>
    <x v="9"/>
    <s v="192 Maple Ave"/>
    <x v="6"/>
    <x v="1"/>
    <n v="3"/>
    <n v="2899"/>
    <n v="767290"/>
    <n v="264.67402552604347"/>
  </r>
  <r>
    <x v="1711"/>
    <s v="Jan"/>
    <x v="0"/>
    <s v="180 Elm St"/>
    <x v="4"/>
    <x v="3"/>
    <n v="5"/>
    <n v="1072"/>
    <n v="584309"/>
    <n v="545.06436567164178"/>
  </r>
  <r>
    <x v="1826"/>
    <s v="May"/>
    <x v="4"/>
    <s v="881 Main St"/>
    <x v="5"/>
    <x v="2"/>
    <m/>
    <n v="2366"/>
    <n v="212698"/>
    <n v="89.897717666948438"/>
  </r>
  <r>
    <x v="1766"/>
    <s v="Jun"/>
    <x v="18"/>
    <s v="564 Elm St"/>
    <x v="3"/>
    <x v="3"/>
    <n v="5"/>
    <n v="902"/>
    <n v="198786"/>
    <n v="220.38359201773835"/>
  </r>
  <r>
    <x v="1827"/>
    <s v="Aug"/>
    <x v="19"/>
    <s v="796 Main St"/>
    <x v="4"/>
    <x v="2"/>
    <n v="4"/>
    <n v="873"/>
    <n v="332991"/>
    <n v="381.43298969072163"/>
  </r>
  <r>
    <x v="1828"/>
    <s v="Feb"/>
    <x v="13"/>
    <s v="251 Pine Rd"/>
    <x v="6"/>
    <x v="0"/>
    <n v="4"/>
    <n v="3346"/>
    <n v="444985"/>
    <n v="132.99013747758517"/>
  </r>
  <r>
    <x v="794"/>
    <s v="Dec"/>
    <x v="12"/>
    <s v="916 Elm St"/>
    <x v="5"/>
    <x v="3"/>
    <n v="3"/>
    <n v="1702"/>
    <n v="338226"/>
    <n v="198.72267920094006"/>
  </r>
  <r>
    <x v="960"/>
    <s v="Oct"/>
    <x v="0"/>
    <s v="123 Pine Rd"/>
    <x v="6"/>
    <x v="1"/>
    <n v="5"/>
    <n v="1722"/>
    <n v="244125"/>
    <n v="141.76829268292684"/>
  </r>
  <r>
    <x v="1063"/>
    <s v="Nov"/>
    <x v="13"/>
    <s v="373 Oak St"/>
    <x v="3"/>
    <x v="0"/>
    <m/>
    <n v="1408"/>
    <n v="790222"/>
    <n v="561.23721590909088"/>
  </r>
  <r>
    <x v="925"/>
    <s v="Aug"/>
    <x v="13"/>
    <s v="971 Main St"/>
    <x v="6"/>
    <x v="3"/>
    <m/>
    <n v="2943"/>
    <n v="205462"/>
    <n v="69.813795446822965"/>
  </r>
  <r>
    <x v="1016"/>
    <s v="May"/>
    <x v="4"/>
    <s v="810 Maple Ave"/>
    <x v="6"/>
    <x v="0"/>
    <n v="2"/>
    <n v="2311"/>
    <n v="826212"/>
    <n v="357.51276503678059"/>
  </r>
  <r>
    <x v="1829"/>
    <s v="Oct"/>
    <x v="2"/>
    <s v="955 Pine Rd"/>
    <x v="4"/>
    <x v="0"/>
    <n v="5"/>
    <n v="2777"/>
    <n v="573411"/>
    <n v="206.48577601728485"/>
  </r>
  <r>
    <x v="1830"/>
    <s v="Sep"/>
    <x v="1"/>
    <s v="601 Maple Ave"/>
    <x v="0"/>
    <x v="1"/>
    <n v="4"/>
    <n v="2524"/>
    <n v="651515"/>
    <n v="258.12797147385101"/>
  </r>
  <r>
    <x v="924"/>
    <s v="Oct"/>
    <x v="5"/>
    <s v="199 Maple Ave"/>
    <x v="0"/>
    <x v="3"/>
    <n v="4"/>
    <n v="1871"/>
    <n v="523757"/>
    <n v="279.93425975414215"/>
  </r>
  <r>
    <x v="1831"/>
    <s v="Dec"/>
    <x v="18"/>
    <s v="977 Maple Ave"/>
    <x v="6"/>
    <x v="3"/>
    <n v="5"/>
    <n v="3050"/>
    <n v="280878"/>
    <n v="92.091147540983613"/>
  </r>
  <r>
    <x v="71"/>
    <s v="Feb"/>
    <x v="19"/>
    <s v="398 Oak St"/>
    <x v="4"/>
    <x v="3"/>
    <m/>
    <n v="895"/>
    <n v="781174"/>
    <n v="872.82011173184355"/>
  </r>
  <r>
    <x v="1832"/>
    <s v="Feb"/>
    <x v="0"/>
    <s v="384 Maple Ave"/>
    <x v="6"/>
    <x v="3"/>
    <m/>
    <n v="2551"/>
    <n v="805019"/>
    <n v="315.56997255978047"/>
  </r>
  <r>
    <x v="1833"/>
    <s v="May"/>
    <x v="19"/>
    <s v="197 Main St"/>
    <x v="5"/>
    <x v="1"/>
    <n v="4"/>
    <n v="2031"/>
    <n v="896895"/>
    <n v="441.60265878877402"/>
  </r>
  <r>
    <x v="1834"/>
    <s v="Mar"/>
    <x v="0"/>
    <s v="394 Pine Rd"/>
    <x v="1"/>
    <x v="1"/>
    <m/>
    <n v="3008"/>
    <n v="508398"/>
    <n v="169.0152925531915"/>
  </r>
  <r>
    <x v="1835"/>
    <s v="Sep"/>
    <x v="3"/>
    <s v="164 Main St"/>
    <x v="4"/>
    <x v="1"/>
    <n v="3"/>
    <n v="1596"/>
    <n v="247686"/>
    <n v="155.19172932330827"/>
  </r>
  <r>
    <x v="1836"/>
    <s v="Jan"/>
    <x v="13"/>
    <s v="416 Main St"/>
    <x v="0"/>
    <x v="3"/>
    <m/>
    <n v="1164"/>
    <n v="435658"/>
    <n v="374.27663230240552"/>
  </r>
  <r>
    <x v="1837"/>
    <s v="Feb"/>
    <x v="15"/>
    <s v="633 Oak St"/>
    <x v="5"/>
    <x v="2"/>
    <m/>
    <n v="2022"/>
    <n v="755680"/>
    <n v="373.72898120672602"/>
  </r>
  <r>
    <x v="1838"/>
    <s v="Apr"/>
    <x v="7"/>
    <s v="694 Maple Ave"/>
    <x v="3"/>
    <x v="2"/>
    <n v="4"/>
    <n v="3437"/>
    <n v="342176"/>
    <n v="99.556590049461747"/>
  </r>
  <r>
    <x v="461"/>
    <s v="Oct"/>
    <x v="13"/>
    <s v="111 Main St"/>
    <x v="0"/>
    <x v="0"/>
    <m/>
    <n v="2873"/>
    <n v="688844"/>
    <n v="239.76470588235293"/>
  </r>
  <r>
    <x v="1839"/>
    <s v="Jan"/>
    <x v="12"/>
    <s v="411 Oak St"/>
    <x v="6"/>
    <x v="3"/>
    <n v="3"/>
    <n v="2578"/>
    <n v="868107"/>
    <n v="336.73661753297131"/>
  </r>
  <r>
    <x v="1840"/>
    <s v="Dec"/>
    <x v="9"/>
    <s v="104 Pine Rd"/>
    <x v="2"/>
    <x v="2"/>
    <n v="5"/>
    <n v="2478"/>
    <n v="439857"/>
    <n v="177.50484261501211"/>
  </r>
  <r>
    <x v="1841"/>
    <s v="Feb"/>
    <x v="19"/>
    <s v="210 Pine Rd"/>
    <x v="6"/>
    <x v="0"/>
    <m/>
    <n v="2015"/>
    <n v="476683"/>
    <n v="236.56724565756824"/>
  </r>
  <r>
    <x v="1842"/>
    <s v="Sep"/>
    <x v="10"/>
    <s v="990 Maple Ave"/>
    <x v="0"/>
    <x v="0"/>
    <m/>
    <n v="2937"/>
    <m/>
    <n v="0"/>
  </r>
  <r>
    <x v="1843"/>
    <s v="Mar"/>
    <x v="19"/>
    <s v="170 Pine Rd"/>
    <x v="0"/>
    <x v="3"/>
    <m/>
    <n v="3288"/>
    <n v="593004"/>
    <n v="180.35401459854015"/>
  </r>
  <r>
    <x v="1844"/>
    <s v="Oct"/>
    <x v="8"/>
    <s v="994 Pine Rd"/>
    <x v="6"/>
    <x v="3"/>
    <n v="4"/>
    <n v="2608"/>
    <n v="766793"/>
    <n v="294.01572085889569"/>
  </r>
  <r>
    <x v="1845"/>
    <s v="Jun"/>
    <x v="2"/>
    <s v="993 Main St"/>
    <x v="5"/>
    <x v="0"/>
    <m/>
    <n v="1966"/>
    <n v="628369"/>
    <n v="319.618006103764"/>
  </r>
  <r>
    <x v="1846"/>
    <s v="Oct"/>
    <x v="18"/>
    <s v="538 Pine Rd"/>
    <x v="0"/>
    <x v="0"/>
    <n v="4"/>
    <n v="1713"/>
    <n v="617811"/>
    <n v="360.66024518388792"/>
  </r>
  <r>
    <x v="1847"/>
    <s v="May"/>
    <x v="3"/>
    <s v="526 Main St"/>
    <x v="0"/>
    <x v="3"/>
    <m/>
    <n v="2180"/>
    <n v="415165"/>
    <n v="190.44266055045873"/>
  </r>
  <r>
    <x v="1848"/>
    <s v="Oct"/>
    <x v="17"/>
    <s v="185 Maple Ave"/>
    <x v="3"/>
    <x v="1"/>
    <m/>
    <n v="2292"/>
    <n v="228443"/>
    <n v="99.669720767888307"/>
  </r>
  <r>
    <x v="1849"/>
    <s v="Jul"/>
    <x v="11"/>
    <s v="910 Pine Rd"/>
    <x v="0"/>
    <x v="3"/>
    <m/>
    <n v="1975"/>
    <n v="394896"/>
    <n v="199.9473417721519"/>
  </r>
  <r>
    <x v="1850"/>
    <s v="May"/>
    <x v="0"/>
    <s v="144 Elm St"/>
    <x v="3"/>
    <x v="3"/>
    <n v="5"/>
    <n v="2100"/>
    <n v="178359"/>
    <n v="84.932857142857145"/>
  </r>
  <r>
    <x v="1851"/>
    <s v="Nov"/>
    <x v="8"/>
    <s v="598 Pine Rd"/>
    <x v="2"/>
    <x v="2"/>
    <n v="4"/>
    <n v="2855"/>
    <n v="360985"/>
    <n v="126.43957968476357"/>
  </r>
  <r>
    <x v="1378"/>
    <s v="Apr"/>
    <x v="3"/>
    <s v="985 Oak St"/>
    <x v="5"/>
    <x v="0"/>
    <m/>
    <n v="1491"/>
    <n v="394649"/>
    <n v="264.68745808182427"/>
  </r>
  <r>
    <x v="1852"/>
    <s v="Jul"/>
    <x v="12"/>
    <s v="122 Maple Ave"/>
    <x v="1"/>
    <x v="3"/>
    <m/>
    <n v="2311"/>
    <n v="616000"/>
    <n v="266.55127650367808"/>
  </r>
  <r>
    <x v="1699"/>
    <s v="Jun"/>
    <x v="1"/>
    <s v="552 Elm St"/>
    <x v="0"/>
    <x v="1"/>
    <m/>
    <n v="3438"/>
    <n v="574819"/>
    <n v="167.19575334496801"/>
  </r>
  <r>
    <x v="1853"/>
    <s v="Oct"/>
    <x v="13"/>
    <s v="762 Oak St"/>
    <x v="0"/>
    <x v="1"/>
    <n v="3"/>
    <n v="3234"/>
    <n v="687625"/>
    <n v="212.62368583797155"/>
  </r>
  <r>
    <x v="1854"/>
    <s v="May"/>
    <x v="3"/>
    <s v="912 Maple Ave"/>
    <x v="5"/>
    <x v="2"/>
    <n v="2"/>
    <n v="2409"/>
    <n v="618428"/>
    <n v="256.71564964715651"/>
  </r>
  <r>
    <x v="1855"/>
    <s v="Feb"/>
    <x v="0"/>
    <s v="717 Elm St"/>
    <x v="0"/>
    <x v="3"/>
    <n v="4"/>
    <n v="2217"/>
    <n v="305432"/>
    <n v="137.76815516463691"/>
  </r>
  <r>
    <x v="1856"/>
    <s v="Apr"/>
    <x v="9"/>
    <s v="707 Elm St"/>
    <x v="1"/>
    <x v="3"/>
    <n v="2"/>
    <n v="2480"/>
    <n v="600285"/>
    <n v="242.05040322580646"/>
  </r>
  <r>
    <x v="1857"/>
    <s v="Mar"/>
    <x v="5"/>
    <s v="777 Elm St"/>
    <x v="4"/>
    <x v="3"/>
    <n v="4"/>
    <n v="1546"/>
    <n v="375823"/>
    <n v="243.09379042690816"/>
  </r>
  <r>
    <x v="1858"/>
    <s v="Dec"/>
    <x v="18"/>
    <s v="279 Elm St"/>
    <x v="0"/>
    <x v="3"/>
    <n v="2"/>
    <n v="3230"/>
    <n v="293025"/>
    <n v="90.719814241486063"/>
  </r>
  <r>
    <x v="1675"/>
    <s v="Nov"/>
    <x v="10"/>
    <s v="409 Elm St"/>
    <x v="3"/>
    <x v="2"/>
    <n v="3"/>
    <n v="1503"/>
    <n v="833617"/>
    <n v="554.63539587491687"/>
  </r>
  <r>
    <x v="1036"/>
    <s v="Mar"/>
    <x v="8"/>
    <s v="953 Maple Ave"/>
    <x v="0"/>
    <x v="3"/>
    <n v="4"/>
    <n v="2093"/>
    <n v="725406"/>
    <n v="346.58671763019589"/>
  </r>
  <r>
    <x v="1859"/>
    <s v="Jul"/>
    <x v="2"/>
    <s v="154 Elm St"/>
    <x v="4"/>
    <x v="0"/>
    <m/>
    <n v="2416"/>
    <n v="178849"/>
    <n v="74.026903973509931"/>
  </r>
  <r>
    <x v="1860"/>
    <s v="Feb"/>
    <x v="7"/>
    <s v="350 Elm St"/>
    <x v="3"/>
    <x v="2"/>
    <n v="4"/>
    <n v="2760"/>
    <n v="174569"/>
    <n v="63.24963768115942"/>
  </r>
  <r>
    <x v="1861"/>
    <s v="Mar"/>
    <x v="11"/>
    <s v="198 Main St"/>
    <x v="1"/>
    <x v="2"/>
    <n v="5"/>
    <n v="2449"/>
    <n v="738454"/>
    <n v="301.532870559412"/>
  </r>
  <r>
    <x v="1235"/>
    <s v="Aug"/>
    <x v="12"/>
    <s v="773 Pine Rd"/>
    <x v="3"/>
    <x v="1"/>
    <n v="4"/>
    <n v="2174"/>
    <n v="634842"/>
    <n v="292.01563937442501"/>
  </r>
  <r>
    <x v="1613"/>
    <s v="Oct"/>
    <x v="19"/>
    <s v="419 Maple Ave"/>
    <x v="0"/>
    <x v="2"/>
    <m/>
    <n v="2797"/>
    <n v="644061"/>
    <n v="230.26850196639256"/>
  </r>
  <r>
    <x v="941"/>
    <s v="May"/>
    <x v="7"/>
    <s v="597 Pine Rd"/>
    <x v="1"/>
    <x v="1"/>
    <n v="3"/>
    <n v="2133"/>
    <n v="275368"/>
    <n v="129.09892170651665"/>
  </r>
  <r>
    <x v="1862"/>
    <s v="Dec"/>
    <x v="7"/>
    <s v="251 Pine Rd"/>
    <x v="0"/>
    <x v="0"/>
    <n v="4"/>
    <n v="1391"/>
    <m/>
    <n v="0"/>
  </r>
  <r>
    <x v="1863"/>
    <s v="Jan"/>
    <x v="8"/>
    <s v="134 Maple Ave"/>
    <x v="1"/>
    <x v="1"/>
    <n v="2"/>
    <n v="1296"/>
    <n v="325530"/>
    <n v="251.18055555555554"/>
  </r>
  <r>
    <x v="1363"/>
    <s v="May"/>
    <x v="12"/>
    <s v="268 Oak St"/>
    <x v="5"/>
    <x v="2"/>
    <n v="4"/>
    <n v="3166"/>
    <n v="346171"/>
    <n v="109.34017687934302"/>
  </r>
  <r>
    <x v="1864"/>
    <s v="May"/>
    <x v="7"/>
    <s v="621 Oak St"/>
    <x v="4"/>
    <x v="3"/>
    <m/>
    <n v="2232"/>
    <n v="469863"/>
    <n v="210.51209677419354"/>
  </r>
  <r>
    <x v="57"/>
    <s v="Nov"/>
    <x v="8"/>
    <s v="243 Main St"/>
    <x v="3"/>
    <x v="2"/>
    <m/>
    <n v="1157"/>
    <n v="328748"/>
    <n v="284.13828867761453"/>
  </r>
  <r>
    <x v="138"/>
    <s v="Mar"/>
    <x v="3"/>
    <s v="176 Maple Ave"/>
    <x v="5"/>
    <x v="1"/>
    <n v="3"/>
    <n v="3476"/>
    <n v="691098"/>
    <n v="198.8199079401611"/>
  </r>
  <r>
    <x v="1865"/>
    <s v="Jun"/>
    <x v="3"/>
    <s v="856 Pine Rd"/>
    <x v="5"/>
    <x v="0"/>
    <m/>
    <n v="1906"/>
    <n v="426410"/>
    <n v="223.71983210912907"/>
  </r>
  <r>
    <x v="1866"/>
    <s v="Jun"/>
    <x v="5"/>
    <s v="890 Maple Ave"/>
    <x v="1"/>
    <x v="0"/>
    <n v="3"/>
    <n v="868"/>
    <n v="237412"/>
    <n v="273.51612903225805"/>
  </r>
  <r>
    <x v="1867"/>
    <s v="Jan"/>
    <x v="9"/>
    <s v="343 Oak St"/>
    <x v="6"/>
    <x v="1"/>
    <n v="5"/>
    <n v="1265"/>
    <n v="793409"/>
    <n v="627.20079051383402"/>
  </r>
  <r>
    <x v="1868"/>
    <s v="May"/>
    <x v="18"/>
    <s v="679 Pine Rd"/>
    <x v="0"/>
    <x v="2"/>
    <n v="4"/>
    <n v="1277"/>
    <n v="187807"/>
    <n v="147.06891151135474"/>
  </r>
  <r>
    <x v="1869"/>
    <s v="May"/>
    <x v="6"/>
    <s v="337 Oak St"/>
    <x v="0"/>
    <x v="2"/>
    <n v="4"/>
    <n v="2806"/>
    <n v="625314"/>
    <n v="222.84889522451888"/>
  </r>
  <r>
    <x v="868"/>
    <s v="May"/>
    <x v="17"/>
    <s v="296 Pine Rd"/>
    <x v="1"/>
    <x v="0"/>
    <n v="3"/>
    <n v="2044"/>
    <n v="112234"/>
    <n v="54.909001956947165"/>
  </r>
  <r>
    <x v="1870"/>
    <s v="Aug"/>
    <x v="7"/>
    <s v="594 Pine Rd"/>
    <x v="4"/>
    <x v="0"/>
    <n v="2"/>
    <n v="2310"/>
    <n v="144695"/>
    <n v="62.638528138528137"/>
  </r>
  <r>
    <x v="1871"/>
    <s v="Feb"/>
    <x v="12"/>
    <s v="177 Elm St"/>
    <x v="3"/>
    <x v="2"/>
    <m/>
    <n v="3095"/>
    <n v="658223"/>
    <n v="212.6730210016155"/>
  </r>
  <r>
    <x v="1872"/>
    <s v="Jul"/>
    <x v="4"/>
    <s v="721 Oak St"/>
    <x v="6"/>
    <x v="1"/>
    <n v="3"/>
    <n v="2294"/>
    <n v="535194"/>
    <n v="233.3016564952049"/>
  </r>
  <r>
    <x v="1873"/>
    <s v="Oct"/>
    <x v="17"/>
    <s v="318 Pine Rd"/>
    <x v="1"/>
    <x v="1"/>
    <n v="2"/>
    <n v="2866"/>
    <m/>
    <n v="0"/>
  </r>
  <r>
    <x v="1874"/>
    <s v="Jun"/>
    <x v="15"/>
    <s v="665 Elm St"/>
    <x v="0"/>
    <x v="2"/>
    <n v="5"/>
    <n v="2687"/>
    <n v="862186"/>
    <n v="320.87309266840344"/>
  </r>
  <r>
    <x v="1342"/>
    <s v="Dec"/>
    <x v="12"/>
    <s v="799 Oak St"/>
    <x v="6"/>
    <x v="2"/>
    <n v="5"/>
    <n v="2274"/>
    <n v="114221"/>
    <n v="50.229111697449426"/>
  </r>
  <r>
    <x v="1875"/>
    <s v="Jan"/>
    <x v="3"/>
    <s v="285 Oak St"/>
    <x v="5"/>
    <x v="0"/>
    <n v="5"/>
    <n v="1966"/>
    <n v="464031"/>
    <n v="236.02797558494404"/>
  </r>
  <r>
    <x v="1876"/>
    <s v="Aug"/>
    <x v="10"/>
    <s v="251 Elm St"/>
    <x v="4"/>
    <x v="2"/>
    <n v="5"/>
    <n v="948"/>
    <n v="876344"/>
    <n v="924.41350210970461"/>
  </r>
  <r>
    <x v="1877"/>
    <s v="Aug"/>
    <x v="16"/>
    <s v="865 Maple Ave"/>
    <x v="3"/>
    <x v="2"/>
    <m/>
    <n v="1101"/>
    <n v="621147"/>
    <n v="564.16621253405992"/>
  </r>
  <r>
    <x v="1878"/>
    <s v="Nov"/>
    <x v="16"/>
    <s v="346 Main St"/>
    <x v="6"/>
    <x v="2"/>
    <n v="3"/>
    <n v="2079"/>
    <n v="402556"/>
    <n v="193.62962962962962"/>
  </r>
  <r>
    <x v="1879"/>
    <s v="Feb"/>
    <x v="4"/>
    <s v="677 Pine Rd"/>
    <x v="3"/>
    <x v="0"/>
    <m/>
    <n v="1287"/>
    <n v="532906"/>
    <n v="414.0683760683761"/>
  </r>
  <r>
    <x v="1880"/>
    <s v="Mar"/>
    <x v="16"/>
    <s v="814 Elm St"/>
    <x v="1"/>
    <x v="2"/>
    <n v="2"/>
    <n v="3147"/>
    <n v="883088"/>
    <n v="280.61264696536387"/>
  </r>
  <r>
    <x v="1080"/>
    <s v="Mar"/>
    <x v="17"/>
    <s v="337 Pine Rd"/>
    <x v="0"/>
    <x v="0"/>
    <n v="5"/>
    <n v="815"/>
    <n v="823975"/>
    <n v="1011.0122699386503"/>
  </r>
  <r>
    <x v="1389"/>
    <s v="Sep"/>
    <x v="11"/>
    <s v="720 Elm St"/>
    <x v="0"/>
    <x v="1"/>
    <n v="4"/>
    <n v="1071"/>
    <n v="722283"/>
    <n v="674.40056022408965"/>
  </r>
  <r>
    <x v="1881"/>
    <s v="Jan"/>
    <x v="13"/>
    <s v="998 Maple Ave"/>
    <x v="2"/>
    <x v="2"/>
    <n v="2"/>
    <n v="1669"/>
    <n v="559654"/>
    <n v="335.32294787297781"/>
  </r>
  <r>
    <x v="1882"/>
    <s v="Dec"/>
    <x v="9"/>
    <s v="593 Elm St"/>
    <x v="3"/>
    <x v="3"/>
    <n v="5"/>
    <n v="1150"/>
    <n v="679429"/>
    <n v="590.80782608695654"/>
  </r>
  <r>
    <x v="1883"/>
    <s v="Oct"/>
    <x v="8"/>
    <s v="294 Elm St"/>
    <x v="6"/>
    <x v="0"/>
    <n v="4"/>
    <n v="2635"/>
    <n v="645567"/>
    <n v="244.99696394686907"/>
  </r>
  <r>
    <x v="1884"/>
    <s v="Jan"/>
    <x v="2"/>
    <s v="548 Maple Ave"/>
    <x v="3"/>
    <x v="2"/>
    <n v="2"/>
    <n v="2370"/>
    <n v="888392"/>
    <n v="374.84894514767933"/>
  </r>
  <r>
    <x v="1885"/>
    <s v="Jun"/>
    <x v="0"/>
    <s v="312 Pine Rd"/>
    <x v="0"/>
    <x v="1"/>
    <m/>
    <n v="1635"/>
    <n v="468217"/>
    <n v="286.37125382262997"/>
  </r>
  <r>
    <x v="1886"/>
    <s v="Jul"/>
    <x v="13"/>
    <s v="315 Maple Ave"/>
    <x v="3"/>
    <x v="1"/>
    <m/>
    <n v="2681"/>
    <n v="407201"/>
    <n v="151.8839985080194"/>
  </r>
  <r>
    <x v="1237"/>
    <s v="Feb"/>
    <x v="0"/>
    <s v="308 Main St"/>
    <x v="0"/>
    <x v="1"/>
    <n v="3"/>
    <n v="2636"/>
    <n v="138719"/>
    <n v="52.624810318664643"/>
  </r>
  <r>
    <x v="1887"/>
    <s v="Oct"/>
    <x v="15"/>
    <s v="447 Elm St"/>
    <x v="5"/>
    <x v="3"/>
    <n v="2"/>
    <n v="823"/>
    <n v="811687"/>
    <n v="986.2539489671932"/>
  </r>
  <r>
    <x v="1525"/>
    <s v="Jun"/>
    <x v="11"/>
    <s v="687 Pine Rd"/>
    <x v="6"/>
    <x v="1"/>
    <n v="4"/>
    <n v="1296"/>
    <n v="692916"/>
    <n v="534.65740740740739"/>
  </r>
  <r>
    <x v="1888"/>
    <s v="Feb"/>
    <x v="3"/>
    <s v="987 Oak St"/>
    <x v="2"/>
    <x v="3"/>
    <n v="5"/>
    <n v="1528"/>
    <n v="349687"/>
    <n v="228.85274869109946"/>
  </r>
  <r>
    <x v="1889"/>
    <s v="May"/>
    <x v="19"/>
    <s v="194 Oak St"/>
    <x v="6"/>
    <x v="3"/>
    <n v="4"/>
    <n v="1529"/>
    <n v="367921"/>
    <n v="240.62851536952257"/>
  </r>
  <r>
    <x v="1890"/>
    <s v="Sep"/>
    <x v="1"/>
    <s v="549 Oak St"/>
    <x v="3"/>
    <x v="1"/>
    <n v="4"/>
    <n v="3013"/>
    <n v="307394"/>
    <n v="102.02256886823764"/>
  </r>
  <r>
    <x v="1891"/>
    <s v="Jul"/>
    <x v="10"/>
    <s v="921 Pine Rd"/>
    <x v="4"/>
    <x v="1"/>
    <n v="5"/>
    <n v="1771"/>
    <n v="466440"/>
    <n v="263.3766233766234"/>
  </r>
  <r>
    <x v="1892"/>
    <s v="Dec"/>
    <x v="18"/>
    <s v="178 Pine Rd"/>
    <x v="0"/>
    <x v="2"/>
    <n v="2"/>
    <n v="3150"/>
    <n v="733368"/>
    <n v="232.8152380952381"/>
  </r>
  <r>
    <x v="1893"/>
    <s v="Feb"/>
    <x v="13"/>
    <s v="721 Pine Rd"/>
    <x v="4"/>
    <x v="3"/>
    <n v="5"/>
    <n v="2543"/>
    <n v="120737"/>
    <n v="47.478175383405429"/>
  </r>
  <r>
    <x v="1894"/>
    <s v="Jun"/>
    <x v="16"/>
    <s v="447 Elm St"/>
    <x v="5"/>
    <x v="3"/>
    <n v="3"/>
    <n v="1659"/>
    <n v="248731"/>
    <n v="149.9282700421941"/>
  </r>
  <r>
    <x v="1895"/>
    <s v="Sep"/>
    <x v="9"/>
    <s v="100 Oak St"/>
    <x v="4"/>
    <x v="1"/>
    <n v="3"/>
    <n v="3027"/>
    <n v="418177"/>
    <n v="138.14899240171786"/>
  </r>
  <r>
    <x v="1896"/>
    <s v="May"/>
    <x v="17"/>
    <s v="610 Main St"/>
    <x v="3"/>
    <x v="2"/>
    <m/>
    <n v="1094"/>
    <n v="614008"/>
    <n v="561.25045703839123"/>
  </r>
  <r>
    <x v="1060"/>
    <s v="Feb"/>
    <x v="7"/>
    <s v="226 Maple Ave"/>
    <x v="3"/>
    <x v="2"/>
    <n v="2"/>
    <n v="3022"/>
    <n v="326721"/>
    <n v="108.11416280608869"/>
  </r>
  <r>
    <x v="1897"/>
    <s v="May"/>
    <x v="2"/>
    <s v="845 Pine Rd"/>
    <x v="2"/>
    <x v="3"/>
    <n v="2"/>
    <n v="2478"/>
    <n v="682035"/>
    <n v="275.2360774818402"/>
  </r>
  <r>
    <x v="1636"/>
    <s v="May"/>
    <x v="10"/>
    <s v="425 Oak St"/>
    <x v="1"/>
    <x v="1"/>
    <n v="5"/>
    <n v="1050"/>
    <n v="296471"/>
    <n v="282.35333333333335"/>
  </r>
  <r>
    <x v="1898"/>
    <s v="Feb"/>
    <x v="19"/>
    <s v="451 Main St"/>
    <x v="0"/>
    <x v="1"/>
    <n v="5"/>
    <n v="1204"/>
    <n v="428452"/>
    <n v="355.85714285714283"/>
  </r>
  <r>
    <x v="1899"/>
    <s v="Sep"/>
    <x v="15"/>
    <s v="583 Oak St"/>
    <x v="3"/>
    <x v="3"/>
    <n v="4"/>
    <n v="925"/>
    <n v="119673"/>
    <n v="129.37621621621622"/>
  </r>
  <r>
    <x v="1900"/>
    <s v="Aug"/>
    <x v="2"/>
    <s v="332 Oak St"/>
    <x v="2"/>
    <x v="1"/>
    <n v="3"/>
    <n v="3068"/>
    <n v="225748"/>
    <n v="73.581486310299866"/>
  </r>
  <r>
    <x v="1901"/>
    <s v="Jul"/>
    <x v="0"/>
    <s v="603 Main St"/>
    <x v="4"/>
    <x v="2"/>
    <m/>
    <n v="2196"/>
    <n v="551453"/>
    <n v="251.11703096539162"/>
  </r>
  <r>
    <x v="1902"/>
    <s v="Jan"/>
    <x v="5"/>
    <s v="961 Elm St"/>
    <x v="6"/>
    <x v="3"/>
    <m/>
    <n v="1497"/>
    <n v="769937"/>
    <n v="514.31997327989313"/>
  </r>
  <r>
    <x v="982"/>
    <s v="Dec"/>
    <x v="4"/>
    <s v="808 Pine Rd"/>
    <x v="5"/>
    <x v="1"/>
    <n v="4"/>
    <n v="3339"/>
    <n v="410353"/>
    <n v="122.89697514225816"/>
  </r>
  <r>
    <x v="1903"/>
    <s v="May"/>
    <x v="14"/>
    <s v="414 Main St"/>
    <x v="6"/>
    <x v="1"/>
    <m/>
    <n v="1503"/>
    <n v="663946"/>
    <n v="441.74717232202261"/>
  </r>
  <r>
    <x v="1904"/>
    <s v="Apr"/>
    <x v="15"/>
    <s v="749 Main St"/>
    <x v="6"/>
    <x v="1"/>
    <n v="2"/>
    <n v="1699"/>
    <n v="175890"/>
    <n v="103.5256032960565"/>
  </r>
  <r>
    <x v="1905"/>
    <s v="Apr"/>
    <x v="11"/>
    <s v="522 Elm St"/>
    <x v="2"/>
    <x v="0"/>
    <n v="2"/>
    <n v="2899"/>
    <n v="366036"/>
    <n v="126.26284925836495"/>
  </r>
  <r>
    <x v="917"/>
    <s v="Jun"/>
    <x v="19"/>
    <s v="707 Main St"/>
    <x v="1"/>
    <x v="1"/>
    <n v="5"/>
    <n v="889"/>
    <n v="340264"/>
    <n v="382.74915635545557"/>
  </r>
  <r>
    <x v="1906"/>
    <s v="Aug"/>
    <x v="18"/>
    <s v="140 Elm St"/>
    <x v="5"/>
    <x v="1"/>
    <n v="3"/>
    <n v="2012"/>
    <n v="562242"/>
    <n v="279.44433399602383"/>
  </r>
  <r>
    <x v="1907"/>
    <s v="Sep"/>
    <x v="14"/>
    <s v="626 Oak St"/>
    <x v="2"/>
    <x v="3"/>
    <m/>
    <n v="1481"/>
    <n v="651511"/>
    <n v="439.91289669142469"/>
  </r>
  <r>
    <x v="1908"/>
    <s v="Aug"/>
    <x v="8"/>
    <s v="879 Elm St"/>
    <x v="6"/>
    <x v="2"/>
    <m/>
    <n v="2930"/>
    <n v="829087"/>
    <n v="282.96484641638227"/>
  </r>
  <r>
    <x v="769"/>
    <s v="Apr"/>
    <x v="9"/>
    <s v="940 Pine Rd"/>
    <x v="2"/>
    <x v="2"/>
    <n v="4"/>
    <n v="3145"/>
    <n v="690481"/>
    <n v="219.54880763116057"/>
  </r>
  <r>
    <x v="1894"/>
    <s v="Jun"/>
    <x v="16"/>
    <s v="151 Oak St"/>
    <x v="1"/>
    <x v="0"/>
    <n v="4"/>
    <n v="3084"/>
    <n v="710387"/>
    <n v="230.34597924773021"/>
  </r>
  <r>
    <x v="1909"/>
    <s v="May"/>
    <x v="14"/>
    <s v="107 Elm St"/>
    <x v="0"/>
    <x v="3"/>
    <m/>
    <n v="904"/>
    <n v="596316"/>
    <n v="659.64159292035401"/>
  </r>
  <r>
    <x v="1522"/>
    <s v="Dec"/>
    <x v="2"/>
    <s v="905 Maple Ave"/>
    <x v="3"/>
    <x v="0"/>
    <m/>
    <n v="1534"/>
    <n v="250691"/>
    <n v="163.42307692307693"/>
  </r>
  <r>
    <x v="1910"/>
    <s v="Mar"/>
    <x v="18"/>
    <s v="398 Elm St"/>
    <x v="1"/>
    <x v="3"/>
    <n v="3"/>
    <n v="1182"/>
    <n v="348562"/>
    <n v="294.89170896785112"/>
  </r>
  <r>
    <x v="396"/>
    <s v="Mar"/>
    <x v="3"/>
    <s v="948 Pine Rd"/>
    <x v="0"/>
    <x v="0"/>
    <n v="3"/>
    <n v="2754"/>
    <n v="545241"/>
    <n v="197.9814814814815"/>
  </r>
  <r>
    <x v="1911"/>
    <s v="Apr"/>
    <x v="19"/>
    <s v="162 Pine Rd"/>
    <x v="4"/>
    <x v="3"/>
    <n v="4"/>
    <n v="1166"/>
    <n v="208527"/>
    <n v="178.83962264150944"/>
  </r>
  <r>
    <x v="1912"/>
    <s v="Feb"/>
    <x v="1"/>
    <s v="135 Oak St"/>
    <x v="4"/>
    <x v="0"/>
    <n v="5"/>
    <n v="3041"/>
    <n v="159702"/>
    <n v="52.5162775402828"/>
  </r>
  <r>
    <x v="1913"/>
    <s v="Mar"/>
    <x v="5"/>
    <s v="415 Pine Rd"/>
    <x v="6"/>
    <x v="1"/>
    <m/>
    <n v="3159"/>
    <n v="465688"/>
    <n v="147.41627097182652"/>
  </r>
  <r>
    <x v="1914"/>
    <s v="Feb"/>
    <x v="15"/>
    <s v="422 Maple Ave"/>
    <x v="0"/>
    <x v="0"/>
    <n v="5"/>
    <n v="3479"/>
    <n v="509693"/>
    <n v="146.50560505892497"/>
  </r>
  <r>
    <x v="1915"/>
    <s v="Sep"/>
    <x v="0"/>
    <s v="368 Pine Rd"/>
    <x v="3"/>
    <x v="1"/>
    <n v="2"/>
    <n v="2018"/>
    <n v="361619"/>
    <n v="179.19672943508425"/>
  </r>
  <r>
    <x v="1238"/>
    <s v="Mar"/>
    <x v="19"/>
    <s v="818 Elm St"/>
    <x v="0"/>
    <x v="1"/>
    <m/>
    <n v="1283"/>
    <n v="708933"/>
    <n v="552.55884645362437"/>
  </r>
  <r>
    <x v="1489"/>
    <s v="Feb"/>
    <x v="17"/>
    <s v="970 Main St"/>
    <x v="5"/>
    <x v="0"/>
    <m/>
    <n v="3401"/>
    <n v="452100"/>
    <n v="132.93149073801823"/>
  </r>
  <r>
    <x v="1916"/>
    <s v="Apr"/>
    <x v="17"/>
    <s v="535 Oak St"/>
    <x v="0"/>
    <x v="3"/>
    <n v="2"/>
    <n v="3304"/>
    <n v="617879"/>
    <n v="187.00938256658597"/>
  </r>
  <r>
    <x v="1917"/>
    <s v="Jan"/>
    <x v="5"/>
    <s v="769 Pine Rd"/>
    <x v="4"/>
    <x v="0"/>
    <n v="2"/>
    <n v="2345"/>
    <n v="187568"/>
    <n v="79.986353944562893"/>
  </r>
  <r>
    <x v="1728"/>
    <s v="Dec"/>
    <x v="10"/>
    <s v="114 Elm St"/>
    <x v="1"/>
    <x v="1"/>
    <m/>
    <n v="3299"/>
    <n v="417093"/>
    <n v="126.43013034252805"/>
  </r>
  <r>
    <x v="1918"/>
    <s v="May"/>
    <x v="6"/>
    <s v="778 Main St"/>
    <x v="0"/>
    <x v="3"/>
    <n v="4"/>
    <n v="1773"/>
    <n v="624250"/>
    <n v="352.08685843203608"/>
  </r>
  <r>
    <x v="1919"/>
    <s v="Jun"/>
    <x v="12"/>
    <s v="507 Main St"/>
    <x v="6"/>
    <x v="1"/>
    <m/>
    <n v="2011"/>
    <n v="304236"/>
    <n v="151.28592739930383"/>
  </r>
  <r>
    <x v="1920"/>
    <s v="Aug"/>
    <x v="17"/>
    <s v="474 Maple Ave"/>
    <x v="6"/>
    <x v="0"/>
    <n v="4"/>
    <n v="3348"/>
    <n v="109531"/>
    <n v="32.715352449223417"/>
  </r>
  <r>
    <x v="1921"/>
    <s v="May"/>
    <x v="2"/>
    <s v="287 Maple Ave"/>
    <x v="3"/>
    <x v="2"/>
    <n v="2"/>
    <n v="2176"/>
    <n v="536079"/>
    <n v="246.35983455882354"/>
  </r>
  <r>
    <x v="115"/>
    <s v="Feb"/>
    <x v="0"/>
    <s v="387 Oak St"/>
    <x v="0"/>
    <x v="0"/>
    <n v="5"/>
    <n v="1665"/>
    <n v="637656"/>
    <n v="382.97657657657658"/>
  </r>
  <r>
    <x v="1216"/>
    <s v="Mar"/>
    <x v="13"/>
    <s v="739 Pine Rd"/>
    <x v="1"/>
    <x v="3"/>
    <m/>
    <n v="1505"/>
    <n v="882882"/>
    <n v="586.63255813953492"/>
  </r>
  <r>
    <x v="1756"/>
    <s v="Feb"/>
    <x v="17"/>
    <s v="709 Elm St"/>
    <x v="0"/>
    <x v="2"/>
    <n v="5"/>
    <n v="2558"/>
    <n v="680408"/>
    <n v="265.99218139171228"/>
  </r>
  <r>
    <x v="1684"/>
    <s v="Sep"/>
    <x v="14"/>
    <s v="314 Main St"/>
    <x v="0"/>
    <x v="3"/>
    <n v="4"/>
    <n v="2846"/>
    <n v="709341"/>
    <n v="249.24139142656361"/>
  </r>
  <r>
    <x v="1922"/>
    <s v="Sep"/>
    <x v="6"/>
    <s v="853 Elm St"/>
    <x v="4"/>
    <x v="3"/>
    <n v="2"/>
    <n v="2286"/>
    <n v="330531"/>
    <n v="144.58923884514437"/>
  </r>
  <r>
    <x v="1787"/>
    <s v="Jun"/>
    <x v="18"/>
    <s v="160 Oak St"/>
    <x v="0"/>
    <x v="3"/>
    <n v="2"/>
    <n v="3290"/>
    <n v="508511"/>
    <n v="154.56261398176292"/>
  </r>
  <r>
    <x v="1923"/>
    <s v="Jun"/>
    <x v="8"/>
    <s v="632 Elm St"/>
    <x v="3"/>
    <x v="2"/>
    <m/>
    <n v="1006"/>
    <n v="745266"/>
    <n v="740.8210735586481"/>
  </r>
  <r>
    <x v="1924"/>
    <s v="Jul"/>
    <x v="7"/>
    <s v="102 Elm St"/>
    <x v="1"/>
    <x v="1"/>
    <n v="5"/>
    <n v="2718"/>
    <n v="697449"/>
    <n v="256.6037527593819"/>
  </r>
  <r>
    <x v="1925"/>
    <s v="Jun"/>
    <x v="11"/>
    <s v="877 Main St"/>
    <x v="0"/>
    <x v="3"/>
    <n v="5"/>
    <n v="3419"/>
    <n v="588375"/>
    <n v="172.08979233694063"/>
  </r>
  <r>
    <x v="1926"/>
    <s v="Mar"/>
    <x v="7"/>
    <s v="218 Elm St"/>
    <x v="5"/>
    <x v="2"/>
    <n v="3"/>
    <n v="3493"/>
    <n v="321474"/>
    <n v="92.033781849413117"/>
  </r>
  <r>
    <x v="1927"/>
    <s v="Dec"/>
    <x v="19"/>
    <s v="292 Oak St"/>
    <x v="4"/>
    <x v="3"/>
    <n v="4"/>
    <n v="1376"/>
    <n v="509110"/>
    <n v="369.99273255813955"/>
  </r>
  <r>
    <x v="1599"/>
    <s v="Apr"/>
    <x v="16"/>
    <s v="213 Oak St"/>
    <x v="6"/>
    <x v="2"/>
    <n v="5"/>
    <n v="3425"/>
    <n v="826452"/>
    <n v="241.29985401459854"/>
  </r>
  <r>
    <x v="1928"/>
    <s v="May"/>
    <x v="9"/>
    <s v="297 Pine Rd"/>
    <x v="6"/>
    <x v="2"/>
    <n v="5"/>
    <n v="2331"/>
    <n v="742704"/>
    <n v="318.62033462033463"/>
  </r>
  <r>
    <x v="1929"/>
    <s v="Jan"/>
    <x v="14"/>
    <s v="373 Oak St"/>
    <x v="1"/>
    <x v="3"/>
    <n v="2"/>
    <n v="2885"/>
    <n v="302044"/>
    <n v="104.6946273830156"/>
  </r>
  <r>
    <x v="1930"/>
    <s v="Sep"/>
    <x v="15"/>
    <s v="557 Main St"/>
    <x v="2"/>
    <x v="1"/>
    <n v="3"/>
    <n v="1130"/>
    <n v="826347"/>
    <n v="731.28053097345128"/>
  </r>
  <r>
    <x v="1931"/>
    <s v="Jun"/>
    <x v="14"/>
    <s v="974 Main St"/>
    <x v="1"/>
    <x v="0"/>
    <n v="4"/>
    <n v="3400"/>
    <n v="718503"/>
    <n v="211.32441176470587"/>
  </r>
  <r>
    <x v="962"/>
    <s v="Apr"/>
    <x v="2"/>
    <s v="353 Oak St"/>
    <x v="5"/>
    <x v="3"/>
    <n v="2"/>
    <n v="2347"/>
    <n v="678802"/>
    <n v="289.2211333617384"/>
  </r>
  <r>
    <x v="1893"/>
    <s v="Feb"/>
    <x v="13"/>
    <s v="230 Maple Ave"/>
    <x v="2"/>
    <x v="1"/>
    <n v="3"/>
    <n v="3290"/>
    <n v="268645"/>
    <n v="81.655015197568389"/>
  </r>
  <r>
    <x v="1932"/>
    <s v="Feb"/>
    <x v="12"/>
    <s v="748 Main St"/>
    <x v="6"/>
    <x v="3"/>
    <n v="5"/>
    <n v="3004"/>
    <n v="168024"/>
    <n v="55.933422103861517"/>
  </r>
  <r>
    <x v="1933"/>
    <s v="Jul"/>
    <x v="9"/>
    <s v="734 Maple Ave"/>
    <x v="4"/>
    <x v="3"/>
    <n v="3"/>
    <n v="3029"/>
    <n v="781325"/>
    <n v="257.94816771211623"/>
  </r>
  <r>
    <x v="1934"/>
    <s v="Aug"/>
    <x v="17"/>
    <s v="743 Main St"/>
    <x v="0"/>
    <x v="1"/>
    <n v="5"/>
    <n v="2847"/>
    <n v="765525"/>
    <n v="268.88830347734455"/>
  </r>
  <r>
    <x v="1935"/>
    <s v="Nov"/>
    <x v="7"/>
    <s v="993 Oak St"/>
    <x v="6"/>
    <x v="1"/>
    <m/>
    <n v="3024"/>
    <n v="256812"/>
    <n v="84.924603174603178"/>
  </r>
  <r>
    <x v="1936"/>
    <s v="Apr"/>
    <x v="2"/>
    <s v="280 Oak St"/>
    <x v="0"/>
    <x v="1"/>
    <n v="4"/>
    <n v="3148"/>
    <n v="279688"/>
    <n v="88.846251588310039"/>
  </r>
  <r>
    <x v="1937"/>
    <s v="Nov"/>
    <x v="3"/>
    <s v="594 Main St"/>
    <x v="0"/>
    <x v="1"/>
    <n v="5"/>
    <n v="2264"/>
    <n v="479576"/>
    <n v="211.8268551236749"/>
  </r>
  <r>
    <x v="1938"/>
    <s v="Sep"/>
    <x v="0"/>
    <s v="171 Pine Rd"/>
    <x v="6"/>
    <x v="3"/>
    <m/>
    <n v="2939"/>
    <n v="764214"/>
    <n v="260.02517863218782"/>
  </r>
  <r>
    <x v="1939"/>
    <s v="Jun"/>
    <x v="8"/>
    <s v="128 Main St"/>
    <x v="5"/>
    <x v="1"/>
    <n v="2"/>
    <n v="2189"/>
    <n v="587286"/>
    <n v="268.28962996802193"/>
  </r>
  <r>
    <x v="1940"/>
    <s v="Dec"/>
    <x v="7"/>
    <s v="178 Main St"/>
    <x v="0"/>
    <x v="3"/>
    <n v="4"/>
    <n v="2387"/>
    <n v="180287"/>
    <n v="75.528697109342275"/>
  </r>
  <r>
    <x v="1941"/>
    <s v="Mar"/>
    <x v="18"/>
    <s v="713 Oak St"/>
    <x v="2"/>
    <x v="0"/>
    <m/>
    <n v="2233"/>
    <n v="749544"/>
    <n v="335.666815942678"/>
  </r>
  <r>
    <x v="1942"/>
    <s v="Mar"/>
    <x v="9"/>
    <s v="221 Oak St"/>
    <x v="4"/>
    <x v="1"/>
    <n v="3"/>
    <n v="932"/>
    <n v="622592"/>
    <n v="668.01716738197422"/>
  </r>
  <r>
    <x v="1943"/>
    <s v="Jun"/>
    <x v="14"/>
    <s v="314 Oak St"/>
    <x v="5"/>
    <x v="1"/>
    <m/>
    <n v="2492"/>
    <n v="479035"/>
    <n v="192.22913322632425"/>
  </r>
  <r>
    <x v="1619"/>
    <s v="Aug"/>
    <x v="15"/>
    <s v="747 Main St"/>
    <x v="4"/>
    <x v="3"/>
    <m/>
    <n v="3178"/>
    <n v="579918"/>
    <n v="182.47891755821271"/>
  </r>
  <r>
    <x v="1944"/>
    <s v="Jun"/>
    <x v="1"/>
    <s v="729 Elm St"/>
    <x v="0"/>
    <x v="0"/>
    <m/>
    <n v="1246"/>
    <n v="510925"/>
    <n v="410.05216693418942"/>
  </r>
  <r>
    <x v="485"/>
    <s v="Jun"/>
    <x v="13"/>
    <s v="989 Oak St"/>
    <x v="2"/>
    <x v="3"/>
    <n v="3"/>
    <n v="2529"/>
    <m/>
    <n v="0"/>
  </r>
  <r>
    <x v="1945"/>
    <s v="Aug"/>
    <x v="14"/>
    <s v="550 Oak St"/>
    <x v="2"/>
    <x v="1"/>
    <m/>
    <n v="2206"/>
    <n v="500980"/>
    <n v="227.09882139619219"/>
  </r>
  <r>
    <x v="1946"/>
    <s v="Apr"/>
    <x v="9"/>
    <s v="304 Maple Ave"/>
    <x v="6"/>
    <x v="0"/>
    <m/>
    <n v="1513"/>
    <n v="570210"/>
    <n v="376.87376074025116"/>
  </r>
  <r>
    <x v="1947"/>
    <s v="Jun"/>
    <x v="7"/>
    <s v="235 Oak St"/>
    <x v="6"/>
    <x v="1"/>
    <m/>
    <n v="2031"/>
    <n v="231369"/>
    <n v="113.91875923190547"/>
  </r>
  <r>
    <x v="1948"/>
    <s v="Mar"/>
    <x v="13"/>
    <s v="902 Maple Ave"/>
    <x v="0"/>
    <x v="1"/>
    <n v="5"/>
    <n v="2553"/>
    <n v="558640"/>
    <n v="218.81707794751273"/>
  </r>
  <r>
    <x v="1268"/>
    <s v="Dec"/>
    <x v="0"/>
    <s v="472 Elm St"/>
    <x v="6"/>
    <x v="3"/>
    <m/>
    <n v="1353"/>
    <n v="413341"/>
    <n v="305.49963045084996"/>
  </r>
  <r>
    <x v="1949"/>
    <s v="Jul"/>
    <x v="9"/>
    <s v="838 Pine Rd"/>
    <x v="6"/>
    <x v="1"/>
    <n v="2"/>
    <n v="2588"/>
    <n v="249369"/>
    <n v="96.355873261205559"/>
  </r>
  <r>
    <x v="1950"/>
    <s v="Sep"/>
    <x v="13"/>
    <s v="299 Maple Ave"/>
    <x v="1"/>
    <x v="0"/>
    <m/>
    <n v="2114"/>
    <n v="829552"/>
    <n v="392.40870387890254"/>
  </r>
  <r>
    <x v="1951"/>
    <s v="Apr"/>
    <x v="2"/>
    <s v="505 Main St"/>
    <x v="2"/>
    <x v="0"/>
    <m/>
    <n v="1258"/>
    <n v="664794"/>
    <n v="528.45310015898247"/>
  </r>
  <r>
    <x v="1952"/>
    <s v="Jun"/>
    <x v="5"/>
    <s v="139 Elm St"/>
    <x v="3"/>
    <x v="1"/>
    <n v="5"/>
    <n v="1830"/>
    <n v="525569"/>
    <n v="287.19617486338797"/>
  </r>
  <r>
    <x v="1388"/>
    <s v="Jun"/>
    <x v="13"/>
    <s v="188 Elm St"/>
    <x v="2"/>
    <x v="1"/>
    <n v="4"/>
    <n v="996"/>
    <n v="311633"/>
    <n v="312.88453815261045"/>
  </r>
  <r>
    <x v="1953"/>
    <s v="Mar"/>
    <x v="4"/>
    <s v="488 Oak St"/>
    <x v="0"/>
    <x v="2"/>
    <n v="5"/>
    <n v="2023"/>
    <n v="827116"/>
    <n v="408.85615422639643"/>
  </r>
  <r>
    <x v="999"/>
    <s v="Mar"/>
    <x v="6"/>
    <s v="372 Elm St"/>
    <x v="4"/>
    <x v="3"/>
    <n v="3"/>
    <n v="1554"/>
    <n v="635761"/>
    <n v="409.11261261261262"/>
  </r>
  <r>
    <x v="1954"/>
    <s v="Jan"/>
    <x v="19"/>
    <s v="503 Maple Ave"/>
    <x v="3"/>
    <x v="2"/>
    <n v="5"/>
    <n v="1970"/>
    <n v="629443"/>
    <n v="319.51421319796953"/>
  </r>
  <r>
    <x v="198"/>
    <s v="Sep"/>
    <x v="18"/>
    <s v="100 Pine Rd"/>
    <x v="4"/>
    <x v="2"/>
    <n v="4"/>
    <n v="1418"/>
    <n v="854541"/>
    <n v="602.63822284908326"/>
  </r>
  <r>
    <x v="1955"/>
    <s v="Apr"/>
    <x v="18"/>
    <s v="824 Maple Ave"/>
    <x v="4"/>
    <x v="1"/>
    <m/>
    <n v="3333"/>
    <m/>
    <n v="0"/>
  </r>
  <r>
    <x v="218"/>
    <s v="Jan"/>
    <x v="14"/>
    <s v="672 Elm St"/>
    <x v="5"/>
    <x v="2"/>
    <n v="2"/>
    <n v="1161"/>
    <n v="549013"/>
    <n v="472.87941429801896"/>
  </r>
  <r>
    <x v="1956"/>
    <s v="Mar"/>
    <x v="15"/>
    <s v="548 Oak St"/>
    <x v="0"/>
    <x v="1"/>
    <n v="2"/>
    <n v="1054"/>
    <n v="667824"/>
    <n v="633.6091081593928"/>
  </r>
  <r>
    <x v="1957"/>
    <s v="Apr"/>
    <x v="3"/>
    <s v="769 Main St"/>
    <x v="0"/>
    <x v="1"/>
    <m/>
    <n v="1485"/>
    <n v="378841"/>
    <n v="255.11178451178452"/>
  </r>
  <r>
    <x v="1958"/>
    <s v="Jan"/>
    <x v="4"/>
    <s v="377 Elm St"/>
    <x v="6"/>
    <x v="2"/>
    <n v="3"/>
    <n v="1354"/>
    <n v="414918"/>
    <n v="306.43870014771051"/>
  </r>
  <r>
    <x v="1959"/>
    <s v="Sep"/>
    <x v="0"/>
    <s v="123 Oak St"/>
    <x v="4"/>
    <x v="1"/>
    <m/>
    <n v="1632"/>
    <n v="179213"/>
    <n v="109.81188725490196"/>
  </r>
  <r>
    <x v="1960"/>
    <s v="Apr"/>
    <x v="9"/>
    <s v="368 Elm St"/>
    <x v="0"/>
    <x v="0"/>
    <m/>
    <n v="2309"/>
    <n v="420919"/>
    <n v="182.29493287137288"/>
  </r>
  <r>
    <x v="1961"/>
    <s v="Dec"/>
    <x v="4"/>
    <s v="510 Pine Rd"/>
    <x v="0"/>
    <x v="1"/>
    <n v="3"/>
    <n v="2522"/>
    <n v="657947"/>
    <n v="260.88302934179222"/>
  </r>
  <r>
    <x v="394"/>
    <s v="Apr"/>
    <x v="4"/>
    <s v="824 Oak St"/>
    <x v="5"/>
    <x v="3"/>
    <n v="2"/>
    <n v="3308"/>
    <n v="177723"/>
    <n v="53.725211608222494"/>
  </r>
  <r>
    <x v="892"/>
    <s v="Jan"/>
    <x v="9"/>
    <s v="493 Pine Rd"/>
    <x v="4"/>
    <x v="2"/>
    <n v="4"/>
    <n v="810"/>
    <n v="271816"/>
    <n v="335.57530864197531"/>
  </r>
  <r>
    <x v="1962"/>
    <s v="Sep"/>
    <x v="11"/>
    <s v="202 Maple Ave"/>
    <x v="5"/>
    <x v="2"/>
    <m/>
    <n v="1885"/>
    <n v="412110"/>
    <n v="218.62599469496021"/>
  </r>
  <r>
    <x v="1963"/>
    <s v="Jan"/>
    <x v="1"/>
    <s v="149 Oak St"/>
    <x v="4"/>
    <x v="0"/>
    <n v="4"/>
    <n v="3361"/>
    <n v="895601"/>
    <n v="266.46861053257959"/>
  </r>
  <r>
    <x v="1964"/>
    <s v="May"/>
    <x v="10"/>
    <s v="722 Pine Rd"/>
    <x v="2"/>
    <x v="2"/>
    <n v="2"/>
    <n v="1336"/>
    <n v="141708"/>
    <n v="106.06886227544911"/>
  </r>
  <r>
    <x v="1965"/>
    <s v="Jul"/>
    <x v="18"/>
    <s v="195 Elm St"/>
    <x v="6"/>
    <x v="2"/>
    <m/>
    <n v="2165"/>
    <n v="558303"/>
    <n v="257.87667436489608"/>
  </r>
  <r>
    <x v="1966"/>
    <s v="Feb"/>
    <x v="7"/>
    <s v="915 Maple Ave"/>
    <x v="6"/>
    <x v="2"/>
    <n v="2"/>
    <n v="2460"/>
    <n v="396761"/>
    <n v="161.28495934959349"/>
  </r>
  <r>
    <x v="1967"/>
    <s v="Apr"/>
    <x v="12"/>
    <s v="297 Maple Ave"/>
    <x v="6"/>
    <x v="3"/>
    <n v="4"/>
    <n v="2784"/>
    <n v="212933"/>
    <n v="76.484554597701148"/>
  </r>
  <r>
    <x v="1968"/>
    <s v="Nov"/>
    <x v="16"/>
    <s v="730 Maple Ave"/>
    <x v="6"/>
    <x v="2"/>
    <n v="2"/>
    <n v="1111"/>
    <n v="394080"/>
    <n v="354.70747074707469"/>
  </r>
  <r>
    <x v="1969"/>
    <s v="Nov"/>
    <x v="16"/>
    <s v="843 Elm St"/>
    <x v="4"/>
    <x v="3"/>
    <n v="4"/>
    <n v="2808"/>
    <n v="408892"/>
    <n v="145.61680911680912"/>
  </r>
  <r>
    <x v="1970"/>
    <s v="Sep"/>
    <x v="13"/>
    <s v="600 Maple Ave"/>
    <x v="2"/>
    <x v="0"/>
    <n v="4"/>
    <n v="3139"/>
    <n v="741369"/>
    <n v="236.17999362854411"/>
  </r>
  <r>
    <x v="1651"/>
    <s v="May"/>
    <x v="6"/>
    <s v="329 Maple Ave"/>
    <x v="6"/>
    <x v="3"/>
    <n v="5"/>
    <n v="3149"/>
    <n v="103174"/>
    <n v="32.764052080025408"/>
  </r>
  <r>
    <x v="1757"/>
    <s v="Aug"/>
    <x v="12"/>
    <s v="498 Oak St"/>
    <x v="4"/>
    <x v="1"/>
    <n v="3"/>
    <n v="1116"/>
    <n v="212543"/>
    <n v="190.45071684587813"/>
  </r>
  <r>
    <x v="1971"/>
    <s v="Dec"/>
    <x v="0"/>
    <s v="810 Maple Ave"/>
    <x v="0"/>
    <x v="2"/>
    <m/>
    <n v="1367"/>
    <n v="527441"/>
    <n v="385.83833211411849"/>
  </r>
  <r>
    <x v="1069"/>
    <s v="May"/>
    <x v="9"/>
    <s v="412 Oak St"/>
    <x v="5"/>
    <x v="0"/>
    <m/>
    <n v="3286"/>
    <n v="169925"/>
    <n v="51.711807668898359"/>
  </r>
  <r>
    <x v="1972"/>
    <s v="Aug"/>
    <x v="11"/>
    <s v="271 Oak St"/>
    <x v="1"/>
    <x v="1"/>
    <m/>
    <n v="3472"/>
    <n v="392520"/>
    <n v="113.05299539170507"/>
  </r>
  <r>
    <x v="1973"/>
    <s v="May"/>
    <x v="14"/>
    <s v="746 Oak St"/>
    <x v="0"/>
    <x v="1"/>
    <n v="5"/>
    <n v="3385"/>
    <n v="845649"/>
    <n v="249.82245199409158"/>
  </r>
  <r>
    <x v="725"/>
    <s v="Mar"/>
    <x v="17"/>
    <s v="932 Maple Ave"/>
    <x v="3"/>
    <x v="3"/>
    <m/>
    <n v="1404"/>
    <n v="555935"/>
    <n v="395.96509971509971"/>
  </r>
  <r>
    <x v="1974"/>
    <s v="Dec"/>
    <x v="9"/>
    <s v="829 Oak St"/>
    <x v="6"/>
    <x v="1"/>
    <m/>
    <n v="3386"/>
    <n v="576710"/>
    <n v="170.32191376255167"/>
  </r>
  <r>
    <x v="1269"/>
    <s v="Aug"/>
    <x v="11"/>
    <s v="438 Elm St"/>
    <x v="0"/>
    <x v="3"/>
    <n v="4"/>
    <n v="3274"/>
    <n v="614245"/>
    <n v="187.61301160659744"/>
  </r>
  <r>
    <x v="494"/>
    <s v="Dec"/>
    <x v="12"/>
    <s v="750 Maple Ave"/>
    <x v="2"/>
    <x v="3"/>
    <m/>
    <n v="1855"/>
    <n v="503109"/>
    <n v="271.21778975741239"/>
  </r>
  <r>
    <x v="1975"/>
    <s v="Feb"/>
    <x v="17"/>
    <s v="185 Main St"/>
    <x v="5"/>
    <x v="3"/>
    <m/>
    <n v="1661"/>
    <n v="336155"/>
    <n v="202.38109572546659"/>
  </r>
  <r>
    <x v="358"/>
    <s v="Jul"/>
    <x v="6"/>
    <s v="210 Elm St"/>
    <x v="5"/>
    <x v="0"/>
    <m/>
    <n v="1360"/>
    <n v="807131"/>
    <n v="593.4786764705882"/>
  </r>
  <r>
    <x v="1325"/>
    <s v="Mar"/>
    <x v="12"/>
    <s v="542 Pine Rd"/>
    <x v="2"/>
    <x v="1"/>
    <n v="5"/>
    <n v="1319"/>
    <n v="897332"/>
    <n v="680.31235784685373"/>
  </r>
  <r>
    <x v="298"/>
    <s v="Apr"/>
    <x v="4"/>
    <s v="763 Maple Ave"/>
    <x v="6"/>
    <x v="2"/>
    <m/>
    <n v="2349"/>
    <n v="392635"/>
    <n v="167.14985100042571"/>
  </r>
  <r>
    <x v="1976"/>
    <s v="Sep"/>
    <x v="15"/>
    <s v="816 Maple Ave"/>
    <x v="0"/>
    <x v="2"/>
    <m/>
    <n v="1092"/>
    <n v="205766"/>
    <n v="188.43040293040292"/>
  </r>
  <r>
    <x v="1977"/>
    <s v="Dec"/>
    <x v="0"/>
    <s v="440 Main St"/>
    <x v="6"/>
    <x v="2"/>
    <m/>
    <n v="2771"/>
    <n v="737737"/>
    <n v="266.23493323709852"/>
  </r>
  <r>
    <x v="1978"/>
    <s v="Feb"/>
    <x v="9"/>
    <s v="530 Pine Rd"/>
    <x v="4"/>
    <x v="1"/>
    <m/>
    <n v="810"/>
    <n v="358449"/>
    <n v="442.52962962962965"/>
  </r>
  <r>
    <x v="1979"/>
    <s v="Jun"/>
    <x v="17"/>
    <s v="717 Elm St"/>
    <x v="3"/>
    <x v="1"/>
    <n v="5"/>
    <n v="2242"/>
    <n v="786446"/>
    <n v="350.77876895628901"/>
  </r>
  <r>
    <x v="1137"/>
    <s v="Sep"/>
    <x v="5"/>
    <s v="333 Oak St"/>
    <x v="3"/>
    <x v="3"/>
    <m/>
    <n v="2654"/>
    <n v="233420"/>
    <n v="87.950263752825919"/>
  </r>
  <r>
    <x v="1232"/>
    <s v="Oct"/>
    <x v="4"/>
    <s v="237 Maple Ave"/>
    <x v="1"/>
    <x v="2"/>
    <n v="2"/>
    <n v="1347"/>
    <n v="586085"/>
    <n v="435.1039346696362"/>
  </r>
  <r>
    <x v="1980"/>
    <s v="Oct"/>
    <x v="0"/>
    <s v="602 Oak St"/>
    <x v="0"/>
    <x v="3"/>
    <n v="5"/>
    <n v="1870"/>
    <n v="716798"/>
    <n v="383.3144385026738"/>
  </r>
  <r>
    <x v="1981"/>
    <s v="Nov"/>
    <x v="2"/>
    <s v="716 Maple Ave"/>
    <x v="4"/>
    <x v="2"/>
    <m/>
    <n v="2421"/>
    <n v="657673"/>
    <n v="271.65344898802147"/>
  </r>
  <r>
    <x v="1982"/>
    <s v="Oct"/>
    <x v="10"/>
    <s v="997 Maple Ave"/>
    <x v="0"/>
    <x v="2"/>
    <n v="3"/>
    <n v="998"/>
    <n v="484164"/>
    <n v="485.13426853707415"/>
  </r>
  <r>
    <x v="1983"/>
    <s v="Oct"/>
    <x v="9"/>
    <s v="577 Oak St"/>
    <x v="4"/>
    <x v="1"/>
    <n v="2"/>
    <n v="3305"/>
    <n v="175740"/>
    <n v="53.17397881996974"/>
  </r>
  <r>
    <x v="466"/>
    <s v="Aug"/>
    <x v="18"/>
    <s v="885 Maple Ave"/>
    <x v="6"/>
    <x v="0"/>
    <m/>
    <n v="2062"/>
    <n v="637116"/>
    <n v="308.97963142580022"/>
  </r>
  <r>
    <x v="466"/>
    <s v="Aug"/>
    <x v="18"/>
    <s v="896 Main St"/>
    <x v="3"/>
    <x v="0"/>
    <n v="3"/>
    <n v="2652"/>
    <n v="895299"/>
    <n v="337.59389140271492"/>
  </r>
  <r>
    <x v="1422"/>
    <s v="Oct"/>
    <x v="11"/>
    <s v="393 Main St"/>
    <x v="0"/>
    <x v="3"/>
    <n v="4"/>
    <n v="2897"/>
    <n v="299056"/>
    <n v="103.22954780807733"/>
  </r>
  <r>
    <x v="1055"/>
    <s v="Dec"/>
    <x v="17"/>
    <s v="701 Oak St"/>
    <x v="6"/>
    <x v="0"/>
    <n v="5"/>
    <n v="1536"/>
    <n v="804702"/>
    <n v="523.89453125"/>
  </r>
  <r>
    <x v="1984"/>
    <s v="Apr"/>
    <x v="3"/>
    <s v="359 Maple Ave"/>
    <x v="0"/>
    <x v="2"/>
    <n v="2"/>
    <n v="1089"/>
    <n v="310403"/>
    <n v="285.03489439853075"/>
  </r>
  <r>
    <x v="584"/>
    <s v="May"/>
    <x v="18"/>
    <s v="552 Maple Ave"/>
    <x v="0"/>
    <x v="1"/>
    <n v="3"/>
    <n v="2640"/>
    <n v="750217"/>
    <n v="284.17310606060607"/>
  </r>
  <r>
    <x v="1985"/>
    <s v="May"/>
    <x v="4"/>
    <s v="148 Oak St"/>
    <x v="0"/>
    <x v="2"/>
    <n v="3"/>
    <n v="3380"/>
    <n v="348915"/>
    <n v="103.22928994082841"/>
  </r>
  <r>
    <x v="1825"/>
    <s v="Jun"/>
    <x v="9"/>
    <s v="993 Pine Rd"/>
    <x v="4"/>
    <x v="3"/>
    <m/>
    <n v="1217"/>
    <n v="847308"/>
    <n v="696.22678718159409"/>
  </r>
  <r>
    <x v="1986"/>
    <s v="Jul"/>
    <x v="17"/>
    <s v="552 Oak St"/>
    <x v="6"/>
    <x v="0"/>
    <m/>
    <n v="3001"/>
    <n v="222361"/>
    <n v="74.095634788403871"/>
  </r>
  <r>
    <x v="1987"/>
    <s v="Aug"/>
    <x v="6"/>
    <s v="985 Oak St"/>
    <x v="3"/>
    <x v="1"/>
    <n v="5"/>
    <n v="1267"/>
    <n v="246115"/>
    <n v="194.25019731649567"/>
  </r>
  <r>
    <x v="1988"/>
    <s v="Aug"/>
    <x v="4"/>
    <s v="497 Elm St"/>
    <x v="0"/>
    <x v="2"/>
    <n v="3"/>
    <n v="1313"/>
    <n v="689480"/>
    <n v="525.11805026656509"/>
  </r>
  <r>
    <x v="242"/>
    <s v="Jan"/>
    <x v="12"/>
    <s v="190 Maple Ave"/>
    <x v="5"/>
    <x v="1"/>
    <n v="4"/>
    <n v="819"/>
    <n v="383326"/>
    <n v="468.04151404151406"/>
  </r>
  <r>
    <x v="1989"/>
    <s v="May"/>
    <x v="18"/>
    <s v="130 Oak St"/>
    <x v="4"/>
    <x v="0"/>
    <n v="3"/>
    <n v="1190"/>
    <n v="150339"/>
    <n v="126.33529411764705"/>
  </r>
  <r>
    <x v="1990"/>
    <s v="Aug"/>
    <x v="8"/>
    <s v="495 Main St"/>
    <x v="6"/>
    <x v="0"/>
    <m/>
    <n v="1764"/>
    <n v="301607"/>
    <n v="170.97902494331066"/>
  </r>
  <r>
    <x v="1991"/>
    <s v="Jan"/>
    <x v="10"/>
    <s v="376 Pine Rd"/>
    <x v="4"/>
    <x v="1"/>
    <n v="5"/>
    <n v="3157"/>
    <n v="520634"/>
    <n v="164.91415901171999"/>
  </r>
  <r>
    <x v="1992"/>
    <s v="Dec"/>
    <x v="16"/>
    <s v="856 Elm St"/>
    <x v="1"/>
    <x v="3"/>
    <n v="4"/>
    <n v="2940"/>
    <n v="292122"/>
    <n v="99.361224489795916"/>
  </r>
  <r>
    <x v="1773"/>
    <s v="Feb"/>
    <x v="4"/>
    <s v="740 Main St"/>
    <x v="6"/>
    <x v="2"/>
    <m/>
    <n v="1617"/>
    <n v="274908"/>
    <n v="170.01113172541744"/>
  </r>
  <r>
    <x v="1993"/>
    <s v="Feb"/>
    <x v="12"/>
    <s v="910 Main St"/>
    <x v="5"/>
    <x v="3"/>
    <m/>
    <n v="903"/>
    <n v="163830"/>
    <n v="181.42857142857142"/>
  </r>
  <r>
    <x v="1994"/>
    <s v="Oct"/>
    <x v="5"/>
    <s v="447 Maple Ave"/>
    <x v="1"/>
    <x v="1"/>
    <n v="4"/>
    <n v="2571"/>
    <n v="287660"/>
    <n v="111.88642551536367"/>
  </r>
  <r>
    <x v="345"/>
    <s v="Jan"/>
    <x v="11"/>
    <s v="998 Elm St"/>
    <x v="6"/>
    <x v="1"/>
    <n v="5"/>
    <n v="2539"/>
    <n v="159135"/>
    <n v="62.676250492319809"/>
  </r>
  <r>
    <x v="1995"/>
    <s v="Jul"/>
    <x v="17"/>
    <s v="535 Elm St"/>
    <x v="4"/>
    <x v="0"/>
    <n v="3"/>
    <n v="3340"/>
    <n v="280241"/>
    <n v="83.904491017964077"/>
  </r>
  <r>
    <x v="1996"/>
    <s v="Sep"/>
    <x v="4"/>
    <s v="409 Pine Rd"/>
    <x v="6"/>
    <x v="2"/>
    <m/>
    <n v="1134"/>
    <n v="887802"/>
    <n v="782.89417989417984"/>
  </r>
  <r>
    <x v="1997"/>
    <s v="Dec"/>
    <x v="14"/>
    <s v="418 Oak St"/>
    <x v="2"/>
    <x v="3"/>
    <n v="4"/>
    <n v="891"/>
    <n v="618945"/>
    <n v="694.66329966329965"/>
  </r>
  <r>
    <x v="1998"/>
    <s v="Jun"/>
    <x v="9"/>
    <s v="428 Main St"/>
    <x v="4"/>
    <x v="2"/>
    <n v="4"/>
    <n v="1055"/>
    <n v="608664"/>
    <n v="576.93270142180097"/>
  </r>
  <r>
    <x v="1999"/>
    <s v="Jan"/>
    <x v="5"/>
    <s v="156 Main St"/>
    <x v="5"/>
    <x v="1"/>
    <n v="4"/>
    <n v="1978"/>
    <n v="193483"/>
    <n v="97.817492416582411"/>
  </r>
  <r>
    <x v="2000"/>
    <s v="Sep"/>
    <x v="5"/>
    <s v="904 Pine Rd"/>
    <x v="2"/>
    <x v="1"/>
    <m/>
    <n v="1430"/>
    <n v="721373"/>
    <n v="504.45664335664338"/>
  </r>
  <r>
    <x v="215"/>
    <s v="Dec"/>
    <x v="0"/>
    <s v="533 Elm St"/>
    <x v="4"/>
    <x v="2"/>
    <n v="4"/>
    <n v="1870"/>
    <n v="122268"/>
    <n v="65.383957219251343"/>
  </r>
  <r>
    <x v="1163"/>
    <s v="Apr"/>
    <x v="10"/>
    <s v="494 Main St"/>
    <x v="0"/>
    <x v="0"/>
    <m/>
    <n v="2392"/>
    <n v="653867"/>
    <n v="273.35576923076923"/>
  </r>
  <r>
    <x v="1046"/>
    <s v="Aug"/>
    <x v="19"/>
    <s v="339 Main St"/>
    <x v="1"/>
    <x v="1"/>
    <n v="5"/>
    <n v="1672"/>
    <n v="419256"/>
    <n v="250.7511961722488"/>
  </r>
  <r>
    <x v="2001"/>
    <s v="Jul"/>
    <x v="18"/>
    <s v="981 Elm St"/>
    <x v="4"/>
    <x v="3"/>
    <n v="5"/>
    <n v="2878"/>
    <m/>
    <n v="0"/>
  </r>
  <r>
    <x v="707"/>
    <s v="Mar"/>
    <x v="14"/>
    <s v="566 Oak St"/>
    <x v="6"/>
    <x v="1"/>
    <n v="5"/>
    <n v="2108"/>
    <n v="857006"/>
    <n v="406.54933586337762"/>
  </r>
  <r>
    <x v="2002"/>
    <s v="Mar"/>
    <x v="12"/>
    <s v="712 Main St"/>
    <x v="2"/>
    <x v="0"/>
    <n v="5"/>
    <n v="2250"/>
    <n v="746067"/>
    <n v="331.58533333333332"/>
  </r>
  <r>
    <x v="2003"/>
    <s v="Apr"/>
    <x v="16"/>
    <s v="929 Maple Ave"/>
    <x v="6"/>
    <x v="0"/>
    <n v="5"/>
    <n v="1622"/>
    <n v="201033"/>
    <n v="123.94143033292232"/>
  </r>
  <r>
    <x v="2004"/>
    <s v="May"/>
    <x v="1"/>
    <s v="868 Maple Ave"/>
    <x v="5"/>
    <x v="2"/>
    <n v="2"/>
    <n v="2987"/>
    <n v="717786"/>
    <n v="240.30331436223636"/>
  </r>
  <r>
    <x v="2005"/>
    <s v="Jan"/>
    <x v="14"/>
    <s v="823 Pine Rd"/>
    <x v="5"/>
    <x v="2"/>
    <m/>
    <n v="2374"/>
    <n v="565897"/>
    <n v="238.37278854254424"/>
  </r>
  <r>
    <x v="2006"/>
    <s v="Feb"/>
    <x v="9"/>
    <s v="118 Pine Rd"/>
    <x v="6"/>
    <x v="1"/>
    <n v="2"/>
    <n v="1407"/>
    <n v="543725"/>
    <n v="386.44278606965173"/>
  </r>
  <r>
    <x v="2007"/>
    <s v="Apr"/>
    <x v="17"/>
    <s v="462 Oak St"/>
    <x v="1"/>
    <x v="2"/>
    <n v="3"/>
    <n v="1370"/>
    <n v="370959"/>
    <n v="270.7729927007299"/>
  </r>
  <r>
    <x v="220"/>
    <s v="Apr"/>
    <x v="10"/>
    <s v="884 Oak St"/>
    <x v="6"/>
    <x v="1"/>
    <n v="4"/>
    <n v="1650"/>
    <n v="819894"/>
    <n v="496.90545454545452"/>
  </r>
  <r>
    <x v="2008"/>
    <s v="Sep"/>
    <x v="16"/>
    <s v="535 Elm St"/>
    <x v="4"/>
    <x v="0"/>
    <n v="4"/>
    <n v="2679"/>
    <n v="738267"/>
    <n v="275.57558790593504"/>
  </r>
  <r>
    <x v="798"/>
    <s v="Mar"/>
    <x v="16"/>
    <s v="443 Main St"/>
    <x v="4"/>
    <x v="2"/>
    <n v="3"/>
    <n v="1099"/>
    <n v="482134"/>
    <n v="438.70245677888988"/>
  </r>
  <r>
    <x v="2009"/>
    <s v="Sep"/>
    <x v="18"/>
    <s v="290 Pine Rd"/>
    <x v="6"/>
    <x v="3"/>
    <n v="2"/>
    <n v="1324"/>
    <n v="380769"/>
    <n v="287.58987915407857"/>
  </r>
  <r>
    <x v="1612"/>
    <s v="Nov"/>
    <x v="8"/>
    <s v="975 Oak St"/>
    <x v="5"/>
    <x v="3"/>
    <n v="2"/>
    <n v="2983"/>
    <n v="469541"/>
    <n v="157.40563191418036"/>
  </r>
  <r>
    <x v="1127"/>
    <s v="Apr"/>
    <x v="6"/>
    <s v="452 Main St"/>
    <x v="4"/>
    <x v="0"/>
    <n v="3"/>
    <n v="2638"/>
    <n v="793517"/>
    <n v="300.80250189537526"/>
  </r>
  <r>
    <x v="2010"/>
    <s v="Feb"/>
    <x v="7"/>
    <s v="723 Maple Ave"/>
    <x v="4"/>
    <x v="2"/>
    <n v="4"/>
    <n v="2576"/>
    <n v="519091"/>
    <n v="201.51048136645963"/>
  </r>
  <r>
    <x v="2011"/>
    <s v="Jul"/>
    <x v="4"/>
    <s v="565 Maple Ave"/>
    <x v="4"/>
    <x v="3"/>
    <n v="4"/>
    <n v="3216"/>
    <n v="300066"/>
    <n v="93.304104477611943"/>
  </r>
  <r>
    <x v="2012"/>
    <s v="Mar"/>
    <x v="13"/>
    <s v="971 Pine Rd"/>
    <x v="1"/>
    <x v="1"/>
    <m/>
    <n v="2132"/>
    <n v="657132"/>
    <n v="308.22326454033771"/>
  </r>
  <r>
    <x v="2013"/>
    <s v="Mar"/>
    <x v="3"/>
    <s v="931 Elm St"/>
    <x v="6"/>
    <x v="0"/>
    <n v="2"/>
    <n v="2336"/>
    <n v="193374"/>
    <n v="82.779965753424662"/>
  </r>
  <r>
    <x v="2014"/>
    <s v="Dec"/>
    <x v="7"/>
    <s v="459 Elm St"/>
    <x v="5"/>
    <x v="2"/>
    <n v="5"/>
    <n v="2854"/>
    <n v="770113"/>
    <n v="269.8363700070077"/>
  </r>
  <r>
    <x v="1666"/>
    <s v="Feb"/>
    <x v="19"/>
    <s v="191 Pine Rd"/>
    <x v="6"/>
    <x v="0"/>
    <n v="2"/>
    <n v="2631"/>
    <n v="285046"/>
    <n v="108.34131508931965"/>
  </r>
  <r>
    <x v="2015"/>
    <s v="Aug"/>
    <x v="9"/>
    <s v="538 Maple Ave"/>
    <x v="0"/>
    <x v="1"/>
    <n v="2"/>
    <n v="860"/>
    <n v="305478"/>
    <n v="355.20697674418602"/>
  </r>
  <r>
    <x v="2016"/>
    <s v="Mar"/>
    <x v="10"/>
    <s v="863 Maple Ave"/>
    <x v="0"/>
    <x v="0"/>
    <n v="4"/>
    <n v="2550"/>
    <n v="350091"/>
    <n v="137.29058823529411"/>
  </r>
  <r>
    <x v="756"/>
    <s v="Feb"/>
    <x v="3"/>
    <s v="277 Oak St"/>
    <x v="0"/>
    <x v="2"/>
    <n v="3"/>
    <n v="2734"/>
    <n v="192591"/>
    <n v="70.442940746159479"/>
  </r>
  <r>
    <x v="2017"/>
    <s v="Mar"/>
    <x v="7"/>
    <s v="524 Pine Rd"/>
    <x v="2"/>
    <x v="0"/>
    <m/>
    <n v="1566"/>
    <n v="750125"/>
    <n v="479.00702426564493"/>
  </r>
  <r>
    <x v="2018"/>
    <s v="Aug"/>
    <x v="12"/>
    <s v="497 Elm St"/>
    <x v="5"/>
    <x v="3"/>
    <n v="4"/>
    <n v="2721"/>
    <n v="514136"/>
    <n v="188.95112091142963"/>
  </r>
  <r>
    <x v="2019"/>
    <s v="Jun"/>
    <x v="9"/>
    <s v="473 Oak St"/>
    <x v="4"/>
    <x v="1"/>
    <n v="4"/>
    <n v="1475"/>
    <n v="567490"/>
    <n v="384.73898305084748"/>
  </r>
  <r>
    <x v="1638"/>
    <s v="Jan"/>
    <x v="5"/>
    <s v="250 Main St"/>
    <x v="6"/>
    <x v="0"/>
    <n v="2"/>
    <n v="2963"/>
    <n v="216405"/>
    <n v="73.035774552818083"/>
  </r>
  <r>
    <x v="2020"/>
    <s v="Jan"/>
    <x v="8"/>
    <s v="917 Elm St"/>
    <x v="2"/>
    <x v="0"/>
    <n v="2"/>
    <n v="3284"/>
    <n v="423821"/>
    <n v="129.05633373934228"/>
  </r>
  <r>
    <x v="2021"/>
    <s v="Mar"/>
    <x v="12"/>
    <s v="371 Oak St"/>
    <x v="1"/>
    <x v="1"/>
    <m/>
    <n v="2706"/>
    <n v="697714"/>
    <n v="257.83961566888394"/>
  </r>
  <r>
    <x v="2022"/>
    <s v="Feb"/>
    <x v="2"/>
    <s v="228 Oak St"/>
    <x v="0"/>
    <x v="3"/>
    <n v="5"/>
    <n v="1075"/>
    <n v="435118"/>
    <n v="404.76093023255817"/>
  </r>
  <r>
    <x v="2023"/>
    <s v="Nov"/>
    <x v="3"/>
    <s v="910 Maple Ave"/>
    <x v="0"/>
    <x v="2"/>
    <m/>
    <n v="2382"/>
    <n v="104225"/>
    <n v="43.755247691015953"/>
  </r>
  <r>
    <x v="2024"/>
    <s v="Feb"/>
    <x v="0"/>
    <s v="692 Maple Ave"/>
    <x v="2"/>
    <x v="0"/>
    <n v="2"/>
    <n v="2645"/>
    <n v="430006"/>
    <n v="162.57315689981095"/>
  </r>
  <r>
    <x v="2025"/>
    <s v="Mar"/>
    <x v="7"/>
    <s v="324 Main St"/>
    <x v="4"/>
    <x v="3"/>
    <m/>
    <n v="1007"/>
    <n v="145595"/>
    <n v="144.5829195630586"/>
  </r>
  <r>
    <x v="2026"/>
    <s v="Aug"/>
    <x v="6"/>
    <s v="686 Pine Rd"/>
    <x v="6"/>
    <x v="0"/>
    <n v="4"/>
    <n v="1647"/>
    <n v="678154"/>
    <n v="411.7510625379478"/>
  </r>
  <r>
    <x v="2027"/>
    <s v="Oct"/>
    <x v="0"/>
    <s v="386 Main St"/>
    <x v="0"/>
    <x v="3"/>
    <n v="5"/>
    <n v="1835"/>
    <n v="857933"/>
    <n v="467.53841961852862"/>
  </r>
  <r>
    <x v="2028"/>
    <s v="Aug"/>
    <x v="11"/>
    <s v="744 Pine Rd"/>
    <x v="0"/>
    <x v="1"/>
    <n v="2"/>
    <n v="3212"/>
    <n v="488067"/>
    <n v="151.95112079701121"/>
  </r>
  <r>
    <x v="1872"/>
    <s v="Jul"/>
    <x v="4"/>
    <s v="715 Elm St"/>
    <x v="6"/>
    <x v="2"/>
    <n v="5"/>
    <n v="1196"/>
    <n v="566110"/>
    <n v="473.33612040133778"/>
  </r>
  <r>
    <x v="2029"/>
    <s v="Jul"/>
    <x v="14"/>
    <s v="654 Maple Ave"/>
    <x v="0"/>
    <x v="2"/>
    <m/>
    <n v="2825"/>
    <n v="715497"/>
    <n v="253.27327433628318"/>
  </r>
  <r>
    <x v="2030"/>
    <s v="Nov"/>
    <x v="9"/>
    <s v="843 Elm St"/>
    <x v="0"/>
    <x v="3"/>
    <n v="4"/>
    <n v="881"/>
    <n v="634350"/>
    <n v="720.03405221339392"/>
  </r>
  <r>
    <x v="2031"/>
    <s v="Oct"/>
    <x v="18"/>
    <s v="712 Maple Ave"/>
    <x v="6"/>
    <x v="0"/>
    <m/>
    <n v="2015"/>
    <n v="552479"/>
    <n v="274.18312655086851"/>
  </r>
  <r>
    <x v="645"/>
    <s v="Mar"/>
    <x v="0"/>
    <s v="647 Oak St"/>
    <x v="3"/>
    <x v="3"/>
    <n v="4"/>
    <n v="2336"/>
    <n v="267537"/>
    <n v="114.52782534246575"/>
  </r>
  <r>
    <x v="1508"/>
    <s v="Mar"/>
    <x v="12"/>
    <s v="341 Elm St"/>
    <x v="3"/>
    <x v="3"/>
    <n v="5"/>
    <n v="3092"/>
    <n v="857201"/>
    <n v="277.23188874514875"/>
  </r>
  <r>
    <x v="2032"/>
    <s v="Apr"/>
    <x v="6"/>
    <s v="293 Elm St"/>
    <x v="6"/>
    <x v="2"/>
    <n v="5"/>
    <n v="2194"/>
    <n v="118270"/>
    <n v="53.906107566089332"/>
  </r>
  <r>
    <x v="2033"/>
    <s v="May"/>
    <x v="10"/>
    <s v="768 Pine Rd"/>
    <x v="1"/>
    <x v="3"/>
    <n v="5"/>
    <n v="2538"/>
    <n v="677776"/>
    <n v="267.05122143420016"/>
  </r>
  <r>
    <x v="1637"/>
    <s v="Dec"/>
    <x v="9"/>
    <s v="382 Maple Ave"/>
    <x v="6"/>
    <x v="1"/>
    <n v="5"/>
    <n v="3123"/>
    <n v="176700"/>
    <n v="56.58021133525456"/>
  </r>
  <r>
    <x v="2034"/>
    <s v="Oct"/>
    <x v="11"/>
    <s v="230 Oak St"/>
    <x v="6"/>
    <x v="1"/>
    <n v="3"/>
    <n v="1888"/>
    <n v="370642"/>
    <n v="196.31461864406779"/>
  </r>
  <r>
    <x v="2035"/>
    <s v="Mar"/>
    <x v="1"/>
    <s v="162 Oak St"/>
    <x v="0"/>
    <x v="3"/>
    <m/>
    <n v="1674"/>
    <n v="482966"/>
    <n v="288.51015531660693"/>
  </r>
  <r>
    <x v="2036"/>
    <s v="Aug"/>
    <x v="5"/>
    <s v="427 Pine Rd"/>
    <x v="6"/>
    <x v="3"/>
    <n v="4"/>
    <n v="2485"/>
    <n v="790126"/>
    <n v="317.95814889336015"/>
  </r>
  <r>
    <x v="2037"/>
    <s v="Sep"/>
    <x v="0"/>
    <s v="142 Elm St"/>
    <x v="3"/>
    <x v="0"/>
    <n v="2"/>
    <n v="2377"/>
    <n v="392332"/>
    <n v="165.05342869162811"/>
  </r>
  <r>
    <x v="2038"/>
    <s v="Apr"/>
    <x v="8"/>
    <s v="488 Maple Ave"/>
    <x v="6"/>
    <x v="1"/>
    <n v="2"/>
    <n v="1194"/>
    <n v="179617"/>
    <n v="150.43299832495813"/>
  </r>
  <r>
    <x v="263"/>
    <s v="Feb"/>
    <x v="13"/>
    <s v="614 Oak St"/>
    <x v="6"/>
    <x v="1"/>
    <n v="5"/>
    <n v="2043"/>
    <n v="341728"/>
    <n v="167.26774351443956"/>
  </r>
  <r>
    <x v="2039"/>
    <s v="Jun"/>
    <x v="4"/>
    <s v="929 Elm St"/>
    <x v="6"/>
    <x v="3"/>
    <n v="4"/>
    <n v="3027"/>
    <n v="825170"/>
    <n v="272.6032375289065"/>
  </r>
  <r>
    <x v="2040"/>
    <s v="Oct"/>
    <x v="17"/>
    <s v="947 Oak St"/>
    <x v="1"/>
    <x v="3"/>
    <n v="5"/>
    <n v="1987"/>
    <n v="809094"/>
    <n v="407.19375943633617"/>
  </r>
  <r>
    <x v="526"/>
    <s v="Feb"/>
    <x v="15"/>
    <s v="856 Elm St"/>
    <x v="6"/>
    <x v="1"/>
    <n v="4"/>
    <n v="2075"/>
    <n v="666106"/>
    <n v="321.01493975903617"/>
  </r>
  <r>
    <x v="2041"/>
    <s v="Jun"/>
    <x v="18"/>
    <s v="372 Elm St"/>
    <x v="0"/>
    <x v="2"/>
    <m/>
    <n v="1013"/>
    <n v="358797"/>
    <n v="354.19249753208294"/>
  </r>
  <r>
    <x v="2042"/>
    <s v="Apr"/>
    <x v="19"/>
    <s v="674 Pine Rd"/>
    <x v="0"/>
    <x v="1"/>
    <n v="4"/>
    <n v="1852"/>
    <n v="178840"/>
    <n v="96.565874730021605"/>
  </r>
  <r>
    <x v="2043"/>
    <s v="Nov"/>
    <x v="18"/>
    <s v="474 Pine Rd"/>
    <x v="1"/>
    <x v="0"/>
    <m/>
    <n v="834"/>
    <n v="402935"/>
    <n v="483.13549160671465"/>
  </r>
  <r>
    <x v="909"/>
    <s v="Oct"/>
    <x v="1"/>
    <s v="113 Main St"/>
    <x v="4"/>
    <x v="0"/>
    <n v="3"/>
    <n v="3239"/>
    <n v="659094"/>
    <n v="203.48687866625502"/>
  </r>
  <r>
    <x v="2044"/>
    <s v="Jul"/>
    <x v="2"/>
    <s v="288 Main St"/>
    <x v="6"/>
    <x v="1"/>
    <n v="3"/>
    <n v="1994"/>
    <n v="827570"/>
    <n v="415.03009027081242"/>
  </r>
  <r>
    <x v="679"/>
    <s v="May"/>
    <x v="0"/>
    <s v="478 Main St"/>
    <x v="1"/>
    <x v="2"/>
    <n v="3"/>
    <n v="2567"/>
    <n v="117262"/>
    <n v="45.680560966108295"/>
  </r>
  <r>
    <x v="2045"/>
    <s v="Apr"/>
    <x v="5"/>
    <s v="960 Elm St"/>
    <x v="0"/>
    <x v="0"/>
    <m/>
    <n v="2079"/>
    <n v="476170"/>
    <n v="229.03799903799904"/>
  </r>
  <r>
    <x v="356"/>
    <s v="Feb"/>
    <x v="16"/>
    <s v="578 Oak St"/>
    <x v="4"/>
    <x v="2"/>
    <m/>
    <n v="2601"/>
    <n v="754174"/>
    <n v="289.95540176855053"/>
  </r>
  <r>
    <x v="400"/>
    <s v="Dec"/>
    <x v="17"/>
    <s v="726 Main St"/>
    <x v="1"/>
    <x v="0"/>
    <m/>
    <n v="2060"/>
    <n v="662019"/>
    <n v="321.36844660194174"/>
  </r>
  <r>
    <x v="1539"/>
    <s v="May"/>
    <x v="11"/>
    <s v="494 Maple Ave"/>
    <x v="4"/>
    <x v="3"/>
    <n v="4"/>
    <n v="872"/>
    <n v="573268"/>
    <n v="657.4174311926605"/>
  </r>
  <r>
    <x v="2046"/>
    <s v="Feb"/>
    <x v="6"/>
    <s v="582 Oak St"/>
    <x v="4"/>
    <x v="3"/>
    <m/>
    <n v="2312"/>
    <n v="507149"/>
    <n v="219.35510380622839"/>
  </r>
  <r>
    <x v="2047"/>
    <s v="Dec"/>
    <x v="10"/>
    <s v="801 Pine Rd"/>
    <x v="1"/>
    <x v="0"/>
    <n v="3"/>
    <n v="989"/>
    <n v="455949"/>
    <n v="461.02022244691608"/>
  </r>
  <r>
    <x v="2048"/>
    <s v="Apr"/>
    <x v="4"/>
    <s v="448 Pine Rd"/>
    <x v="3"/>
    <x v="1"/>
    <n v="3"/>
    <n v="3325"/>
    <n v="210959"/>
    <n v="63.446315789473687"/>
  </r>
  <r>
    <x v="1966"/>
    <s v="Feb"/>
    <x v="7"/>
    <s v="336 Main St"/>
    <x v="6"/>
    <x v="2"/>
    <n v="5"/>
    <n v="3082"/>
    <n v="754900"/>
    <n v="244.93835171966256"/>
  </r>
  <r>
    <x v="2049"/>
    <s v="Mar"/>
    <x v="3"/>
    <s v="506 Maple Ave"/>
    <x v="3"/>
    <x v="1"/>
    <m/>
    <n v="3275"/>
    <n v="390120"/>
    <n v="119.1206106870229"/>
  </r>
  <r>
    <x v="1151"/>
    <s v="Oct"/>
    <x v="7"/>
    <s v="455 Pine Rd"/>
    <x v="5"/>
    <x v="2"/>
    <n v="3"/>
    <n v="1813"/>
    <n v="789610"/>
    <n v="435.52675124103695"/>
  </r>
  <r>
    <x v="2050"/>
    <s v="Mar"/>
    <x v="10"/>
    <s v="324 Maple Ave"/>
    <x v="3"/>
    <x v="0"/>
    <n v="3"/>
    <n v="3486"/>
    <n v="854175"/>
    <n v="245.03012048192772"/>
  </r>
  <r>
    <x v="1616"/>
    <s v="Aug"/>
    <x v="10"/>
    <s v="277 Main St"/>
    <x v="4"/>
    <x v="2"/>
    <n v="5"/>
    <n v="1290"/>
    <n v="775916"/>
    <n v="601.48527131782942"/>
  </r>
  <r>
    <x v="2051"/>
    <s v="Feb"/>
    <x v="6"/>
    <s v="676 Pine Rd"/>
    <x v="5"/>
    <x v="1"/>
    <n v="3"/>
    <n v="3143"/>
    <n v="387174"/>
    <n v="123.18612790327713"/>
  </r>
  <r>
    <x v="622"/>
    <s v="Apr"/>
    <x v="1"/>
    <s v="429 Elm St"/>
    <x v="3"/>
    <x v="3"/>
    <n v="4"/>
    <n v="1383"/>
    <n v="426296"/>
    <n v="308.24005784526389"/>
  </r>
  <r>
    <x v="2052"/>
    <s v="Dec"/>
    <x v="5"/>
    <s v="280 Pine Rd"/>
    <x v="4"/>
    <x v="0"/>
    <n v="5"/>
    <n v="2513"/>
    <n v="624392"/>
    <n v="248.46478312773579"/>
  </r>
  <r>
    <x v="1191"/>
    <s v="Mar"/>
    <x v="5"/>
    <s v="160 Elm St"/>
    <x v="6"/>
    <x v="3"/>
    <n v="3"/>
    <n v="1250"/>
    <n v="496766"/>
    <n v="397.4128"/>
  </r>
  <r>
    <x v="873"/>
    <s v="Jan"/>
    <x v="8"/>
    <s v="790 Elm St"/>
    <x v="4"/>
    <x v="0"/>
    <n v="4"/>
    <n v="1297"/>
    <n v="736536"/>
    <n v="567.8766383962992"/>
  </r>
  <r>
    <x v="2053"/>
    <s v="May"/>
    <x v="1"/>
    <s v="318 Main St"/>
    <x v="2"/>
    <x v="1"/>
    <n v="4"/>
    <n v="3369"/>
    <n v="421107"/>
    <n v="124.9946571682992"/>
  </r>
  <r>
    <x v="2054"/>
    <s v="Apr"/>
    <x v="16"/>
    <s v="513 Maple Ave"/>
    <x v="5"/>
    <x v="3"/>
    <n v="3"/>
    <n v="2160"/>
    <n v="780514"/>
    <n v="361.34907407407405"/>
  </r>
  <r>
    <x v="2055"/>
    <s v="Jun"/>
    <x v="19"/>
    <s v="539 Maple Ave"/>
    <x v="1"/>
    <x v="3"/>
    <n v="2"/>
    <n v="2900"/>
    <n v="370554"/>
    <n v="127.77724137931034"/>
  </r>
  <r>
    <x v="2056"/>
    <s v="Aug"/>
    <x v="4"/>
    <s v="199 Main St"/>
    <x v="4"/>
    <x v="2"/>
    <m/>
    <n v="2254"/>
    <n v="635653"/>
    <n v="282.01109139307897"/>
  </r>
  <r>
    <x v="2046"/>
    <s v="Feb"/>
    <x v="6"/>
    <s v="632 Pine Rd"/>
    <x v="2"/>
    <x v="2"/>
    <n v="4"/>
    <n v="2679"/>
    <n v="564392"/>
    <n v="210.67263904441955"/>
  </r>
  <r>
    <x v="2057"/>
    <s v="May"/>
    <x v="7"/>
    <s v="402 Main St"/>
    <x v="5"/>
    <x v="1"/>
    <m/>
    <n v="3469"/>
    <n v="300569"/>
    <n v="86.644277889881806"/>
  </r>
  <r>
    <x v="2058"/>
    <s v="May"/>
    <x v="16"/>
    <s v="401 Pine Rd"/>
    <x v="2"/>
    <x v="3"/>
    <n v="5"/>
    <n v="3137"/>
    <n v="501852"/>
    <n v="159.97832323876315"/>
  </r>
  <r>
    <x v="1622"/>
    <s v="Feb"/>
    <x v="2"/>
    <s v="914 Maple Ave"/>
    <x v="2"/>
    <x v="1"/>
    <m/>
    <n v="3062"/>
    <n v="408396"/>
    <n v="133.37557152188111"/>
  </r>
  <r>
    <x v="2059"/>
    <s v="Mar"/>
    <x v="11"/>
    <s v="735 Maple Ave"/>
    <x v="3"/>
    <x v="2"/>
    <n v="3"/>
    <n v="1945"/>
    <n v="251764"/>
    <n v="129.44164524421595"/>
  </r>
  <r>
    <x v="2060"/>
    <s v="Feb"/>
    <x v="1"/>
    <s v="174 Elm St"/>
    <x v="0"/>
    <x v="3"/>
    <n v="5"/>
    <n v="1496"/>
    <n v="721041"/>
    <n v="481.97927807486633"/>
  </r>
  <r>
    <x v="2061"/>
    <s v="Nov"/>
    <x v="2"/>
    <s v="299 Pine Rd"/>
    <x v="6"/>
    <x v="3"/>
    <n v="5"/>
    <n v="2468"/>
    <m/>
    <n v="0"/>
  </r>
  <r>
    <x v="737"/>
    <s v="Mar"/>
    <x v="17"/>
    <s v="239 Maple Ave"/>
    <x v="6"/>
    <x v="1"/>
    <n v="4"/>
    <n v="3013"/>
    <n v="595535"/>
    <n v="197.65516096913376"/>
  </r>
  <r>
    <x v="2062"/>
    <s v="Aug"/>
    <x v="10"/>
    <s v="966 Elm St"/>
    <x v="1"/>
    <x v="3"/>
    <n v="4"/>
    <n v="1765"/>
    <n v="193173"/>
    <n v="109.44645892351275"/>
  </r>
  <r>
    <x v="2063"/>
    <s v="Sep"/>
    <x v="5"/>
    <s v="161 Elm St"/>
    <x v="4"/>
    <x v="2"/>
    <n v="3"/>
    <n v="3202"/>
    <n v="769643"/>
    <n v="240.36321049344158"/>
  </r>
  <r>
    <x v="2064"/>
    <s v="Feb"/>
    <x v="15"/>
    <s v="512 Pine Rd"/>
    <x v="0"/>
    <x v="1"/>
    <m/>
    <n v="1664"/>
    <n v="277417"/>
    <n v="166.71694711538461"/>
  </r>
  <r>
    <x v="1642"/>
    <s v="Dec"/>
    <x v="9"/>
    <s v="981 Main St"/>
    <x v="4"/>
    <x v="3"/>
    <n v="4"/>
    <n v="3330"/>
    <n v="289702"/>
    <n v="86.997597597597604"/>
  </r>
  <r>
    <x v="2065"/>
    <s v="Feb"/>
    <x v="18"/>
    <s v="770 Pine Rd"/>
    <x v="5"/>
    <x v="2"/>
    <n v="4"/>
    <n v="1603"/>
    <n v="870404"/>
    <n v="542.98440424204614"/>
  </r>
  <r>
    <x v="2066"/>
    <s v="Nov"/>
    <x v="13"/>
    <s v="433 Maple Ave"/>
    <x v="0"/>
    <x v="3"/>
    <n v="3"/>
    <n v="899"/>
    <n v="484249"/>
    <n v="538.65294771968854"/>
  </r>
  <r>
    <x v="2067"/>
    <s v="Apr"/>
    <x v="7"/>
    <s v="859 Pine Rd"/>
    <x v="5"/>
    <x v="1"/>
    <n v="2"/>
    <n v="1339"/>
    <n v="865335"/>
    <n v="646.2546676624346"/>
  </r>
  <r>
    <x v="2068"/>
    <s v="Mar"/>
    <x v="15"/>
    <s v="671 Elm St"/>
    <x v="6"/>
    <x v="3"/>
    <n v="2"/>
    <n v="1302"/>
    <n v="206017"/>
    <n v="158.23118279569891"/>
  </r>
  <r>
    <x v="746"/>
    <s v="Aug"/>
    <x v="1"/>
    <s v="831 Pine Rd"/>
    <x v="3"/>
    <x v="3"/>
    <n v="4"/>
    <n v="817"/>
    <n v="171043"/>
    <n v="209.35495716034271"/>
  </r>
  <r>
    <x v="2069"/>
    <s v="Jul"/>
    <x v="11"/>
    <s v="739 Maple Ave"/>
    <x v="3"/>
    <x v="1"/>
    <n v="4"/>
    <n v="1849"/>
    <n v="319990"/>
    <n v="173.06111411573823"/>
  </r>
  <r>
    <x v="2070"/>
    <s v="Jun"/>
    <x v="4"/>
    <s v="755 Maple Ave"/>
    <x v="4"/>
    <x v="2"/>
    <n v="5"/>
    <n v="811"/>
    <n v="734959"/>
    <n v="906.23797780517884"/>
  </r>
  <r>
    <x v="2071"/>
    <s v="Dec"/>
    <x v="17"/>
    <s v="922 Oak St"/>
    <x v="6"/>
    <x v="3"/>
    <n v="2"/>
    <n v="3183"/>
    <n v="856282"/>
    <n v="269.01727929626139"/>
  </r>
  <r>
    <x v="2072"/>
    <s v="Jun"/>
    <x v="1"/>
    <s v="803 Maple Ave"/>
    <x v="4"/>
    <x v="1"/>
    <n v="5"/>
    <n v="2132"/>
    <n v="294152"/>
    <n v="137.96998123827393"/>
  </r>
  <r>
    <x v="2073"/>
    <s v="Jan"/>
    <x v="9"/>
    <s v="389 Maple Ave"/>
    <x v="2"/>
    <x v="0"/>
    <m/>
    <n v="1985"/>
    <n v="780081"/>
    <n v="392.98790931989925"/>
  </r>
  <r>
    <x v="1839"/>
    <s v="Jan"/>
    <x v="12"/>
    <s v="368 Main St"/>
    <x v="0"/>
    <x v="3"/>
    <n v="4"/>
    <n v="2871"/>
    <n v="485444"/>
    <n v="169.08533611981889"/>
  </r>
  <r>
    <x v="2074"/>
    <s v="Jun"/>
    <x v="5"/>
    <s v="455 Main St"/>
    <x v="0"/>
    <x v="2"/>
    <n v="4"/>
    <n v="3366"/>
    <n v="513521"/>
    <n v="152.56120023767082"/>
  </r>
  <r>
    <x v="2075"/>
    <s v="Aug"/>
    <x v="0"/>
    <s v="939 Main St"/>
    <x v="4"/>
    <x v="1"/>
    <m/>
    <n v="1246"/>
    <n v="518266"/>
    <n v="415.9438202247191"/>
  </r>
  <r>
    <x v="2076"/>
    <s v="Oct"/>
    <x v="0"/>
    <s v="258 Elm St"/>
    <x v="4"/>
    <x v="1"/>
    <n v="2"/>
    <n v="1308"/>
    <n v="561865"/>
    <n v="429.56039755351679"/>
  </r>
  <r>
    <x v="2077"/>
    <s v="Jun"/>
    <x v="0"/>
    <s v="141 Oak St"/>
    <x v="3"/>
    <x v="2"/>
    <n v="5"/>
    <n v="3064"/>
    <n v="475026"/>
    <n v="155.03459530026109"/>
  </r>
  <r>
    <x v="2078"/>
    <s v="Oct"/>
    <x v="0"/>
    <s v="702 Pine Rd"/>
    <x v="5"/>
    <x v="3"/>
    <m/>
    <n v="1925"/>
    <n v="873506"/>
    <n v="453.76935064935066"/>
  </r>
  <r>
    <x v="2079"/>
    <s v="Apr"/>
    <x v="17"/>
    <s v="678 Pine Rd"/>
    <x v="5"/>
    <x v="0"/>
    <m/>
    <n v="2225"/>
    <n v="351496"/>
    <n v="157.97573033707866"/>
  </r>
  <r>
    <x v="2080"/>
    <s v="Oct"/>
    <x v="10"/>
    <s v="297 Maple Ave"/>
    <x v="3"/>
    <x v="3"/>
    <n v="5"/>
    <n v="2461"/>
    <n v="602234"/>
    <n v="244.71109305160505"/>
  </r>
  <r>
    <x v="577"/>
    <s v="Sep"/>
    <x v="8"/>
    <s v="491 Oak St"/>
    <x v="0"/>
    <x v="0"/>
    <m/>
    <n v="1406"/>
    <n v="194840"/>
    <n v="138.57752489331438"/>
  </r>
  <r>
    <x v="2081"/>
    <s v="Mar"/>
    <x v="16"/>
    <s v="589 Elm St"/>
    <x v="6"/>
    <x v="0"/>
    <n v="4"/>
    <n v="2195"/>
    <n v="676975"/>
    <n v="308.41685649202731"/>
  </r>
  <r>
    <x v="1470"/>
    <s v="Oct"/>
    <x v="17"/>
    <s v="430 Elm St"/>
    <x v="0"/>
    <x v="3"/>
    <n v="2"/>
    <n v="1371"/>
    <n v="399585"/>
    <n v="291.45514223194749"/>
  </r>
  <r>
    <x v="2082"/>
    <s v="Jun"/>
    <x v="4"/>
    <s v="569 Oak St"/>
    <x v="1"/>
    <x v="1"/>
    <m/>
    <n v="3141"/>
    <n v="852238"/>
    <n v="271.3269659344158"/>
  </r>
  <r>
    <x v="2083"/>
    <s v="Jun"/>
    <x v="0"/>
    <s v="971 Maple Ave"/>
    <x v="6"/>
    <x v="0"/>
    <n v="2"/>
    <n v="3301"/>
    <n v="526275"/>
    <n v="159.42896092093304"/>
  </r>
  <r>
    <x v="2084"/>
    <s v="Aug"/>
    <x v="2"/>
    <s v="311 Maple Ave"/>
    <x v="0"/>
    <x v="2"/>
    <n v="4"/>
    <n v="2274"/>
    <n v="280433"/>
    <n v="123.32145998240985"/>
  </r>
  <r>
    <x v="2085"/>
    <s v="Jun"/>
    <x v="16"/>
    <s v="678 Maple Ave"/>
    <x v="0"/>
    <x v="0"/>
    <n v="3"/>
    <n v="1325"/>
    <n v="202342"/>
    <n v="152.71094339622641"/>
  </r>
  <r>
    <x v="2086"/>
    <s v="Nov"/>
    <x v="18"/>
    <s v="704 Maple Ave"/>
    <x v="6"/>
    <x v="3"/>
    <n v="3"/>
    <n v="2640"/>
    <n v="893820"/>
    <n v="338.56818181818181"/>
  </r>
  <r>
    <x v="2087"/>
    <s v="Nov"/>
    <x v="8"/>
    <s v="629 Maple Ave"/>
    <x v="4"/>
    <x v="3"/>
    <m/>
    <n v="1087"/>
    <m/>
    <n v="0"/>
  </r>
  <r>
    <x v="2088"/>
    <s v="Feb"/>
    <x v="9"/>
    <s v="650 Pine Rd"/>
    <x v="6"/>
    <x v="0"/>
    <n v="4"/>
    <n v="3295"/>
    <n v="831690"/>
    <n v="252.40971168437025"/>
  </r>
  <r>
    <x v="2089"/>
    <s v="Aug"/>
    <x v="5"/>
    <s v="225 Elm St"/>
    <x v="1"/>
    <x v="0"/>
    <n v="5"/>
    <n v="1250"/>
    <n v="174454"/>
    <n v="139.56319999999999"/>
  </r>
  <r>
    <x v="1854"/>
    <s v="May"/>
    <x v="3"/>
    <s v="678 Main St"/>
    <x v="6"/>
    <x v="0"/>
    <m/>
    <n v="2507"/>
    <n v="436421"/>
    <n v="174.08097327483048"/>
  </r>
  <r>
    <x v="626"/>
    <s v="Aug"/>
    <x v="7"/>
    <s v="962 Maple Ave"/>
    <x v="6"/>
    <x v="2"/>
    <m/>
    <n v="2229"/>
    <n v="222000"/>
    <n v="99.596231493943478"/>
  </r>
  <r>
    <x v="2090"/>
    <s v="Aug"/>
    <x v="0"/>
    <s v="389 Pine Rd"/>
    <x v="6"/>
    <x v="1"/>
    <m/>
    <n v="3417"/>
    <n v="131039"/>
    <n v="38.349136669593207"/>
  </r>
  <r>
    <x v="2091"/>
    <s v="Nov"/>
    <x v="18"/>
    <s v="926 Maple Ave"/>
    <x v="5"/>
    <x v="2"/>
    <n v="3"/>
    <n v="2432"/>
    <n v="394304"/>
    <n v="162.13157894736841"/>
  </r>
  <r>
    <x v="835"/>
    <s v="Aug"/>
    <x v="5"/>
    <s v="934 Elm St"/>
    <x v="3"/>
    <x v="2"/>
    <m/>
    <n v="1165"/>
    <n v="519245"/>
    <n v="445.7038626609442"/>
  </r>
  <r>
    <x v="2092"/>
    <s v="Nov"/>
    <x v="14"/>
    <s v="413 Pine Rd"/>
    <x v="4"/>
    <x v="1"/>
    <n v="2"/>
    <n v="3122"/>
    <n v="271980"/>
    <n v="87.117232543241514"/>
  </r>
  <r>
    <x v="2093"/>
    <s v="Dec"/>
    <x v="9"/>
    <s v="477 Oak St"/>
    <x v="2"/>
    <x v="3"/>
    <m/>
    <n v="2004"/>
    <n v="375874"/>
    <n v="187.56187624750498"/>
  </r>
  <r>
    <x v="2094"/>
    <s v="Jan"/>
    <x v="16"/>
    <s v="292 Maple Ave"/>
    <x v="0"/>
    <x v="2"/>
    <n v="3"/>
    <n v="2845"/>
    <n v="242977"/>
    <n v="85.404920913884013"/>
  </r>
  <r>
    <x v="2095"/>
    <s v="Dec"/>
    <x v="8"/>
    <s v="136 Pine Rd"/>
    <x v="6"/>
    <x v="0"/>
    <n v="3"/>
    <n v="1436"/>
    <n v="855565"/>
    <n v="595.79735376044573"/>
  </r>
  <r>
    <x v="2096"/>
    <s v="Jul"/>
    <x v="0"/>
    <s v="345 Elm St"/>
    <x v="3"/>
    <x v="2"/>
    <n v="5"/>
    <n v="3487"/>
    <n v="421791"/>
    <n v="120.96099799254374"/>
  </r>
  <r>
    <x v="2097"/>
    <s v="Jul"/>
    <x v="8"/>
    <s v="818 Pine Rd"/>
    <x v="2"/>
    <x v="1"/>
    <n v="2"/>
    <n v="1472"/>
    <n v="473230"/>
    <n v="321.48777173913044"/>
  </r>
  <r>
    <x v="2098"/>
    <s v="Apr"/>
    <x v="1"/>
    <s v="545 Maple Ave"/>
    <x v="6"/>
    <x v="0"/>
    <n v="3"/>
    <n v="1083"/>
    <n v="434809"/>
    <n v="401.48568790397047"/>
  </r>
  <r>
    <x v="1976"/>
    <s v="Sep"/>
    <x v="15"/>
    <s v="605 Main St"/>
    <x v="1"/>
    <x v="2"/>
    <m/>
    <n v="1960"/>
    <n v="300800"/>
    <n v="153.46938775510205"/>
  </r>
  <r>
    <x v="935"/>
    <s v="Oct"/>
    <x v="19"/>
    <s v="282 Elm St"/>
    <x v="4"/>
    <x v="1"/>
    <n v="4"/>
    <n v="1505"/>
    <n v="621135"/>
    <n v="412.71428571428572"/>
  </r>
  <r>
    <x v="2099"/>
    <s v="Aug"/>
    <x v="1"/>
    <s v="822 Maple Ave"/>
    <x v="6"/>
    <x v="0"/>
    <n v="5"/>
    <n v="1422"/>
    <n v="289980"/>
    <n v="203.92405063291139"/>
  </r>
  <r>
    <x v="694"/>
    <s v="Aug"/>
    <x v="9"/>
    <s v="991 Oak St"/>
    <x v="4"/>
    <x v="1"/>
    <n v="3"/>
    <n v="2078"/>
    <n v="891835"/>
    <n v="429.17949951876807"/>
  </r>
  <r>
    <x v="1734"/>
    <s v="Apr"/>
    <x v="18"/>
    <s v="490 Oak St"/>
    <x v="0"/>
    <x v="1"/>
    <n v="3"/>
    <n v="2655"/>
    <n v="743263"/>
    <n v="279.94839924670435"/>
  </r>
  <r>
    <x v="2100"/>
    <s v="Mar"/>
    <x v="11"/>
    <s v="833 Oak St"/>
    <x v="0"/>
    <x v="2"/>
    <m/>
    <n v="1816"/>
    <n v="106478"/>
    <n v="58.633259911894271"/>
  </r>
  <r>
    <x v="2101"/>
    <s v="Dec"/>
    <x v="7"/>
    <s v="704 Pine Rd"/>
    <x v="5"/>
    <x v="3"/>
    <n v="5"/>
    <n v="2502"/>
    <n v="174512"/>
    <n v="69.749000799360516"/>
  </r>
  <r>
    <x v="2102"/>
    <s v="Jul"/>
    <x v="3"/>
    <s v="488 Oak St"/>
    <x v="2"/>
    <x v="1"/>
    <n v="3"/>
    <n v="2046"/>
    <n v="823370"/>
    <n v="402.42913000977518"/>
  </r>
  <r>
    <x v="2103"/>
    <s v="Jan"/>
    <x v="4"/>
    <s v="836 Oak St"/>
    <x v="0"/>
    <x v="0"/>
    <n v="5"/>
    <n v="3176"/>
    <n v="411085"/>
    <n v="129.43482367758187"/>
  </r>
  <r>
    <x v="1516"/>
    <s v="Jul"/>
    <x v="7"/>
    <s v="822 Elm St"/>
    <x v="6"/>
    <x v="0"/>
    <n v="2"/>
    <n v="2731"/>
    <n v="607770"/>
    <n v="222.5448553643354"/>
  </r>
  <r>
    <x v="2104"/>
    <s v="Aug"/>
    <x v="10"/>
    <s v="517 Maple Ave"/>
    <x v="6"/>
    <x v="1"/>
    <m/>
    <n v="1074"/>
    <n v="750363"/>
    <n v="698.6620111731844"/>
  </r>
  <r>
    <x v="2077"/>
    <s v="Jun"/>
    <x v="0"/>
    <s v="593 Pine Rd"/>
    <x v="4"/>
    <x v="2"/>
    <n v="3"/>
    <n v="1811"/>
    <n v="624399"/>
    <n v="344.78133627829931"/>
  </r>
  <r>
    <x v="2105"/>
    <s v="Mar"/>
    <x v="0"/>
    <s v="803 Elm St"/>
    <x v="6"/>
    <x v="2"/>
    <n v="2"/>
    <n v="1827"/>
    <n v="633811"/>
    <n v="346.9135194307608"/>
  </r>
  <r>
    <x v="2106"/>
    <s v="Jul"/>
    <x v="15"/>
    <s v="978 Maple Ave"/>
    <x v="4"/>
    <x v="2"/>
    <n v="4"/>
    <n v="2570"/>
    <n v="640234"/>
    <n v="249.11828793774319"/>
  </r>
  <r>
    <x v="2107"/>
    <s v="Jun"/>
    <x v="9"/>
    <s v="552 Oak St"/>
    <x v="5"/>
    <x v="1"/>
    <n v="5"/>
    <n v="2726"/>
    <n v="113833"/>
    <n v="41.758253851797505"/>
  </r>
  <r>
    <x v="2108"/>
    <s v="Nov"/>
    <x v="17"/>
    <s v="315 Pine Rd"/>
    <x v="4"/>
    <x v="3"/>
    <m/>
    <n v="1125"/>
    <n v="618932"/>
    <n v="550.16177777777773"/>
  </r>
  <r>
    <x v="2109"/>
    <s v="Sep"/>
    <x v="0"/>
    <s v="370 Oak St"/>
    <x v="1"/>
    <x v="0"/>
    <m/>
    <n v="2056"/>
    <n v="491474"/>
    <n v="239.04377431906616"/>
  </r>
  <r>
    <x v="2110"/>
    <s v="Apr"/>
    <x v="1"/>
    <s v="259 Elm St"/>
    <x v="5"/>
    <x v="1"/>
    <m/>
    <n v="1402"/>
    <n v="255002"/>
    <n v="181.88445078459344"/>
  </r>
  <r>
    <x v="2111"/>
    <s v="Nov"/>
    <x v="18"/>
    <s v="557 Elm St"/>
    <x v="4"/>
    <x v="3"/>
    <m/>
    <n v="2461"/>
    <n v="331680"/>
    <n v="134.77448191791956"/>
  </r>
  <r>
    <x v="2112"/>
    <s v="Apr"/>
    <x v="6"/>
    <s v="514 Maple Ave"/>
    <x v="2"/>
    <x v="2"/>
    <n v="5"/>
    <n v="1272"/>
    <n v="619942"/>
    <n v="487.37578616352204"/>
  </r>
  <r>
    <x v="913"/>
    <s v="Mar"/>
    <x v="1"/>
    <s v="517 Pine Rd"/>
    <x v="2"/>
    <x v="1"/>
    <n v="4"/>
    <n v="2132"/>
    <n v="622832"/>
    <n v="292.13508442776737"/>
  </r>
  <r>
    <x v="2113"/>
    <s v="Dec"/>
    <x v="5"/>
    <s v="125 Pine Rd"/>
    <x v="0"/>
    <x v="0"/>
    <m/>
    <n v="1122"/>
    <n v="361592"/>
    <n v="322.27450980392155"/>
  </r>
  <r>
    <x v="2114"/>
    <s v="Jan"/>
    <x v="10"/>
    <s v="873 Elm St"/>
    <x v="2"/>
    <x v="2"/>
    <n v="3"/>
    <n v="2683"/>
    <n v="813260"/>
    <n v="303.11591502049941"/>
  </r>
  <r>
    <x v="2115"/>
    <s v="Dec"/>
    <x v="9"/>
    <s v="771 Elm St"/>
    <x v="1"/>
    <x v="3"/>
    <n v="5"/>
    <n v="2100"/>
    <n v="171673"/>
    <n v="81.749047619047616"/>
  </r>
  <r>
    <x v="2116"/>
    <s v="Jan"/>
    <x v="12"/>
    <s v="175 Oak St"/>
    <x v="4"/>
    <x v="1"/>
    <m/>
    <n v="1527"/>
    <n v="438319"/>
    <n v="287.04584151931891"/>
  </r>
  <r>
    <x v="1285"/>
    <s v="Feb"/>
    <x v="3"/>
    <s v="360 Main St"/>
    <x v="4"/>
    <x v="2"/>
    <m/>
    <n v="2539"/>
    <n v="665735"/>
    <n v="262.20362347380859"/>
  </r>
  <r>
    <x v="2117"/>
    <s v="Mar"/>
    <x v="15"/>
    <s v="237 Pine Rd"/>
    <x v="2"/>
    <x v="2"/>
    <m/>
    <n v="898"/>
    <n v="441469"/>
    <n v="491.61358574610244"/>
  </r>
  <r>
    <x v="1687"/>
    <s v="Dec"/>
    <x v="9"/>
    <s v="666 Main St"/>
    <x v="0"/>
    <x v="1"/>
    <n v="3"/>
    <n v="2231"/>
    <n v="571205"/>
    <n v="256.03092783505156"/>
  </r>
  <r>
    <x v="400"/>
    <s v="Dec"/>
    <x v="17"/>
    <s v="406 Maple Ave"/>
    <x v="4"/>
    <x v="3"/>
    <n v="5"/>
    <n v="3153"/>
    <n v="188700"/>
    <n v="59.847764034253089"/>
  </r>
  <r>
    <x v="1294"/>
    <s v="Jan"/>
    <x v="15"/>
    <s v="857 Pine Rd"/>
    <x v="6"/>
    <x v="2"/>
    <n v="5"/>
    <n v="3205"/>
    <n v="362612"/>
    <n v="113.13946957878315"/>
  </r>
  <r>
    <x v="2118"/>
    <s v="May"/>
    <x v="17"/>
    <s v="774 Maple Ave"/>
    <x v="0"/>
    <x v="0"/>
    <n v="4"/>
    <n v="3016"/>
    <n v="675144"/>
    <n v="223.85411140583554"/>
  </r>
  <r>
    <x v="1035"/>
    <s v="Jan"/>
    <x v="9"/>
    <s v="529 Main St"/>
    <x v="6"/>
    <x v="1"/>
    <m/>
    <n v="1583"/>
    <m/>
    <n v="0"/>
  </r>
  <r>
    <x v="2119"/>
    <s v="Jun"/>
    <x v="8"/>
    <s v="222 Maple Ave"/>
    <x v="1"/>
    <x v="2"/>
    <m/>
    <n v="2521"/>
    <n v="150359"/>
    <n v="59.642602142007142"/>
  </r>
  <r>
    <x v="2120"/>
    <s v="Aug"/>
    <x v="18"/>
    <s v="387 Maple Ave"/>
    <x v="0"/>
    <x v="1"/>
    <m/>
    <n v="2176"/>
    <n v="663563"/>
    <n v="304.94623161764707"/>
  </r>
  <r>
    <x v="2121"/>
    <s v="Mar"/>
    <x v="9"/>
    <s v="513 Maple Ave"/>
    <x v="4"/>
    <x v="3"/>
    <m/>
    <n v="2229"/>
    <n v="423593"/>
    <n v="190.03723642889187"/>
  </r>
  <r>
    <x v="2122"/>
    <s v="May"/>
    <x v="12"/>
    <s v="125 Maple Ave"/>
    <x v="5"/>
    <x v="1"/>
    <m/>
    <n v="3185"/>
    <n v="747065"/>
    <n v="234.55729984301414"/>
  </r>
  <r>
    <x v="2054"/>
    <s v="Apr"/>
    <x v="16"/>
    <s v="227 Elm St"/>
    <x v="5"/>
    <x v="2"/>
    <n v="4"/>
    <n v="2564"/>
    <n v="844938"/>
    <n v="329.53900156006239"/>
  </r>
  <r>
    <x v="2123"/>
    <s v="Oct"/>
    <x v="16"/>
    <s v="435 Elm St"/>
    <x v="2"/>
    <x v="1"/>
    <m/>
    <n v="2131"/>
    <n v="791295"/>
    <n v="371.3256687001408"/>
  </r>
  <r>
    <x v="2124"/>
    <s v="Jan"/>
    <x v="5"/>
    <s v="934 Pine Rd"/>
    <x v="6"/>
    <x v="0"/>
    <n v="3"/>
    <n v="1276"/>
    <n v="114917"/>
    <n v="90.060344827586206"/>
  </r>
  <r>
    <x v="2125"/>
    <s v="Jul"/>
    <x v="4"/>
    <s v="513 Main St"/>
    <x v="3"/>
    <x v="3"/>
    <m/>
    <n v="2811"/>
    <n v="201785"/>
    <n v="71.784062611170398"/>
  </r>
  <r>
    <x v="2126"/>
    <s v="Feb"/>
    <x v="14"/>
    <s v="815 Maple Ave"/>
    <x v="6"/>
    <x v="1"/>
    <m/>
    <n v="2927"/>
    <n v="752001"/>
    <n v="256.91868807652889"/>
  </r>
  <r>
    <x v="2127"/>
    <s v="Mar"/>
    <x v="7"/>
    <s v="462 Maple Ave"/>
    <x v="0"/>
    <x v="3"/>
    <n v="4"/>
    <n v="1853"/>
    <n v="402418"/>
    <n v="217.17107393416083"/>
  </r>
  <r>
    <x v="2128"/>
    <s v="May"/>
    <x v="13"/>
    <s v="207 Maple Ave"/>
    <x v="4"/>
    <x v="3"/>
    <n v="2"/>
    <n v="2896"/>
    <n v="569059"/>
    <n v="196.49827348066299"/>
  </r>
  <r>
    <x v="1320"/>
    <s v="Aug"/>
    <x v="18"/>
    <s v="649 Main St"/>
    <x v="6"/>
    <x v="3"/>
    <n v="2"/>
    <n v="3258"/>
    <n v="465250"/>
    <n v="142.8023327194598"/>
  </r>
  <r>
    <x v="2129"/>
    <s v="Mar"/>
    <x v="10"/>
    <s v="673 Oak St"/>
    <x v="4"/>
    <x v="3"/>
    <n v="2"/>
    <n v="3252"/>
    <n v="774059"/>
    <n v="238.02552275522754"/>
  </r>
  <r>
    <x v="2130"/>
    <s v="Jul"/>
    <x v="5"/>
    <s v="694 Main St"/>
    <x v="1"/>
    <x v="3"/>
    <n v="2"/>
    <n v="1929"/>
    <n v="818283"/>
    <n v="424.20062208398133"/>
  </r>
  <r>
    <x v="1483"/>
    <s v="Jul"/>
    <x v="8"/>
    <s v="684 Maple Ave"/>
    <x v="2"/>
    <x v="1"/>
    <n v="3"/>
    <n v="1797"/>
    <n v="200055"/>
    <n v="111.32721202003339"/>
  </r>
  <r>
    <x v="2131"/>
    <s v="Apr"/>
    <x v="3"/>
    <s v="792 Elm St"/>
    <x v="2"/>
    <x v="3"/>
    <n v="4"/>
    <n v="1224"/>
    <n v="314375"/>
    <n v="256.84232026143792"/>
  </r>
  <r>
    <x v="964"/>
    <s v="Aug"/>
    <x v="10"/>
    <s v="455 Elm St"/>
    <x v="2"/>
    <x v="3"/>
    <m/>
    <n v="2603"/>
    <n v="254546"/>
    <n v="97.78947368421052"/>
  </r>
  <r>
    <x v="2132"/>
    <s v="Jan"/>
    <x v="19"/>
    <s v="409 Oak St"/>
    <x v="2"/>
    <x v="3"/>
    <n v="2"/>
    <n v="2956"/>
    <m/>
    <n v="0"/>
  </r>
  <r>
    <x v="2133"/>
    <s v="Apr"/>
    <x v="10"/>
    <s v="286 Pine Rd"/>
    <x v="3"/>
    <x v="1"/>
    <m/>
    <n v="1764"/>
    <n v="687106"/>
    <n v="389.51587301587301"/>
  </r>
  <r>
    <x v="2134"/>
    <s v="Sep"/>
    <x v="19"/>
    <s v="842 Elm St"/>
    <x v="6"/>
    <x v="2"/>
    <n v="2"/>
    <n v="2968"/>
    <n v="834596"/>
    <n v="281.19811320754718"/>
  </r>
  <r>
    <x v="2135"/>
    <s v="Jun"/>
    <x v="18"/>
    <s v="454 Pine Rd"/>
    <x v="0"/>
    <x v="3"/>
    <m/>
    <n v="3054"/>
    <n v="295130"/>
    <n v="96.637197118533066"/>
  </r>
  <r>
    <x v="2136"/>
    <s v="Mar"/>
    <x v="10"/>
    <s v="272 Pine Rd"/>
    <x v="2"/>
    <x v="3"/>
    <n v="3"/>
    <n v="2160"/>
    <n v="280806"/>
    <n v="130.00277777777777"/>
  </r>
  <r>
    <x v="2137"/>
    <s v="May"/>
    <x v="12"/>
    <s v="120 Oak St"/>
    <x v="2"/>
    <x v="3"/>
    <m/>
    <n v="1644"/>
    <n v="703237"/>
    <n v="427.7597323600973"/>
  </r>
  <r>
    <x v="2138"/>
    <s v="Aug"/>
    <x v="14"/>
    <s v="372 Pine Rd"/>
    <x v="3"/>
    <x v="1"/>
    <n v="4"/>
    <n v="2416"/>
    <n v="647785"/>
    <n v="268.12293046357615"/>
  </r>
  <r>
    <x v="2139"/>
    <s v="Nov"/>
    <x v="4"/>
    <s v="132 Oak St"/>
    <x v="4"/>
    <x v="0"/>
    <n v="3"/>
    <n v="2577"/>
    <n v="244171"/>
    <n v="94.750097012029485"/>
  </r>
  <r>
    <x v="2140"/>
    <s v="Oct"/>
    <x v="9"/>
    <s v="657 Maple Ave"/>
    <x v="0"/>
    <x v="0"/>
    <n v="4"/>
    <n v="2649"/>
    <m/>
    <n v="0"/>
  </r>
  <r>
    <x v="788"/>
    <s v="Jan"/>
    <x v="0"/>
    <s v="575 Pine Rd"/>
    <x v="3"/>
    <x v="0"/>
    <n v="2"/>
    <n v="987"/>
    <n v="550682"/>
    <n v="557.93515704154004"/>
  </r>
  <r>
    <x v="2141"/>
    <s v="Oct"/>
    <x v="2"/>
    <s v="689 Oak St"/>
    <x v="2"/>
    <x v="3"/>
    <n v="4"/>
    <n v="1087"/>
    <n v="157976"/>
    <n v="145.33210671573138"/>
  </r>
  <r>
    <x v="1226"/>
    <s v="Feb"/>
    <x v="4"/>
    <s v="966 Oak St"/>
    <x v="0"/>
    <x v="1"/>
    <m/>
    <n v="2294"/>
    <n v="452443"/>
    <n v="197.22885789014822"/>
  </r>
  <r>
    <x v="2142"/>
    <s v="Jul"/>
    <x v="12"/>
    <s v="505 Maple Ave"/>
    <x v="1"/>
    <x v="0"/>
    <n v="2"/>
    <n v="2692"/>
    <n v="815452"/>
    <n v="302.91679049034173"/>
  </r>
  <r>
    <x v="2143"/>
    <s v="Feb"/>
    <x v="14"/>
    <s v="709 Oak St"/>
    <x v="1"/>
    <x v="0"/>
    <m/>
    <n v="3023"/>
    <n v="502985"/>
    <n v="166.38604035726101"/>
  </r>
  <r>
    <x v="2144"/>
    <s v="Feb"/>
    <x v="18"/>
    <s v="760 Elm St"/>
    <x v="6"/>
    <x v="2"/>
    <n v="4"/>
    <n v="1827"/>
    <n v="270150"/>
    <n v="147.86535303776682"/>
  </r>
  <r>
    <x v="2145"/>
    <s v="Nov"/>
    <x v="17"/>
    <s v="878 Elm St"/>
    <x v="6"/>
    <x v="0"/>
    <n v="3"/>
    <n v="3406"/>
    <n v="616722"/>
    <n v="181.06928948913682"/>
  </r>
  <r>
    <x v="2146"/>
    <s v="May"/>
    <x v="14"/>
    <s v="269 Main St"/>
    <x v="6"/>
    <x v="3"/>
    <n v="2"/>
    <n v="1169"/>
    <n v="606375"/>
    <n v="518.71257485029935"/>
  </r>
  <r>
    <x v="2147"/>
    <s v="Feb"/>
    <x v="18"/>
    <s v="331 Oak St"/>
    <x v="0"/>
    <x v="1"/>
    <n v="4"/>
    <n v="2118"/>
    <n v="465725"/>
    <n v="219.8890462700661"/>
  </r>
  <r>
    <x v="2148"/>
    <s v="Oct"/>
    <x v="5"/>
    <s v="537 Elm St"/>
    <x v="6"/>
    <x v="3"/>
    <n v="3"/>
    <n v="1636"/>
    <n v="617371"/>
    <n v="377.36613691931541"/>
  </r>
  <r>
    <x v="2149"/>
    <s v="Jan"/>
    <x v="2"/>
    <s v="955 Oak St"/>
    <x v="2"/>
    <x v="0"/>
    <n v="3"/>
    <n v="1533"/>
    <n v="204207"/>
    <n v="133.20743639921722"/>
  </r>
  <r>
    <x v="1043"/>
    <s v="Dec"/>
    <x v="4"/>
    <s v="500 Oak St"/>
    <x v="4"/>
    <x v="3"/>
    <n v="3"/>
    <n v="2134"/>
    <n v="315690"/>
    <n v="147.93345829428304"/>
  </r>
  <r>
    <x v="2094"/>
    <s v="Jan"/>
    <x v="16"/>
    <s v="970 Maple Ave"/>
    <x v="5"/>
    <x v="1"/>
    <n v="2"/>
    <n v="1289"/>
    <n v="442090"/>
    <n v="342.9712955779674"/>
  </r>
  <r>
    <x v="360"/>
    <s v="Jul"/>
    <x v="16"/>
    <s v="915 Main St"/>
    <x v="1"/>
    <x v="0"/>
    <m/>
    <n v="2423"/>
    <n v="199383"/>
    <n v="82.287659925711921"/>
  </r>
  <r>
    <x v="2150"/>
    <s v="Feb"/>
    <x v="18"/>
    <s v="356 Pine Rd"/>
    <x v="0"/>
    <x v="1"/>
    <n v="2"/>
    <n v="3475"/>
    <n v="859633"/>
    <n v="247.37640287769784"/>
  </r>
  <r>
    <x v="2151"/>
    <s v="Aug"/>
    <x v="18"/>
    <s v="350 Maple Ave"/>
    <x v="6"/>
    <x v="1"/>
    <m/>
    <n v="1709"/>
    <n v="429937"/>
    <n v="251.57226448215332"/>
  </r>
  <r>
    <x v="2152"/>
    <s v="Jan"/>
    <x v="19"/>
    <s v="422 Pine Rd"/>
    <x v="6"/>
    <x v="0"/>
    <n v="2"/>
    <n v="2986"/>
    <n v="885732"/>
    <n v="296.6282652377763"/>
  </r>
  <r>
    <x v="2153"/>
    <s v="Apr"/>
    <x v="4"/>
    <s v="893 Pine Rd"/>
    <x v="6"/>
    <x v="2"/>
    <n v="4"/>
    <n v="2064"/>
    <n v="461906"/>
    <n v="223.79166666666666"/>
  </r>
  <r>
    <x v="2154"/>
    <s v="Nov"/>
    <x v="19"/>
    <s v="819 Main St"/>
    <x v="0"/>
    <x v="0"/>
    <n v="5"/>
    <n v="2132"/>
    <m/>
    <n v="0"/>
  </r>
  <r>
    <x v="77"/>
    <s v="Oct"/>
    <x v="10"/>
    <s v="283 Oak St"/>
    <x v="6"/>
    <x v="1"/>
    <n v="3"/>
    <n v="2537"/>
    <n v="518765"/>
    <n v="204.47970043358296"/>
  </r>
  <r>
    <x v="2155"/>
    <s v="Mar"/>
    <x v="2"/>
    <s v="465 Elm St"/>
    <x v="6"/>
    <x v="2"/>
    <n v="2"/>
    <n v="2521"/>
    <n v="344733"/>
    <n v="136.74454581515272"/>
  </r>
  <r>
    <x v="2156"/>
    <s v="Jan"/>
    <x v="11"/>
    <s v="976 Elm St"/>
    <x v="3"/>
    <x v="3"/>
    <m/>
    <n v="1302"/>
    <n v="677170"/>
    <n v="520.09984639016898"/>
  </r>
  <r>
    <x v="892"/>
    <s v="Jan"/>
    <x v="9"/>
    <s v="120 Maple Ave"/>
    <x v="1"/>
    <x v="0"/>
    <m/>
    <n v="1949"/>
    <n v="842193"/>
    <n v="432.11544381734222"/>
  </r>
  <r>
    <x v="2157"/>
    <s v="Apr"/>
    <x v="14"/>
    <s v="731 Oak St"/>
    <x v="1"/>
    <x v="1"/>
    <m/>
    <n v="1615"/>
    <n v="845037"/>
    <n v="523.24272445820429"/>
  </r>
  <r>
    <x v="2158"/>
    <s v="Jun"/>
    <x v="16"/>
    <s v="602 Maple Ave"/>
    <x v="2"/>
    <x v="0"/>
    <m/>
    <n v="1393"/>
    <n v="828874"/>
    <n v="595.02799712849969"/>
  </r>
  <r>
    <x v="2159"/>
    <s v="Jan"/>
    <x v="11"/>
    <s v="907 Oak St"/>
    <x v="6"/>
    <x v="1"/>
    <n v="4"/>
    <n v="1985"/>
    <n v="207253"/>
    <n v="104.4095717884131"/>
  </r>
  <r>
    <x v="2160"/>
    <s v="Feb"/>
    <x v="13"/>
    <s v="588 Main St"/>
    <x v="2"/>
    <x v="0"/>
    <n v="4"/>
    <n v="959"/>
    <n v="245264"/>
    <n v="255.74973931178312"/>
  </r>
  <r>
    <x v="1962"/>
    <s v="Sep"/>
    <x v="11"/>
    <s v="155 Maple Ave"/>
    <x v="3"/>
    <x v="2"/>
    <n v="5"/>
    <n v="954"/>
    <n v="479973"/>
    <n v="503.11635220125788"/>
  </r>
  <r>
    <x v="2161"/>
    <s v="Nov"/>
    <x v="16"/>
    <s v="963 Pine Rd"/>
    <x v="5"/>
    <x v="1"/>
    <n v="3"/>
    <n v="1092"/>
    <n v="732503"/>
    <n v="670.79029304029302"/>
  </r>
  <r>
    <x v="2162"/>
    <s v="May"/>
    <x v="0"/>
    <s v="844 Maple Ave"/>
    <x v="0"/>
    <x v="1"/>
    <n v="5"/>
    <n v="1949"/>
    <n v="276368"/>
    <n v="141.79989738327347"/>
  </r>
  <r>
    <x v="2163"/>
    <s v="Apr"/>
    <x v="18"/>
    <s v="908 Main St"/>
    <x v="1"/>
    <x v="3"/>
    <n v="4"/>
    <n v="2772"/>
    <m/>
    <n v="0"/>
  </r>
  <r>
    <x v="2164"/>
    <s v="Dec"/>
    <x v="2"/>
    <s v="759 Oak St"/>
    <x v="2"/>
    <x v="0"/>
    <n v="4"/>
    <n v="2968"/>
    <n v="173753"/>
    <n v="58.542115902964959"/>
  </r>
  <r>
    <x v="917"/>
    <s v="Jun"/>
    <x v="19"/>
    <s v="158 Oak St"/>
    <x v="5"/>
    <x v="2"/>
    <m/>
    <n v="1361"/>
    <n v="569344"/>
    <n v="418.32770022042615"/>
  </r>
  <r>
    <x v="176"/>
    <s v="May"/>
    <x v="14"/>
    <s v="222 Main St"/>
    <x v="2"/>
    <x v="2"/>
    <m/>
    <n v="1374"/>
    <n v="402412"/>
    <n v="292.87627365356622"/>
  </r>
  <r>
    <x v="2165"/>
    <s v="Aug"/>
    <x v="2"/>
    <s v="856 Oak St"/>
    <x v="5"/>
    <x v="1"/>
    <n v="2"/>
    <n v="2750"/>
    <n v="783228"/>
    <n v="284.81018181818183"/>
  </r>
  <r>
    <x v="2166"/>
    <s v="Aug"/>
    <x v="1"/>
    <s v="697 Main St"/>
    <x v="6"/>
    <x v="0"/>
    <m/>
    <n v="2973"/>
    <n v="324479"/>
    <n v="109.14194416414396"/>
  </r>
  <r>
    <x v="2167"/>
    <s v="Mar"/>
    <x v="7"/>
    <s v="389 Elm St"/>
    <x v="2"/>
    <x v="3"/>
    <n v="2"/>
    <n v="1401"/>
    <n v="356128"/>
    <n v="254.19557458957888"/>
  </r>
  <r>
    <x v="2168"/>
    <s v="May"/>
    <x v="16"/>
    <s v="868 Pine Rd"/>
    <x v="0"/>
    <x v="3"/>
    <n v="3"/>
    <n v="3431"/>
    <n v="736825"/>
    <n v="214.75517341882832"/>
  </r>
  <r>
    <x v="2169"/>
    <s v="Nov"/>
    <x v="17"/>
    <s v="504 Main St"/>
    <x v="0"/>
    <x v="0"/>
    <n v="4"/>
    <n v="1756"/>
    <n v="294720"/>
    <n v="167.8359908883827"/>
  </r>
  <r>
    <x v="2170"/>
    <s v="Jan"/>
    <x v="14"/>
    <s v="887 Pine Rd"/>
    <x v="4"/>
    <x v="2"/>
    <n v="3"/>
    <n v="1460"/>
    <n v="818205"/>
    <n v="560.41438356164383"/>
  </r>
  <r>
    <x v="2171"/>
    <s v="Dec"/>
    <x v="3"/>
    <s v="232 Oak St"/>
    <x v="2"/>
    <x v="3"/>
    <n v="2"/>
    <n v="2398"/>
    <n v="463170"/>
    <n v="193.14845704753961"/>
  </r>
  <r>
    <x v="2172"/>
    <s v="Sep"/>
    <x v="19"/>
    <s v="749 Maple Ave"/>
    <x v="2"/>
    <x v="2"/>
    <n v="4"/>
    <n v="1526"/>
    <n v="709298"/>
    <n v="464.8086500655308"/>
  </r>
  <r>
    <x v="912"/>
    <s v="Apr"/>
    <x v="1"/>
    <s v="206 Main St"/>
    <x v="0"/>
    <x v="2"/>
    <m/>
    <n v="2763"/>
    <n v="622223"/>
    <n v="225.19833514296056"/>
  </r>
  <r>
    <x v="2173"/>
    <s v="May"/>
    <x v="0"/>
    <s v="867 Pine Rd"/>
    <x v="2"/>
    <x v="1"/>
    <n v="3"/>
    <n v="2161"/>
    <n v="101600"/>
    <n v="47.015270708005552"/>
  </r>
  <r>
    <x v="2174"/>
    <s v="Feb"/>
    <x v="15"/>
    <s v="596 Elm St"/>
    <x v="4"/>
    <x v="1"/>
    <n v="3"/>
    <n v="2173"/>
    <n v="268604"/>
    <n v="123.60975609756098"/>
  </r>
  <r>
    <x v="2140"/>
    <s v="Oct"/>
    <x v="9"/>
    <s v="481 Oak St"/>
    <x v="0"/>
    <x v="0"/>
    <n v="5"/>
    <n v="2259"/>
    <n v="775424"/>
    <n v="343.25984949092521"/>
  </r>
  <r>
    <x v="581"/>
    <s v="Jul"/>
    <x v="12"/>
    <s v="632 Main St"/>
    <x v="4"/>
    <x v="1"/>
    <n v="2"/>
    <n v="3409"/>
    <m/>
    <n v="0"/>
  </r>
  <r>
    <x v="2175"/>
    <s v="Oct"/>
    <x v="4"/>
    <s v="918 Elm St"/>
    <x v="0"/>
    <x v="0"/>
    <n v="4"/>
    <n v="2866"/>
    <n v="575857"/>
    <n v="200.92707606420097"/>
  </r>
  <r>
    <x v="2176"/>
    <s v="Jun"/>
    <x v="17"/>
    <s v="723 Elm St"/>
    <x v="6"/>
    <x v="1"/>
    <n v="5"/>
    <n v="825"/>
    <m/>
    <n v="0"/>
  </r>
  <r>
    <x v="2177"/>
    <s v="Nov"/>
    <x v="15"/>
    <s v="206 Maple Ave"/>
    <x v="4"/>
    <x v="3"/>
    <m/>
    <n v="2126"/>
    <n v="347718"/>
    <n v="163.55503292568204"/>
  </r>
  <r>
    <x v="2178"/>
    <s v="Feb"/>
    <x v="6"/>
    <s v="484 Oak St"/>
    <x v="0"/>
    <x v="0"/>
    <n v="5"/>
    <n v="2780"/>
    <n v="896000"/>
    <n v="322.30215827338128"/>
  </r>
  <r>
    <x v="2179"/>
    <s v="Jan"/>
    <x v="3"/>
    <s v="129 Elm St"/>
    <x v="2"/>
    <x v="0"/>
    <m/>
    <n v="3414"/>
    <n v="665731"/>
    <n v="195.00029291154073"/>
  </r>
  <r>
    <x v="2180"/>
    <s v="Feb"/>
    <x v="15"/>
    <s v="951 Main St"/>
    <x v="1"/>
    <x v="1"/>
    <n v="5"/>
    <n v="2858"/>
    <n v="617495"/>
    <n v="216.05843247025894"/>
  </r>
  <r>
    <x v="2181"/>
    <s v="Dec"/>
    <x v="1"/>
    <s v="289 Elm St"/>
    <x v="5"/>
    <x v="2"/>
    <n v="4"/>
    <n v="2195"/>
    <n v="280154"/>
    <n v="127.63280182232346"/>
  </r>
  <r>
    <x v="2182"/>
    <s v="Jun"/>
    <x v="12"/>
    <s v="452 Oak St"/>
    <x v="2"/>
    <x v="2"/>
    <n v="2"/>
    <n v="3043"/>
    <n v="286854"/>
    <n v="94.266841932303649"/>
  </r>
  <r>
    <x v="2183"/>
    <s v="Sep"/>
    <x v="3"/>
    <s v="959 Main St"/>
    <x v="5"/>
    <x v="3"/>
    <n v="5"/>
    <n v="1051"/>
    <n v="313651"/>
    <n v="298.43101807802094"/>
  </r>
  <r>
    <x v="2184"/>
    <s v="Mar"/>
    <x v="10"/>
    <s v="832 Oak St"/>
    <x v="5"/>
    <x v="2"/>
    <m/>
    <n v="2251"/>
    <n v="642230"/>
    <n v="285.30875166592625"/>
  </r>
  <r>
    <x v="2185"/>
    <s v="Feb"/>
    <x v="17"/>
    <s v="109 Elm St"/>
    <x v="2"/>
    <x v="3"/>
    <m/>
    <n v="1959"/>
    <n v="470903"/>
    <n v="240.37927514037776"/>
  </r>
  <r>
    <x v="2186"/>
    <s v="Nov"/>
    <x v="7"/>
    <s v="181 Elm St"/>
    <x v="2"/>
    <x v="1"/>
    <n v="3"/>
    <n v="1261"/>
    <n v="797693"/>
    <n v="632.58762886597935"/>
  </r>
  <r>
    <x v="398"/>
    <s v="Mar"/>
    <x v="10"/>
    <s v="524 Pine Rd"/>
    <x v="3"/>
    <x v="2"/>
    <m/>
    <n v="2157"/>
    <n v="815087"/>
    <n v="377.87992582290218"/>
  </r>
  <r>
    <x v="2187"/>
    <s v="Apr"/>
    <x v="5"/>
    <s v="496 Elm St"/>
    <x v="0"/>
    <x v="0"/>
    <n v="2"/>
    <n v="2726"/>
    <n v="605047"/>
    <n v="221.95414526779163"/>
  </r>
  <r>
    <x v="1817"/>
    <s v="Jul"/>
    <x v="12"/>
    <s v="382 Oak St"/>
    <x v="6"/>
    <x v="0"/>
    <m/>
    <n v="3316"/>
    <n v="224469"/>
    <n v="67.692702050663456"/>
  </r>
  <r>
    <x v="2188"/>
    <s v="Dec"/>
    <x v="17"/>
    <s v="681 Main St"/>
    <x v="0"/>
    <x v="3"/>
    <n v="4"/>
    <n v="1167"/>
    <n v="418063"/>
    <n v="358.23736075407027"/>
  </r>
  <r>
    <x v="1191"/>
    <s v="Mar"/>
    <x v="5"/>
    <s v="862 Elm St"/>
    <x v="1"/>
    <x v="2"/>
    <m/>
    <n v="2627"/>
    <n v="432309"/>
    <n v="164.56376094404263"/>
  </r>
  <r>
    <x v="2189"/>
    <s v="Aug"/>
    <x v="19"/>
    <s v="648 Maple Ave"/>
    <x v="4"/>
    <x v="1"/>
    <m/>
    <n v="1470"/>
    <n v="283984"/>
    <n v="193.18639455782312"/>
  </r>
  <r>
    <x v="2190"/>
    <s v="Oct"/>
    <x v="17"/>
    <s v="882 Elm St"/>
    <x v="4"/>
    <x v="0"/>
    <m/>
    <n v="3072"/>
    <n v="161732"/>
    <n v="52.647135416666664"/>
  </r>
  <r>
    <x v="872"/>
    <s v="Feb"/>
    <x v="19"/>
    <s v="808 Elm St"/>
    <x v="1"/>
    <x v="3"/>
    <n v="3"/>
    <n v="1983"/>
    <n v="236858"/>
    <n v="119.44427634896621"/>
  </r>
  <r>
    <x v="2191"/>
    <s v="Jun"/>
    <x v="15"/>
    <s v="730 Maple Ave"/>
    <x v="2"/>
    <x v="2"/>
    <m/>
    <n v="1224"/>
    <n v="264157"/>
    <n v="215.81454248366012"/>
  </r>
  <r>
    <x v="2192"/>
    <s v="Jul"/>
    <x v="3"/>
    <s v="685 Elm St"/>
    <x v="0"/>
    <x v="2"/>
    <n v="3"/>
    <n v="1895"/>
    <n v="824372"/>
    <n v="435.02480211081792"/>
  </r>
  <r>
    <x v="2193"/>
    <s v="Mar"/>
    <x v="4"/>
    <s v="656 Elm St"/>
    <x v="6"/>
    <x v="2"/>
    <m/>
    <n v="2540"/>
    <n v="414791"/>
    <n v="163.30354330708661"/>
  </r>
  <r>
    <x v="2194"/>
    <s v="Mar"/>
    <x v="4"/>
    <s v="959 Oak St"/>
    <x v="4"/>
    <x v="0"/>
    <n v="3"/>
    <n v="2827"/>
    <n v="149838"/>
    <n v="53.002476123098688"/>
  </r>
  <r>
    <x v="2195"/>
    <s v="Aug"/>
    <x v="6"/>
    <s v="298 Maple Ave"/>
    <x v="6"/>
    <x v="0"/>
    <n v="2"/>
    <n v="1344"/>
    <n v="592475"/>
    <n v="440.82961309523807"/>
  </r>
  <r>
    <x v="2196"/>
    <s v="Apr"/>
    <x v="11"/>
    <s v="371 Oak St"/>
    <x v="3"/>
    <x v="2"/>
    <m/>
    <n v="1952"/>
    <n v="640752"/>
    <n v="328.25409836065575"/>
  </r>
  <r>
    <x v="221"/>
    <s v="Jan"/>
    <x v="14"/>
    <s v="171 Oak St"/>
    <x v="6"/>
    <x v="3"/>
    <m/>
    <n v="1216"/>
    <n v="466042"/>
    <n v="383.25822368421052"/>
  </r>
  <r>
    <x v="2197"/>
    <s v="Sep"/>
    <x v="2"/>
    <s v="813 Oak St"/>
    <x v="4"/>
    <x v="2"/>
    <m/>
    <n v="2316"/>
    <n v="424635"/>
    <n v="183.34844559585491"/>
  </r>
  <r>
    <x v="961"/>
    <s v="Sep"/>
    <x v="7"/>
    <s v="602 Main St"/>
    <x v="0"/>
    <x v="3"/>
    <n v="3"/>
    <n v="3249"/>
    <n v="346818"/>
    <n v="106.7460757156048"/>
  </r>
  <r>
    <x v="2198"/>
    <s v="Nov"/>
    <x v="11"/>
    <s v="837 Maple Ave"/>
    <x v="0"/>
    <x v="2"/>
    <n v="3"/>
    <n v="1110"/>
    <n v="660641"/>
    <n v="595.17207207207207"/>
  </r>
  <r>
    <x v="1038"/>
    <s v="Jul"/>
    <x v="3"/>
    <s v="915 Main St"/>
    <x v="4"/>
    <x v="3"/>
    <m/>
    <n v="2780"/>
    <n v="148439"/>
    <n v="53.395323741007196"/>
  </r>
  <r>
    <x v="2199"/>
    <s v="Jan"/>
    <x v="16"/>
    <s v="361 Elm St"/>
    <x v="2"/>
    <x v="2"/>
    <n v="3"/>
    <n v="3428"/>
    <n v="782518"/>
    <n v="228.27246207701285"/>
  </r>
  <r>
    <x v="2200"/>
    <s v="Aug"/>
    <x v="14"/>
    <s v="536 Oak St"/>
    <x v="0"/>
    <x v="3"/>
    <n v="5"/>
    <n v="2668"/>
    <n v="596641"/>
    <n v="223.62856071964018"/>
  </r>
  <r>
    <x v="434"/>
    <s v="Aug"/>
    <x v="6"/>
    <s v="960 Pine Rd"/>
    <x v="3"/>
    <x v="3"/>
    <m/>
    <n v="2599"/>
    <n v="646337"/>
    <n v="248.68680261639091"/>
  </r>
  <r>
    <x v="180"/>
    <s v="Sep"/>
    <x v="6"/>
    <s v="831 Elm St"/>
    <x v="6"/>
    <x v="1"/>
    <m/>
    <n v="1595"/>
    <n v="142052"/>
    <n v="89.060815047021947"/>
  </r>
  <r>
    <x v="1894"/>
    <s v="Jun"/>
    <x v="16"/>
    <s v="557 Pine Rd"/>
    <x v="1"/>
    <x v="0"/>
    <n v="4"/>
    <n v="3043"/>
    <n v="239832"/>
    <n v="78.814327965823196"/>
  </r>
  <r>
    <x v="2201"/>
    <s v="Jun"/>
    <x v="0"/>
    <s v="547 Main St"/>
    <x v="4"/>
    <x v="0"/>
    <n v="5"/>
    <n v="1054"/>
    <n v="286515"/>
    <n v="271.83586337760909"/>
  </r>
  <r>
    <x v="556"/>
    <s v="Aug"/>
    <x v="16"/>
    <s v="629 Pine Rd"/>
    <x v="5"/>
    <x v="1"/>
    <m/>
    <n v="1138"/>
    <n v="111894"/>
    <n v="98.325131810193326"/>
  </r>
  <r>
    <x v="2202"/>
    <s v="Aug"/>
    <x v="2"/>
    <s v="799 Main St"/>
    <x v="1"/>
    <x v="2"/>
    <n v="4"/>
    <n v="3359"/>
    <n v="199887"/>
    <n v="59.507889252753799"/>
  </r>
  <r>
    <x v="2203"/>
    <s v="Sep"/>
    <x v="15"/>
    <s v="277 Oak St"/>
    <x v="3"/>
    <x v="1"/>
    <n v="4"/>
    <n v="1537"/>
    <n v="695731"/>
    <n v="452.65517241379308"/>
  </r>
  <r>
    <x v="2204"/>
    <s v="Apr"/>
    <x v="13"/>
    <s v="580 Elm St"/>
    <x v="5"/>
    <x v="1"/>
    <n v="4"/>
    <n v="2432"/>
    <n v="812840"/>
    <n v="334.22697368421052"/>
  </r>
  <r>
    <x v="2205"/>
    <s v="Dec"/>
    <x v="18"/>
    <s v="836 Elm St"/>
    <x v="1"/>
    <x v="0"/>
    <n v="4"/>
    <n v="2581"/>
    <n v="653836"/>
    <n v="253.32661759008136"/>
  </r>
  <r>
    <x v="2206"/>
    <s v="Jun"/>
    <x v="16"/>
    <s v="102 Main St"/>
    <x v="4"/>
    <x v="1"/>
    <n v="2"/>
    <n v="2895"/>
    <n v="766864"/>
    <n v="264.89257340241795"/>
  </r>
  <r>
    <x v="2207"/>
    <s v="Nov"/>
    <x v="3"/>
    <s v="891 Pine Rd"/>
    <x v="1"/>
    <x v="2"/>
    <m/>
    <n v="2178"/>
    <n v="122879"/>
    <n v="56.418273645546371"/>
  </r>
  <r>
    <x v="535"/>
    <s v="Jun"/>
    <x v="1"/>
    <s v="451 Main St"/>
    <x v="4"/>
    <x v="3"/>
    <n v="4"/>
    <n v="2464"/>
    <n v="355929"/>
    <n v="144.45170454545453"/>
  </r>
  <r>
    <x v="2208"/>
    <s v="May"/>
    <x v="1"/>
    <s v="915 Main St"/>
    <x v="0"/>
    <x v="3"/>
    <n v="3"/>
    <n v="1279"/>
    <n v="506273"/>
    <n v="395.83502736512901"/>
  </r>
  <r>
    <x v="1850"/>
    <s v="May"/>
    <x v="0"/>
    <s v="791 Main St"/>
    <x v="4"/>
    <x v="2"/>
    <m/>
    <n v="2472"/>
    <n v="421976"/>
    <n v="170.70226537216828"/>
  </r>
  <r>
    <x v="270"/>
    <s v="Jan"/>
    <x v="2"/>
    <s v="457 Pine Rd"/>
    <x v="0"/>
    <x v="3"/>
    <n v="5"/>
    <n v="2005"/>
    <n v="578400"/>
    <n v="288.47880299251869"/>
  </r>
  <r>
    <x v="1767"/>
    <s v="Jul"/>
    <x v="18"/>
    <s v="157 Maple Ave"/>
    <x v="0"/>
    <x v="0"/>
    <m/>
    <n v="1455"/>
    <n v="435029"/>
    <n v="298.98900343642612"/>
  </r>
  <r>
    <x v="2209"/>
    <s v="Sep"/>
    <x v="1"/>
    <s v="708 Oak St"/>
    <x v="5"/>
    <x v="0"/>
    <n v="2"/>
    <n v="1100"/>
    <n v="361334"/>
    <n v="328.48545454545456"/>
  </r>
  <r>
    <x v="2210"/>
    <s v="May"/>
    <x v="3"/>
    <s v="171 Main St"/>
    <x v="1"/>
    <x v="0"/>
    <n v="2"/>
    <n v="2480"/>
    <n v="518914"/>
    <n v="209.23951612903227"/>
  </r>
  <r>
    <x v="392"/>
    <s v="Jan"/>
    <x v="14"/>
    <s v="277 Pine Rd"/>
    <x v="2"/>
    <x v="3"/>
    <n v="2"/>
    <n v="1225"/>
    <n v="887664"/>
    <n v="724.62367346938777"/>
  </r>
  <r>
    <x v="388"/>
    <s v="Dec"/>
    <x v="16"/>
    <s v="726 Oak St"/>
    <x v="0"/>
    <x v="3"/>
    <m/>
    <n v="2308"/>
    <n v="222956"/>
    <n v="96.601386481802422"/>
  </r>
  <r>
    <x v="2211"/>
    <s v="Dec"/>
    <x v="17"/>
    <s v="972 Oak St"/>
    <x v="0"/>
    <x v="2"/>
    <n v="3"/>
    <n v="2195"/>
    <n v="495058"/>
    <n v="225.53895216400912"/>
  </r>
  <r>
    <x v="697"/>
    <s v="Nov"/>
    <x v="1"/>
    <s v="404 Oak St"/>
    <x v="2"/>
    <x v="0"/>
    <n v="4"/>
    <n v="923"/>
    <n v="715070"/>
    <n v="774.72372697724813"/>
  </r>
  <r>
    <x v="1536"/>
    <s v="Apr"/>
    <x v="12"/>
    <s v="547 Pine Rd"/>
    <x v="0"/>
    <x v="1"/>
    <n v="4"/>
    <n v="2597"/>
    <n v="834811"/>
    <n v="321.45206006931073"/>
  </r>
  <r>
    <x v="2212"/>
    <s v="Jan"/>
    <x v="9"/>
    <s v="615 Elm St"/>
    <x v="5"/>
    <x v="3"/>
    <m/>
    <n v="2265"/>
    <n v="490453"/>
    <n v="216.53554083885209"/>
  </r>
  <r>
    <x v="2213"/>
    <s v="Feb"/>
    <x v="0"/>
    <s v="604 Pine Rd"/>
    <x v="4"/>
    <x v="3"/>
    <m/>
    <n v="1171"/>
    <n v="706585"/>
    <n v="603.40307429547397"/>
  </r>
  <r>
    <x v="2214"/>
    <s v="Oct"/>
    <x v="11"/>
    <s v="460 Maple Ave"/>
    <x v="4"/>
    <x v="2"/>
    <m/>
    <n v="3052"/>
    <n v="473720"/>
    <n v="155.21625163826999"/>
  </r>
  <r>
    <x v="2215"/>
    <s v="Jul"/>
    <x v="11"/>
    <s v="364 Maple Ave"/>
    <x v="4"/>
    <x v="2"/>
    <m/>
    <n v="1407"/>
    <n v="433359"/>
    <n v="308.00213219616205"/>
  </r>
  <r>
    <x v="2216"/>
    <s v="Nov"/>
    <x v="9"/>
    <s v="807 Main St"/>
    <x v="6"/>
    <x v="3"/>
    <n v="5"/>
    <n v="3454"/>
    <n v="669419"/>
    <n v="193.80978575564563"/>
  </r>
  <r>
    <x v="2217"/>
    <s v="Nov"/>
    <x v="7"/>
    <s v="565 Main St"/>
    <x v="0"/>
    <x v="3"/>
    <n v="5"/>
    <n v="2574"/>
    <n v="607499"/>
    <n v="236.01359751359752"/>
  </r>
  <r>
    <x v="2218"/>
    <s v="Aug"/>
    <x v="18"/>
    <s v="371 Maple Ave"/>
    <x v="4"/>
    <x v="1"/>
    <n v="2"/>
    <n v="1611"/>
    <n v="468360"/>
    <n v="290.72625698324021"/>
  </r>
  <r>
    <x v="2219"/>
    <s v="Jun"/>
    <x v="13"/>
    <s v="798 Elm St"/>
    <x v="5"/>
    <x v="3"/>
    <n v="3"/>
    <n v="2290"/>
    <n v="589162"/>
    <n v="257.27598253275107"/>
  </r>
  <r>
    <x v="1436"/>
    <s v="Mar"/>
    <x v="5"/>
    <s v="169 Oak St"/>
    <x v="1"/>
    <x v="2"/>
    <n v="2"/>
    <n v="3086"/>
    <n v="722778"/>
    <n v="234.21192482177577"/>
  </r>
  <r>
    <x v="2220"/>
    <s v="Jan"/>
    <x v="12"/>
    <s v="612 Oak St"/>
    <x v="4"/>
    <x v="2"/>
    <n v="2"/>
    <n v="1928"/>
    <n v="453975"/>
    <n v="235.46421161825725"/>
  </r>
  <r>
    <x v="2221"/>
    <s v="Oct"/>
    <x v="1"/>
    <s v="283 Oak St"/>
    <x v="6"/>
    <x v="3"/>
    <n v="4"/>
    <n v="1521"/>
    <n v="857934"/>
    <n v="564.05917159763317"/>
  </r>
  <r>
    <x v="2222"/>
    <s v="Jun"/>
    <x v="14"/>
    <s v="833 Main St"/>
    <x v="6"/>
    <x v="1"/>
    <n v="4"/>
    <n v="1298"/>
    <n v="284958"/>
    <n v="219.5362095531587"/>
  </r>
  <r>
    <x v="2223"/>
    <s v="Dec"/>
    <x v="2"/>
    <s v="219 Oak St"/>
    <x v="1"/>
    <x v="3"/>
    <n v="3"/>
    <n v="2142"/>
    <n v="301942"/>
    <n v="140.96265172735761"/>
  </r>
  <r>
    <x v="769"/>
    <s v="Apr"/>
    <x v="9"/>
    <s v="773 Oak St"/>
    <x v="6"/>
    <x v="0"/>
    <m/>
    <n v="2857"/>
    <n v="857554"/>
    <n v="300.15890794539729"/>
  </r>
  <r>
    <x v="2224"/>
    <s v="Sep"/>
    <x v="12"/>
    <s v="186 Elm St"/>
    <x v="4"/>
    <x v="0"/>
    <n v="4"/>
    <n v="1370"/>
    <n v="286202"/>
    <n v="208.90656934306568"/>
  </r>
  <r>
    <x v="2225"/>
    <s v="Mar"/>
    <x v="1"/>
    <s v="135 Pine Rd"/>
    <x v="6"/>
    <x v="3"/>
    <m/>
    <n v="2608"/>
    <n v="578131"/>
    <n v="221.67599693251535"/>
  </r>
  <r>
    <x v="2226"/>
    <s v="Nov"/>
    <x v="1"/>
    <s v="528 Main St"/>
    <x v="5"/>
    <x v="1"/>
    <n v="3"/>
    <n v="1765"/>
    <n v="443664"/>
    <n v="251.36770538243627"/>
  </r>
  <r>
    <x v="2227"/>
    <s v="May"/>
    <x v="6"/>
    <s v="329 Elm St"/>
    <x v="4"/>
    <x v="0"/>
    <n v="3"/>
    <n v="2937"/>
    <n v="123049"/>
    <n v="41.896152536601974"/>
  </r>
  <r>
    <x v="2228"/>
    <s v="Nov"/>
    <x v="1"/>
    <s v="781 Maple Ave"/>
    <x v="6"/>
    <x v="1"/>
    <m/>
    <n v="1375"/>
    <n v="770010"/>
    <n v="560.00727272727272"/>
  </r>
  <r>
    <x v="512"/>
    <s v="Feb"/>
    <x v="13"/>
    <s v="511 Pine Rd"/>
    <x v="2"/>
    <x v="1"/>
    <m/>
    <n v="1127"/>
    <n v="342952"/>
    <n v="304.30523513753326"/>
  </r>
  <r>
    <x v="577"/>
    <s v="Sep"/>
    <x v="8"/>
    <s v="587 Elm St"/>
    <x v="2"/>
    <x v="1"/>
    <m/>
    <n v="1055"/>
    <n v="253427"/>
    <n v="240.21516587677726"/>
  </r>
  <r>
    <x v="2229"/>
    <s v="Jun"/>
    <x v="13"/>
    <s v="125 Maple Ave"/>
    <x v="0"/>
    <x v="2"/>
    <n v="4"/>
    <n v="1826"/>
    <n v="774932"/>
    <n v="424.38773274917855"/>
  </r>
  <r>
    <x v="2230"/>
    <s v="Nov"/>
    <x v="12"/>
    <s v="696 Pine Rd"/>
    <x v="3"/>
    <x v="0"/>
    <n v="3"/>
    <n v="1056"/>
    <n v="648062"/>
    <n v="613.69507575757575"/>
  </r>
  <r>
    <x v="2231"/>
    <s v="Jan"/>
    <x v="10"/>
    <s v="930 Pine Rd"/>
    <x v="2"/>
    <x v="0"/>
    <n v="5"/>
    <n v="1958"/>
    <n v="662923"/>
    <n v="338.57150153217572"/>
  </r>
  <r>
    <x v="2232"/>
    <s v="Dec"/>
    <x v="11"/>
    <s v="188 Main St"/>
    <x v="0"/>
    <x v="2"/>
    <m/>
    <n v="2959"/>
    <n v="497045"/>
    <n v="167.97735721527542"/>
  </r>
  <r>
    <x v="2233"/>
    <s v="Feb"/>
    <x v="11"/>
    <s v="268 Elm St"/>
    <x v="2"/>
    <x v="3"/>
    <n v="3"/>
    <n v="2042"/>
    <n v="128464"/>
    <n v="62.910871694417239"/>
  </r>
  <r>
    <x v="2052"/>
    <s v="Dec"/>
    <x v="5"/>
    <s v="731 Elm St"/>
    <x v="3"/>
    <x v="1"/>
    <n v="3"/>
    <n v="2627"/>
    <n v="852249"/>
    <n v="324.41910925009518"/>
  </r>
  <r>
    <x v="1982"/>
    <s v="Oct"/>
    <x v="10"/>
    <s v="474 Main St"/>
    <x v="6"/>
    <x v="0"/>
    <n v="5"/>
    <n v="2680"/>
    <n v="667681"/>
    <n v="249.13470149253732"/>
  </r>
  <r>
    <x v="2234"/>
    <s v="Mar"/>
    <x v="0"/>
    <s v="355 Elm St"/>
    <x v="1"/>
    <x v="2"/>
    <n v="4"/>
    <n v="1588"/>
    <n v="827770"/>
    <n v="521.26574307304782"/>
  </r>
  <r>
    <x v="829"/>
    <s v="Nov"/>
    <x v="5"/>
    <s v="454 Pine Rd"/>
    <x v="2"/>
    <x v="0"/>
    <n v="3"/>
    <n v="1865"/>
    <n v="138551"/>
    <n v="74.290080428954425"/>
  </r>
  <r>
    <x v="2235"/>
    <s v="Oct"/>
    <x v="3"/>
    <s v="872 Main St"/>
    <x v="6"/>
    <x v="1"/>
    <n v="3"/>
    <n v="3095"/>
    <n v="371802"/>
    <n v="120.12988691437803"/>
  </r>
  <r>
    <x v="2231"/>
    <s v="Jan"/>
    <x v="10"/>
    <s v="854 Elm St"/>
    <x v="6"/>
    <x v="3"/>
    <m/>
    <n v="1085"/>
    <n v="899630"/>
    <n v="829.15207373271892"/>
  </r>
  <r>
    <x v="1781"/>
    <s v="Jul"/>
    <x v="19"/>
    <s v="490 Main St"/>
    <x v="0"/>
    <x v="2"/>
    <n v="5"/>
    <n v="1923"/>
    <n v="200536"/>
    <n v="104.28289131565262"/>
  </r>
  <r>
    <x v="941"/>
    <s v="May"/>
    <x v="7"/>
    <s v="258 Oak St"/>
    <x v="2"/>
    <x v="1"/>
    <m/>
    <n v="3337"/>
    <n v="269792"/>
    <n v="80.848666466886428"/>
  </r>
  <r>
    <x v="2236"/>
    <s v="Oct"/>
    <x v="3"/>
    <s v="669 Pine Rd"/>
    <x v="4"/>
    <x v="3"/>
    <n v="4"/>
    <n v="2687"/>
    <n v="713319"/>
    <n v="265.47041310011167"/>
  </r>
  <r>
    <x v="2237"/>
    <s v="Sep"/>
    <x v="9"/>
    <s v="738 Pine Rd"/>
    <x v="1"/>
    <x v="1"/>
    <m/>
    <n v="2119"/>
    <n v="418782"/>
    <n v="197.6319018404908"/>
  </r>
  <r>
    <x v="2238"/>
    <s v="Nov"/>
    <x v="6"/>
    <s v="780 Oak St"/>
    <x v="4"/>
    <x v="3"/>
    <n v="4"/>
    <n v="2333"/>
    <n v="886788"/>
    <n v="380.10630090012859"/>
  </r>
  <r>
    <x v="2239"/>
    <s v="Dec"/>
    <x v="6"/>
    <s v="452 Maple Ave"/>
    <x v="6"/>
    <x v="3"/>
    <m/>
    <n v="912"/>
    <n v="561359"/>
    <n v="615.52521929824559"/>
  </r>
  <r>
    <x v="1148"/>
    <s v="Jul"/>
    <x v="14"/>
    <s v="166 Main St"/>
    <x v="1"/>
    <x v="0"/>
    <n v="2"/>
    <n v="2474"/>
    <n v="226083"/>
    <n v="91.383589329021831"/>
  </r>
  <r>
    <x v="2240"/>
    <s v="Apr"/>
    <x v="19"/>
    <s v="747 Pine Rd"/>
    <x v="0"/>
    <x v="1"/>
    <n v="5"/>
    <n v="3251"/>
    <n v="113679"/>
    <n v="34.967394647800674"/>
  </r>
  <r>
    <x v="2241"/>
    <s v="Feb"/>
    <x v="7"/>
    <s v="824 Main St"/>
    <x v="1"/>
    <x v="0"/>
    <m/>
    <n v="2720"/>
    <n v="210223"/>
    <n v="77.287867647058818"/>
  </r>
  <r>
    <x v="2242"/>
    <s v="Mar"/>
    <x v="17"/>
    <s v="929 Elm St"/>
    <x v="4"/>
    <x v="1"/>
    <m/>
    <n v="3092"/>
    <n v="230342"/>
    <n v="74.496119016817588"/>
  </r>
  <r>
    <x v="392"/>
    <s v="Jan"/>
    <x v="14"/>
    <s v="640 Oak St"/>
    <x v="1"/>
    <x v="3"/>
    <n v="5"/>
    <n v="2674"/>
    <n v="218099"/>
    <n v="81.562827225130889"/>
  </r>
  <r>
    <x v="2243"/>
    <s v="Oct"/>
    <x v="16"/>
    <s v="698 Main St"/>
    <x v="6"/>
    <x v="1"/>
    <n v="3"/>
    <n v="2404"/>
    <n v="822810"/>
    <n v="342.26705490848587"/>
  </r>
  <r>
    <x v="2244"/>
    <s v="Jan"/>
    <x v="10"/>
    <s v="696 Pine Rd"/>
    <x v="6"/>
    <x v="2"/>
    <m/>
    <n v="1088"/>
    <n v="805365"/>
    <n v="740.22518382352939"/>
  </r>
  <r>
    <x v="2245"/>
    <s v="Apr"/>
    <x v="0"/>
    <s v="516 Main St"/>
    <x v="4"/>
    <x v="1"/>
    <n v="2"/>
    <n v="1678"/>
    <n v="825623"/>
    <n v="492.02800953516089"/>
  </r>
  <r>
    <x v="763"/>
    <s v="Jun"/>
    <x v="4"/>
    <s v="290 Pine Rd"/>
    <x v="6"/>
    <x v="2"/>
    <n v="3"/>
    <n v="2410"/>
    <n v="133525"/>
    <n v="55.404564315352694"/>
  </r>
  <r>
    <x v="2246"/>
    <s v="Mar"/>
    <x v="6"/>
    <s v="359 Pine Rd"/>
    <x v="1"/>
    <x v="3"/>
    <n v="2"/>
    <n v="946"/>
    <n v="558532"/>
    <n v="590.41437632135307"/>
  </r>
  <r>
    <x v="413"/>
    <s v="Apr"/>
    <x v="12"/>
    <s v="834 Maple Ave"/>
    <x v="0"/>
    <x v="1"/>
    <n v="2"/>
    <n v="1426"/>
    <n v="217794"/>
    <n v="152.73071528751754"/>
  </r>
  <r>
    <x v="2247"/>
    <s v="Jul"/>
    <x v="14"/>
    <s v="387 Maple Ave"/>
    <x v="6"/>
    <x v="0"/>
    <m/>
    <n v="2602"/>
    <n v="150707"/>
    <n v="57.919677171406612"/>
  </r>
  <r>
    <x v="1373"/>
    <s v="Nov"/>
    <x v="2"/>
    <s v="582 Oak St"/>
    <x v="2"/>
    <x v="0"/>
    <m/>
    <n v="2163"/>
    <n v="850919"/>
    <n v="393.39759593157652"/>
  </r>
  <r>
    <x v="2248"/>
    <s v="Jan"/>
    <x v="12"/>
    <s v="916 Pine Rd"/>
    <x v="0"/>
    <x v="0"/>
    <n v="3"/>
    <n v="1012"/>
    <n v="625982"/>
    <n v="618.55928853754938"/>
  </r>
  <r>
    <x v="2249"/>
    <s v="Feb"/>
    <x v="19"/>
    <s v="946 Pine Rd"/>
    <x v="0"/>
    <x v="0"/>
    <m/>
    <n v="3011"/>
    <n v="820061"/>
    <n v="272.35503155097973"/>
  </r>
  <r>
    <x v="2250"/>
    <s v="Oct"/>
    <x v="0"/>
    <s v="195 Main St"/>
    <x v="4"/>
    <x v="3"/>
    <n v="2"/>
    <n v="1633"/>
    <n v="529077"/>
    <n v="323.99081445192894"/>
  </r>
  <r>
    <x v="2251"/>
    <s v="Sep"/>
    <x v="8"/>
    <s v="229 Main St"/>
    <x v="5"/>
    <x v="0"/>
    <n v="2"/>
    <n v="1088"/>
    <n v="131183"/>
    <n v="120.57261029411765"/>
  </r>
  <r>
    <x v="2252"/>
    <s v="Jun"/>
    <x v="11"/>
    <s v="214 Pine Rd"/>
    <x v="3"/>
    <x v="0"/>
    <n v="2"/>
    <n v="2718"/>
    <n v="710012"/>
    <n v="261.22590139808682"/>
  </r>
  <r>
    <x v="2103"/>
    <s v="Jan"/>
    <x v="4"/>
    <s v="114 Main St"/>
    <x v="5"/>
    <x v="3"/>
    <m/>
    <n v="2679"/>
    <n v="248048"/>
    <n v="92.589772303098172"/>
  </r>
  <r>
    <x v="2253"/>
    <s v="Feb"/>
    <x v="18"/>
    <s v="663 Main St"/>
    <x v="0"/>
    <x v="3"/>
    <n v="3"/>
    <n v="2421"/>
    <n v="700290"/>
    <n v="289.25650557620816"/>
  </r>
  <r>
    <x v="473"/>
    <s v="Sep"/>
    <x v="4"/>
    <s v="686 Maple Ave"/>
    <x v="5"/>
    <x v="0"/>
    <n v="2"/>
    <n v="2047"/>
    <n v="173054"/>
    <n v="84.54030288226673"/>
  </r>
  <r>
    <x v="2063"/>
    <s v="Sep"/>
    <x v="5"/>
    <s v="822 Maple Ave"/>
    <x v="5"/>
    <x v="3"/>
    <m/>
    <n v="1146"/>
    <n v="395493"/>
    <n v="345.10732984293196"/>
  </r>
  <r>
    <x v="968"/>
    <s v="Oct"/>
    <x v="17"/>
    <s v="878 Pine Rd"/>
    <x v="0"/>
    <x v="0"/>
    <n v="2"/>
    <n v="1872"/>
    <n v="650759"/>
    <n v="347.62767094017096"/>
  </r>
  <r>
    <x v="2254"/>
    <s v="Dec"/>
    <x v="5"/>
    <s v="370 Elm St"/>
    <x v="2"/>
    <x v="1"/>
    <n v="5"/>
    <n v="2487"/>
    <n v="630239"/>
    <n v="253.41334941696823"/>
  </r>
  <r>
    <x v="2255"/>
    <s v="Mar"/>
    <x v="4"/>
    <s v="792 Oak St"/>
    <x v="2"/>
    <x v="1"/>
    <m/>
    <n v="3085"/>
    <n v="148118"/>
    <n v="48.012317666126421"/>
  </r>
  <r>
    <x v="2256"/>
    <s v="Jan"/>
    <x v="15"/>
    <s v="699 Oak St"/>
    <x v="0"/>
    <x v="0"/>
    <m/>
    <n v="1518"/>
    <n v="336697"/>
    <n v="221.80303030303031"/>
  </r>
  <r>
    <x v="2257"/>
    <s v="May"/>
    <x v="16"/>
    <s v="201 Pine Rd"/>
    <x v="6"/>
    <x v="1"/>
    <m/>
    <n v="1029"/>
    <n v="268148"/>
    <n v="260.59086491739555"/>
  </r>
  <r>
    <x v="2258"/>
    <s v="Feb"/>
    <x v="17"/>
    <s v="134 Main St"/>
    <x v="0"/>
    <x v="2"/>
    <n v="2"/>
    <n v="808"/>
    <n v="653527"/>
    <n v="808.82054455445541"/>
  </r>
  <r>
    <x v="2259"/>
    <s v="Feb"/>
    <x v="5"/>
    <s v="624 Main St"/>
    <x v="5"/>
    <x v="0"/>
    <n v="2"/>
    <n v="1574"/>
    <n v="282747"/>
    <n v="179.63595933926302"/>
  </r>
  <r>
    <x v="2260"/>
    <s v="Jun"/>
    <x v="0"/>
    <s v="924 Elm St"/>
    <x v="6"/>
    <x v="1"/>
    <m/>
    <n v="809"/>
    <n v="633846"/>
    <n v="783.49320148331276"/>
  </r>
  <r>
    <x v="2261"/>
    <s v="Dec"/>
    <x v="5"/>
    <s v="799 Pine Rd"/>
    <x v="6"/>
    <x v="1"/>
    <n v="5"/>
    <n v="2671"/>
    <n v="247037"/>
    <n v="92.488581055784351"/>
  </r>
  <r>
    <x v="105"/>
    <s v="Feb"/>
    <x v="1"/>
    <s v="902 Pine Rd"/>
    <x v="0"/>
    <x v="1"/>
    <m/>
    <n v="1371"/>
    <n v="336607"/>
    <n v="245.51932895696572"/>
  </r>
  <r>
    <x v="2262"/>
    <s v="Nov"/>
    <x v="8"/>
    <s v="353 Elm St"/>
    <x v="6"/>
    <x v="0"/>
    <m/>
    <n v="1421"/>
    <n v="897038"/>
    <n v="631.27234342012662"/>
  </r>
  <r>
    <x v="2263"/>
    <s v="Nov"/>
    <x v="15"/>
    <s v="798 Pine Rd"/>
    <x v="5"/>
    <x v="3"/>
    <n v="3"/>
    <n v="2894"/>
    <n v="364739"/>
    <n v="126.03282653766414"/>
  </r>
  <r>
    <x v="89"/>
    <s v="Mar"/>
    <x v="10"/>
    <s v="206 Maple Ave"/>
    <x v="0"/>
    <x v="3"/>
    <n v="2"/>
    <n v="1788"/>
    <n v="170243"/>
    <n v="95.214205816554809"/>
  </r>
  <r>
    <x v="2264"/>
    <s v="Nov"/>
    <x v="18"/>
    <s v="322 Pine Rd"/>
    <x v="0"/>
    <x v="2"/>
    <m/>
    <n v="869"/>
    <n v="174007"/>
    <n v="200.23820483314154"/>
  </r>
  <r>
    <x v="1815"/>
    <s v="Apr"/>
    <x v="14"/>
    <s v="989 Main St"/>
    <x v="4"/>
    <x v="2"/>
    <m/>
    <n v="1281"/>
    <n v="510683"/>
    <n v="398.65964090554252"/>
  </r>
  <r>
    <x v="2265"/>
    <s v="Jul"/>
    <x v="11"/>
    <s v="466 Oak St"/>
    <x v="0"/>
    <x v="0"/>
    <m/>
    <n v="1576"/>
    <n v="509289"/>
    <n v="323.15291878172587"/>
  </r>
  <r>
    <x v="2266"/>
    <s v="Oct"/>
    <x v="11"/>
    <s v="220 Pine Rd"/>
    <x v="3"/>
    <x v="2"/>
    <n v="5"/>
    <n v="1727"/>
    <n v="177148"/>
    <n v="102.5755645628257"/>
  </r>
  <r>
    <x v="2267"/>
    <s v="Apr"/>
    <x v="14"/>
    <s v="732 Main St"/>
    <x v="0"/>
    <x v="3"/>
    <m/>
    <n v="2775"/>
    <n v="648510"/>
    <n v="233.6972972972973"/>
  </r>
  <r>
    <x v="2268"/>
    <s v="Aug"/>
    <x v="4"/>
    <s v="472 Elm St"/>
    <x v="5"/>
    <x v="0"/>
    <n v="4"/>
    <n v="2012"/>
    <n v="223184"/>
    <n v="110.92644135188867"/>
  </r>
  <r>
    <x v="2269"/>
    <s v="Jan"/>
    <x v="1"/>
    <s v="119 Elm St"/>
    <x v="4"/>
    <x v="1"/>
    <n v="5"/>
    <n v="998"/>
    <n v="319292"/>
    <n v="319.93186372745492"/>
  </r>
  <r>
    <x v="2270"/>
    <s v="Nov"/>
    <x v="14"/>
    <s v="929 Main St"/>
    <x v="6"/>
    <x v="2"/>
    <n v="5"/>
    <n v="2544"/>
    <n v="539330"/>
    <n v="212.00078616352201"/>
  </r>
  <r>
    <x v="251"/>
    <s v="Sep"/>
    <x v="18"/>
    <s v="265 Pine Rd"/>
    <x v="4"/>
    <x v="1"/>
    <n v="3"/>
    <n v="2741"/>
    <n v="716163"/>
    <n v="261.27800072966073"/>
  </r>
  <r>
    <x v="2271"/>
    <s v="Apr"/>
    <x v="5"/>
    <s v="526 Pine Rd"/>
    <x v="0"/>
    <x v="3"/>
    <n v="3"/>
    <n v="1830"/>
    <n v="148785"/>
    <n v="81.303278688524586"/>
  </r>
  <r>
    <x v="2272"/>
    <s v="Nov"/>
    <x v="15"/>
    <s v="351 Elm St"/>
    <x v="0"/>
    <x v="0"/>
    <m/>
    <n v="847"/>
    <n v="219672"/>
    <n v="259.35301062573791"/>
  </r>
  <r>
    <x v="727"/>
    <s v="Feb"/>
    <x v="4"/>
    <s v="551 Pine Rd"/>
    <x v="6"/>
    <x v="1"/>
    <n v="2"/>
    <n v="971"/>
    <n v="485944"/>
    <n v="500.45726055612772"/>
  </r>
  <r>
    <x v="2273"/>
    <s v="Apr"/>
    <x v="5"/>
    <s v="564 Oak St"/>
    <x v="4"/>
    <x v="3"/>
    <m/>
    <n v="3087"/>
    <n v="562922"/>
    <n v="182.35244574020084"/>
  </r>
  <r>
    <x v="2274"/>
    <s v="Jun"/>
    <x v="19"/>
    <s v="555 Maple Ave"/>
    <x v="6"/>
    <x v="2"/>
    <n v="2"/>
    <n v="1231"/>
    <n v="403765"/>
    <n v="327.99756295694556"/>
  </r>
  <r>
    <x v="2275"/>
    <s v="Apr"/>
    <x v="7"/>
    <s v="570 Pine Rd"/>
    <x v="1"/>
    <x v="2"/>
    <m/>
    <n v="855"/>
    <n v="651691"/>
    <n v="762.21169590643274"/>
  </r>
  <r>
    <x v="1728"/>
    <s v="Dec"/>
    <x v="10"/>
    <s v="132 Elm St"/>
    <x v="2"/>
    <x v="3"/>
    <n v="2"/>
    <n v="3225"/>
    <n v="894486"/>
    <n v="277.36"/>
  </r>
  <r>
    <x v="2276"/>
    <s v="Mar"/>
    <x v="11"/>
    <s v="224 Main St"/>
    <x v="2"/>
    <x v="3"/>
    <m/>
    <n v="3061"/>
    <n v="453236"/>
    <n v="148.06795164978766"/>
  </r>
  <r>
    <x v="2277"/>
    <s v="Jul"/>
    <x v="8"/>
    <s v="809 Maple Ave"/>
    <x v="4"/>
    <x v="0"/>
    <m/>
    <n v="2794"/>
    <n v="769681"/>
    <n v="275.47637795275591"/>
  </r>
  <r>
    <x v="2278"/>
    <s v="Nov"/>
    <x v="15"/>
    <s v="764 Maple Ave"/>
    <x v="3"/>
    <x v="3"/>
    <m/>
    <n v="3053"/>
    <n v="344783"/>
    <n v="112.93252538486735"/>
  </r>
  <r>
    <x v="2279"/>
    <s v="Sep"/>
    <x v="9"/>
    <s v="170 Elm St"/>
    <x v="4"/>
    <x v="1"/>
    <m/>
    <n v="3083"/>
    <n v="577830"/>
    <n v="187.42458644177748"/>
  </r>
  <r>
    <x v="1467"/>
    <s v="Feb"/>
    <x v="4"/>
    <s v="667 Pine Rd"/>
    <x v="2"/>
    <x v="0"/>
    <m/>
    <n v="1478"/>
    <n v="285176"/>
    <n v="192.94722598105548"/>
  </r>
  <r>
    <x v="2280"/>
    <s v="May"/>
    <x v="14"/>
    <s v="711 Oak St"/>
    <x v="5"/>
    <x v="0"/>
    <n v="3"/>
    <n v="2122"/>
    <n v="739514"/>
    <n v="348.49858623939679"/>
  </r>
  <r>
    <x v="1710"/>
    <s v="Apr"/>
    <x v="0"/>
    <s v="780 Oak St"/>
    <x v="1"/>
    <x v="0"/>
    <n v="2"/>
    <n v="2205"/>
    <n v="500361"/>
    <n v="226.92108843537414"/>
  </r>
  <r>
    <x v="2281"/>
    <s v="Jun"/>
    <x v="11"/>
    <s v="437 Maple Ave"/>
    <x v="4"/>
    <x v="1"/>
    <m/>
    <n v="2087"/>
    <n v="747513"/>
    <n v="358.17585050311453"/>
  </r>
  <r>
    <x v="2282"/>
    <s v="Mar"/>
    <x v="1"/>
    <s v="165 Pine Rd"/>
    <x v="0"/>
    <x v="3"/>
    <n v="4"/>
    <n v="3282"/>
    <n v="581665"/>
    <n v="177.22882388787326"/>
  </r>
  <r>
    <x v="460"/>
    <s v="Jun"/>
    <x v="10"/>
    <s v="516 Elm St"/>
    <x v="6"/>
    <x v="2"/>
    <n v="2"/>
    <n v="2446"/>
    <n v="551522"/>
    <n v="225.47914963205233"/>
  </r>
  <r>
    <x v="1751"/>
    <s v="Jun"/>
    <x v="3"/>
    <s v="667 Pine Rd"/>
    <x v="6"/>
    <x v="3"/>
    <m/>
    <n v="2323"/>
    <n v="153310"/>
    <n v="65.996556177356865"/>
  </r>
  <r>
    <x v="2283"/>
    <s v="Sep"/>
    <x v="5"/>
    <s v="830 Oak St"/>
    <x v="6"/>
    <x v="1"/>
    <n v="4"/>
    <n v="3027"/>
    <n v="142919"/>
    <n v="47.214734060125537"/>
  </r>
  <r>
    <x v="2284"/>
    <s v="Feb"/>
    <x v="14"/>
    <s v="303 Elm St"/>
    <x v="4"/>
    <x v="1"/>
    <m/>
    <n v="941"/>
    <n v="306707"/>
    <n v="325.93730074388947"/>
  </r>
  <r>
    <x v="2285"/>
    <s v="Aug"/>
    <x v="17"/>
    <s v="810 Pine Rd"/>
    <x v="1"/>
    <x v="1"/>
    <m/>
    <n v="2348"/>
    <n v="796636"/>
    <n v="339.28279386712097"/>
  </r>
  <r>
    <x v="2286"/>
    <s v="Jul"/>
    <x v="6"/>
    <s v="643 Maple Ave"/>
    <x v="5"/>
    <x v="1"/>
    <n v="5"/>
    <n v="1437"/>
    <n v="753161"/>
    <n v="524.12038970076549"/>
  </r>
  <r>
    <x v="2287"/>
    <s v="Mar"/>
    <x v="11"/>
    <s v="417 Oak St"/>
    <x v="0"/>
    <x v="2"/>
    <m/>
    <n v="944"/>
    <n v="165153"/>
    <n v="174.95021186440678"/>
  </r>
  <r>
    <x v="2288"/>
    <s v="Oct"/>
    <x v="10"/>
    <s v="355 Maple Ave"/>
    <x v="6"/>
    <x v="3"/>
    <n v="4"/>
    <n v="1975"/>
    <n v="534203"/>
    <n v="270.48253164556962"/>
  </r>
  <r>
    <x v="1851"/>
    <s v="Nov"/>
    <x v="8"/>
    <s v="710 Main St"/>
    <x v="5"/>
    <x v="2"/>
    <m/>
    <n v="2466"/>
    <n v="204785"/>
    <n v="83.0433901054339"/>
  </r>
  <r>
    <x v="2289"/>
    <s v="Jun"/>
    <x v="1"/>
    <s v="407 Maple Ave"/>
    <x v="0"/>
    <x v="0"/>
    <m/>
    <n v="2619"/>
    <n v="597429"/>
    <n v="228.11340206185568"/>
  </r>
  <r>
    <x v="2290"/>
    <s v="Dec"/>
    <x v="5"/>
    <s v="973 Oak St"/>
    <x v="4"/>
    <x v="0"/>
    <m/>
    <n v="1776"/>
    <n v="396843"/>
    <n v="223.44763513513513"/>
  </r>
  <r>
    <x v="2291"/>
    <s v="Feb"/>
    <x v="3"/>
    <s v="922 Pine Rd"/>
    <x v="3"/>
    <x v="0"/>
    <n v="5"/>
    <n v="3120"/>
    <n v="870954"/>
    <n v="279.15192307692308"/>
  </r>
  <r>
    <x v="2292"/>
    <s v="Oct"/>
    <x v="1"/>
    <s v="288 Main St"/>
    <x v="4"/>
    <x v="0"/>
    <m/>
    <n v="2505"/>
    <n v="226717"/>
    <n v="90.505788423153689"/>
  </r>
  <r>
    <x v="2293"/>
    <s v="Jun"/>
    <x v="7"/>
    <s v="188 Oak St"/>
    <x v="0"/>
    <x v="3"/>
    <n v="4"/>
    <n v="2948"/>
    <n v="155340"/>
    <n v="52.693351424694711"/>
  </r>
  <r>
    <x v="2294"/>
    <s v="Feb"/>
    <x v="12"/>
    <s v="147 Main St"/>
    <x v="4"/>
    <x v="3"/>
    <n v="2"/>
    <n v="2982"/>
    <n v="885246"/>
    <n v="296.86317907444669"/>
  </r>
  <r>
    <x v="2295"/>
    <s v="Aug"/>
    <x v="3"/>
    <s v="181 Maple Ave"/>
    <x v="6"/>
    <x v="2"/>
    <n v="3"/>
    <n v="2903"/>
    <n v="473374"/>
    <n v="163.06372717878057"/>
  </r>
  <r>
    <x v="898"/>
    <s v="May"/>
    <x v="0"/>
    <s v="888 Pine Rd"/>
    <x v="0"/>
    <x v="2"/>
    <n v="5"/>
    <n v="1870"/>
    <n v="157982"/>
    <n v="84.482352941176472"/>
  </r>
  <r>
    <x v="2296"/>
    <s v="Sep"/>
    <x v="15"/>
    <s v="644 Oak St"/>
    <x v="3"/>
    <x v="0"/>
    <n v="4"/>
    <n v="2393"/>
    <n v="573748"/>
    <n v="239.76096949435853"/>
  </r>
  <r>
    <x v="2297"/>
    <s v="Feb"/>
    <x v="14"/>
    <s v="549 Maple Ave"/>
    <x v="1"/>
    <x v="2"/>
    <n v="2"/>
    <n v="1978"/>
    <n v="873764"/>
    <n v="441.74115267947423"/>
  </r>
  <r>
    <x v="1169"/>
    <s v="Oct"/>
    <x v="18"/>
    <s v="677 Oak St"/>
    <x v="4"/>
    <x v="2"/>
    <m/>
    <n v="1045"/>
    <n v="820483"/>
    <n v="785.15119617224877"/>
  </r>
  <r>
    <x v="2298"/>
    <s v="Aug"/>
    <x v="4"/>
    <s v="509 Oak St"/>
    <x v="6"/>
    <x v="3"/>
    <n v="5"/>
    <n v="2272"/>
    <n v="567395"/>
    <n v="249.73371478873239"/>
  </r>
  <r>
    <x v="1818"/>
    <s v="Nov"/>
    <x v="9"/>
    <s v="948 Main St"/>
    <x v="4"/>
    <x v="3"/>
    <n v="4"/>
    <n v="1534"/>
    <n v="793027"/>
    <n v="516.96675358539767"/>
  </r>
  <r>
    <x v="2299"/>
    <s v="Jun"/>
    <x v="18"/>
    <s v="205 Elm St"/>
    <x v="3"/>
    <x v="3"/>
    <n v="2"/>
    <n v="2034"/>
    <n v="317714"/>
    <n v="156.20157325467059"/>
  </r>
  <r>
    <x v="2300"/>
    <s v="Nov"/>
    <x v="0"/>
    <s v="118 Oak St"/>
    <x v="6"/>
    <x v="3"/>
    <m/>
    <n v="2154"/>
    <n v="209177"/>
    <n v="97.110956360259976"/>
  </r>
  <r>
    <x v="1511"/>
    <s v="Jun"/>
    <x v="18"/>
    <s v="530 Maple Ave"/>
    <x v="3"/>
    <x v="1"/>
    <n v="5"/>
    <n v="925"/>
    <n v="284069"/>
    <n v="307.10162162162163"/>
  </r>
  <r>
    <x v="2301"/>
    <s v="Jul"/>
    <x v="12"/>
    <s v="441 Elm St"/>
    <x v="5"/>
    <x v="2"/>
    <m/>
    <n v="2196"/>
    <n v="461114"/>
    <n v="209.97905282331513"/>
  </r>
  <r>
    <x v="2302"/>
    <s v="Nov"/>
    <x v="15"/>
    <s v="382 Oak St"/>
    <x v="6"/>
    <x v="3"/>
    <m/>
    <n v="878"/>
    <n v="803613"/>
    <n v="915.27676537585421"/>
  </r>
  <r>
    <x v="1247"/>
    <s v="Feb"/>
    <x v="15"/>
    <s v="595 Maple Ave"/>
    <x v="0"/>
    <x v="2"/>
    <n v="3"/>
    <n v="1865"/>
    <n v="111460"/>
    <n v="59.76407506702413"/>
  </r>
  <r>
    <x v="1086"/>
    <s v="Apr"/>
    <x v="1"/>
    <s v="394 Oak St"/>
    <x v="0"/>
    <x v="2"/>
    <m/>
    <n v="3355"/>
    <n v="164752"/>
    <n v="49.106408345752605"/>
  </r>
  <r>
    <x v="839"/>
    <s v="Mar"/>
    <x v="19"/>
    <s v="833 Maple Ave"/>
    <x v="0"/>
    <x v="2"/>
    <n v="5"/>
    <n v="3314"/>
    <n v="433797"/>
    <n v="130.89831019915511"/>
  </r>
  <r>
    <x v="1129"/>
    <s v="Jul"/>
    <x v="19"/>
    <s v="858 Main St"/>
    <x v="6"/>
    <x v="0"/>
    <n v="4"/>
    <n v="1131"/>
    <n v="470890"/>
    <n v="416.34836427939877"/>
  </r>
  <r>
    <x v="2303"/>
    <s v="Sep"/>
    <x v="6"/>
    <s v="764 Main St"/>
    <x v="6"/>
    <x v="2"/>
    <m/>
    <n v="3266"/>
    <n v="271328"/>
    <n v="83.076546233925285"/>
  </r>
  <r>
    <x v="2304"/>
    <s v="Dec"/>
    <x v="5"/>
    <s v="232 Elm St"/>
    <x v="6"/>
    <x v="3"/>
    <n v="3"/>
    <n v="1526"/>
    <n v="178343"/>
    <n v="116.86959370904324"/>
  </r>
  <r>
    <x v="1616"/>
    <s v="Aug"/>
    <x v="10"/>
    <s v="551 Oak St"/>
    <x v="6"/>
    <x v="3"/>
    <n v="5"/>
    <n v="1519"/>
    <n v="626179"/>
    <n v="412.23107307439102"/>
  </r>
  <r>
    <x v="2030"/>
    <s v="Nov"/>
    <x v="9"/>
    <s v="812 Pine Rd"/>
    <x v="2"/>
    <x v="1"/>
    <n v="5"/>
    <n v="3074"/>
    <n v="297940"/>
    <n v="96.922576447625246"/>
  </r>
  <r>
    <x v="362"/>
    <s v="Aug"/>
    <x v="19"/>
    <s v="752 Pine Rd"/>
    <x v="4"/>
    <x v="3"/>
    <m/>
    <n v="2662"/>
    <n v="342066"/>
    <n v="128.49962434259956"/>
  </r>
  <r>
    <x v="2305"/>
    <s v="May"/>
    <x v="19"/>
    <s v="268 Pine Rd"/>
    <x v="5"/>
    <x v="3"/>
    <n v="5"/>
    <n v="3498"/>
    <n v="622851"/>
    <n v="178.05917667238421"/>
  </r>
  <r>
    <x v="2306"/>
    <s v="Jul"/>
    <x v="8"/>
    <s v="944 Elm St"/>
    <x v="1"/>
    <x v="3"/>
    <m/>
    <n v="3122"/>
    <n v="202191"/>
    <n v="64.763292761050607"/>
  </r>
  <r>
    <x v="2307"/>
    <s v="Oct"/>
    <x v="16"/>
    <s v="909 Main St"/>
    <x v="0"/>
    <x v="1"/>
    <n v="2"/>
    <n v="2106"/>
    <n v="634742"/>
    <n v="301.39696106362771"/>
  </r>
  <r>
    <x v="1229"/>
    <s v="Jan"/>
    <x v="0"/>
    <s v="366 Elm St"/>
    <x v="4"/>
    <x v="1"/>
    <n v="4"/>
    <n v="2820"/>
    <n v="534748"/>
    <n v="189.62695035460993"/>
  </r>
  <r>
    <x v="253"/>
    <s v="Sep"/>
    <x v="8"/>
    <s v="215 Main St"/>
    <x v="6"/>
    <x v="0"/>
    <n v="5"/>
    <n v="1830"/>
    <n v="771072"/>
    <n v="421.35081967213114"/>
  </r>
  <r>
    <x v="1593"/>
    <s v="Sep"/>
    <x v="18"/>
    <s v="507 Main St"/>
    <x v="2"/>
    <x v="2"/>
    <n v="2"/>
    <n v="1218"/>
    <n v="485722"/>
    <n v="398.7865353037767"/>
  </r>
  <r>
    <x v="2308"/>
    <s v="Feb"/>
    <x v="10"/>
    <s v="579 Elm St"/>
    <x v="0"/>
    <x v="1"/>
    <n v="2"/>
    <n v="1927"/>
    <n v="488925"/>
    <n v="253.72340425531914"/>
  </r>
  <r>
    <x v="653"/>
    <s v="Jun"/>
    <x v="3"/>
    <s v="619 Pine Rd"/>
    <x v="4"/>
    <x v="0"/>
    <n v="3"/>
    <n v="850"/>
    <n v="837506"/>
    <n v="985.30117647058819"/>
  </r>
  <r>
    <x v="2309"/>
    <s v="Aug"/>
    <x v="4"/>
    <s v="317 Pine Rd"/>
    <x v="0"/>
    <x v="1"/>
    <m/>
    <n v="3182"/>
    <n v="145298"/>
    <n v="45.662476429918293"/>
  </r>
  <r>
    <x v="1512"/>
    <s v="Oct"/>
    <x v="1"/>
    <s v="119 Main St"/>
    <x v="6"/>
    <x v="2"/>
    <n v="4"/>
    <n v="2165"/>
    <n v="587902"/>
    <n v="271.54826789838336"/>
  </r>
  <r>
    <x v="2310"/>
    <s v="Aug"/>
    <x v="4"/>
    <s v="658 Main St"/>
    <x v="1"/>
    <x v="0"/>
    <n v="4"/>
    <n v="3278"/>
    <n v="525467"/>
    <n v="160.30109823062844"/>
  </r>
  <r>
    <x v="51"/>
    <s v="Jan"/>
    <x v="7"/>
    <s v="630 Main St"/>
    <x v="6"/>
    <x v="3"/>
    <n v="4"/>
    <n v="1564"/>
    <n v="509217"/>
    <n v="325.58631713554985"/>
  </r>
  <r>
    <x v="996"/>
    <s v="May"/>
    <x v="4"/>
    <s v="701 Elm St"/>
    <x v="4"/>
    <x v="0"/>
    <m/>
    <n v="3008"/>
    <n v="562065"/>
    <n v="186.85671542553192"/>
  </r>
  <r>
    <x v="2311"/>
    <s v="Jun"/>
    <x v="2"/>
    <s v="695 Elm St"/>
    <x v="4"/>
    <x v="0"/>
    <n v="4"/>
    <n v="870"/>
    <n v="689890"/>
    <n v="792.97701149425291"/>
  </r>
  <r>
    <x v="2312"/>
    <s v="Jul"/>
    <x v="4"/>
    <s v="663 Pine Rd"/>
    <x v="1"/>
    <x v="2"/>
    <n v="5"/>
    <n v="3207"/>
    <n v="663742"/>
    <n v="206.96663548487683"/>
  </r>
  <r>
    <x v="2313"/>
    <s v="Mar"/>
    <x v="2"/>
    <s v="715 Pine Rd"/>
    <x v="6"/>
    <x v="0"/>
    <m/>
    <n v="3249"/>
    <n v="336614"/>
    <n v="103.60541705140044"/>
  </r>
  <r>
    <x v="2314"/>
    <s v="Oct"/>
    <x v="18"/>
    <s v="666 Maple Ave"/>
    <x v="0"/>
    <x v="0"/>
    <n v="2"/>
    <n v="1672"/>
    <n v="735101"/>
    <n v="439.65370813397129"/>
  </r>
  <r>
    <x v="2315"/>
    <s v="Feb"/>
    <x v="19"/>
    <s v="781 Oak St"/>
    <x v="4"/>
    <x v="2"/>
    <n v="5"/>
    <n v="3084"/>
    <n v="699613"/>
    <n v="226.85246433203631"/>
  </r>
  <r>
    <x v="2316"/>
    <s v="Jul"/>
    <x v="16"/>
    <s v="306 Main St"/>
    <x v="1"/>
    <x v="2"/>
    <n v="5"/>
    <n v="2963"/>
    <n v="690395"/>
    <n v="233.00539993250084"/>
  </r>
  <r>
    <x v="49"/>
    <s v="Nov"/>
    <x v="6"/>
    <s v="433 Oak St"/>
    <x v="1"/>
    <x v="0"/>
    <n v="4"/>
    <n v="2460"/>
    <n v="441848"/>
    <n v="179.61300813008131"/>
  </r>
  <r>
    <x v="2317"/>
    <s v="Apr"/>
    <x v="16"/>
    <s v="305 Oak St"/>
    <x v="0"/>
    <x v="3"/>
    <n v="4"/>
    <n v="2463"/>
    <n v="551659"/>
    <n v="223.97848152659358"/>
  </r>
  <r>
    <x v="108"/>
    <s v="Sep"/>
    <x v="15"/>
    <s v="383 Main St"/>
    <x v="4"/>
    <x v="1"/>
    <n v="3"/>
    <n v="2649"/>
    <n v="318495"/>
    <n v="120.2321630804077"/>
  </r>
  <r>
    <x v="652"/>
    <s v="Oct"/>
    <x v="1"/>
    <s v="349 Elm St"/>
    <x v="6"/>
    <x v="1"/>
    <n v="3"/>
    <n v="1110"/>
    <n v="131979"/>
    <n v="118.9"/>
  </r>
  <r>
    <x v="2318"/>
    <s v="Sep"/>
    <x v="7"/>
    <s v="504 Elm St"/>
    <x v="0"/>
    <x v="2"/>
    <n v="2"/>
    <n v="3201"/>
    <n v="544585"/>
    <n v="170.12964698531709"/>
  </r>
  <r>
    <x v="2319"/>
    <s v="Apr"/>
    <x v="12"/>
    <s v="683 Main St"/>
    <x v="4"/>
    <x v="0"/>
    <n v="4"/>
    <n v="1149"/>
    <n v="617136"/>
    <n v="537.10704960835506"/>
  </r>
  <r>
    <x v="2320"/>
    <s v="Mar"/>
    <x v="7"/>
    <s v="767 Elm St"/>
    <x v="4"/>
    <x v="0"/>
    <n v="5"/>
    <n v="1854"/>
    <n v="110990"/>
    <n v="59.865156418554477"/>
  </r>
  <r>
    <x v="1799"/>
    <s v="Dec"/>
    <x v="8"/>
    <s v="432 Main St"/>
    <x v="3"/>
    <x v="1"/>
    <m/>
    <n v="1479"/>
    <n v="301702"/>
    <n v="203.99053414469236"/>
  </r>
  <r>
    <x v="1399"/>
    <s v="Apr"/>
    <x v="9"/>
    <s v="864 Main St"/>
    <x v="4"/>
    <x v="1"/>
    <n v="5"/>
    <n v="983"/>
    <n v="776106"/>
    <n v="789.5279755849441"/>
  </r>
  <r>
    <x v="1877"/>
    <s v="Aug"/>
    <x v="16"/>
    <s v="943 Pine Rd"/>
    <x v="0"/>
    <x v="3"/>
    <n v="4"/>
    <n v="1270"/>
    <n v="440422"/>
    <n v="346.78897637795274"/>
  </r>
  <r>
    <x v="2321"/>
    <s v="Aug"/>
    <x v="9"/>
    <s v="790 Maple Ave"/>
    <x v="0"/>
    <x v="2"/>
    <n v="4"/>
    <n v="2753"/>
    <n v="592540"/>
    <n v="215.23428986560117"/>
  </r>
  <r>
    <x v="2322"/>
    <s v="Jan"/>
    <x v="1"/>
    <s v="526 Pine Rd"/>
    <x v="0"/>
    <x v="3"/>
    <n v="3"/>
    <n v="1001"/>
    <n v="393354"/>
    <n v="392.96103896103898"/>
  </r>
  <r>
    <x v="2323"/>
    <s v="Oct"/>
    <x v="10"/>
    <s v="376 Maple Ave"/>
    <x v="6"/>
    <x v="1"/>
    <m/>
    <n v="825"/>
    <n v="299165"/>
    <n v="362.62424242424242"/>
  </r>
  <r>
    <x v="2324"/>
    <s v="Mar"/>
    <x v="12"/>
    <s v="125 Maple Ave"/>
    <x v="5"/>
    <x v="0"/>
    <n v="5"/>
    <n v="1400"/>
    <n v="280643"/>
    <n v="200.45928571428573"/>
  </r>
  <r>
    <x v="1901"/>
    <s v="Jul"/>
    <x v="0"/>
    <s v="334 Elm St"/>
    <x v="0"/>
    <x v="0"/>
    <m/>
    <n v="1658"/>
    <n v="314295"/>
    <n v="189.5627261761158"/>
  </r>
  <r>
    <x v="2325"/>
    <s v="Nov"/>
    <x v="0"/>
    <s v="877 Elm St"/>
    <x v="4"/>
    <x v="1"/>
    <n v="5"/>
    <n v="831"/>
    <n v="503770"/>
    <n v="606.22141997593258"/>
  </r>
  <r>
    <x v="2326"/>
    <s v="Aug"/>
    <x v="16"/>
    <s v="646 Pine Rd"/>
    <x v="2"/>
    <x v="2"/>
    <m/>
    <n v="1083"/>
    <n v="695003"/>
    <n v="641.73868882733143"/>
  </r>
  <r>
    <x v="58"/>
    <s v="Oct"/>
    <x v="12"/>
    <s v="284 Elm St"/>
    <x v="0"/>
    <x v="0"/>
    <n v="5"/>
    <n v="3033"/>
    <n v="490840"/>
    <n v="161.83316848005276"/>
  </r>
  <r>
    <x v="2327"/>
    <s v="Oct"/>
    <x v="19"/>
    <s v="786 Elm St"/>
    <x v="3"/>
    <x v="2"/>
    <m/>
    <n v="3446"/>
    <n v="566521"/>
    <n v="164.39959373186304"/>
  </r>
  <r>
    <x v="2328"/>
    <s v="Mar"/>
    <x v="10"/>
    <s v="302 Maple Ave"/>
    <x v="3"/>
    <x v="2"/>
    <n v="3"/>
    <n v="1343"/>
    <n v="547780"/>
    <n v="407.87788533134773"/>
  </r>
  <r>
    <x v="2329"/>
    <s v="Jan"/>
    <x v="7"/>
    <s v="835 Oak St"/>
    <x v="5"/>
    <x v="0"/>
    <m/>
    <n v="3470"/>
    <n v="180493"/>
    <n v="52.015273775216137"/>
  </r>
  <r>
    <x v="2330"/>
    <s v="Dec"/>
    <x v="14"/>
    <s v="666 Oak St"/>
    <x v="3"/>
    <x v="2"/>
    <m/>
    <n v="2280"/>
    <n v="443554"/>
    <n v="194.54122807017544"/>
  </r>
  <r>
    <x v="2331"/>
    <s v="Sep"/>
    <x v="1"/>
    <s v="387 Pine Rd"/>
    <x v="6"/>
    <x v="3"/>
    <n v="3"/>
    <n v="3096"/>
    <n v="451378"/>
    <n v="145.7939276485788"/>
  </r>
  <r>
    <x v="2332"/>
    <s v="May"/>
    <x v="12"/>
    <s v="579 Pine Rd"/>
    <x v="6"/>
    <x v="2"/>
    <n v="2"/>
    <n v="1555"/>
    <n v="154046"/>
    <n v="99.06495176848874"/>
  </r>
  <r>
    <x v="2333"/>
    <s v="May"/>
    <x v="2"/>
    <s v="415 Maple Ave"/>
    <x v="2"/>
    <x v="2"/>
    <n v="4"/>
    <n v="3181"/>
    <n v="376641"/>
    <n v="118.40333228544483"/>
  </r>
  <r>
    <x v="2334"/>
    <s v="Dec"/>
    <x v="17"/>
    <s v="594 Oak St"/>
    <x v="1"/>
    <x v="1"/>
    <m/>
    <n v="971"/>
    <n v="567721"/>
    <n v="584.67662203913494"/>
  </r>
  <r>
    <x v="711"/>
    <s v="Feb"/>
    <x v="17"/>
    <s v="365 Pine Rd"/>
    <x v="0"/>
    <x v="3"/>
    <n v="5"/>
    <n v="1711"/>
    <n v="765419"/>
    <n v="447.3518410286382"/>
  </r>
  <r>
    <x v="2335"/>
    <s v="Apr"/>
    <x v="16"/>
    <s v="471 Pine Rd"/>
    <x v="0"/>
    <x v="2"/>
    <m/>
    <n v="1540"/>
    <n v="289427"/>
    <n v="187.93961038961038"/>
  </r>
  <r>
    <x v="698"/>
    <s v="Oct"/>
    <x v="2"/>
    <s v="609 Oak St"/>
    <x v="1"/>
    <x v="0"/>
    <n v="4"/>
    <n v="2572"/>
    <n v="677143"/>
    <n v="263.27488335925352"/>
  </r>
  <r>
    <x v="2336"/>
    <s v="Dec"/>
    <x v="4"/>
    <s v="195 Elm St"/>
    <x v="5"/>
    <x v="3"/>
    <m/>
    <n v="1735"/>
    <n v="180897"/>
    <n v="104.26340057636888"/>
  </r>
  <r>
    <x v="2337"/>
    <s v="Oct"/>
    <x v="6"/>
    <s v="947 Oak St"/>
    <x v="0"/>
    <x v="2"/>
    <n v="4"/>
    <n v="2232"/>
    <n v="699183"/>
    <n v="313.25403225806451"/>
  </r>
  <r>
    <x v="2338"/>
    <s v="Aug"/>
    <x v="18"/>
    <s v="904 Maple Ave"/>
    <x v="5"/>
    <x v="2"/>
    <n v="5"/>
    <n v="3488"/>
    <n v="850646"/>
    <n v="243.87786697247705"/>
  </r>
  <r>
    <x v="2088"/>
    <s v="Feb"/>
    <x v="9"/>
    <s v="353 Pine Rd"/>
    <x v="4"/>
    <x v="2"/>
    <m/>
    <n v="3087"/>
    <n v="847806"/>
    <n v="274.63751214771622"/>
  </r>
  <r>
    <x v="2339"/>
    <s v="Feb"/>
    <x v="8"/>
    <s v="951 Oak St"/>
    <x v="5"/>
    <x v="3"/>
    <n v="3"/>
    <n v="3344"/>
    <n v="710626"/>
    <n v="212.50777511961724"/>
  </r>
  <r>
    <x v="2340"/>
    <s v="Jan"/>
    <x v="15"/>
    <s v="752 Main St"/>
    <x v="6"/>
    <x v="1"/>
    <m/>
    <n v="1939"/>
    <n v="810180"/>
    <n v="417.83393501805057"/>
  </r>
  <r>
    <x v="2341"/>
    <s v="Dec"/>
    <x v="18"/>
    <s v="499 Pine Rd"/>
    <x v="2"/>
    <x v="1"/>
    <m/>
    <n v="1522"/>
    <n v="672906"/>
    <n v="442.11957950065704"/>
  </r>
  <r>
    <x v="2342"/>
    <s v="Nov"/>
    <x v="15"/>
    <s v="569 Pine Rd"/>
    <x v="1"/>
    <x v="1"/>
    <n v="2"/>
    <n v="2127"/>
    <n v="479781"/>
    <n v="225.56699576868829"/>
  </r>
  <r>
    <x v="2343"/>
    <s v="Feb"/>
    <x v="13"/>
    <s v="582 Oak St"/>
    <x v="0"/>
    <x v="1"/>
    <n v="4"/>
    <n v="3464"/>
    <n v="114534"/>
    <n v="33.064087759815244"/>
  </r>
  <r>
    <x v="2344"/>
    <s v="Jul"/>
    <x v="0"/>
    <s v="871 Elm St"/>
    <x v="6"/>
    <x v="0"/>
    <m/>
    <n v="2591"/>
    <n v="827337"/>
    <n v="319.31184870706289"/>
  </r>
  <r>
    <x v="2320"/>
    <s v="Mar"/>
    <x v="7"/>
    <s v="231 Maple Ave"/>
    <x v="0"/>
    <x v="1"/>
    <n v="4"/>
    <n v="2025"/>
    <n v="332108"/>
    <n v="164.00395061728395"/>
  </r>
  <r>
    <x v="2345"/>
    <s v="Jan"/>
    <x v="4"/>
    <s v="769 Pine Rd"/>
    <x v="6"/>
    <x v="1"/>
    <m/>
    <n v="1842"/>
    <n v="702657"/>
    <n v="381.46416938110747"/>
  </r>
  <r>
    <x v="1976"/>
    <s v="Sep"/>
    <x v="15"/>
    <s v="303 Maple Ave"/>
    <x v="6"/>
    <x v="2"/>
    <n v="2"/>
    <n v="3094"/>
    <n v="802225"/>
    <n v="259.28409825468651"/>
  </r>
  <r>
    <x v="2346"/>
    <s v="Apr"/>
    <x v="13"/>
    <s v="397 Elm St"/>
    <x v="1"/>
    <x v="1"/>
    <n v="5"/>
    <n v="816"/>
    <n v="388007"/>
    <n v="475.49877450980392"/>
  </r>
  <r>
    <x v="1742"/>
    <s v="Apr"/>
    <x v="7"/>
    <s v="574 Maple Ave"/>
    <x v="6"/>
    <x v="0"/>
    <m/>
    <n v="1306"/>
    <n v="446055"/>
    <n v="341.54287901990813"/>
  </r>
  <r>
    <x v="2347"/>
    <s v="Dec"/>
    <x v="18"/>
    <s v="708 Main St"/>
    <x v="3"/>
    <x v="3"/>
    <n v="2"/>
    <n v="925"/>
    <m/>
    <n v="0"/>
  </r>
  <r>
    <x v="1971"/>
    <s v="Dec"/>
    <x v="0"/>
    <s v="496 Pine Rd"/>
    <x v="5"/>
    <x v="3"/>
    <n v="2"/>
    <n v="2117"/>
    <n v="349878"/>
    <n v="165.2706660368446"/>
  </r>
  <r>
    <x v="39"/>
    <s v="Jan"/>
    <x v="2"/>
    <s v="177 Oak St"/>
    <x v="4"/>
    <x v="2"/>
    <n v="2"/>
    <n v="2122"/>
    <n v="669561"/>
    <n v="315.53298774740813"/>
  </r>
  <r>
    <x v="2348"/>
    <s v="Dec"/>
    <x v="18"/>
    <s v="236 Elm St"/>
    <x v="2"/>
    <x v="1"/>
    <n v="2"/>
    <n v="1560"/>
    <n v="706006"/>
    <n v="452.5679487179487"/>
  </r>
  <r>
    <x v="2349"/>
    <s v="Nov"/>
    <x v="7"/>
    <s v="130 Maple Ave"/>
    <x v="6"/>
    <x v="1"/>
    <n v="3"/>
    <n v="2384"/>
    <n v="189806"/>
    <n v="79.616610738255034"/>
  </r>
  <r>
    <x v="1696"/>
    <s v="May"/>
    <x v="11"/>
    <s v="937 Oak St"/>
    <x v="0"/>
    <x v="1"/>
    <m/>
    <n v="3462"/>
    <n v="603509"/>
    <n v="174.32380127094166"/>
  </r>
  <r>
    <x v="2350"/>
    <s v="Aug"/>
    <x v="4"/>
    <s v="494 Maple Ave"/>
    <x v="3"/>
    <x v="3"/>
    <n v="2"/>
    <n v="1336"/>
    <n v="608906"/>
    <n v="455.76796407185628"/>
  </r>
  <r>
    <x v="160"/>
    <s v="Jan"/>
    <x v="3"/>
    <s v="150 Elm St"/>
    <x v="3"/>
    <x v="2"/>
    <n v="2"/>
    <n v="1053"/>
    <n v="823702"/>
    <n v="782.24311490978153"/>
  </r>
  <r>
    <x v="2351"/>
    <s v="Jun"/>
    <x v="9"/>
    <s v="176 Maple Ave"/>
    <x v="6"/>
    <x v="0"/>
    <m/>
    <n v="3047"/>
    <n v="518402"/>
    <n v="170.13521496553989"/>
  </r>
  <r>
    <x v="2352"/>
    <s v="Apr"/>
    <x v="4"/>
    <s v="531 Elm St"/>
    <x v="2"/>
    <x v="1"/>
    <n v="2"/>
    <n v="1166"/>
    <n v="107810"/>
    <n v="92.461406518010293"/>
  </r>
  <r>
    <x v="885"/>
    <s v="Sep"/>
    <x v="1"/>
    <s v="773 Oak St"/>
    <x v="5"/>
    <x v="1"/>
    <n v="3"/>
    <n v="2072"/>
    <n v="701145"/>
    <n v="338.39044401544402"/>
  </r>
  <r>
    <x v="2353"/>
    <s v="Apr"/>
    <x v="18"/>
    <s v="952 Elm St"/>
    <x v="6"/>
    <x v="3"/>
    <n v="4"/>
    <n v="3445"/>
    <n v="147411"/>
    <n v="42.789840348330912"/>
  </r>
  <r>
    <x v="726"/>
    <s v="Nov"/>
    <x v="10"/>
    <s v="599 Pine Rd"/>
    <x v="6"/>
    <x v="3"/>
    <n v="5"/>
    <n v="2714"/>
    <n v="835929"/>
    <n v="308.00626381724391"/>
  </r>
  <r>
    <x v="1629"/>
    <s v="Dec"/>
    <x v="2"/>
    <s v="339 Main St"/>
    <x v="4"/>
    <x v="0"/>
    <m/>
    <n v="1546"/>
    <n v="818516"/>
    <n v="529.44113842173351"/>
  </r>
  <r>
    <x v="1181"/>
    <s v="Mar"/>
    <x v="7"/>
    <s v="771 Oak St"/>
    <x v="4"/>
    <x v="1"/>
    <n v="5"/>
    <n v="1472"/>
    <n v="747387"/>
    <n v="507.73573369565219"/>
  </r>
  <r>
    <x v="2354"/>
    <s v="Jul"/>
    <x v="17"/>
    <s v="866 Maple Ave"/>
    <x v="0"/>
    <x v="1"/>
    <m/>
    <n v="1672"/>
    <n v="805709"/>
    <n v="481.88337320574163"/>
  </r>
  <r>
    <x v="1957"/>
    <s v="Apr"/>
    <x v="3"/>
    <s v="143 Maple Ave"/>
    <x v="5"/>
    <x v="2"/>
    <n v="3"/>
    <n v="2828"/>
    <n v="365387"/>
    <n v="129.20332390381895"/>
  </r>
  <r>
    <x v="2355"/>
    <s v="Oct"/>
    <x v="7"/>
    <s v="611 Maple Ave"/>
    <x v="5"/>
    <x v="0"/>
    <n v="5"/>
    <n v="1036"/>
    <n v="461461"/>
    <n v="445.42567567567568"/>
  </r>
  <r>
    <x v="2356"/>
    <s v="Aug"/>
    <x v="9"/>
    <s v="649 Maple Ave"/>
    <x v="6"/>
    <x v="1"/>
    <n v="4"/>
    <n v="887"/>
    <n v="780985"/>
    <n v="880.47914317925597"/>
  </r>
  <r>
    <x v="2281"/>
    <s v="Jun"/>
    <x v="11"/>
    <s v="969 Oak St"/>
    <x v="4"/>
    <x v="0"/>
    <m/>
    <n v="2062"/>
    <n v="824743"/>
    <n v="399.97235693501455"/>
  </r>
  <r>
    <x v="2357"/>
    <s v="Nov"/>
    <x v="19"/>
    <s v="573 Main St"/>
    <x v="4"/>
    <x v="2"/>
    <m/>
    <n v="3276"/>
    <n v="751272"/>
    <n v="229.32600732600733"/>
  </r>
  <r>
    <x v="2358"/>
    <s v="Jun"/>
    <x v="0"/>
    <s v="964 Elm St"/>
    <x v="6"/>
    <x v="2"/>
    <n v="3"/>
    <n v="3079"/>
    <n v="529140"/>
    <n v="171.85449821370574"/>
  </r>
  <r>
    <x v="2359"/>
    <s v="Dec"/>
    <x v="4"/>
    <s v="126 Main St"/>
    <x v="4"/>
    <x v="2"/>
    <m/>
    <n v="2416"/>
    <n v="471072"/>
    <n v="194.98013245033113"/>
  </r>
  <r>
    <x v="2360"/>
    <s v="Jun"/>
    <x v="6"/>
    <s v="921 Oak St"/>
    <x v="6"/>
    <x v="0"/>
    <n v="2"/>
    <n v="2307"/>
    <n v="708635"/>
    <n v="307.16731686172517"/>
  </r>
  <r>
    <x v="2361"/>
    <s v="Jan"/>
    <x v="1"/>
    <s v="563 Elm St"/>
    <x v="0"/>
    <x v="2"/>
    <n v="5"/>
    <n v="2700"/>
    <n v="419638"/>
    <n v="155.42148148148149"/>
  </r>
  <r>
    <x v="2362"/>
    <s v="Jan"/>
    <x v="9"/>
    <s v="635 Elm St"/>
    <x v="4"/>
    <x v="2"/>
    <m/>
    <n v="1792"/>
    <n v="636684"/>
    <n v="355.29241071428572"/>
  </r>
  <r>
    <x v="2092"/>
    <s v="Nov"/>
    <x v="14"/>
    <s v="146 Main St"/>
    <x v="4"/>
    <x v="0"/>
    <n v="5"/>
    <n v="1793"/>
    <n v="675342"/>
    <n v="376.65476854433911"/>
  </r>
  <r>
    <x v="2363"/>
    <s v="May"/>
    <x v="2"/>
    <s v="738 Oak St"/>
    <x v="6"/>
    <x v="3"/>
    <n v="5"/>
    <n v="2895"/>
    <m/>
    <n v="0"/>
  </r>
  <r>
    <x v="2287"/>
    <s v="Mar"/>
    <x v="11"/>
    <s v="476 Oak St"/>
    <x v="1"/>
    <x v="1"/>
    <n v="3"/>
    <n v="1162"/>
    <n v="853757"/>
    <n v="734.73063683304645"/>
  </r>
  <r>
    <x v="272"/>
    <s v="Apr"/>
    <x v="18"/>
    <s v="307 Main St"/>
    <x v="0"/>
    <x v="2"/>
    <n v="2"/>
    <n v="3349"/>
    <n v="593530"/>
    <n v="177.22603762317109"/>
  </r>
  <r>
    <x v="1782"/>
    <s v="Apr"/>
    <x v="17"/>
    <s v="642 Pine Rd"/>
    <x v="4"/>
    <x v="1"/>
    <m/>
    <n v="3460"/>
    <n v="186890"/>
    <n v="54.01445086705202"/>
  </r>
  <r>
    <x v="76"/>
    <s v="Aug"/>
    <x v="0"/>
    <s v="596 Maple Ave"/>
    <x v="0"/>
    <x v="0"/>
    <m/>
    <n v="3295"/>
    <n v="828304"/>
    <n v="251.38209408194234"/>
  </r>
  <r>
    <x v="2364"/>
    <s v="Mar"/>
    <x v="0"/>
    <s v="268 Pine Rd"/>
    <x v="6"/>
    <x v="0"/>
    <n v="3"/>
    <n v="1104"/>
    <n v="502998"/>
    <n v="455.61413043478262"/>
  </r>
  <r>
    <x v="2365"/>
    <s v="Apr"/>
    <x v="7"/>
    <s v="604 Oak St"/>
    <x v="4"/>
    <x v="0"/>
    <n v="5"/>
    <n v="2593"/>
    <n v="555897"/>
    <n v="214.3837254145777"/>
  </r>
  <r>
    <x v="2366"/>
    <s v="Jun"/>
    <x v="12"/>
    <s v="329 Oak St"/>
    <x v="2"/>
    <x v="2"/>
    <m/>
    <n v="1101"/>
    <n v="381742"/>
    <n v="346.72297910990011"/>
  </r>
  <r>
    <x v="2367"/>
    <s v="Oct"/>
    <x v="19"/>
    <s v="665 Elm St"/>
    <x v="6"/>
    <x v="2"/>
    <n v="3"/>
    <n v="1065"/>
    <n v="596383"/>
    <n v="559.98403755868549"/>
  </r>
  <r>
    <x v="2368"/>
    <s v="Aug"/>
    <x v="13"/>
    <s v="730 Main St"/>
    <x v="3"/>
    <x v="1"/>
    <n v="4"/>
    <n v="1024"/>
    <n v="720028"/>
    <n v="703.15234375"/>
  </r>
  <r>
    <x v="2369"/>
    <s v="Jun"/>
    <x v="6"/>
    <s v="861 Oak St"/>
    <x v="0"/>
    <x v="3"/>
    <m/>
    <n v="981"/>
    <n v="119203"/>
    <n v="121.51172273190622"/>
  </r>
  <r>
    <x v="2370"/>
    <s v="Nov"/>
    <x v="17"/>
    <s v="302 Oak St"/>
    <x v="2"/>
    <x v="3"/>
    <n v="3"/>
    <n v="906"/>
    <n v="241416"/>
    <n v="266.46357615894038"/>
  </r>
  <r>
    <x v="1936"/>
    <s v="Apr"/>
    <x v="2"/>
    <s v="821 Oak St"/>
    <x v="4"/>
    <x v="1"/>
    <n v="5"/>
    <n v="2024"/>
    <n v="447923"/>
    <n v="221.30583003952569"/>
  </r>
  <r>
    <x v="1829"/>
    <s v="Oct"/>
    <x v="2"/>
    <s v="223 Pine Rd"/>
    <x v="0"/>
    <x v="0"/>
    <n v="3"/>
    <n v="1498"/>
    <n v="429062"/>
    <n v="286.42323097463282"/>
  </r>
  <r>
    <x v="614"/>
    <s v="Nov"/>
    <x v="0"/>
    <s v="280 Maple Ave"/>
    <x v="0"/>
    <x v="0"/>
    <n v="3"/>
    <n v="1130"/>
    <n v="805088"/>
    <n v="712.46725663716813"/>
  </r>
  <r>
    <x v="2371"/>
    <s v="Aug"/>
    <x v="7"/>
    <s v="825 Elm St"/>
    <x v="3"/>
    <x v="0"/>
    <m/>
    <n v="2313"/>
    <n v="833160"/>
    <n v="360.20752269779507"/>
  </r>
  <r>
    <x v="2372"/>
    <s v="Oct"/>
    <x v="11"/>
    <s v="540 Elm St"/>
    <x v="6"/>
    <x v="0"/>
    <m/>
    <n v="3008"/>
    <n v="510328"/>
    <n v="169.65691489361703"/>
  </r>
  <r>
    <x v="2373"/>
    <s v="Jun"/>
    <x v="17"/>
    <s v="377 Oak St"/>
    <x v="2"/>
    <x v="3"/>
    <n v="5"/>
    <n v="1153"/>
    <n v="857309"/>
    <n v="743.5464006938422"/>
  </r>
  <r>
    <x v="2374"/>
    <s v="Nov"/>
    <x v="11"/>
    <s v="347 Oak St"/>
    <x v="2"/>
    <x v="0"/>
    <n v="3"/>
    <n v="1609"/>
    <n v="489390"/>
    <n v="304.15786202610315"/>
  </r>
  <r>
    <x v="2375"/>
    <s v="Sep"/>
    <x v="14"/>
    <s v="408 Main St"/>
    <x v="6"/>
    <x v="1"/>
    <n v="2"/>
    <n v="1469"/>
    <n v="195262"/>
    <n v="132.92171545268891"/>
  </r>
  <r>
    <x v="2376"/>
    <s v="Sep"/>
    <x v="18"/>
    <s v="565 Pine Rd"/>
    <x v="3"/>
    <x v="2"/>
    <n v="4"/>
    <n v="1101"/>
    <n v="155362"/>
    <n v="141.10990009082653"/>
  </r>
  <r>
    <x v="2377"/>
    <s v="May"/>
    <x v="17"/>
    <s v="642 Main St"/>
    <x v="3"/>
    <x v="1"/>
    <m/>
    <n v="3229"/>
    <n v="515883"/>
    <n v="159.76556209352742"/>
  </r>
  <r>
    <x v="1349"/>
    <s v="Jan"/>
    <x v="11"/>
    <s v="953 Elm St"/>
    <x v="4"/>
    <x v="2"/>
    <n v="4"/>
    <n v="1896"/>
    <n v="792247"/>
    <n v="417.85179324894517"/>
  </r>
  <r>
    <x v="2378"/>
    <s v="Aug"/>
    <x v="5"/>
    <s v="321 Pine Rd"/>
    <x v="4"/>
    <x v="0"/>
    <n v="2"/>
    <n v="1872"/>
    <n v="109965"/>
    <n v="58.741987179487182"/>
  </r>
  <r>
    <x v="2379"/>
    <s v="Mar"/>
    <x v="15"/>
    <s v="514 Oak St"/>
    <x v="0"/>
    <x v="1"/>
    <n v="5"/>
    <n v="1800"/>
    <n v="169145"/>
    <n v="93.969444444444449"/>
  </r>
  <r>
    <x v="2380"/>
    <s v="May"/>
    <x v="8"/>
    <s v="801 Pine Rd"/>
    <x v="1"/>
    <x v="0"/>
    <n v="3"/>
    <n v="1932"/>
    <n v="697756"/>
    <n v="361.15734989648035"/>
  </r>
  <r>
    <x v="2381"/>
    <s v="Oct"/>
    <x v="4"/>
    <s v="731 Main St"/>
    <x v="4"/>
    <x v="1"/>
    <n v="4"/>
    <n v="3440"/>
    <n v="566389"/>
    <n v="164.64796511627907"/>
  </r>
  <r>
    <x v="1011"/>
    <s v="Mar"/>
    <x v="17"/>
    <s v="326 Pine Rd"/>
    <x v="6"/>
    <x v="2"/>
    <n v="4"/>
    <n v="2021"/>
    <n v="807672"/>
    <n v="399.63978228599706"/>
  </r>
  <r>
    <x v="2382"/>
    <s v="Jan"/>
    <x v="1"/>
    <s v="806 Oak St"/>
    <x v="6"/>
    <x v="1"/>
    <m/>
    <n v="937"/>
    <n v="834882"/>
    <n v="891.01600853788682"/>
  </r>
  <r>
    <x v="2383"/>
    <s v="May"/>
    <x v="16"/>
    <s v="132 Maple Ave"/>
    <x v="5"/>
    <x v="3"/>
    <m/>
    <n v="2665"/>
    <n v="723057"/>
    <n v="271.31594746716701"/>
  </r>
  <r>
    <x v="2384"/>
    <s v="Aug"/>
    <x v="16"/>
    <s v="718 Maple Ave"/>
    <x v="2"/>
    <x v="3"/>
    <n v="5"/>
    <n v="2506"/>
    <m/>
    <n v="0"/>
  </r>
  <r>
    <x v="2385"/>
    <s v="Jan"/>
    <x v="9"/>
    <s v="135 Pine Rd"/>
    <x v="1"/>
    <x v="0"/>
    <n v="4"/>
    <n v="2262"/>
    <n v="211585"/>
    <n v="93.538903625110521"/>
  </r>
  <r>
    <x v="2386"/>
    <s v="Jul"/>
    <x v="10"/>
    <s v="664 Maple Ave"/>
    <x v="5"/>
    <x v="3"/>
    <n v="5"/>
    <n v="2766"/>
    <n v="217458"/>
    <n v="78.618221258134497"/>
  </r>
  <r>
    <x v="2387"/>
    <s v="Aug"/>
    <x v="11"/>
    <s v="869 Elm St"/>
    <x v="3"/>
    <x v="0"/>
    <n v="2"/>
    <n v="2301"/>
    <n v="654983"/>
    <n v="284.65145588874401"/>
  </r>
  <r>
    <x v="2388"/>
    <s v="Feb"/>
    <x v="3"/>
    <s v="210 Maple Ave"/>
    <x v="3"/>
    <x v="1"/>
    <m/>
    <n v="3110"/>
    <n v="589023"/>
    <n v="189.39646302250804"/>
  </r>
  <r>
    <x v="1337"/>
    <s v="Aug"/>
    <x v="12"/>
    <s v="667 Main St"/>
    <x v="1"/>
    <x v="0"/>
    <m/>
    <n v="2982"/>
    <n v="148912"/>
    <n v="49.936955063715629"/>
  </r>
  <r>
    <x v="2389"/>
    <s v="Jul"/>
    <x v="5"/>
    <s v="982 Elm St"/>
    <x v="6"/>
    <x v="2"/>
    <n v="4"/>
    <n v="2461"/>
    <n v="123556"/>
    <n v="50.205607476635514"/>
  </r>
  <r>
    <x v="1937"/>
    <s v="Nov"/>
    <x v="3"/>
    <s v="473 Elm St"/>
    <x v="4"/>
    <x v="2"/>
    <n v="4"/>
    <n v="918"/>
    <n v="736207"/>
    <n v="801.96840958605662"/>
  </r>
  <r>
    <x v="669"/>
    <s v="Nov"/>
    <x v="15"/>
    <s v="112 Elm St"/>
    <x v="0"/>
    <x v="3"/>
    <n v="2"/>
    <n v="2541"/>
    <n v="520256"/>
    <n v="204.74458874458875"/>
  </r>
  <r>
    <x v="2390"/>
    <s v="Apr"/>
    <x v="0"/>
    <s v="313 Oak St"/>
    <x v="6"/>
    <x v="1"/>
    <n v="3"/>
    <n v="2742"/>
    <n v="789811"/>
    <n v="288.04194018964262"/>
  </r>
  <r>
    <x v="2391"/>
    <s v="Apr"/>
    <x v="6"/>
    <s v="418 Main St"/>
    <x v="6"/>
    <x v="0"/>
    <n v="2"/>
    <n v="1438"/>
    <n v="832976"/>
    <n v="579.26008344923503"/>
  </r>
  <r>
    <x v="2392"/>
    <s v="Oct"/>
    <x v="9"/>
    <s v="526 Main St"/>
    <x v="2"/>
    <x v="0"/>
    <m/>
    <n v="2741"/>
    <n v="521800"/>
    <n v="190.3684786574243"/>
  </r>
  <r>
    <x v="124"/>
    <s v="Jan"/>
    <x v="11"/>
    <s v="483 Oak St"/>
    <x v="5"/>
    <x v="3"/>
    <n v="3"/>
    <n v="2785"/>
    <m/>
    <n v="0"/>
  </r>
  <r>
    <x v="2393"/>
    <s v="Oct"/>
    <x v="5"/>
    <s v="736 Oak St"/>
    <x v="0"/>
    <x v="1"/>
    <n v="4"/>
    <n v="2127"/>
    <n v="821557"/>
    <n v="386.25152797367184"/>
  </r>
  <r>
    <x v="2394"/>
    <s v="Mar"/>
    <x v="17"/>
    <s v="170 Pine Rd"/>
    <x v="6"/>
    <x v="3"/>
    <n v="5"/>
    <n v="3495"/>
    <n v="784453"/>
    <n v="224.45007153075824"/>
  </r>
  <r>
    <x v="2395"/>
    <s v="Dec"/>
    <x v="15"/>
    <s v="436 Pine Rd"/>
    <x v="4"/>
    <x v="0"/>
    <n v="5"/>
    <n v="2901"/>
    <n v="814339"/>
    <n v="280.70975525680802"/>
  </r>
  <r>
    <x v="82"/>
    <s v="Aug"/>
    <x v="3"/>
    <s v="465 Main St"/>
    <x v="5"/>
    <x v="3"/>
    <m/>
    <n v="1555"/>
    <n v="383430"/>
    <n v="246.57877813504822"/>
  </r>
  <r>
    <x v="2396"/>
    <s v="Mar"/>
    <x v="0"/>
    <s v="891 Elm St"/>
    <x v="0"/>
    <x v="1"/>
    <n v="4"/>
    <n v="1262"/>
    <n v="694027"/>
    <n v="549.9421553090333"/>
  </r>
  <r>
    <x v="2282"/>
    <s v="Mar"/>
    <x v="1"/>
    <s v="442 Elm St"/>
    <x v="0"/>
    <x v="2"/>
    <m/>
    <n v="1289"/>
    <n v="189821"/>
    <n v="147.26221877424359"/>
  </r>
  <r>
    <x v="2397"/>
    <s v="Aug"/>
    <x v="19"/>
    <s v="481 Maple Ave"/>
    <x v="0"/>
    <x v="1"/>
    <m/>
    <n v="892"/>
    <n v="446599"/>
    <n v="500.67152466367713"/>
  </r>
  <r>
    <x v="2398"/>
    <s v="Oct"/>
    <x v="15"/>
    <s v="961 Main St"/>
    <x v="4"/>
    <x v="2"/>
    <m/>
    <n v="1302"/>
    <n v="362705"/>
    <n v="278.57526881720429"/>
  </r>
  <r>
    <x v="2399"/>
    <s v="Mar"/>
    <x v="2"/>
    <s v="967 Elm St"/>
    <x v="5"/>
    <x v="0"/>
    <m/>
    <n v="2178"/>
    <n v="655873"/>
    <n v="301.13544536271809"/>
  </r>
  <r>
    <x v="79"/>
    <s v="Oct"/>
    <x v="13"/>
    <s v="418 Main St"/>
    <x v="6"/>
    <x v="1"/>
    <m/>
    <n v="2432"/>
    <n v="147590"/>
    <n v="60.686677631578945"/>
  </r>
  <r>
    <x v="2400"/>
    <s v="Jan"/>
    <x v="8"/>
    <s v="193 Pine Rd"/>
    <x v="6"/>
    <x v="2"/>
    <n v="4"/>
    <n v="3224"/>
    <n v="607340"/>
    <n v="188.38089330024815"/>
  </r>
  <r>
    <x v="2401"/>
    <s v="Sep"/>
    <x v="6"/>
    <s v="872 Pine Rd"/>
    <x v="0"/>
    <x v="3"/>
    <n v="5"/>
    <n v="2918"/>
    <n v="514708"/>
    <n v="176.39067854694997"/>
  </r>
  <r>
    <x v="2082"/>
    <s v="Jun"/>
    <x v="4"/>
    <s v="864 Pine Rd"/>
    <x v="5"/>
    <x v="0"/>
    <m/>
    <n v="2788"/>
    <n v="331663"/>
    <n v="118.96090387374461"/>
  </r>
  <r>
    <x v="2402"/>
    <s v="Jun"/>
    <x v="2"/>
    <s v="990 Elm St"/>
    <x v="3"/>
    <x v="0"/>
    <n v="3"/>
    <n v="2616"/>
    <n v="890611"/>
    <n v="340.44762996941898"/>
  </r>
  <r>
    <x v="2403"/>
    <s v="Aug"/>
    <x v="11"/>
    <s v="784 Oak St"/>
    <x v="5"/>
    <x v="2"/>
    <n v="4"/>
    <n v="2542"/>
    <n v="541909"/>
    <n v="213.18214004720693"/>
  </r>
  <r>
    <x v="79"/>
    <s v="Oct"/>
    <x v="13"/>
    <s v="398 Main St"/>
    <x v="4"/>
    <x v="0"/>
    <n v="4"/>
    <n v="1083"/>
    <m/>
    <n v="0"/>
  </r>
  <r>
    <x v="2173"/>
    <s v="May"/>
    <x v="0"/>
    <s v="981 Main St"/>
    <x v="3"/>
    <x v="3"/>
    <n v="3"/>
    <n v="1104"/>
    <n v="876214"/>
    <n v="793.67210144927537"/>
  </r>
  <r>
    <x v="1136"/>
    <s v="Feb"/>
    <x v="5"/>
    <s v="519 Oak St"/>
    <x v="0"/>
    <x v="0"/>
    <n v="4"/>
    <n v="2835"/>
    <n v="474230"/>
    <n v="167.27689594356261"/>
  </r>
  <r>
    <x v="2404"/>
    <s v="Nov"/>
    <x v="0"/>
    <s v="492 Elm St"/>
    <x v="0"/>
    <x v="3"/>
    <m/>
    <n v="1681"/>
    <n v="336283"/>
    <n v="200.04937537180251"/>
  </r>
  <r>
    <x v="1183"/>
    <s v="Sep"/>
    <x v="8"/>
    <s v="837 Pine Rd"/>
    <x v="6"/>
    <x v="3"/>
    <m/>
    <n v="1455"/>
    <n v="887581"/>
    <n v="610.02130584192435"/>
  </r>
  <r>
    <x v="2405"/>
    <s v="Sep"/>
    <x v="3"/>
    <s v="864 Maple Ave"/>
    <x v="2"/>
    <x v="0"/>
    <n v="3"/>
    <n v="3384"/>
    <n v="216014"/>
    <n v="63.833924349881798"/>
  </r>
  <r>
    <x v="2406"/>
    <s v="May"/>
    <x v="19"/>
    <s v="532 Maple Ave"/>
    <x v="6"/>
    <x v="0"/>
    <n v="2"/>
    <n v="1913"/>
    <n v="675664"/>
    <n v="353.19602718243596"/>
  </r>
  <r>
    <x v="2407"/>
    <s v="Jun"/>
    <x v="12"/>
    <s v="325 Pine Rd"/>
    <x v="4"/>
    <x v="2"/>
    <n v="5"/>
    <n v="2588"/>
    <n v="786631"/>
    <n v="303.95324574961359"/>
  </r>
  <r>
    <x v="2408"/>
    <s v="Aug"/>
    <x v="10"/>
    <s v="668 Pine Rd"/>
    <x v="0"/>
    <x v="3"/>
    <m/>
    <n v="1437"/>
    <n v="738547"/>
    <n v="513.95059151009048"/>
  </r>
  <r>
    <x v="2409"/>
    <s v="Aug"/>
    <x v="19"/>
    <s v="291 Oak St"/>
    <x v="0"/>
    <x v="3"/>
    <n v="5"/>
    <n v="2919"/>
    <n v="331787"/>
    <n v="113.6646111682083"/>
  </r>
  <r>
    <x v="1689"/>
    <s v="Jul"/>
    <x v="18"/>
    <s v="274 Elm St"/>
    <x v="3"/>
    <x v="0"/>
    <n v="4"/>
    <n v="1942"/>
    <n v="635943"/>
    <n v="327.46807415036045"/>
  </r>
  <r>
    <x v="2410"/>
    <s v="Mar"/>
    <x v="17"/>
    <s v="129 Maple Ave"/>
    <x v="2"/>
    <x v="3"/>
    <m/>
    <n v="947"/>
    <n v="377389"/>
    <n v="398.51003167898625"/>
  </r>
  <r>
    <x v="2411"/>
    <s v="Dec"/>
    <x v="8"/>
    <s v="535 Pine Rd"/>
    <x v="4"/>
    <x v="0"/>
    <n v="3"/>
    <n v="3490"/>
    <n v="188049"/>
    <n v="53.88223495702006"/>
  </r>
  <r>
    <x v="2412"/>
    <s v="Jan"/>
    <x v="6"/>
    <s v="382 Maple Ave"/>
    <x v="6"/>
    <x v="0"/>
    <m/>
    <n v="3358"/>
    <n v="765694"/>
    <n v="228.0208457415128"/>
  </r>
  <r>
    <x v="2413"/>
    <s v="Jul"/>
    <x v="1"/>
    <s v="867 Main St"/>
    <x v="2"/>
    <x v="1"/>
    <m/>
    <n v="2221"/>
    <n v="632778"/>
    <n v="284.90679873930662"/>
  </r>
  <r>
    <x v="2414"/>
    <s v="May"/>
    <x v="13"/>
    <s v="901 Elm St"/>
    <x v="0"/>
    <x v="2"/>
    <n v="2"/>
    <n v="2971"/>
    <n v="562973"/>
    <n v="189.48939750925615"/>
  </r>
  <r>
    <x v="2415"/>
    <s v="Jul"/>
    <x v="10"/>
    <s v="596 Main St"/>
    <x v="0"/>
    <x v="2"/>
    <m/>
    <n v="2990"/>
    <n v="837459"/>
    <n v="280.08662207357861"/>
  </r>
  <r>
    <x v="1809"/>
    <s v="Apr"/>
    <x v="10"/>
    <s v="279 Pine Rd"/>
    <x v="0"/>
    <x v="2"/>
    <n v="5"/>
    <n v="2123"/>
    <n v="567435"/>
    <n v="267.27979274611397"/>
  </r>
  <r>
    <x v="1892"/>
    <s v="Dec"/>
    <x v="18"/>
    <s v="124 Elm St"/>
    <x v="0"/>
    <x v="3"/>
    <n v="2"/>
    <n v="3182"/>
    <n v="301934"/>
    <n v="94.888120678818353"/>
  </r>
  <r>
    <x v="891"/>
    <s v="Dec"/>
    <x v="3"/>
    <s v="413 Main St"/>
    <x v="6"/>
    <x v="2"/>
    <n v="3"/>
    <n v="1368"/>
    <n v="543764"/>
    <n v="397.48830409356725"/>
  </r>
  <r>
    <x v="2416"/>
    <s v="Oct"/>
    <x v="4"/>
    <s v="858 Maple Ave"/>
    <x v="1"/>
    <x v="0"/>
    <n v="5"/>
    <n v="1712"/>
    <n v="582225"/>
    <n v="340.08469626168227"/>
  </r>
  <r>
    <x v="2417"/>
    <s v="Jul"/>
    <x v="1"/>
    <s v="503 Pine Rd"/>
    <x v="1"/>
    <x v="3"/>
    <n v="4"/>
    <n v="1928"/>
    <n v="598825"/>
    <n v="310.59387966804979"/>
  </r>
  <r>
    <x v="2418"/>
    <s v="Feb"/>
    <x v="6"/>
    <s v="772 Elm St"/>
    <x v="4"/>
    <x v="1"/>
    <n v="2"/>
    <n v="3142"/>
    <n v="204725"/>
    <n v="65.15754296626352"/>
  </r>
  <r>
    <x v="2419"/>
    <s v="Jan"/>
    <x v="11"/>
    <s v="181 Pine Rd"/>
    <x v="0"/>
    <x v="3"/>
    <m/>
    <n v="2720"/>
    <n v="852877"/>
    <n v="313.55772058823527"/>
  </r>
  <r>
    <x v="2420"/>
    <s v="May"/>
    <x v="14"/>
    <s v="276 Maple Ave"/>
    <x v="6"/>
    <x v="3"/>
    <m/>
    <n v="2757"/>
    <n v="703228"/>
    <n v="255.07000362713094"/>
  </r>
  <r>
    <x v="2421"/>
    <s v="Nov"/>
    <x v="7"/>
    <s v="496 Oak St"/>
    <x v="0"/>
    <x v="2"/>
    <m/>
    <n v="3439"/>
    <n v="856940"/>
    <n v="249.1829020063972"/>
  </r>
  <r>
    <x v="1060"/>
    <s v="Feb"/>
    <x v="7"/>
    <s v="164 Oak St"/>
    <x v="0"/>
    <x v="3"/>
    <n v="5"/>
    <n v="3167"/>
    <n v="385594"/>
    <n v="121.75371013577518"/>
  </r>
  <r>
    <x v="2422"/>
    <s v="Oct"/>
    <x v="9"/>
    <s v="363 Elm St"/>
    <x v="4"/>
    <x v="1"/>
    <m/>
    <n v="3150"/>
    <n v="416690"/>
    <n v="132.28253968253969"/>
  </r>
  <r>
    <x v="338"/>
    <s v="Aug"/>
    <x v="3"/>
    <s v="913 Elm St"/>
    <x v="6"/>
    <x v="0"/>
    <m/>
    <n v="3256"/>
    <n v="427204"/>
    <n v="131.2051597051597"/>
  </r>
  <r>
    <x v="1978"/>
    <s v="Feb"/>
    <x v="9"/>
    <s v="462 Elm St"/>
    <x v="6"/>
    <x v="1"/>
    <n v="5"/>
    <n v="1011"/>
    <n v="696089"/>
    <n v="688.51533135509396"/>
  </r>
  <r>
    <x v="2423"/>
    <s v="Oct"/>
    <x v="6"/>
    <s v="558 Pine Rd"/>
    <x v="4"/>
    <x v="2"/>
    <n v="5"/>
    <n v="3184"/>
    <n v="367834"/>
    <n v="115.52575376884423"/>
  </r>
  <r>
    <x v="1281"/>
    <s v="Jan"/>
    <x v="18"/>
    <s v="517 Elm St"/>
    <x v="0"/>
    <x v="1"/>
    <m/>
    <n v="2688"/>
    <n v="825521"/>
    <n v="307.11346726190476"/>
  </r>
  <r>
    <x v="2424"/>
    <s v="Oct"/>
    <x v="1"/>
    <s v="449 Oak St"/>
    <x v="6"/>
    <x v="0"/>
    <n v="5"/>
    <n v="1833"/>
    <n v="440096"/>
    <n v="240.0960174577196"/>
  </r>
  <r>
    <x v="2425"/>
    <s v="Feb"/>
    <x v="5"/>
    <s v="137 Pine Rd"/>
    <x v="2"/>
    <x v="0"/>
    <m/>
    <n v="2888"/>
    <n v="253481"/>
    <n v="87.77042936288089"/>
  </r>
  <r>
    <x v="2426"/>
    <s v="Dec"/>
    <x v="14"/>
    <s v="299 Maple Ave"/>
    <x v="1"/>
    <x v="0"/>
    <n v="5"/>
    <n v="2298"/>
    <n v="700819"/>
    <n v="304.96910356832029"/>
  </r>
  <r>
    <x v="2427"/>
    <s v="Dec"/>
    <x v="10"/>
    <s v="817 Maple Ave"/>
    <x v="0"/>
    <x v="0"/>
    <n v="2"/>
    <n v="1580"/>
    <n v="221568"/>
    <n v="140.23291139240507"/>
  </r>
  <r>
    <x v="1486"/>
    <s v="Jan"/>
    <x v="4"/>
    <s v="658 Oak St"/>
    <x v="3"/>
    <x v="2"/>
    <m/>
    <n v="1653"/>
    <n v="469472"/>
    <n v="284.0120992135511"/>
  </r>
  <r>
    <x v="2428"/>
    <s v="Jan"/>
    <x v="18"/>
    <s v="984 Main St"/>
    <x v="1"/>
    <x v="1"/>
    <n v="5"/>
    <n v="1674"/>
    <n v="169459"/>
    <n v="101.2299880525687"/>
  </r>
  <r>
    <x v="2429"/>
    <s v="Nov"/>
    <x v="6"/>
    <s v="423 Oak St"/>
    <x v="5"/>
    <x v="1"/>
    <m/>
    <n v="1948"/>
    <n v="631280"/>
    <n v="324.06570841889118"/>
  </r>
  <r>
    <x v="2430"/>
    <s v="Oct"/>
    <x v="16"/>
    <s v="904 Elm St"/>
    <x v="0"/>
    <x v="3"/>
    <n v="2"/>
    <n v="3224"/>
    <n v="873341"/>
    <n v="270.88740694789084"/>
  </r>
  <r>
    <x v="2431"/>
    <s v="Mar"/>
    <x v="17"/>
    <s v="543 Main St"/>
    <x v="4"/>
    <x v="0"/>
    <n v="5"/>
    <n v="2765"/>
    <n v="751768"/>
    <n v="271.88716094032549"/>
  </r>
  <r>
    <x v="791"/>
    <s v="Jul"/>
    <x v="18"/>
    <s v="867 Maple Ave"/>
    <x v="6"/>
    <x v="3"/>
    <n v="3"/>
    <n v="1258"/>
    <n v="401755"/>
    <n v="319.36009538950714"/>
  </r>
  <r>
    <x v="2387"/>
    <s v="Aug"/>
    <x v="11"/>
    <s v="874 Pine Rd"/>
    <x v="4"/>
    <x v="2"/>
    <n v="5"/>
    <n v="3435"/>
    <n v="820739"/>
    <n v="238.93420669577876"/>
  </r>
  <r>
    <x v="959"/>
    <s v="Jan"/>
    <x v="10"/>
    <s v="135 Elm St"/>
    <x v="5"/>
    <x v="0"/>
    <n v="2"/>
    <n v="2248"/>
    <n v="249569"/>
    <n v="111.01823843416371"/>
  </r>
  <r>
    <x v="2432"/>
    <s v="Apr"/>
    <x v="15"/>
    <s v="990 Oak St"/>
    <x v="6"/>
    <x v="1"/>
    <n v="5"/>
    <n v="1093"/>
    <n v="617105"/>
    <n v="564.59743824336692"/>
  </r>
  <r>
    <x v="2433"/>
    <s v="Sep"/>
    <x v="6"/>
    <s v="646 Elm St"/>
    <x v="5"/>
    <x v="2"/>
    <m/>
    <n v="1814"/>
    <n v="396076"/>
    <n v="218.34399117971333"/>
  </r>
  <r>
    <x v="2434"/>
    <s v="Dec"/>
    <x v="8"/>
    <s v="553 Maple Ave"/>
    <x v="1"/>
    <x v="0"/>
    <n v="5"/>
    <n v="3115"/>
    <n v="145216"/>
    <n v="46.618298555377208"/>
  </r>
  <r>
    <x v="2435"/>
    <s v="Jul"/>
    <x v="11"/>
    <s v="274 Main St"/>
    <x v="0"/>
    <x v="2"/>
    <n v="2"/>
    <n v="2870"/>
    <n v="343592"/>
    <n v="119.7184668989547"/>
  </r>
  <r>
    <x v="2436"/>
    <s v="Mar"/>
    <x v="4"/>
    <s v="448 Elm St"/>
    <x v="6"/>
    <x v="1"/>
    <n v="5"/>
    <n v="3280"/>
    <n v="351351"/>
    <n v="107.11920731707318"/>
  </r>
  <r>
    <x v="2437"/>
    <s v="Sep"/>
    <x v="3"/>
    <s v="316 Maple Ave"/>
    <x v="6"/>
    <x v="3"/>
    <m/>
    <n v="1122"/>
    <n v="787080"/>
    <n v="701.49732620320856"/>
  </r>
  <r>
    <x v="2438"/>
    <s v="May"/>
    <x v="13"/>
    <s v="568 Elm St"/>
    <x v="0"/>
    <x v="1"/>
    <n v="5"/>
    <n v="1781"/>
    <n v="155528"/>
    <n v="87.326221224031443"/>
  </r>
  <r>
    <x v="2439"/>
    <s v="Oct"/>
    <x v="17"/>
    <s v="450 Maple Ave"/>
    <x v="5"/>
    <x v="1"/>
    <m/>
    <n v="3223"/>
    <n v="379252"/>
    <n v="117.6704933291964"/>
  </r>
  <r>
    <x v="2440"/>
    <s v="Apr"/>
    <x v="10"/>
    <s v="822 Main St"/>
    <x v="1"/>
    <x v="2"/>
    <n v="5"/>
    <n v="2894"/>
    <n v="196385"/>
    <n v="67.859364201796822"/>
  </r>
  <r>
    <x v="2137"/>
    <s v="May"/>
    <x v="12"/>
    <s v="272 Oak St"/>
    <x v="0"/>
    <x v="3"/>
    <n v="3"/>
    <n v="879"/>
    <m/>
    <n v="0"/>
  </r>
  <r>
    <x v="2441"/>
    <s v="Sep"/>
    <x v="4"/>
    <s v="615 Elm St"/>
    <x v="5"/>
    <x v="0"/>
    <n v="3"/>
    <n v="3367"/>
    <n v="152949"/>
    <n v="45.425898425898424"/>
  </r>
  <r>
    <x v="2442"/>
    <s v="Oct"/>
    <x v="18"/>
    <s v="476 Oak St"/>
    <x v="3"/>
    <x v="2"/>
    <n v="3"/>
    <n v="807"/>
    <n v="486409"/>
    <n v="602.73729863692688"/>
  </r>
  <r>
    <x v="2443"/>
    <s v="Sep"/>
    <x v="15"/>
    <s v="552 Oak St"/>
    <x v="0"/>
    <x v="3"/>
    <m/>
    <n v="1992"/>
    <n v="708611"/>
    <n v="355.72841365461846"/>
  </r>
  <r>
    <x v="2444"/>
    <s v="Apr"/>
    <x v="11"/>
    <s v="820 Maple Ave"/>
    <x v="4"/>
    <x v="2"/>
    <n v="2"/>
    <n v="1433"/>
    <n v="630088"/>
    <n v="439.69853454291695"/>
  </r>
  <r>
    <x v="797"/>
    <s v="Jan"/>
    <x v="19"/>
    <s v="456 Elm St"/>
    <x v="1"/>
    <x v="2"/>
    <m/>
    <n v="2371"/>
    <n v="519347"/>
    <n v="219.04133277098271"/>
  </r>
  <r>
    <x v="2445"/>
    <s v="Mar"/>
    <x v="19"/>
    <s v="233 Elm St"/>
    <x v="3"/>
    <x v="2"/>
    <n v="5"/>
    <n v="1364"/>
    <m/>
    <n v="0"/>
  </r>
  <r>
    <x v="510"/>
    <s v="Oct"/>
    <x v="4"/>
    <s v="824 Maple Ave"/>
    <x v="4"/>
    <x v="2"/>
    <m/>
    <n v="2987"/>
    <n v="347809"/>
    <n v="116.44091061265483"/>
  </r>
  <r>
    <x v="1921"/>
    <s v="May"/>
    <x v="2"/>
    <s v="418 Oak St"/>
    <x v="0"/>
    <x v="2"/>
    <n v="5"/>
    <n v="2318"/>
    <n v="636500"/>
    <n v="274.59016393442624"/>
  </r>
  <r>
    <x v="2446"/>
    <s v="Jun"/>
    <x v="4"/>
    <s v="753 Pine Rd"/>
    <x v="4"/>
    <x v="0"/>
    <n v="3"/>
    <n v="1218"/>
    <n v="839725"/>
    <n v="689.42939244663387"/>
  </r>
  <r>
    <x v="2447"/>
    <s v="Jul"/>
    <x v="2"/>
    <s v="717 Oak St"/>
    <x v="0"/>
    <x v="0"/>
    <n v="4"/>
    <n v="1438"/>
    <n v="629182"/>
    <n v="437.53963838664811"/>
  </r>
  <r>
    <x v="2448"/>
    <s v="Dec"/>
    <x v="14"/>
    <s v="610 Elm St"/>
    <x v="4"/>
    <x v="0"/>
    <m/>
    <n v="827"/>
    <n v="584210"/>
    <n v="706.42079806529625"/>
  </r>
  <r>
    <x v="2449"/>
    <s v="Feb"/>
    <x v="2"/>
    <s v="899 Elm St"/>
    <x v="0"/>
    <x v="2"/>
    <n v="2"/>
    <n v="3358"/>
    <n v="466107"/>
    <n v="138.80494341870161"/>
  </r>
  <r>
    <x v="2450"/>
    <s v="Sep"/>
    <x v="1"/>
    <s v="637 Oak St"/>
    <x v="5"/>
    <x v="0"/>
    <n v="2"/>
    <n v="811"/>
    <n v="236981"/>
    <n v="292.20838471023427"/>
  </r>
  <r>
    <x v="2451"/>
    <s v="Apr"/>
    <x v="4"/>
    <s v="107 Pine Rd"/>
    <x v="1"/>
    <x v="2"/>
    <n v="4"/>
    <n v="2299"/>
    <n v="823562"/>
    <n v="358.22618529795562"/>
  </r>
  <r>
    <x v="426"/>
    <s v="Nov"/>
    <x v="3"/>
    <s v="264 Main St"/>
    <x v="5"/>
    <x v="3"/>
    <n v="3"/>
    <n v="1589"/>
    <n v="379655"/>
    <n v="238.92699811202013"/>
  </r>
  <r>
    <x v="904"/>
    <s v="Dec"/>
    <x v="13"/>
    <s v="765 Elm St"/>
    <x v="6"/>
    <x v="0"/>
    <m/>
    <n v="1493"/>
    <n v="114801"/>
    <n v="76.892833221701267"/>
  </r>
  <r>
    <x v="2452"/>
    <s v="Nov"/>
    <x v="0"/>
    <s v="707 Oak St"/>
    <x v="0"/>
    <x v="0"/>
    <n v="3"/>
    <n v="3257"/>
    <n v="647344"/>
    <n v="198.75468222290451"/>
  </r>
  <r>
    <x v="2453"/>
    <s v="Oct"/>
    <x v="14"/>
    <s v="841 Main St"/>
    <x v="6"/>
    <x v="3"/>
    <n v="5"/>
    <n v="1468"/>
    <n v="482680"/>
    <n v="328.80108991825614"/>
  </r>
  <r>
    <x v="2454"/>
    <s v="Jul"/>
    <x v="15"/>
    <s v="525 Elm St"/>
    <x v="3"/>
    <x v="1"/>
    <n v="2"/>
    <n v="1465"/>
    <n v="783093"/>
    <n v="534.53447098976108"/>
  </r>
  <r>
    <x v="2455"/>
    <s v="Feb"/>
    <x v="19"/>
    <s v="723 Maple Ave"/>
    <x v="6"/>
    <x v="3"/>
    <m/>
    <n v="2444"/>
    <n v="870642"/>
    <n v="356.23649754500821"/>
  </r>
  <r>
    <x v="292"/>
    <s v="Feb"/>
    <x v="18"/>
    <s v="913 Maple Ave"/>
    <x v="0"/>
    <x v="0"/>
    <n v="3"/>
    <n v="1538"/>
    <n v="192914"/>
    <n v="125.43172951885566"/>
  </r>
  <r>
    <x v="2456"/>
    <s v="Apr"/>
    <x v="7"/>
    <s v="608 Main St"/>
    <x v="1"/>
    <x v="1"/>
    <m/>
    <n v="1830"/>
    <n v="804914"/>
    <n v="439.84371584699454"/>
  </r>
  <r>
    <x v="2457"/>
    <s v="Mar"/>
    <x v="1"/>
    <s v="313 Maple Ave"/>
    <x v="3"/>
    <x v="3"/>
    <n v="3"/>
    <n v="3241"/>
    <n v="711215"/>
    <n v="219.44307312557854"/>
  </r>
  <r>
    <x v="2458"/>
    <s v="Mar"/>
    <x v="2"/>
    <s v="825 Main St"/>
    <x v="0"/>
    <x v="2"/>
    <n v="2"/>
    <n v="1664"/>
    <n v="680460"/>
    <n v="408.93028846153845"/>
  </r>
  <r>
    <x v="2459"/>
    <s v="Apr"/>
    <x v="0"/>
    <s v="617 Main St"/>
    <x v="1"/>
    <x v="2"/>
    <n v="2"/>
    <n v="1970"/>
    <n v="196489"/>
    <n v="99.740609137055841"/>
  </r>
  <r>
    <x v="2460"/>
    <s v="Jul"/>
    <x v="7"/>
    <s v="203 Maple Ave"/>
    <x v="5"/>
    <x v="0"/>
    <n v="5"/>
    <n v="2532"/>
    <n v="871373"/>
    <n v="344.14415481832543"/>
  </r>
  <r>
    <x v="2461"/>
    <s v="Jan"/>
    <x v="2"/>
    <s v="822 Pine Rd"/>
    <x v="4"/>
    <x v="0"/>
    <n v="3"/>
    <n v="1811"/>
    <n v="679654"/>
    <n v="375.2921038100497"/>
  </r>
  <r>
    <x v="1906"/>
    <s v="Aug"/>
    <x v="18"/>
    <s v="439 Pine Rd"/>
    <x v="3"/>
    <x v="3"/>
    <n v="2"/>
    <n v="3314"/>
    <n v="647299"/>
    <n v="195.32257091128545"/>
  </r>
  <r>
    <x v="2462"/>
    <s v="Jun"/>
    <x v="9"/>
    <s v="154 Maple Ave"/>
    <x v="1"/>
    <x v="3"/>
    <n v="2"/>
    <n v="998"/>
    <n v="476372"/>
    <n v="477.32665330661325"/>
  </r>
  <r>
    <x v="2463"/>
    <s v="Aug"/>
    <x v="18"/>
    <s v="807 Elm St"/>
    <x v="5"/>
    <x v="1"/>
    <n v="4"/>
    <n v="1256"/>
    <n v="628525"/>
    <n v="500.41799363057322"/>
  </r>
  <r>
    <x v="2464"/>
    <s v="Sep"/>
    <x v="11"/>
    <s v="691 Pine Rd"/>
    <x v="2"/>
    <x v="1"/>
    <m/>
    <n v="3086"/>
    <n v="174843"/>
    <n v="56.656837329876865"/>
  </r>
  <r>
    <x v="2465"/>
    <s v="Nov"/>
    <x v="3"/>
    <s v="930 Oak St"/>
    <x v="5"/>
    <x v="3"/>
    <n v="2"/>
    <n v="2866"/>
    <n v="378757"/>
    <n v="132.15526866713188"/>
  </r>
  <r>
    <x v="2466"/>
    <s v="Mar"/>
    <x v="10"/>
    <s v="938 Oak St"/>
    <x v="6"/>
    <x v="0"/>
    <n v="4"/>
    <n v="3269"/>
    <n v="614419"/>
    <n v="187.95319669623737"/>
  </r>
  <r>
    <x v="2467"/>
    <s v="Mar"/>
    <x v="4"/>
    <s v="192 Oak St"/>
    <x v="3"/>
    <x v="1"/>
    <n v="3"/>
    <n v="2632"/>
    <n v="102220"/>
    <n v="38.837386018237083"/>
  </r>
  <r>
    <x v="2468"/>
    <s v="Dec"/>
    <x v="0"/>
    <s v="447 Main St"/>
    <x v="1"/>
    <x v="3"/>
    <n v="5"/>
    <n v="2698"/>
    <n v="375018"/>
    <n v="138.99851742031134"/>
  </r>
  <r>
    <x v="2469"/>
    <s v="Mar"/>
    <x v="0"/>
    <s v="202 Elm St"/>
    <x v="6"/>
    <x v="0"/>
    <n v="2"/>
    <n v="1438"/>
    <n v="857886"/>
    <n v="596.58275382475665"/>
  </r>
  <r>
    <x v="2470"/>
    <s v="Mar"/>
    <x v="4"/>
    <s v="653 Elm St"/>
    <x v="6"/>
    <x v="1"/>
    <n v="3"/>
    <n v="1766"/>
    <n v="202797"/>
    <n v="114.83408833522084"/>
  </r>
  <r>
    <x v="2471"/>
    <s v="Sep"/>
    <x v="14"/>
    <s v="625 Maple Ave"/>
    <x v="0"/>
    <x v="3"/>
    <n v="3"/>
    <n v="2219"/>
    <n v="102527"/>
    <n v="46.204146011716986"/>
  </r>
  <r>
    <x v="2472"/>
    <s v="Aug"/>
    <x v="0"/>
    <s v="704 Main St"/>
    <x v="0"/>
    <x v="1"/>
    <m/>
    <n v="2729"/>
    <n v="550901"/>
    <n v="201.86918285086111"/>
  </r>
  <r>
    <x v="2091"/>
    <s v="Nov"/>
    <x v="18"/>
    <s v="562 Main St"/>
    <x v="4"/>
    <x v="0"/>
    <n v="4"/>
    <n v="1161"/>
    <n v="704287"/>
    <n v="606.62101636520242"/>
  </r>
  <r>
    <x v="2473"/>
    <s v="Dec"/>
    <x v="10"/>
    <s v="509 Pine Rd"/>
    <x v="0"/>
    <x v="2"/>
    <m/>
    <n v="2951"/>
    <n v="112991"/>
    <n v="38.289054557777028"/>
  </r>
  <r>
    <x v="2474"/>
    <s v="Oct"/>
    <x v="7"/>
    <s v="638 Maple Ave"/>
    <x v="6"/>
    <x v="0"/>
    <n v="5"/>
    <n v="2284"/>
    <n v="487814"/>
    <n v="213.57880910683014"/>
  </r>
  <r>
    <x v="318"/>
    <s v="May"/>
    <x v="17"/>
    <s v="690 Oak St"/>
    <x v="4"/>
    <x v="3"/>
    <n v="2"/>
    <n v="2009"/>
    <n v="245099"/>
    <n v="122.00049776007964"/>
  </r>
  <r>
    <x v="1620"/>
    <s v="Sep"/>
    <x v="13"/>
    <s v="908 Elm St"/>
    <x v="1"/>
    <x v="0"/>
    <n v="2"/>
    <n v="3169"/>
    <n v="384887"/>
    <n v="121.45377090564847"/>
  </r>
  <r>
    <x v="2475"/>
    <s v="Nov"/>
    <x v="13"/>
    <s v="456 Elm St"/>
    <x v="4"/>
    <x v="1"/>
    <n v="5"/>
    <n v="2954"/>
    <n v="181419"/>
    <n v="61.414691943127963"/>
  </r>
  <r>
    <x v="2476"/>
    <s v="Nov"/>
    <x v="1"/>
    <s v="135 Elm St"/>
    <x v="3"/>
    <x v="1"/>
    <n v="2"/>
    <n v="1519"/>
    <n v="169225"/>
    <n v="111.40552995391705"/>
  </r>
  <r>
    <x v="2477"/>
    <s v="Jan"/>
    <x v="5"/>
    <s v="837 Oak St"/>
    <x v="5"/>
    <x v="3"/>
    <m/>
    <n v="3359"/>
    <n v="700738"/>
    <n v="208.61506400714498"/>
  </r>
  <r>
    <x v="2478"/>
    <s v="Sep"/>
    <x v="10"/>
    <s v="999 Maple Ave"/>
    <x v="4"/>
    <x v="2"/>
    <n v="3"/>
    <n v="1508"/>
    <n v="435931"/>
    <n v="289.07891246684352"/>
  </r>
  <r>
    <x v="2479"/>
    <s v="Jan"/>
    <x v="8"/>
    <s v="817 Oak St"/>
    <x v="6"/>
    <x v="1"/>
    <n v="4"/>
    <n v="989"/>
    <n v="108450"/>
    <n v="109.65621840242669"/>
  </r>
  <r>
    <x v="2480"/>
    <s v="May"/>
    <x v="18"/>
    <s v="387 Main St"/>
    <x v="4"/>
    <x v="0"/>
    <m/>
    <n v="1651"/>
    <n v="499840"/>
    <n v="302.74984857662025"/>
  </r>
  <r>
    <x v="2462"/>
    <s v="Jun"/>
    <x v="9"/>
    <s v="537 Elm St"/>
    <x v="4"/>
    <x v="1"/>
    <n v="2"/>
    <n v="1583"/>
    <n v="567006"/>
    <n v="358.18445988629185"/>
  </r>
  <r>
    <x v="2481"/>
    <s v="Oct"/>
    <x v="3"/>
    <s v="506 Elm St"/>
    <x v="0"/>
    <x v="0"/>
    <n v="3"/>
    <n v="2425"/>
    <n v="885212"/>
    <n v="365.03587628865978"/>
  </r>
  <r>
    <x v="2482"/>
    <s v="Jan"/>
    <x v="16"/>
    <s v="590 Pine Rd"/>
    <x v="4"/>
    <x v="0"/>
    <n v="5"/>
    <n v="2193"/>
    <n v="585321"/>
    <n v="266.90424076607388"/>
  </r>
  <r>
    <x v="2446"/>
    <s v="Jun"/>
    <x v="4"/>
    <s v="832 Pine Rd"/>
    <x v="4"/>
    <x v="0"/>
    <m/>
    <n v="2764"/>
    <n v="858244"/>
    <n v="310.50795947901594"/>
  </r>
  <r>
    <x v="892"/>
    <s v="Jan"/>
    <x v="9"/>
    <s v="350 Oak St"/>
    <x v="6"/>
    <x v="2"/>
    <n v="4"/>
    <n v="3353"/>
    <m/>
    <n v="0"/>
  </r>
  <r>
    <x v="2483"/>
    <s v="Apr"/>
    <x v="17"/>
    <s v="820 Maple Ave"/>
    <x v="0"/>
    <x v="3"/>
    <n v="4"/>
    <n v="2322"/>
    <n v="735836"/>
    <n v="316.89750215331611"/>
  </r>
  <r>
    <x v="920"/>
    <s v="Jan"/>
    <x v="19"/>
    <s v="224 Pine Rd"/>
    <x v="6"/>
    <x v="3"/>
    <n v="2"/>
    <n v="940"/>
    <n v="249783"/>
    <n v="265.72659574468088"/>
  </r>
  <r>
    <x v="2484"/>
    <s v="Jul"/>
    <x v="16"/>
    <s v="829 Main St"/>
    <x v="0"/>
    <x v="0"/>
    <m/>
    <n v="1093"/>
    <n v="637137"/>
    <n v="582.92497712717295"/>
  </r>
  <r>
    <x v="409"/>
    <s v="Oct"/>
    <x v="15"/>
    <s v="590 Elm St"/>
    <x v="0"/>
    <x v="0"/>
    <m/>
    <n v="2556"/>
    <n v="818118"/>
    <n v="320.07746478873241"/>
  </r>
  <r>
    <x v="2485"/>
    <s v="Aug"/>
    <x v="19"/>
    <s v="565 Pine Rd"/>
    <x v="4"/>
    <x v="3"/>
    <n v="2"/>
    <n v="2307"/>
    <n v="170868"/>
    <n v="74.065019505851751"/>
  </r>
  <r>
    <x v="1480"/>
    <s v="Oct"/>
    <x v="11"/>
    <s v="886 Pine Rd"/>
    <x v="1"/>
    <x v="0"/>
    <n v="4"/>
    <n v="3499"/>
    <n v="381677"/>
    <n v="109.08173763932552"/>
  </r>
  <r>
    <x v="2486"/>
    <s v="Jul"/>
    <x v="18"/>
    <s v="585 Maple Ave"/>
    <x v="0"/>
    <x v="2"/>
    <n v="5"/>
    <n v="1009"/>
    <n v="868140"/>
    <n v="860.39643211100099"/>
  </r>
  <r>
    <x v="1217"/>
    <s v="May"/>
    <x v="2"/>
    <s v="113 Maple Ave"/>
    <x v="6"/>
    <x v="2"/>
    <n v="3"/>
    <n v="2695"/>
    <n v="783686"/>
    <n v="290.79257884972168"/>
  </r>
  <r>
    <x v="2487"/>
    <s v="Mar"/>
    <x v="7"/>
    <s v="369 Pine Rd"/>
    <x v="6"/>
    <x v="1"/>
    <m/>
    <n v="1415"/>
    <n v="436073"/>
    <n v="308.17879858657244"/>
  </r>
  <r>
    <x v="2488"/>
    <s v="May"/>
    <x v="0"/>
    <s v="783 Pine Rd"/>
    <x v="0"/>
    <x v="3"/>
    <n v="5"/>
    <n v="3441"/>
    <n v="515795"/>
    <n v="149.89683231618716"/>
  </r>
  <r>
    <x v="2187"/>
    <s v="Apr"/>
    <x v="5"/>
    <s v="913 Pine Rd"/>
    <x v="4"/>
    <x v="0"/>
    <m/>
    <n v="3311"/>
    <n v="310703"/>
    <n v="93.839625490788279"/>
  </r>
  <r>
    <x v="2489"/>
    <s v="Jan"/>
    <x v="4"/>
    <s v="730 Pine Rd"/>
    <x v="4"/>
    <x v="3"/>
    <n v="4"/>
    <n v="3277"/>
    <n v="458979"/>
    <n v="140.06072627403114"/>
  </r>
  <r>
    <x v="2490"/>
    <s v="Oct"/>
    <x v="9"/>
    <s v="631 Main St"/>
    <x v="6"/>
    <x v="2"/>
    <m/>
    <n v="1216"/>
    <n v="647538"/>
    <n v="532.51480263157896"/>
  </r>
  <r>
    <x v="2491"/>
    <s v="Aug"/>
    <x v="1"/>
    <s v="401 Oak St"/>
    <x v="0"/>
    <x v="0"/>
    <n v="5"/>
    <n v="1404"/>
    <n v="876364"/>
    <n v="624.19088319088314"/>
  </r>
  <r>
    <x v="2492"/>
    <s v="Apr"/>
    <x v="0"/>
    <s v="814 Main St"/>
    <x v="2"/>
    <x v="1"/>
    <n v="5"/>
    <n v="3043"/>
    <n v="331101"/>
    <n v="108.80742688136708"/>
  </r>
  <r>
    <x v="2493"/>
    <s v="Jan"/>
    <x v="17"/>
    <s v="889 Maple Ave"/>
    <x v="6"/>
    <x v="0"/>
    <n v="4"/>
    <n v="2164"/>
    <n v="687569"/>
    <n v="317.73059149722735"/>
  </r>
  <r>
    <x v="1506"/>
    <s v="Dec"/>
    <x v="1"/>
    <s v="554 Elm St"/>
    <x v="2"/>
    <x v="3"/>
    <n v="3"/>
    <n v="982"/>
    <n v="202345"/>
    <n v="206.05397148676172"/>
  </r>
  <r>
    <x v="2494"/>
    <s v="Sep"/>
    <x v="10"/>
    <s v="487 Elm St"/>
    <x v="3"/>
    <x v="1"/>
    <m/>
    <n v="2118"/>
    <n v="527718"/>
    <n v="249.1586402266289"/>
  </r>
  <r>
    <x v="2495"/>
    <s v="Apr"/>
    <x v="0"/>
    <s v="442 Maple Ave"/>
    <x v="0"/>
    <x v="0"/>
    <n v="3"/>
    <n v="2724"/>
    <n v="152374"/>
    <n v="55.937591776798826"/>
  </r>
  <r>
    <x v="2496"/>
    <s v="May"/>
    <x v="13"/>
    <s v="526 Elm St"/>
    <x v="6"/>
    <x v="0"/>
    <n v="4"/>
    <n v="2696"/>
    <n v="606290"/>
    <n v="224.88501483679525"/>
  </r>
  <r>
    <x v="294"/>
    <s v="Oct"/>
    <x v="14"/>
    <s v="185 Main St"/>
    <x v="5"/>
    <x v="3"/>
    <m/>
    <n v="817"/>
    <n v="848983"/>
    <n v="1039.1468788249695"/>
  </r>
  <r>
    <x v="1765"/>
    <s v="Oct"/>
    <x v="16"/>
    <s v="771 Main St"/>
    <x v="6"/>
    <x v="3"/>
    <m/>
    <n v="1524"/>
    <n v="526745"/>
    <n v="345.63320209973756"/>
  </r>
  <r>
    <x v="2497"/>
    <s v="Jan"/>
    <x v="15"/>
    <s v="987 Main St"/>
    <x v="6"/>
    <x v="1"/>
    <n v="5"/>
    <n v="926"/>
    <n v="650084"/>
    <n v="702.03455723542118"/>
  </r>
  <r>
    <x v="2498"/>
    <s v="Sep"/>
    <x v="10"/>
    <s v="274 Pine Rd"/>
    <x v="6"/>
    <x v="2"/>
    <m/>
    <n v="2335"/>
    <n v="829182"/>
    <n v="355.11006423982872"/>
  </r>
  <r>
    <x v="289"/>
    <s v="Oct"/>
    <x v="16"/>
    <s v="264 Main St"/>
    <x v="1"/>
    <x v="1"/>
    <m/>
    <n v="953"/>
    <n v="192298"/>
    <n v="201.78174186778594"/>
  </r>
  <r>
    <x v="2499"/>
    <s v="Feb"/>
    <x v="11"/>
    <s v="154 Elm St"/>
    <x v="0"/>
    <x v="0"/>
    <m/>
    <n v="2869"/>
    <n v="614873"/>
    <n v="214.31613802718718"/>
  </r>
  <r>
    <x v="1914"/>
    <s v="Feb"/>
    <x v="15"/>
    <s v="342 Maple Ave"/>
    <x v="0"/>
    <x v="3"/>
    <m/>
    <n v="3245"/>
    <n v="239803"/>
    <n v="73.899229583975341"/>
  </r>
  <r>
    <x v="2408"/>
    <s v="Aug"/>
    <x v="10"/>
    <s v="110 Oak St"/>
    <x v="0"/>
    <x v="3"/>
    <n v="4"/>
    <n v="2096"/>
    <n v="676476"/>
    <n v="322.74618320610688"/>
  </r>
  <r>
    <x v="2500"/>
    <s v="Feb"/>
    <x v="10"/>
    <s v="253 Pine Rd"/>
    <x v="0"/>
    <x v="2"/>
    <n v="2"/>
    <n v="1226"/>
    <n v="242900"/>
    <n v="198.12398042414355"/>
  </r>
  <r>
    <x v="2501"/>
    <s v="Aug"/>
    <x v="11"/>
    <s v="722 Pine Rd"/>
    <x v="4"/>
    <x v="0"/>
    <n v="5"/>
    <n v="1153"/>
    <n v="626321"/>
    <n v="543.20988725065047"/>
  </r>
  <r>
    <x v="2502"/>
    <s v="May"/>
    <x v="6"/>
    <s v="379 Oak St"/>
    <x v="1"/>
    <x v="0"/>
    <n v="3"/>
    <n v="1168"/>
    <n v="306790"/>
    <n v="262.66267123287673"/>
  </r>
  <r>
    <x v="1188"/>
    <s v="May"/>
    <x v="1"/>
    <s v="897 Main St"/>
    <x v="4"/>
    <x v="0"/>
    <n v="3"/>
    <n v="2491"/>
    <n v="749290"/>
    <n v="300.79887595343234"/>
  </r>
  <r>
    <x v="2503"/>
    <s v="Jun"/>
    <x v="4"/>
    <s v="482 Pine Rd"/>
    <x v="5"/>
    <x v="3"/>
    <n v="3"/>
    <n v="3460"/>
    <n v="479882"/>
    <n v="138.6942196531792"/>
  </r>
  <r>
    <x v="2504"/>
    <s v="Jul"/>
    <x v="10"/>
    <s v="394 Main St"/>
    <x v="0"/>
    <x v="3"/>
    <n v="3"/>
    <n v="1090"/>
    <n v="638563"/>
    <n v="585.83761467889906"/>
  </r>
  <r>
    <x v="2505"/>
    <s v="Mar"/>
    <x v="15"/>
    <s v="238 Oak St"/>
    <x v="0"/>
    <x v="1"/>
    <n v="3"/>
    <n v="939"/>
    <n v="251919"/>
    <n v="268.2843450479233"/>
  </r>
  <r>
    <x v="2506"/>
    <s v="Jun"/>
    <x v="10"/>
    <s v="636 Maple Ave"/>
    <x v="3"/>
    <x v="2"/>
    <n v="5"/>
    <n v="1422"/>
    <n v="368519"/>
    <n v="259.15541490857947"/>
  </r>
  <r>
    <x v="1500"/>
    <s v="May"/>
    <x v="9"/>
    <s v="562 Elm St"/>
    <x v="4"/>
    <x v="3"/>
    <n v="3"/>
    <n v="3123"/>
    <n v="357704"/>
    <n v="114.53858469420429"/>
  </r>
  <r>
    <x v="2507"/>
    <s v="Sep"/>
    <x v="11"/>
    <s v="403 Maple Ave"/>
    <x v="6"/>
    <x v="1"/>
    <n v="2"/>
    <n v="3364"/>
    <n v="282592"/>
    <n v="84.004756242568376"/>
  </r>
  <r>
    <x v="2508"/>
    <s v="Apr"/>
    <x v="16"/>
    <s v="928 Elm St"/>
    <x v="4"/>
    <x v="0"/>
    <m/>
    <n v="1571"/>
    <n v="548765"/>
    <n v="349.3093570973902"/>
  </r>
  <r>
    <x v="2509"/>
    <s v="Dec"/>
    <x v="6"/>
    <s v="575 Elm St"/>
    <x v="1"/>
    <x v="3"/>
    <n v="3"/>
    <n v="1409"/>
    <n v="301626"/>
    <n v="214.07097232079488"/>
  </r>
  <r>
    <x v="623"/>
    <s v="Sep"/>
    <x v="11"/>
    <s v="560 Oak St"/>
    <x v="6"/>
    <x v="3"/>
    <m/>
    <n v="1924"/>
    <n v="303989"/>
    <n v="157.99844074844074"/>
  </r>
  <r>
    <x v="2510"/>
    <s v="Mar"/>
    <x v="16"/>
    <s v="443 Maple Ave"/>
    <x v="5"/>
    <x v="2"/>
    <n v="2"/>
    <n v="2120"/>
    <n v="267937"/>
    <n v="126.38537735849057"/>
  </r>
  <r>
    <x v="2511"/>
    <s v="Jun"/>
    <x v="15"/>
    <s v="323 Main St"/>
    <x v="6"/>
    <x v="1"/>
    <n v="4"/>
    <n v="2544"/>
    <m/>
    <n v="0"/>
  </r>
  <r>
    <x v="2512"/>
    <s v="Sep"/>
    <x v="13"/>
    <s v="595 Elm St"/>
    <x v="2"/>
    <x v="3"/>
    <n v="4"/>
    <n v="3285"/>
    <n v="282000"/>
    <n v="85.844748858447488"/>
  </r>
  <r>
    <x v="2513"/>
    <s v="Feb"/>
    <x v="13"/>
    <s v="609 Maple Ave"/>
    <x v="3"/>
    <x v="3"/>
    <n v="3"/>
    <n v="3304"/>
    <n v="435516"/>
    <n v="131.81476997578693"/>
  </r>
  <r>
    <x v="2514"/>
    <s v="Nov"/>
    <x v="16"/>
    <s v="302 Main St"/>
    <x v="5"/>
    <x v="2"/>
    <n v="3"/>
    <n v="2675"/>
    <n v="349527"/>
    <n v="130.66429906542055"/>
  </r>
  <r>
    <x v="2139"/>
    <s v="Nov"/>
    <x v="4"/>
    <s v="905 Maple Ave"/>
    <x v="0"/>
    <x v="0"/>
    <n v="2"/>
    <n v="3230"/>
    <n v="185948"/>
    <n v="57.569040247678018"/>
  </r>
  <r>
    <x v="185"/>
    <s v="Jun"/>
    <x v="16"/>
    <s v="151 Oak St"/>
    <x v="5"/>
    <x v="2"/>
    <n v="2"/>
    <n v="3088"/>
    <n v="621302"/>
    <n v="201.1988341968912"/>
  </r>
  <r>
    <x v="2404"/>
    <s v="Nov"/>
    <x v="0"/>
    <s v="527 Pine Rd"/>
    <x v="3"/>
    <x v="3"/>
    <n v="2"/>
    <n v="2410"/>
    <n v="775347"/>
    <n v="321.72074688796681"/>
  </r>
  <r>
    <x v="1388"/>
    <s v="Jun"/>
    <x v="13"/>
    <s v="937 Oak St"/>
    <x v="1"/>
    <x v="0"/>
    <m/>
    <n v="2862"/>
    <n v="377704"/>
    <n v="131.97204751921734"/>
  </r>
  <r>
    <x v="1904"/>
    <s v="Apr"/>
    <x v="15"/>
    <s v="784 Elm St"/>
    <x v="0"/>
    <x v="1"/>
    <m/>
    <n v="1679"/>
    <n v="678924"/>
    <n v="404.36212030970813"/>
  </r>
  <r>
    <x v="2515"/>
    <s v="May"/>
    <x v="13"/>
    <s v="770 Pine Rd"/>
    <x v="0"/>
    <x v="1"/>
    <n v="3"/>
    <n v="1737"/>
    <n v="845598"/>
    <n v="486.81519861830742"/>
  </r>
  <r>
    <x v="2516"/>
    <s v="Apr"/>
    <x v="8"/>
    <s v="834 Pine Rd"/>
    <x v="5"/>
    <x v="2"/>
    <n v="3"/>
    <n v="1474"/>
    <n v="871496"/>
    <n v="591.2455902306649"/>
  </r>
  <r>
    <x v="2517"/>
    <s v="Dec"/>
    <x v="8"/>
    <s v="397 Main St"/>
    <x v="0"/>
    <x v="2"/>
    <n v="2"/>
    <n v="975"/>
    <n v="134403"/>
    <n v="137.84923076923076"/>
  </r>
  <r>
    <x v="2518"/>
    <s v="Jul"/>
    <x v="4"/>
    <s v="388 Main St"/>
    <x v="0"/>
    <x v="3"/>
    <m/>
    <n v="1227"/>
    <n v="166261"/>
    <n v="135.50203748981255"/>
  </r>
  <r>
    <x v="2519"/>
    <s v="Apr"/>
    <x v="0"/>
    <s v="916 Maple Ave"/>
    <x v="4"/>
    <x v="3"/>
    <n v="4"/>
    <n v="3005"/>
    <n v="634564"/>
    <n v="211.16938435940099"/>
  </r>
  <r>
    <x v="2520"/>
    <s v="Dec"/>
    <x v="4"/>
    <s v="911 Main St"/>
    <x v="0"/>
    <x v="2"/>
    <m/>
    <n v="2923"/>
    <n v="166514"/>
    <n v="56.966814916182003"/>
  </r>
  <r>
    <x v="2521"/>
    <s v="Mar"/>
    <x v="18"/>
    <s v="931 Elm St"/>
    <x v="6"/>
    <x v="2"/>
    <m/>
    <n v="1181"/>
    <n v="491291"/>
    <n v="415.99576629974598"/>
  </r>
  <r>
    <x v="1806"/>
    <s v="Jan"/>
    <x v="7"/>
    <s v="869 Maple Ave"/>
    <x v="6"/>
    <x v="2"/>
    <n v="5"/>
    <n v="2349"/>
    <n v="866377"/>
    <n v="368.82801191996595"/>
  </r>
  <r>
    <x v="991"/>
    <s v="Dec"/>
    <x v="16"/>
    <s v="995 Maple Ave"/>
    <x v="4"/>
    <x v="3"/>
    <n v="3"/>
    <n v="2503"/>
    <n v="167904"/>
    <n v="67.08110267678785"/>
  </r>
  <r>
    <x v="2522"/>
    <s v="Aug"/>
    <x v="1"/>
    <s v="507 Elm St"/>
    <x v="0"/>
    <x v="2"/>
    <n v="2"/>
    <n v="2637"/>
    <m/>
    <n v="0"/>
  </r>
  <r>
    <x v="2523"/>
    <s v="Oct"/>
    <x v="9"/>
    <s v="535 Maple Ave"/>
    <x v="1"/>
    <x v="0"/>
    <n v="2"/>
    <n v="1429"/>
    <n v="553896"/>
    <n v="387.61091672498253"/>
  </r>
  <r>
    <x v="1063"/>
    <s v="Nov"/>
    <x v="13"/>
    <s v="797 Pine Rd"/>
    <x v="0"/>
    <x v="2"/>
    <n v="2"/>
    <n v="2885"/>
    <n v="728870"/>
    <n v="252.64124783362217"/>
  </r>
  <r>
    <x v="2524"/>
    <s v="Apr"/>
    <x v="5"/>
    <s v="860 Oak St"/>
    <x v="2"/>
    <x v="1"/>
    <n v="5"/>
    <n v="2231"/>
    <n v="182597"/>
    <n v="81.845360824742272"/>
  </r>
  <r>
    <x v="1431"/>
    <s v="Apr"/>
    <x v="13"/>
    <s v="891 Main St"/>
    <x v="3"/>
    <x v="2"/>
    <n v="2"/>
    <n v="3375"/>
    <n v="526104"/>
    <n v="155.88266666666667"/>
  </r>
  <r>
    <x v="2525"/>
    <s v="May"/>
    <x v="12"/>
    <s v="748 Oak St"/>
    <x v="6"/>
    <x v="2"/>
    <n v="5"/>
    <n v="2496"/>
    <n v="727416"/>
    <n v="291.43269230769232"/>
  </r>
  <r>
    <x v="2526"/>
    <s v="Apr"/>
    <x v="19"/>
    <s v="585 Main St"/>
    <x v="4"/>
    <x v="2"/>
    <n v="5"/>
    <n v="3036"/>
    <n v="335874"/>
    <n v="110.6304347826087"/>
  </r>
  <r>
    <x v="1805"/>
    <s v="Feb"/>
    <x v="8"/>
    <s v="771 Main St"/>
    <x v="1"/>
    <x v="2"/>
    <m/>
    <n v="1776"/>
    <n v="440918"/>
    <n v="248.26463963963963"/>
  </r>
  <r>
    <x v="2527"/>
    <s v="Jan"/>
    <x v="7"/>
    <s v="577 Pine Rd"/>
    <x v="0"/>
    <x v="0"/>
    <n v="4"/>
    <n v="2436"/>
    <n v="755785"/>
    <n v="310.25656814449917"/>
  </r>
  <r>
    <x v="866"/>
    <s v="May"/>
    <x v="18"/>
    <s v="279 Oak St"/>
    <x v="0"/>
    <x v="2"/>
    <m/>
    <n v="3427"/>
    <n v="747405"/>
    <n v="218.09308433031805"/>
  </r>
  <r>
    <x v="1058"/>
    <s v="Sep"/>
    <x v="8"/>
    <s v="467 Maple Ave"/>
    <x v="5"/>
    <x v="0"/>
    <n v="4"/>
    <n v="2584"/>
    <n v="202564"/>
    <n v="78.391640866873061"/>
  </r>
  <r>
    <x v="295"/>
    <s v="Dec"/>
    <x v="11"/>
    <s v="265 Oak St"/>
    <x v="6"/>
    <x v="2"/>
    <m/>
    <n v="881"/>
    <n v="712239"/>
    <n v="808.44381384790006"/>
  </r>
  <r>
    <x v="2528"/>
    <s v="May"/>
    <x v="9"/>
    <s v="107 Pine Rd"/>
    <x v="3"/>
    <x v="2"/>
    <m/>
    <n v="1660"/>
    <n v="401370"/>
    <n v="241.78915662650601"/>
  </r>
  <r>
    <x v="2529"/>
    <s v="Jan"/>
    <x v="8"/>
    <s v="280 Maple Ave"/>
    <x v="0"/>
    <x v="2"/>
    <n v="5"/>
    <n v="831"/>
    <n v="267145"/>
    <n v="321.47412755716005"/>
  </r>
  <r>
    <x v="2530"/>
    <s v="Mar"/>
    <x v="13"/>
    <s v="102 Oak St"/>
    <x v="4"/>
    <x v="0"/>
    <n v="3"/>
    <n v="2369"/>
    <n v="154428"/>
    <n v="65.186998733642881"/>
  </r>
  <r>
    <x v="2531"/>
    <s v="Feb"/>
    <x v="8"/>
    <s v="942 Elm St"/>
    <x v="4"/>
    <x v="2"/>
    <m/>
    <n v="1517"/>
    <n v="246195"/>
    <n v="162.29070533948584"/>
  </r>
  <r>
    <x v="203"/>
    <s v="Oct"/>
    <x v="19"/>
    <s v="527 Pine Rd"/>
    <x v="2"/>
    <x v="1"/>
    <n v="2"/>
    <n v="3446"/>
    <n v="826667"/>
    <n v="239.89175856065003"/>
  </r>
  <r>
    <x v="2248"/>
    <s v="Jan"/>
    <x v="12"/>
    <s v="787 Main St"/>
    <x v="1"/>
    <x v="2"/>
    <n v="5"/>
    <n v="1883"/>
    <n v="650417"/>
    <n v="345.41529474243231"/>
  </r>
  <r>
    <x v="1328"/>
    <s v="Jun"/>
    <x v="11"/>
    <s v="311 Pine Rd"/>
    <x v="4"/>
    <x v="0"/>
    <n v="4"/>
    <n v="2910"/>
    <n v="287936"/>
    <n v="98.947079037800691"/>
  </r>
  <r>
    <x v="1050"/>
    <s v="Jun"/>
    <x v="18"/>
    <s v="520 Oak St"/>
    <x v="3"/>
    <x v="2"/>
    <n v="2"/>
    <n v="2277"/>
    <n v="501512"/>
    <n v="220.2512077294686"/>
  </r>
  <r>
    <x v="620"/>
    <s v="Aug"/>
    <x v="19"/>
    <s v="567 Main St"/>
    <x v="4"/>
    <x v="1"/>
    <m/>
    <n v="2969"/>
    <n v="654050"/>
    <n v="220.29302795554059"/>
  </r>
  <r>
    <x v="2532"/>
    <s v="Nov"/>
    <x v="13"/>
    <s v="587 Oak St"/>
    <x v="4"/>
    <x v="0"/>
    <n v="4"/>
    <n v="3067"/>
    <n v="336737"/>
    <n v="109.79360939028366"/>
  </r>
  <r>
    <x v="2533"/>
    <s v="Sep"/>
    <x v="13"/>
    <s v="652 Pine Rd"/>
    <x v="6"/>
    <x v="2"/>
    <n v="2"/>
    <n v="1022"/>
    <n v="579399"/>
    <n v="566.92661448140905"/>
  </r>
  <r>
    <x v="2534"/>
    <s v="Apr"/>
    <x v="13"/>
    <s v="894 Maple Ave"/>
    <x v="1"/>
    <x v="1"/>
    <m/>
    <n v="3221"/>
    <n v="484140"/>
    <n v="150.3073579633654"/>
  </r>
  <r>
    <x v="2293"/>
    <s v="Jun"/>
    <x v="7"/>
    <s v="454 Oak St"/>
    <x v="0"/>
    <x v="0"/>
    <m/>
    <n v="2743"/>
    <n v="234234"/>
    <n v="85.393364928909946"/>
  </r>
  <r>
    <x v="1076"/>
    <s v="Nov"/>
    <x v="6"/>
    <s v="965 Pine Rd"/>
    <x v="6"/>
    <x v="2"/>
    <n v="3"/>
    <n v="2586"/>
    <n v="325510"/>
    <n v="125.8739365815932"/>
  </r>
  <r>
    <x v="2535"/>
    <s v="Oct"/>
    <x v="0"/>
    <s v="924 Elm St"/>
    <x v="2"/>
    <x v="2"/>
    <n v="4"/>
    <n v="2712"/>
    <m/>
    <n v="0"/>
  </r>
  <r>
    <x v="1229"/>
    <s v="Jan"/>
    <x v="0"/>
    <s v="536 Maple Ave"/>
    <x v="2"/>
    <x v="2"/>
    <m/>
    <n v="822"/>
    <n v="400804"/>
    <n v="487.59610705596106"/>
  </r>
  <r>
    <x v="2536"/>
    <s v="May"/>
    <x v="4"/>
    <s v="755 Maple Ave"/>
    <x v="6"/>
    <x v="1"/>
    <n v="3"/>
    <n v="816"/>
    <n v="161221"/>
    <n v="197.57475490196077"/>
  </r>
  <r>
    <x v="2537"/>
    <s v="Jan"/>
    <x v="12"/>
    <s v="441 Pine Rd"/>
    <x v="0"/>
    <x v="1"/>
    <n v="2"/>
    <n v="1162"/>
    <n v="576038"/>
    <n v="495.72977624784852"/>
  </r>
  <r>
    <x v="2310"/>
    <s v="Aug"/>
    <x v="4"/>
    <s v="292 Oak St"/>
    <x v="5"/>
    <x v="2"/>
    <n v="2"/>
    <n v="2898"/>
    <n v="679632"/>
    <n v="234.51759834368531"/>
  </r>
  <r>
    <x v="2538"/>
    <s v="Jul"/>
    <x v="13"/>
    <s v="344 Main St"/>
    <x v="6"/>
    <x v="0"/>
    <n v="2"/>
    <n v="3047"/>
    <n v="669615"/>
    <n v="219.76206104364948"/>
  </r>
  <r>
    <x v="1545"/>
    <s v="Aug"/>
    <x v="17"/>
    <s v="362 Oak St"/>
    <x v="2"/>
    <x v="2"/>
    <n v="2"/>
    <n v="3415"/>
    <n v="862651"/>
    <n v="252.60644216691068"/>
  </r>
  <r>
    <x v="2539"/>
    <s v="May"/>
    <x v="7"/>
    <s v="329 Main St"/>
    <x v="5"/>
    <x v="3"/>
    <m/>
    <n v="2157"/>
    <n v="791426"/>
    <n v="366.91052387575337"/>
  </r>
  <r>
    <x v="2540"/>
    <s v="Apr"/>
    <x v="15"/>
    <s v="795 Main St"/>
    <x v="2"/>
    <x v="3"/>
    <n v="2"/>
    <n v="2536"/>
    <n v="510703"/>
    <n v="201.38130914826499"/>
  </r>
  <r>
    <x v="2541"/>
    <s v="Jul"/>
    <x v="9"/>
    <s v="154 Maple Ave"/>
    <x v="1"/>
    <x v="3"/>
    <n v="3"/>
    <n v="2223"/>
    <n v="633205"/>
    <n v="284.84255510571302"/>
  </r>
  <r>
    <x v="2542"/>
    <s v="Aug"/>
    <x v="1"/>
    <s v="577 Pine Rd"/>
    <x v="1"/>
    <x v="3"/>
    <n v="3"/>
    <n v="2521"/>
    <n v="366286"/>
    <n v="145.29393097976993"/>
  </r>
  <r>
    <x v="2543"/>
    <s v="Jan"/>
    <x v="16"/>
    <s v="796 Maple Ave"/>
    <x v="2"/>
    <x v="1"/>
    <n v="2"/>
    <n v="2847"/>
    <n v="786182"/>
    <n v="276.14401123990166"/>
  </r>
  <r>
    <x v="1810"/>
    <s v="Jun"/>
    <x v="15"/>
    <s v="106 Maple Ave"/>
    <x v="0"/>
    <x v="0"/>
    <n v="5"/>
    <n v="2961"/>
    <n v="215072"/>
    <n v="72.634920634920633"/>
  </r>
  <r>
    <x v="2544"/>
    <s v="Oct"/>
    <x v="16"/>
    <s v="540 Main St"/>
    <x v="0"/>
    <x v="3"/>
    <m/>
    <n v="1666"/>
    <n v="324273"/>
    <n v="194.64165666266507"/>
  </r>
  <r>
    <x v="1444"/>
    <s v="Aug"/>
    <x v="0"/>
    <s v="424 Elm St"/>
    <x v="5"/>
    <x v="3"/>
    <m/>
    <n v="1660"/>
    <n v="575240"/>
    <n v="346.53012048192772"/>
  </r>
  <r>
    <x v="1608"/>
    <s v="Apr"/>
    <x v="10"/>
    <s v="422 Main St"/>
    <x v="1"/>
    <x v="0"/>
    <n v="4"/>
    <n v="2079"/>
    <n v="482694"/>
    <n v="232.17604617604619"/>
  </r>
  <r>
    <x v="2545"/>
    <s v="Nov"/>
    <x v="13"/>
    <s v="846 Maple Ave"/>
    <x v="6"/>
    <x v="2"/>
    <n v="2"/>
    <n v="1310"/>
    <n v="488789"/>
    <n v="373.12137404580153"/>
  </r>
  <r>
    <x v="2546"/>
    <s v="Feb"/>
    <x v="18"/>
    <s v="662 Maple Ave"/>
    <x v="0"/>
    <x v="2"/>
    <n v="3"/>
    <n v="3243"/>
    <n v="786851"/>
    <n v="242.63058896083874"/>
  </r>
  <r>
    <x v="487"/>
    <s v="Nov"/>
    <x v="10"/>
    <s v="211 Main St"/>
    <x v="6"/>
    <x v="0"/>
    <n v="5"/>
    <n v="1023"/>
    <n v="419407"/>
    <n v="409.97751710654939"/>
  </r>
  <r>
    <x v="731"/>
    <s v="Dec"/>
    <x v="19"/>
    <s v="736 Main St"/>
    <x v="2"/>
    <x v="1"/>
    <m/>
    <n v="1180"/>
    <n v="663509"/>
    <n v="562.29576271186443"/>
  </r>
  <r>
    <x v="2547"/>
    <s v="Jun"/>
    <x v="12"/>
    <s v="675 Oak St"/>
    <x v="6"/>
    <x v="2"/>
    <m/>
    <n v="1700"/>
    <n v="192977"/>
    <n v="113.51588235294118"/>
  </r>
  <r>
    <x v="2164"/>
    <s v="Dec"/>
    <x v="2"/>
    <s v="153 Oak St"/>
    <x v="6"/>
    <x v="3"/>
    <n v="2"/>
    <n v="3484"/>
    <n v="209988"/>
    <n v="60.272101033295066"/>
  </r>
  <r>
    <x v="1796"/>
    <s v="Jun"/>
    <x v="1"/>
    <s v="959 Pine Rd"/>
    <x v="2"/>
    <x v="2"/>
    <m/>
    <n v="1698"/>
    <n v="710876"/>
    <n v="418.65488810365133"/>
  </r>
  <r>
    <x v="2548"/>
    <s v="Mar"/>
    <x v="4"/>
    <s v="539 Pine Rd"/>
    <x v="6"/>
    <x v="0"/>
    <m/>
    <n v="2204"/>
    <n v="804563"/>
    <n v="365.04673321234122"/>
  </r>
  <r>
    <x v="2549"/>
    <s v="Apr"/>
    <x v="8"/>
    <s v="834 Oak St"/>
    <x v="6"/>
    <x v="2"/>
    <n v="2"/>
    <n v="1965"/>
    <n v="726906"/>
    <n v="369.92671755725189"/>
  </r>
  <r>
    <x v="2550"/>
    <s v="Dec"/>
    <x v="12"/>
    <s v="215 Pine Rd"/>
    <x v="5"/>
    <x v="3"/>
    <n v="3"/>
    <n v="3243"/>
    <n v="302433"/>
    <n v="93.257169287696584"/>
  </r>
  <r>
    <x v="2551"/>
    <s v="Jan"/>
    <x v="16"/>
    <s v="496 Oak St"/>
    <x v="1"/>
    <x v="3"/>
    <n v="5"/>
    <n v="2093"/>
    <n v="713540"/>
    <n v="340.91734352603919"/>
  </r>
  <r>
    <x v="1454"/>
    <s v="Jun"/>
    <x v="14"/>
    <s v="600 Main St"/>
    <x v="6"/>
    <x v="0"/>
    <m/>
    <n v="2425"/>
    <n v="525866"/>
    <n v="216.8519587628866"/>
  </r>
  <r>
    <x v="2552"/>
    <s v="Jul"/>
    <x v="19"/>
    <s v="925 Maple Ave"/>
    <x v="5"/>
    <x v="2"/>
    <n v="3"/>
    <n v="2646"/>
    <n v="356492"/>
    <n v="134.72864701436129"/>
  </r>
  <r>
    <x v="2553"/>
    <s v="Sep"/>
    <x v="12"/>
    <s v="564 Main St"/>
    <x v="6"/>
    <x v="3"/>
    <n v="5"/>
    <n v="3216"/>
    <n v="349191"/>
    <n v="108.57929104477611"/>
  </r>
  <r>
    <x v="431"/>
    <s v="Oct"/>
    <x v="4"/>
    <s v="944 Elm St"/>
    <x v="6"/>
    <x v="0"/>
    <m/>
    <n v="2287"/>
    <n v="707545"/>
    <n v="309.37691298644512"/>
  </r>
  <r>
    <x v="2554"/>
    <s v="Apr"/>
    <x v="10"/>
    <s v="149 Pine Rd"/>
    <x v="0"/>
    <x v="3"/>
    <n v="2"/>
    <n v="1900"/>
    <n v="897707"/>
    <n v="472.47736842105263"/>
  </r>
  <r>
    <x v="2555"/>
    <s v="Sep"/>
    <x v="12"/>
    <s v="867 Maple Ave"/>
    <x v="6"/>
    <x v="2"/>
    <m/>
    <n v="2254"/>
    <n v="649676"/>
    <n v="288.23247559893525"/>
  </r>
  <r>
    <x v="2556"/>
    <s v="Oct"/>
    <x v="12"/>
    <s v="853 Oak St"/>
    <x v="6"/>
    <x v="0"/>
    <n v="3"/>
    <n v="2307"/>
    <n v="317562"/>
    <n v="137.65149544863459"/>
  </r>
  <r>
    <x v="1278"/>
    <s v="Apr"/>
    <x v="19"/>
    <s v="676 Oak St"/>
    <x v="1"/>
    <x v="3"/>
    <n v="4"/>
    <n v="940"/>
    <n v="665651"/>
    <n v="708.13936170212764"/>
  </r>
  <r>
    <x v="1493"/>
    <s v="Dec"/>
    <x v="14"/>
    <s v="910 Elm St"/>
    <x v="0"/>
    <x v="0"/>
    <m/>
    <n v="2581"/>
    <n v="172241"/>
    <n v="66.73421154591243"/>
  </r>
  <r>
    <x v="2557"/>
    <s v="Mar"/>
    <x v="4"/>
    <s v="259 Maple Ave"/>
    <x v="3"/>
    <x v="3"/>
    <n v="5"/>
    <n v="2395"/>
    <n v="768188"/>
    <n v="320.74655532359083"/>
  </r>
  <r>
    <x v="854"/>
    <s v="Jun"/>
    <x v="12"/>
    <s v="506 Main St"/>
    <x v="4"/>
    <x v="0"/>
    <n v="3"/>
    <n v="1608"/>
    <n v="355084"/>
    <n v="220.8233830845771"/>
  </r>
  <r>
    <x v="2558"/>
    <s v="Jul"/>
    <x v="10"/>
    <s v="395 Main St"/>
    <x v="0"/>
    <x v="0"/>
    <n v="2"/>
    <n v="3105"/>
    <n v="181488"/>
    <n v="58.450241545893718"/>
  </r>
  <r>
    <x v="1128"/>
    <s v="Mar"/>
    <x v="16"/>
    <s v="331 Pine Rd"/>
    <x v="6"/>
    <x v="1"/>
    <n v="2"/>
    <n v="1375"/>
    <n v="615632"/>
    <n v="447.73236363636363"/>
  </r>
  <r>
    <x v="2559"/>
    <s v="May"/>
    <x v="3"/>
    <s v="985 Oak St"/>
    <x v="6"/>
    <x v="0"/>
    <n v="4"/>
    <n v="2627"/>
    <n v="286662"/>
    <n v="109.12143129044537"/>
  </r>
  <r>
    <x v="2"/>
    <s v="Oct"/>
    <x v="2"/>
    <s v="388 Main St"/>
    <x v="1"/>
    <x v="2"/>
    <n v="5"/>
    <n v="1610"/>
    <n v="226605"/>
    <n v="140.74844720496895"/>
  </r>
  <r>
    <x v="941"/>
    <s v="May"/>
    <x v="7"/>
    <s v="659 Pine Rd"/>
    <x v="4"/>
    <x v="1"/>
    <n v="3"/>
    <n v="2665"/>
    <n v="368184"/>
    <n v="138.15534709193247"/>
  </r>
  <r>
    <x v="2264"/>
    <s v="Nov"/>
    <x v="18"/>
    <s v="741 Oak St"/>
    <x v="2"/>
    <x v="3"/>
    <n v="4"/>
    <n v="3110"/>
    <n v="220008"/>
    <n v="70.74212218649518"/>
  </r>
  <r>
    <x v="2125"/>
    <s v="Jul"/>
    <x v="4"/>
    <s v="563 Main St"/>
    <x v="3"/>
    <x v="0"/>
    <n v="2"/>
    <n v="806"/>
    <n v="284080"/>
    <n v="352.45657568238215"/>
  </r>
  <r>
    <x v="354"/>
    <s v="Oct"/>
    <x v="5"/>
    <s v="503 Main St"/>
    <x v="5"/>
    <x v="0"/>
    <m/>
    <n v="2624"/>
    <n v="283946"/>
    <n v="108.21112804878049"/>
  </r>
  <r>
    <x v="1153"/>
    <s v="Jan"/>
    <x v="3"/>
    <s v="294 Elm St"/>
    <x v="1"/>
    <x v="0"/>
    <n v="2"/>
    <n v="2511"/>
    <n v="165109"/>
    <n v="65.754281162883316"/>
  </r>
  <r>
    <x v="2560"/>
    <s v="Sep"/>
    <x v="16"/>
    <s v="310 Oak St"/>
    <x v="4"/>
    <x v="1"/>
    <n v="2"/>
    <n v="1243"/>
    <n v="624827"/>
    <n v="502.67658889782786"/>
  </r>
  <r>
    <x v="2561"/>
    <s v="Sep"/>
    <x v="19"/>
    <s v="274 Elm St"/>
    <x v="4"/>
    <x v="3"/>
    <m/>
    <n v="1162"/>
    <n v="694797"/>
    <n v="597.93201376936315"/>
  </r>
  <r>
    <x v="2562"/>
    <s v="Dec"/>
    <x v="3"/>
    <s v="619 Elm St"/>
    <x v="2"/>
    <x v="3"/>
    <n v="3"/>
    <n v="2929"/>
    <n v="668995"/>
    <n v="228.40389211334926"/>
  </r>
  <r>
    <x v="865"/>
    <s v="Jun"/>
    <x v="13"/>
    <s v="458 Pine Rd"/>
    <x v="2"/>
    <x v="1"/>
    <n v="4"/>
    <n v="2740"/>
    <n v="535644"/>
    <n v="195.4905109489051"/>
  </r>
  <r>
    <x v="2563"/>
    <s v="Sep"/>
    <x v="2"/>
    <s v="353 Oak St"/>
    <x v="0"/>
    <x v="3"/>
    <m/>
    <n v="3269"/>
    <n v="617412"/>
    <n v="188.86876720709697"/>
  </r>
  <r>
    <x v="265"/>
    <s v="Jun"/>
    <x v="2"/>
    <s v="216 Maple Ave"/>
    <x v="0"/>
    <x v="0"/>
    <n v="3"/>
    <n v="1808"/>
    <n v="496971"/>
    <n v="274.87334070796459"/>
  </r>
  <r>
    <x v="2564"/>
    <s v="Apr"/>
    <x v="18"/>
    <s v="232 Elm St"/>
    <x v="4"/>
    <x v="1"/>
    <m/>
    <n v="1480"/>
    <n v="440263"/>
    <n v="297.47500000000002"/>
  </r>
  <r>
    <x v="723"/>
    <s v="Apr"/>
    <x v="7"/>
    <s v="852 Pine Rd"/>
    <x v="6"/>
    <x v="3"/>
    <m/>
    <n v="1773"/>
    <n v="311587"/>
    <n v="175.73998871968416"/>
  </r>
  <r>
    <x v="2565"/>
    <s v="Jan"/>
    <x v="6"/>
    <s v="168 Pine Rd"/>
    <x v="5"/>
    <x v="0"/>
    <n v="2"/>
    <n v="3458"/>
    <n v="744832"/>
    <n v="215.39386928860614"/>
  </r>
  <r>
    <x v="2566"/>
    <s v="Oct"/>
    <x v="7"/>
    <s v="422 Maple Ave"/>
    <x v="2"/>
    <x v="2"/>
    <n v="3"/>
    <n v="1013"/>
    <n v="836455"/>
    <n v="825.72063178677195"/>
  </r>
  <r>
    <x v="2567"/>
    <s v="Nov"/>
    <x v="2"/>
    <s v="232 Pine Rd"/>
    <x v="0"/>
    <x v="0"/>
    <n v="3"/>
    <n v="2067"/>
    <n v="612872"/>
    <n v="296.50314465408803"/>
  </r>
  <r>
    <x v="715"/>
    <s v="Sep"/>
    <x v="6"/>
    <s v="644 Maple Ave"/>
    <x v="4"/>
    <x v="0"/>
    <n v="3"/>
    <n v="2619"/>
    <n v="515050"/>
    <n v="196.6590301641848"/>
  </r>
  <r>
    <x v="2568"/>
    <s v="Jan"/>
    <x v="5"/>
    <s v="678 Main St"/>
    <x v="0"/>
    <x v="2"/>
    <m/>
    <n v="1010"/>
    <n v="624311"/>
    <n v="618.12970297029699"/>
  </r>
  <r>
    <x v="2569"/>
    <s v="Jan"/>
    <x v="12"/>
    <s v="413 Elm St"/>
    <x v="6"/>
    <x v="0"/>
    <n v="5"/>
    <n v="2658"/>
    <n v="484304"/>
    <n v="182.20617005267118"/>
  </r>
  <r>
    <x v="526"/>
    <s v="Feb"/>
    <x v="15"/>
    <s v="651 Main St"/>
    <x v="6"/>
    <x v="2"/>
    <n v="2"/>
    <n v="2506"/>
    <n v="304654"/>
    <n v="121.56983240223464"/>
  </r>
  <r>
    <x v="2570"/>
    <s v="Nov"/>
    <x v="4"/>
    <s v="478 Maple Ave"/>
    <x v="5"/>
    <x v="3"/>
    <n v="3"/>
    <n v="1863"/>
    <n v="695241"/>
    <n v="373.18357487922708"/>
  </r>
  <r>
    <x v="679"/>
    <s v="May"/>
    <x v="0"/>
    <s v="873 Oak St"/>
    <x v="3"/>
    <x v="1"/>
    <n v="2"/>
    <n v="2619"/>
    <n v="817972"/>
    <n v="312.32226040473461"/>
  </r>
  <r>
    <x v="2571"/>
    <s v="May"/>
    <x v="2"/>
    <s v="550 Pine Rd"/>
    <x v="6"/>
    <x v="0"/>
    <n v="4"/>
    <n v="2889"/>
    <n v="724277"/>
    <n v="250.70162686050537"/>
  </r>
  <r>
    <x v="2572"/>
    <s v="Mar"/>
    <x v="14"/>
    <s v="460 Oak St"/>
    <x v="0"/>
    <x v="0"/>
    <n v="3"/>
    <n v="1266"/>
    <n v="724040"/>
    <n v="571.91153238546599"/>
  </r>
  <r>
    <x v="2573"/>
    <s v="Jan"/>
    <x v="5"/>
    <s v="471 Elm St"/>
    <x v="5"/>
    <x v="3"/>
    <m/>
    <n v="2245"/>
    <n v="670448"/>
    <n v="298.64053452115814"/>
  </r>
  <r>
    <x v="2574"/>
    <s v="Dec"/>
    <x v="17"/>
    <s v="925 Maple Ave"/>
    <x v="0"/>
    <x v="0"/>
    <n v="3"/>
    <n v="3227"/>
    <n v="414010"/>
    <n v="128.29563061667184"/>
  </r>
  <r>
    <x v="534"/>
    <s v="Sep"/>
    <x v="10"/>
    <s v="633 Elm St"/>
    <x v="0"/>
    <x v="0"/>
    <n v="4"/>
    <n v="1281"/>
    <n v="143305"/>
    <n v="111.8696330991413"/>
  </r>
  <r>
    <x v="602"/>
    <s v="Feb"/>
    <x v="4"/>
    <s v="817 Oak St"/>
    <x v="5"/>
    <x v="1"/>
    <n v="3"/>
    <n v="2217"/>
    <n v="481768"/>
    <n v="217.30626973387461"/>
  </r>
  <r>
    <x v="2575"/>
    <s v="Dec"/>
    <x v="10"/>
    <s v="618 Maple Ave"/>
    <x v="1"/>
    <x v="3"/>
    <m/>
    <n v="1575"/>
    <n v="503080"/>
    <n v="319.41587301587299"/>
  </r>
  <r>
    <x v="2576"/>
    <s v="Jun"/>
    <x v="13"/>
    <s v="919 Pine Rd"/>
    <x v="6"/>
    <x v="2"/>
    <n v="5"/>
    <n v="2884"/>
    <n v="243093"/>
    <n v="84.290221914008328"/>
  </r>
  <r>
    <x v="2577"/>
    <s v="Jun"/>
    <x v="11"/>
    <s v="891 Elm St"/>
    <x v="6"/>
    <x v="1"/>
    <n v="2"/>
    <n v="2157"/>
    <n v="401913"/>
    <n v="186.32962447844227"/>
  </r>
  <r>
    <x v="2578"/>
    <s v="Mar"/>
    <x v="5"/>
    <s v="362 Elm St"/>
    <x v="4"/>
    <x v="0"/>
    <n v="3"/>
    <n v="2088"/>
    <n v="667303"/>
    <n v="319.58955938697318"/>
  </r>
  <r>
    <x v="2579"/>
    <s v="Dec"/>
    <x v="16"/>
    <s v="463 Pine Rd"/>
    <x v="3"/>
    <x v="3"/>
    <n v="4"/>
    <n v="1260"/>
    <n v="795616"/>
    <n v="631.44126984126979"/>
  </r>
  <r>
    <x v="1826"/>
    <s v="May"/>
    <x v="4"/>
    <s v="158 Oak St"/>
    <x v="6"/>
    <x v="3"/>
    <m/>
    <n v="1712"/>
    <n v="498076"/>
    <n v="290.93224299065423"/>
  </r>
  <r>
    <x v="2580"/>
    <s v="May"/>
    <x v="17"/>
    <s v="785 Elm St"/>
    <x v="3"/>
    <x v="2"/>
    <n v="4"/>
    <n v="904"/>
    <n v="897609"/>
    <n v="992.93030973451323"/>
  </r>
  <r>
    <x v="2581"/>
    <s v="Nov"/>
    <x v="15"/>
    <s v="342 Pine Rd"/>
    <x v="4"/>
    <x v="0"/>
    <n v="3"/>
    <n v="2247"/>
    <n v="533473"/>
    <n v="237.41566533155319"/>
  </r>
  <r>
    <x v="2582"/>
    <s v="Feb"/>
    <x v="11"/>
    <s v="373 Maple Ave"/>
    <x v="4"/>
    <x v="3"/>
    <m/>
    <n v="2210"/>
    <n v="750849"/>
    <n v="339.75067873303169"/>
  </r>
  <r>
    <x v="2583"/>
    <s v="Jul"/>
    <x v="10"/>
    <s v="294 Maple Ave"/>
    <x v="1"/>
    <x v="1"/>
    <n v="2"/>
    <n v="1856"/>
    <n v="756592"/>
    <n v="407.64655172413791"/>
  </r>
  <r>
    <x v="2584"/>
    <s v="May"/>
    <x v="3"/>
    <s v="232 Elm St"/>
    <x v="6"/>
    <x v="1"/>
    <m/>
    <n v="2944"/>
    <n v="729691"/>
    <n v="247.85699728260869"/>
  </r>
  <r>
    <x v="2585"/>
    <s v="Jun"/>
    <x v="8"/>
    <s v="587 Pine Rd"/>
    <x v="0"/>
    <x v="2"/>
    <n v="2"/>
    <n v="1080"/>
    <n v="545654"/>
    <n v="505.23518518518517"/>
  </r>
  <r>
    <x v="1940"/>
    <s v="Dec"/>
    <x v="7"/>
    <s v="731 Elm St"/>
    <x v="0"/>
    <x v="0"/>
    <m/>
    <n v="967"/>
    <m/>
    <n v="0"/>
  </r>
  <r>
    <x v="2586"/>
    <s v="Dec"/>
    <x v="1"/>
    <s v="392 Elm St"/>
    <x v="4"/>
    <x v="2"/>
    <n v="2"/>
    <n v="889"/>
    <n v="421101"/>
    <n v="473.67941507311588"/>
  </r>
  <r>
    <x v="2587"/>
    <s v="Dec"/>
    <x v="19"/>
    <s v="210 Oak St"/>
    <x v="0"/>
    <x v="2"/>
    <m/>
    <n v="1796"/>
    <n v="793407"/>
    <n v="441.76336302895322"/>
  </r>
  <r>
    <x v="2588"/>
    <s v="May"/>
    <x v="10"/>
    <s v="346 Main St"/>
    <x v="4"/>
    <x v="2"/>
    <m/>
    <n v="2943"/>
    <n v="735610"/>
    <n v="249.95242949371391"/>
  </r>
  <r>
    <x v="2589"/>
    <s v="Apr"/>
    <x v="1"/>
    <s v="299 Pine Rd"/>
    <x v="2"/>
    <x v="0"/>
    <m/>
    <n v="2240"/>
    <n v="162230"/>
    <n v="72.424107142857139"/>
  </r>
  <r>
    <x v="2590"/>
    <s v="Apr"/>
    <x v="3"/>
    <s v="283 Main St"/>
    <x v="5"/>
    <x v="2"/>
    <n v="3"/>
    <n v="2085"/>
    <n v="800030"/>
    <n v="383.70743405275778"/>
  </r>
  <r>
    <x v="2591"/>
    <s v="Jul"/>
    <x v="16"/>
    <s v="690 Maple Ave"/>
    <x v="1"/>
    <x v="3"/>
    <n v="5"/>
    <n v="1847"/>
    <n v="867516"/>
    <n v="469.68922577152136"/>
  </r>
  <r>
    <x v="2592"/>
    <s v="Dec"/>
    <x v="15"/>
    <s v="736 Main St"/>
    <x v="6"/>
    <x v="2"/>
    <n v="5"/>
    <n v="3278"/>
    <n v="275936"/>
    <n v="84.178157413056738"/>
  </r>
  <r>
    <x v="2593"/>
    <s v="Nov"/>
    <x v="19"/>
    <s v="154 Oak St"/>
    <x v="0"/>
    <x v="3"/>
    <m/>
    <n v="2006"/>
    <n v="343249"/>
    <n v="171.11116650049851"/>
  </r>
  <r>
    <x v="2594"/>
    <s v="Dec"/>
    <x v="6"/>
    <s v="237 Maple Ave"/>
    <x v="4"/>
    <x v="0"/>
    <n v="3"/>
    <n v="1294"/>
    <n v="248657"/>
    <n v="192.161514683153"/>
  </r>
  <r>
    <x v="903"/>
    <s v="Oct"/>
    <x v="7"/>
    <s v="671 Pine Rd"/>
    <x v="6"/>
    <x v="1"/>
    <m/>
    <n v="1368"/>
    <n v="695501"/>
    <n v="508.40716374269005"/>
  </r>
  <r>
    <x v="1076"/>
    <s v="Nov"/>
    <x v="6"/>
    <s v="981 Oak St"/>
    <x v="1"/>
    <x v="1"/>
    <n v="4"/>
    <n v="2038"/>
    <n v="649981"/>
    <n v="318.93081452404317"/>
  </r>
  <r>
    <x v="2348"/>
    <s v="Dec"/>
    <x v="18"/>
    <s v="127 Pine Rd"/>
    <x v="1"/>
    <x v="0"/>
    <n v="5"/>
    <n v="1726"/>
    <n v="613870"/>
    <n v="355.66048667439168"/>
  </r>
  <r>
    <x v="2595"/>
    <s v="Jun"/>
    <x v="10"/>
    <s v="433 Elm St"/>
    <x v="2"/>
    <x v="1"/>
    <m/>
    <n v="3328"/>
    <n v="495940"/>
    <n v="149.02043269230768"/>
  </r>
  <r>
    <x v="1951"/>
    <s v="Apr"/>
    <x v="2"/>
    <s v="625 Elm St"/>
    <x v="1"/>
    <x v="2"/>
    <n v="3"/>
    <n v="1592"/>
    <n v="481094"/>
    <n v="302.19472361809045"/>
  </r>
  <r>
    <x v="2596"/>
    <s v="Nov"/>
    <x v="11"/>
    <s v="537 Maple Ave"/>
    <x v="1"/>
    <x v="2"/>
    <m/>
    <n v="1066"/>
    <n v="480608"/>
    <n v="450.85178236397746"/>
  </r>
  <r>
    <x v="2597"/>
    <s v="Jul"/>
    <x v="17"/>
    <s v="405 Elm St"/>
    <x v="4"/>
    <x v="1"/>
    <m/>
    <n v="2901"/>
    <n v="584188"/>
    <n v="201.37469837986902"/>
  </r>
  <r>
    <x v="214"/>
    <s v="Aug"/>
    <x v="11"/>
    <s v="969 Maple Ave"/>
    <x v="4"/>
    <x v="1"/>
    <n v="3"/>
    <n v="2835"/>
    <n v="151545"/>
    <n v="53.455026455026456"/>
  </r>
  <r>
    <x v="2598"/>
    <s v="Mar"/>
    <x v="17"/>
    <s v="693 Pine Rd"/>
    <x v="4"/>
    <x v="3"/>
    <n v="5"/>
    <n v="3415"/>
    <n v="342190"/>
    <n v="100.20204978038068"/>
  </r>
  <r>
    <x v="1245"/>
    <s v="Jul"/>
    <x v="13"/>
    <s v="660 Maple Ave"/>
    <x v="0"/>
    <x v="2"/>
    <n v="3"/>
    <n v="2215"/>
    <n v="275510"/>
    <n v="124.38374717832957"/>
  </r>
  <r>
    <x v="2599"/>
    <s v="Apr"/>
    <x v="5"/>
    <s v="913 Elm St"/>
    <x v="4"/>
    <x v="2"/>
    <n v="5"/>
    <n v="2383"/>
    <n v="370055"/>
    <n v="155.28955098615191"/>
  </r>
  <r>
    <x v="2600"/>
    <s v="May"/>
    <x v="18"/>
    <s v="211 Maple Ave"/>
    <x v="2"/>
    <x v="0"/>
    <m/>
    <n v="1129"/>
    <n v="290569"/>
    <n v="257.36846767050486"/>
  </r>
  <r>
    <x v="2601"/>
    <s v="Aug"/>
    <x v="13"/>
    <s v="910 Maple Ave"/>
    <x v="4"/>
    <x v="0"/>
    <n v="2"/>
    <n v="2572"/>
    <n v="708052"/>
    <n v="275.29237947122863"/>
  </r>
  <r>
    <x v="248"/>
    <s v="Feb"/>
    <x v="2"/>
    <s v="656 Maple Ave"/>
    <x v="0"/>
    <x v="2"/>
    <n v="4"/>
    <n v="3168"/>
    <n v="840295"/>
    <n v="265.24463383838383"/>
  </r>
  <r>
    <x v="2292"/>
    <s v="Oct"/>
    <x v="1"/>
    <s v="479 Oak St"/>
    <x v="4"/>
    <x v="0"/>
    <m/>
    <n v="2614"/>
    <n v="779218"/>
    <n v="298.09410864575364"/>
  </r>
  <r>
    <x v="2602"/>
    <s v="Mar"/>
    <x v="7"/>
    <s v="739 Pine Rd"/>
    <x v="0"/>
    <x v="3"/>
    <m/>
    <n v="3276"/>
    <n v="459854"/>
    <n v="140.37057387057388"/>
  </r>
  <r>
    <x v="367"/>
    <s v="Aug"/>
    <x v="16"/>
    <s v="151 Oak St"/>
    <x v="5"/>
    <x v="2"/>
    <n v="5"/>
    <n v="2681"/>
    <n v="141228"/>
    <n v="52.677359194330471"/>
  </r>
  <r>
    <x v="2603"/>
    <s v="Jan"/>
    <x v="16"/>
    <s v="279 Main St"/>
    <x v="3"/>
    <x v="2"/>
    <m/>
    <n v="1584"/>
    <n v="417161"/>
    <n v="263.35921717171715"/>
  </r>
  <r>
    <x v="2604"/>
    <s v="Jul"/>
    <x v="18"/>
    <s v="315 Maple Ave"/>
    <x v="5"/>
    <x v="2"/>
    <n v="5"/>
    <n v="1563"/>
    <n v="214394"/>
    <n v="137.16826615483046"/>
  </r>
  <r>
    <x v="2605"/>
    <s v="Aug"/>
    <x v="16"/>
    <s v="544 Pine Rd"/>
    <x v="6"/>
    <x v="2"/>
    <n v="4"/>
    <n v="1404"/>
    <n v="275178"/>
    <n v="195.9957264957265"/>
  </r>
  <r>
    <x v="2606"/>
    <s v="Sep"/>
    <x v="12"/>
    <s v="536 Main St"/>
    <x v="0"/>
    <x v="0"/>
    <m/>
    <n v="2285"/>
    <n v="196861"/>
    <n v="86.15361050328228"/>
  </r>
  <r>
    <x v="2607"/>
    <s v="Nov"/>
    <x v="7"/>
    <s v="888 Oak St"/>
    <x v="6"/>
    <x v="0"/>
    <m/>
    <n v="2293"/>
    <n v="652719"/>
    <n v="284.65721761883992"/>
  </r>
  <r>
    <x v="2608"/>
    <s v="Nov"/>
    <x v="18"/>
    <s v="310 Main St"/>
    <x v="4"/>
    <x v="0"/>
    <n v="5"/>
    <n v="2087"/>
    <n v="386246"/>
    <n v="185.07235265931959"/>
  </r>
  <r>
    <x v="142"/>
    <s v="Apr"/>
    <x v="14"/>
    <s v="857 Maple Ave"/>
    <x v="0"/>
    <x v="0"/>
    <n v="5"/>
    <n v="3195"/>
    <n v="175054"/>
    <n v="54.789984350547734"/>
  </r>
  <r>
    <x v="2609"/>
    <s v="Jun"/>
    <x v="6"/>
    <s v="645 Maple Ave"/>
    <x v="0"/>
    <x v="0"/>
    <n v="3"/>
    <n v="1104"/>
    <n v="304772"/>
    <n v="276.06159420289856"/>
  </r>
  <r>
    <x v="666"/>
    <s v="Oct"/>
    <x v="19"/>
    <s v="980 Main St"/>
    <x v="4"/>
    <x v="3"/>
    <n v="3"/>
    <n v="2451"/>
    <n v="808369"/>
    <n v="329.81191350469197"/>
  </r>
  <r>
    <x v="2610"/>
    <s v="Nov"/>
    <x v="3"/>
    <s v="243 Elm St"/>
    <x v="2"/>
    <x v="0"/>
    <m/>
    <n v="1152"/>
    <n v="434025"/>
    <n v="376.7578125"/>
  </r>
  <r>
    <x v="2611"/>
    <s v="Nov"/>
    <x v="17"/>
    <s v="785 Elm St"/>
    <x v="5"/>
    <x v="3"/>
    <m/>
    <n v="2362"/>
    <n v="435358"/>
    <n v="184.31752751905165"/>
  </r>
  <r>
    <x v="2612"/>
    <s v="Oct"/>
    <x v="7"/>
    <s v="943 Elm St"/>
    <x v="2"/>
    <x v="1"/>
    <n v="3"/>
    <n v="1121"/>
    <n v="297371"/>
    <n v="265.27297056199819"/>
  </r>
  <r>
    <x v="132"/>
    <s v="Dec"/>
    <x v="7"/>
    <s v="637 Main St"/>
    <x v="5"/>
    <x v="0"/>
    <n v="4"/>
    <n v="2647"/>
    <n v="857659"/>
    <n v="324.01171137136379"/>
  </r>
  <r>
    <x v="2613"/>
    <s v="Mar"/>
    <x v="18"/>
    <s v="140 Pine Rd"/>
    <x v="4"/>
    <x v="0"/>
    <n v="3"/>
    <n v="1176"/>
    <n v="514581"/>
    <n v="437.56887755102042"/>
  </r>
  <r>
    <x v="339"/>
    <s v="Jul"/>
    <x v="16"/>
    <s v="984 Main St"/>
    <x v="4"/>
    <x v="0"/>
    <n v="2"/>
    <n v="2860"/>
    <n v="172825"/>
    <n v="60.42832167832168"/>
  </r>
  <r>
    <x v="2614"/>
    <s v="Sep"/>
    <x v="3"/>
    <s v="957 Elm St"/>
    <x v="6"/>
    <x v="3"/>
    <m/>
    <n v="1887"/>
    <n v="774026"/>
    <n v="410.1886592474828"/>
  </r>
  <r>
    <x v="2615"/>
    <s v="Jun"/>
    <x v="8"/>
    <s v="426 Elm St"/>
    <x v="3"/>
    <x v="1"/>
    <n v="2"/>
    <n v="860"/>
    <n v="300900"/>
    <n v="349.88372093023258"/>
  </r>
  <r>
    <x v="539"/>
    <s v="Jun"/>
    <x v="18"/>
    <s v="173 Oak St"/>
    <x v="4"/>
    <x v="0"/>
    <n v="3"/>
    <n v="1633"/>
    <n v="245825"/>
    <n v="150.53582363747702"/>
  </r>
  <r>
    <x v="2616"/>
    <s v="Nov"/>
    <x v="19"/>
    <s v="982 Main St"/>
    <x v="6"/>
    <x v="2"/>
    <n v="3"/>
    <n v="803"/>
    <n v="892586"/>
    <n v="1111.5641344956414"/>
  </r>
  <r>
    <x v="2617"/>
    <s v="Jan"/>
    <x v="17"/>
    <s v="718 Elm St"/>
    <x v="0"/>
    <x v="1"/>
    <n v="5"/>
    <n v="2388"/>
    <n v="230664"/>
    <n v="96.5929648241206"/>
  </r>
  <r>
    <x v="296"/>
    <s v="Jun"/>
    <x v="8"/>
    <s v="517 Oak St"/>
    <x v="1"/>
    <x v="0"/>
    <n v="5"/>
    <n v="2394"/>
    <n v="406825"/>
    <n v="169.93525480367586"/>
  </r>
  <r>
    <x v="2618"/>
    <s v="Dec"/>
    <x v="10"/>
    <s v="448 Main St"/>
    <x v="6"/>
    <x v="1"/>
    <n v="3"/>
    <n v="1761"/>
    <n v="185732"/>
    <n v="105.46961953435547"/>
  </r>
  <r>
    <x v="1363"/>
    <s v="May"/>
    <x v="12"/>
    <s v="624 Main St"/>
    <x v="4"/>
    <x v="1"/>
    <n v="5"/>
    <n v="2714"/>
    <n v="237847"/>
    <n v="87.637067059690494"/>
  </r>
  <r>
    <x v="2619"/>
    <s v="Jul"/>
    <x v="11"/>
    <s v="265 Pine Rd"/>
    <x v="4"/>
    <x v="2"/>
    <n v="3"/>
    <n v="3119"/>
    <n v="857573"/>
    <n v="274.95126643154856"/>
  </r>
  <r>
    <x v="2620"/>
    <s v="Dec"/>
    <x v="13"/>
    <s v="450 Pine Rd"/>
    <x v="0"/>
    <x v="2"/>
    <n v="2"/>
    <n v="2396"/>
    <n v="715994"/>
    <n v="298.82888146911517"/>
  </r>
  <r>
    <x v="2621"/>
    <s v="Oct"/>
    <x v="1"/>
    <s v="289 Pine Rd"/>
    <x v="5"/>
    <x v="1"/>
    <m/>
    <n v="2291"/>
    <n v="333390"/>
    <n v="145.52160628546486"/>
  </r>
  <r>
    <x v="2622"/>
    <s v="Jan"/>
    <x v="16"/>
    <s v="317 Oak St"/>
    <x v="1"/>
    <x v="2"/>
    <n v="5"/>
    <n v="3295"/>
    <n v="679511"/>
    <n v="206.22488619119878"/>
  </r>
  <r>
    <x v="2623"/>
    <s v="Jan"/>
    <x v="19"/>
    <s v="910 Pine Rd"/>
    <x v="4"/>
    <x v="3"/>
    <n v="5"/>
    <n v="2531"/>
    <n v="477338"/>
    <n v="188.59660213354405"/>
  </r>
  <r>
    <x v="2624"/>
    <s v="Apr"/>
    <x v="19"/>
    <s v="868 Oak St"/>
    <x v="1"/>
    <x v="2"/>
    <n v="5"/>
    <n v="2867"/>
    <n v="183481"/>
    <n v="63.997558423439138"/>
  </r>
  <r>
    <x v="1797"/>
    <s v="Feb"/>
    <x v="15"/>
    <s v="112 Pine Rd"/>
    <x v="3"/>
    <x v="2"/>
    <n v="3"/>
    <n v="2507"/>
    <n v="636479"/>
    <n v="253.88073394495413"/>
  </r>
  <r>
    <x v="1216"/>
    <s v="Mar"/>
    <x v="13"/>
    <s v="269 Maple Ave"/>
    <x v="6"/>
    <x v="0"/>
    <n v="2"/>
    <n v="2889"/>
    <n v="329001"/>
    <n v="113.88058151609553"/>
  </r>
  <r>
    <x v="2625"/>
    <s v="Sep"/>
    <x v="10"/>
    <s v="386 Maple Ave"/>
    <x v="6"/>
    <x v="2"/>
    <n v="2"/>
    <n v="1963"/>
    <n v="401742"/>
    <n v="204.65715741212429"/>
  </r>
  <r>
    <x v="2626"/>
    <s v="Jan"/>
    <x v="15"/>
    <s v="576 Pine Rd"/>
    <x v="4"/>
    <x v="0"/>
    <m/>
    <n v="811"/>
    <n v="551155"/>
    <n v="679.59926017262637"/>
  </r>
  <r>
    <x v="455"/>
    <s v="Aug"/>
    <x v="6"/>
    <s v="793 Oak St"/>
    <x v="4"/>
    <x v="3"/>
    <n v="2"/>
    <n v="3421"/>
    <n v="206765"/>
    <n v="60.439929845074538"/>
  </r>
  <r>
    <x v="2627"/>
    <s v="Jul"/>
    <x v="18"/>
    <s v="218 Main St"/>
    <x v="4"/>
    <x v="3"/>
    <m/>
    <n v="3208"/>
    <n v="676131"/>
    <n v="210.76402743142145"/>
  </r>
  <r>
    <x v="2628"/>
    <s v="Apr"/>
    <x v="19"/>
    <s v="682 Pine Rd"/>
    <x v="4"/>
    <x v="2"/>
    <n v="2"/>
    <n v="3244"/>
    <n v="752080"/>
    <n v="231.83723797780519"/>
  </r>
  <r>
    <x v="712"/>
    <s v="Sep"/>
    <x v="10"/>
    <s v="816 Maple Ave"/>
    <x v="2"/>
    <x v="0"/>
    <n v="5"/>
    <n v="1817"/>
    <n v="650949"/>
    <n v="358.25481563015961"/>
  </r>
  <r>
    <x v="2629"/>
    <s v="Feb"/>
    <x v="6"/>
    <s v="514 Main St"/>
    <x v="5"/>
    <x v="3"/>
    <n v="4"/>
    <n v="1435"/>
    <n v="703134"/>
    <n v="489.98885017421605"/>
  </r>
  <r>
    <x v="2630"/>
    <s v="Feb"/>
    <x v="18"/>
    <s v="265 Oak St"/>
    <x v="6"/>
    <x v="1"/>
    <n v="3"/>
    <n v="2744"/>
    <n v="497036"/>
    <n v="181.13556851311952"/>
  </r>
  <r>
    <x v="847"/>
    <s v="Nov"/>
    <x v="0"/>
    <s v="155 Pine Rd"/>
    <x v="6"/>
    <x v="2"/>
    <n v="4"/>
    <n v="1530"/>
    <n v="389182"/>
    <n v="254.3673202614379"/>
  </r>
  <r>
    <x v="766"/>
    <s v="Feb"/>
    <x v="6"/>
    <s v="966 Pine Rd"/>
    <x v="3"/>
    <x v="3"/>
    <n v="3"/>
    <n v="2259"/>
    <n v="180223"/>
    <n v="79.779991146525006"/>
  </r>
  <r>
    <x v="2631"/>
    <s v="Jul"/>
    <x v="15"/>
    <s v="520 Elm St"/>
    <x v="3"/>
    <x v="2"/>
    <m/>
    <n v="2301"/>
    <n v="162686"/>
    <n v="70.702303346371139"/>
  </r>
  <r>
    <x v="2632"/>
    <s v="Oct"/>
    <x v="15"/>
    <s v="180 Elm St"/>
    <x v="5"/>
    <x v="3"/>
    <n v="4"/>
    <n v="1950"/>
    <n v="116853"/>
    <n v="59.924615384615386"/>
  </r>
  <r>
    <x v="2633"/>
    <s v="Jan"/>
    <x v="11"/>
    <s v="547 Pine Rd"/>
    <x v="0"/>
    <x v="3"/>
    <m/>
    <n v="1254"/>
    <n v="466400"/>
    <n v="371.92982456140351"/>
  </r>
  <r>
    <x v="2453"/>
    <s v="Oct"/>
    <x v="14"/>
    <s v="126 Pine Rd"/>
    <x v="4"/>
    <x v="3"/>
    <n v="3"/>
    <n v="3219"/>
    <n v="535574"/>
    <n v="166.37899968934451"/>
  </r>
  <r>
    <x v="674"/>
    <s v="Apr"/>
    <x v="8"/>
    <s v="781 Main St"/>
    <x v="3"/>
    <x v="0"/>
    <n v="5"/>
    <n v="3388"/>
    <n v="735752"/>
    <n v="217.16410861865407"/>
  </r>
  <r>
    <x v="2634"/>
    <s v="Mar"/>
    <x v="4"/>
    <s v="942 Maple Ave"/>
    <x v="0"/>
    <x v="3"/>
    <n v="4"/>
    <n v="3283"/>
    <n v="640161"/>
    <n v="194.99268961315869"/>
  </r>
  <r>
    <x v="222"/>
    <s v="May"/>
    <x v="12"/>
    <s v="696 Elm St"/>
    <x v="0"/>
    <x v="1"/>
    <m/>
    <n v="919"/>
    <n v="411061"/>
    <n v="447.29162132752992"/>
  </r>
  <r>
    <x v="2635"/>
    <s v="Nov"/>
    <x v="19"/>
    <s v="343 Pine Rd"/>
    <x v="3"/>
    <x v="1"/>
    <m/>
    <n v="2280"/>
    <n v="105559"/>
    <n v="46.29780701754386"/>
  </r>
  <r>
    <x v="2636"/>
    <s v="Aug"/>
    <x v="2"/>
    <s v="471 Main St"/>
    <x v="3"/>
    <x v="2"/>
    <m/>
    <n v="809"/>
    <n v="311909"/>
    <n v="385.54882571075404"/>
  </r>
  <r>
    <x v="2637"/>
    <s v="Jul"/>
    <x v="15"/>
    <s v="961 Oak St"/>
    <x v="0"/>
    <x v="0"/>
    <m/>
    <n v="2088"/>
    <n v="291075"/>
    <n v="139.4037356321839"/>
  </r>
  <r>
    <x v="2638"/>
    <s v="Jul"/>
    <x v="15"/>
    <s v="939 Maple Ave"/>
    <x v="5"/>
    <x v="0"/>
    <m/>
    <n v="2889"/>
    <n v="730978"/>
    <n v="253.02111457251644"/>
  </r>
  <r>
    <x v="2525"/>
    <s v="May"/>
    <x v="12"/>
    <s v="673 Oak St"/>
    <x v="0"/>
    <x v="0"/>
    <n v="2"/>
    <n v="2348"/>
    <n v="151519"/>
    <n v="64.531090289608173"/>
  </r>
  <r>
    <x v="1837"/>
    <s v="Feb"/>
    <x v="15"/>
    <s v="967 Maple Ave"/>
    <x v="0"/>
    <x v="0"/>
    <n v="4"/>
    <n v="2815"/>
    <n v="466392"/>
    <n v="165.6809946714032"/>
  </r>
  <r>
    <x v="2639"/>
    <s v="Apr"/>
    <x v="6"/>
    <s v="232 Main St"/>
    <x v="6"/>
    <x v="3"/>
    <m/>
    <n v="2444"/>
    <n v="335763"/>
    <n v="137.38256955810147"/>
  </r>
  <r>
    <x v="2640"/>
    <s v="Aug"/>
    <x v="17"/>
    <s v="895 Elm St"/>
    <x v="3"/>
    <x v="1"/>
    <n v="2"/>
    <n v="2451"/>
    <n v="159366"/>
    <n v="65.020807833537333"/>
  </r>
  <r>
    <x v="2641"/>
    <s v="Oct"/>
    <x v="7"/>
    <s v="266 Elm St"/>
    <x v="4"/>
    <x v="2"/>
    <m/>
    <n v="1746"/>
    <n v="723162"/>
    <n v="414.18213058419246"/>
  </r>
  <r>
    <x v="2642"/>
    <s v="Nov"/>
    <x v="12"/>
    <s v="325 Maple Ave"/>
    <x v="6"/>
    <x v="2"/>
    <m/>
    <n v="1431"/>
    <n v="139049"/>
    <n v="97.169112508735154"/>
  </r>
  <r>
    <x v="2286"/>
    <s v="Jul"/>
    <x v="6"/>
    <s v="801 Elm St"/>
    <x v="1"/>
    <x v="0"/>
    <n v="2"/>
    <n v="1531"/>
    <n v="878908"/>
    <n v="574.07446113651213"/>
  </r>
  <r>
    <x v="2643"/>
    <s v="May"/>
    <x v="3"/>
    <s v="369 Oak St"/>
    <x v="4"/>
    <x v="0"/>
    <m/>
    <n v="2995"/>
    <n v="374623"/>
    <n v="125.08280467445744"/>
  </r>
  <r>
    <x v="1909"/>
    <s v="May"/>
    <x v="14"/>
    <s v="211 Pine Rd"/>
    <x v="5"/>
    <x v="2"/>
    <m/>
    <n v="3269"/>
    <n v="787650"/>
    <n v="240.9452431936372"/>
  </r>
  <r>
    <x v="2644"/>
    <s v="Mar"/>
    <x v="19"/>
    <s v="326 Pine Rd"/>
    <x v="6"/>
    <x v="2"/>
    <n v="3"/>
    <n v="2014"/>
    <n v="336673"/>
    <n v="167.16633565044688"/>
  </r>
  <r>
    <x v="1195"/>
    <s v="Oct"/>
    <x v="10"/>
    <s v="342 Main St"/>
    <x v="4"/>
    <x v="2"/>
    <n v="4"/>
    <n v="2339"/>
    <n v="896167"/>
    <n v="383.14108593415989"/>
  </r>
  <r>
    <x v="2645"/>
    <s v="May"/>
    <x v="8"/>
    <s v="750 Maple Ave"/>
    <x v="4"/>
    <x v="1"/>
    <m/>
    <n v="1350"/>
    <m/>
    <n v="0"/>
  </r>
  <r>
    <x v="1797"/>
    <s v="Feb"/>
    <x v="15"/>
    <s v="732 Main St"/>
    <x v="4"/>
    <x v="0"/>
    <n v="4"/>
    <n v="1070"/>
    <n v="798431"/>
    <n v="746.19719626168228"/>
  </r>
  <r>
    <x v="951"/>
    <s v="Dec"/>
    <x v="0"/>
    <s v="814 Oak St"/>
    <x v="4"/>
    <x v="3"/>
    <n v="5"/>
    <n v="2931"/>
    <n v="431633"/>
    <n v="147.2647560559536"/>
  </r>
  <r>
    <x v="1854"/>
    <s v="May"/>
    <x v="3"/>
    <s v="791 Elm St"/>
    <x v="0"/>
    <x v="2"/>
    <m/>
    <n v="2928"/>
    <n v="383519"/>
    <n v="130.9832650273224"/>
  </r>
  <r>
    <x v="2646"/>
    <s v="Feb"/>
    <x v="1"/>
    <s v="341 Oak St"/>
    <x v="0"/>
    <x v="1"/>
    <m/>
    <n v="1195"/>
    <n v="816178"/>
    <n v="682.99414225941428"/>
  </r>
  <r>
    <x v="2647"/>
    <s v="Jul"/>
    <x v="14"/>
    <s v="319 Maple Ave"/>
    <x v="4"/>
    <x v="3"/>
    <m/>
    <n v="2165"/>
    <n v="202776"/>
    <n v="93.660969976905307"/>
  </r>
  <r>
    <x v="2648"/>
    <s v="Jan"/>
    <x v="17"/>
    <s v="403 Maple Ave"/>
    <x v="2"/>
    <x v="1"/>
    <n v="2"/>
    <n v="2997"/>
    <n v="405458"/>
    <n v="135.28795462128795"/>
  </r>
  <r>
    <x v="2649"/>
    <s v="Jul"/>
    <x v="8"/>
    <s v="947 Oak St"/>
    <x v="4"/>
    <x v="0"/>
    <n v="5"/>
    <n v="2136"/>
    <n v="510816"/>
    <n v="239.14606741573033"/>
  </r>
  <r>
    <x v="2650"/>
    <s v="Sep"/>
    <x v="3"/>
    <s v="975 Elm St"/>
    <x v="0"/>
    <x v="1"/>
    <n v="2"/>
    <n v="1100"/>
    <n v="179636"/>
    <n v="163.30545454545455"/>
  </r>
  <r>
    <x v="2651"/>
    <s v="Apr"/>
    <x v="16"/>
    <s v="120 Elm St"/>
    <x v="2"/>
    <x v="2"/>
    <n v="2"/>
    <n v="2960"/>
    <n v="284202"/>
    <n v="96.014189189189196"/>
  </r>
  <r>
    <x v="2652"/>
    <s v="Jul"/>
    <x v="2"/>
    <s v="295 Main St"/>
    <x v="4"/>
    <x v="2"/>
    <n v="3"/>
    <n v="1236"/>
    <n v="158432"/>
    <n v="128.18122977346277"/>
  </r>
  <r>
    <x v="952"/>
    <s v="Nov"/>
    <x v="19"/>
    <s v="856 Oak St"/>
    <x v="6"/>
    <x v="0"/>
    <m/>
    <n v="1431"/>
    <n v="113611"/>
    <n v="79.392732354996511"/>
  </r>
  <r>
    <x v="2653"/>
    <s v="Aug"/>
    <x v="14"/>
    <s v="324 Oak St"/>
    <x v="4"/>
    <x v="2"/>
    <n v="2"/>
    <n v="3381"/>
    <n v="166440"/>
    <n v="49.228039041703639"/>
  </r>
  <r>
    <x v="2654"/>
    <s v="Feb"/>
    <x v="9"/>
    <s v="184 Elm St"/>
    <x v="5"/>
    <x v="2"/>
    <n v="4"/>
    <n v="3120"/>
    <n v="177928"/>
    <n v="57.02820512820513"/>
  </r>
  <r>
    <x v="2655"/>
    <s v="Apr"/>
    <x v="5"/>
    <s v="229 Maple Ave"/>
    <x v="0"/>
    <x v="0"/>
    <m/>
    <n v="2269"/>
    <n v="367260"/>
    <n v="161.85985015425297"/>
  </r>
  <r>
    <x v="615"/>
    <s v="Jun"/>
    <x v="19"/>
    <s v="587 Main St"/>
    <x v="6"/>
    <x v="3"/>
    <n v="2"/>
    <n v="1487"/>
    <n v="663705"/>
    <n v="446.33826496301276"/>
  </r>
  <r>
    <x v="2202"/>
    <s v="Aug"/>
    <x v="2"/>
    <s v="227 Oak St"/>
    <x v="1"/>
    <x v="2"/>
    <m/>
    <n v="3320"/>
    <n v="582928"/>
    <n v="175.58072289156627"/>
  </r>
  <r>
    <x v="2656"/>
    <s v="Dec"/>
    <x v="0"/>
    <s v="914 Main St"/>
    <x v="4"/>
    <x v="0"/>
    <n v="3"/>
    <n v="1089"/>
    <n v="172271"/>
    <n v="158.1919191919192"/>
  </r>
  <r>
    <x v="2657"/>
    <s v="Jan"/>
    <x v="1"/>
    <s v="682 Main St"/>
    <x v="1"/>
    <x v="2"/>
    <m/>
    <n v="989"/>
    <n v="376438"/>
    <n v="380.62487360970675"/>
  </r>
  <r>
    <x v="2313"/>
    <s v="Mar"/>
    <x v="2"/>
    <s v="432 Oak St"/>
    <x v="6"/>
    <x v="1"/>
    <m/>
    <n v="2414"/>
    <n v="270996"/>
    <n v="112.26014913007457"/>
  </r>
  <r>
    <x v="2658"/>
    <s v="Jun"/>
    <x v="14"/>
    <s v="108 Oak St"/>
    <x v="1"/>
    <x v="2"/>
    <n v="2"/>
    <n v="1612"/>
    <n v="184674"/>
    <n v="114.56203473945409"/>
  </r>
  <r>
    <x v="12"/>
    <s v="Jan"/>
    <x v="9"/>
    <s v="536 Pine Rd"/>
    <x v="1"/>
    <x v="0"/>
    <n v="4"/>
    <n v="2020"/>
    <n v="713715"/>
    <n v="353.32425742574259"/>
  </r>
  <r>
    <x v="2659"/>
    <s v="May"/>
    <x v="10"/>
    <s v="810 Elm St"/>
    <x v="6"/>
    <x v="0"/>
    <n v="5"/>
    <n v="3371"/>
    <n v="777761"/>
    <n v="230.72115099377041"/>
  </r>
  <r>
    <x v="2660"/>
    <s v="Apr"/>
    <x v="5"/>
    <s v="763 Oak St"/>
    <x v="0"/>
    <x v="1"/>
    <n v="2"/>
    <n v="1752"/>
    <n v="745249"/>
    <n v="425.37043378995435"/>
  </r>
  <r>
    <x v="2163"/>
    <s v="Apr"/>
    <x v="18"/>
    <s v="289 Pine Rd"/>
    <x v="1"/>
    <x v="1"/>
    <n v="2"/>
    <n v="2435"/>
    <n v="690915"/>
    <n v="283.74332648870637"/>
  </r>
  <r>
    <x v="2238"/>
    <s v="Nov"/>
    <x v="6"/>
    <s v="519 Elm St"/>
    <x v="4"/>
    <x v="1"/>
    <n v="2"/>
    <n v="3446"/>
    <n v="807096"/>
    <n v="234.21242019733023"/>
  </r>
  <r>
    <x v="2661"/>
    <s v="Sep"/>
    <x v="1"/>
    <s v="440 Main St"/>
    <x v="4"/>
    <x v="2"/>
    <m/>
    <n v="1112"/>
    <n v="719046"/>
    <n v="646.6241007194244"/>
  </r>
  <r>
    <x v="2662"/>
    <s v="Apr"/>
    <x v="9"/>
    <s v="721 Pine Rd"/>
    <x v="0"/>
    <x v="1"/>
    <n v="3"/>
    <n v="2433"/>
    <n v="666945"/>
    <n v="274.12453760789151"/>
  </r>
  <r>
    <x v="2452"/>
    <s v="Nov"/>
    <x v="0"/>
    <s v="529 Pine Rd"/>
    <x v="6"/>
    <x v="0"/>
    <n v="4"/>
    <n v="1811"/>
    <m/>
    <n v="0"/>
  </r>
  <r>
    <x v="127"/>
    <s v="Oct"/>
    <x v="17"/>
    <s v="426 Oak St"/>
    <x v="4"/>
    <x v="3"/>
    <n v="4"/>
    <n v="2222"/>
    <n v="280556"/>
    <n v="126.26282628262827"/>
  </r>
  <r>
    <x v="1712"/>
    <s v="Mar"/>
    <x v="0"/>
    <s v="554 Oak St"/>
    <x v="0"/>
    <x v="2"/>
    <n v="3"/>
    <n v="2089"/>
    <n v="169607"/>
    <n v="81.190521780756342"/>
  </r>
  <r>
    <x v="243"/>
    <s v="Jul"/>
    <x v="0"/>
    <s v="401 Main St"/>
    <x v="6"/>
    <x v="1"/>
    <n v="5"/>
    <n v="1064"/>
    <n v="605402"/>
    <n v="568.98684210526312"/>
  </r>
  <r>
    <x v="2663"/>
    <s v="Nov"/>
    <x v="17"/>
    <s v="660 Elm St"/>
    <x v="0"/>
    <x v="0"/>
    <n v="4"/>
    <n v="2770"/>
    <n v="791004"/>
    <n v="285.5610108303249"/>
  </r>
  <r>
    <x v="403"/>
    <s v="Oct"/>
    <x v="18"/>
    <s v="746 Oak St"/>
    <x v="6"/>
    <x v="1"/>
    <m/>
    <n v="2686"/>
    <n v="673967"/>
    <n v="250.91846612062545"/>
  </r>
  <r>
    <x v="2664"/>
    <s v="Nov"/>
    <x v="13"/>
    <s v="826 Elm St"/>
    <x v="0"/>
    <x v="0"/>
    <m/>
    <n v="843"/>
    <n v="763960"/>
    <n v="906.23962040332151"/>
  </r>
  <r>
    <x v="2665"/>
    <s v="Sep"/>
    <x v="16"/>
    <s v="310 Elm St"/>
    <x v="6"/>
    <x v="1"/>
    <m/>
    <n v="2914"/>
    <n v="610747"/>
    <n v="209.59059711736444"/>
  </r>
  <r>
    <x v="1954"/>
    <s v="Jan"/>
    <x v="19"/>
    <s v="604 Main St"/>
    <x v="0"/>
    <x v="1"/>
    <n v="4"/>
    <n v="1525"/>
    <n v="487990"/>
    <n v="319.99344262295079"/>
  </r>
  <r>
    <x v="1679"/>
    <s v="Mar"/>
    <x v="18"/>
    <s v="561 Maple Ave"/>
    <x v="6"/>
    <x v="3"/>
    <n v="3"/>
    <n v="1451"/>
    <n v="495170"/>
    <n v="341.26119917298416"/>
  </r>
  <r>
    <x v="2666"/>
    <s v="Jul"/>
    <x v="2"/>
    <s v="593 Pine Rd"/>
    <x v="6"/>
    <x v="3"/>
    <m/>
    <n v="2450"/>
    <n v="672576"/>
    <n v="274.52081632653062"/>
  </r>
  <r>
    <x v="2667"/>
    <s v="Aug"/>
    <x v="12"/>
    <s v="412 Maple Ave"/>
    <x v="3"/>
    <x v="3"/>
    <n v="5"/>
    <n v="847"/>
    <n v="332757"/>
    <n v="392.86540731995279"/>
  </r>
  <r>
    <x v="2668"/>
    <s v="Oct"/>
    <x v="9"/>
    <s v="211 Oak St"/>
    <x v="1"/>
    <x v="2"/>
    <m/>
    <n v="2061"/>
    <n v="669090"/>
    <n v="324.64337700145558"/>
  </r>
  <r>
    <x v="1420"/>
    <s v="Jan"/>
    <x v="18"/>
    <s v="532 Maple Ave"/>
    <x v="3"/>
    <x v="1"/>
    <n v="5"/>
    <n v="891"/>
    <n v="208099"/>
    <n v="233.55667789001123"/>
  </r>
  <r>
    <x v="2669"/>
    <s v="Sep"/>
    <x v="3"/>
    <s v="997 Elm St"/>
    <x v="6"/>
    <x v="2"/>
    <n v="5"/>
    <n v="1631"/>
    <n v="504776"/>
    <n v="309.48865726548132"/>
  </r>
  <r>
    <x v="2670"/>
    <s v="Mar"/>
    <x v="7"/>
    <s v="435 Maple Ave"/>
    <x v="0"/>
    <x v="1"/>
    <m/>
    <n v="1424"/>
    <n v="384848"/>
    <n v="270.25842696629212"/>
  </r>
  <r>
    <x v="2671"/>
    <s v="Jan"/>
    <x v="15"/>
    <s v="893 Elm St"/>
    <x v="0"/>
    <x v="0"/>
    <n v="4"/>
    <n v="1578"/>
    <m/>
    <n v="0"/>
  </r>
  <r>
    <x v="2672"/>
    <s v="May"/>
    <x v="13"/>
    <s v="882 Pine Rd"/>
    <x v="2"/>
    <x v="2"/>
    <n v="4"/>
    <n v="1622"/>
    <n v="528829"/>
    <n v="326.03514180024661"/>
  </r>
  <r>
    <x v="2673"/>
    <s v="Jul"/>
    <x v="6"/>
    <s v="794 Elm St"/>
    <x v="4"/>
    <x v="3"/>
    <n v="3"/>
    <n v="3090"/>
    <n v="297863"/>
    <n v="96.395792880258895"/>
  </r>
  <r>
    <x v="2674"/>
    <s v="Feb"/>
    <x v="16"/>
    <s v="327 Maple Ave"/>
    <x v="2"/>
    <x v="3"/>
    <n v="3"/>
    <n v="2069"/>
    <n v="821978"/>
    <n v="397.28274528757856"/>
  </r>
  <r>
    <x v="2675"/>
    <s v="Jul"/>
    <x v="4"/>
    <s v="716 Oak St"/>
    <x v="2"/>
    <x v="3"/>
    <n v="2"/>
    <n v="1859"/>
    <n v="594657"/>
    <n v="319.88004303388919"/>
  </r>
  <r>
    <x v="160"/>
    <s v="Jan"/>
    <x v="3"/>
    <s v="688 Maple Ave"/>
    <x v="6"/>
    <x v="0"/>
    <m/>
    <n v="3240"/>
    <n v="592821"/>
    <n v="182.96944444444443"/>
  </r>
  <r>
    <x v="2676"/>
    <s v="Dec"/>
    <x v="6"/>
    <s v="453 Pine Rd"/>
    <x v="6"/>
    <x v="0"/>
    <m/>
    <n v="2459"/>
    <n v="700855"/>
    <n v="285.01626677511183"/>
  </r>
  <r>
    <x v="1530"/>
    <s v="Oct"/>
    <x v="4"/>
    <s v="488 Main St"/>
    <x v="6"/>
    <x v="1"/>
    <n v="2"/>
    <n v="3460"/>
    <n v="217700"/>
    <n v="62.919075144508668"/>
  </r>
  <r>
    <x v="2677"/>
    <s v="Jul"/>
    <x v="4"/>
    <s v="479 Pine Rd"/>
    <x v="1"/>
    <x v="0"/>
    <n v="5"/>
    <n v="844"/>
    <n v="673962"/>
    <n v="798.53317535545023"/>
  </r>
  <r>
    <x v="2678"/>
    <s v="Jun"/>
    <x v="7"/>
    <s v="854 Elm St"/>
    <x v="2"/>
    <x v="2"/>
    <n v="2"/>
    <n v="2485"/>
    <m/>
    <n v="0"/>
  </r>
  <r>
    <x v="624"/>
    <s v="Feb"/>
    <x v="16"/>
    <s v="582 Main St"/>
    <x v="0"/>
    <x v="2"/>
    <m/>
    <n v="3075"/>
    <n v="829231"/>
    <n v="269.66861788617888"/>
  </r>
  <r>
    <x v="2679"/>
    <s v="Jun"/>
    <x v="6"/>
    <s v="936 Main St"/>
    <x v="4"/>
    <x v="3"/>
    <n v="3"/>
    <n v="3446"/>
    <n v="659722"/>
    <n v="191.44573418456181"/>
  </r>
  <r>
    <x v="2586"/>
    <s v="Dec"/>
    <x v="1"/>
    <s v="172 Main St"/>
    <x v="3"/>
    <x v="2"/>
    <m/>
    <n v="1956"/>
    <n v="713283"/>
    <n v="364.66411042944787"/>
  </r>
  <r>
    <x v="602"/>
    <s v="Feb"/>
    <x v="4"/>
    <s v="440 Oak St"/>
    <x v="5"/>
    <x v="2"/>
    <n v="5"/>
    <n v="3030"/>
    <n v="373957"/>
    <n v="123.41815181518152"/>
  </r>
  <r>
    <x v="2280"/>
    <s v="May"/>
    <x v="14"/>
    <s v="832 Main St"/>
    <x v="0"/>
    <x v="1"/>
    <n v="2"/>
    <n v="1337"/>
    <n v="746626"/>
    <n v="558.43380703066566"/>
  </r>
  <r>
    <x v="2047"/>
    <s v="Dec"/>
    <x v="10"/>
    <s v="422 Main St"/>
    <x v="6"/>
    <x v="1"/>
    <n v="4"/>
    <n v="3460"/>
    <n v="623447"/>
    <n v="180.18699421965317"/>
  </r>
  <r>
    <x v="2680"/>
    <s v="Jul"/>
    <x v="10"/>
    <s v="636 Maple Ave"/>
    <x v="3"/>
    <x v="0"/>
    <n v="5"/>
    <n v="2005"/>
    <n v="778785"/>
    <n v="388.42144638403988"/>
  </r>
  <r>
    <x v="2681"/>
    <s v="Apr"/>
    <x v="6"/>
    <s v="997 Elm St"/>
    <x v="4"/>
    <x v="3"/>
    <n v="5"/>
    <n v="880"/>
    <n v="818149"/>
    <n v="929.7147727272727"/>
  </r>
  <r>
    <x v="2682"/>
    <s v="Aug"/>
    <x v="3"/>
    <s v="743 Pine Rd"/>
    <x v="0"/>
    <x v="1"/>
    <n v="2"/>
    <n v="1328"/>
    <n v="882417"/>
    <n v="664.4706325301205"/>
  </r>
  <r>
    <x v="1500"/>
    <s v="May"/>
    <x v="9"/>
    <s v="582 Oak St"/>
    <x v="4"/>
    <x v="1"/>
    <n v="5"/>
    <n v="2932"/>
    <n v="895590"/>
    <n v="305.45361527967259"/>
  </r>
  <r>
    <x v="2683"/>
    <s v="Aug"/>
    <x v="18"/>
    <s v="145 Maple Ave"/>
    <x v="5"/>
    <x v="3"/>
    <n v="5"/>
    <n v="3263"/>
    <n v="424434"/>
    <n v="130.07477781182959"/>
  </r>
  <r>
    <x v="907"/>
    <s v="May"/>
    <x v="12"/>
    <s v="957 Maple Ave"/>
    <x v="4"/>
    <x v="0"/>
    <m/>
    <n v="1729"/>
    <n v="672299"/>
    <n v="388.83689994216309"/>
  </r>
  <r>
    <x v="2684"/>
    <s v="Jul"/>
    <x v="5"/>
    <s v="955 Main St"/>
    <x v="6"/>
    <x v="3"/>
    <m/>
    <n v="1835"/>
    <n v="641963"/>
    <n v="349.84359673024522"/>
  </r>
  <r>
    <x v="2685"/>
    <s v="Jun"/>
    <x v="13"/>
    <s v="454 Elm St"/>
    <x v="1"/>
    <x v="3"/>
    <n v="2"/>
    <n v="3306"/>
    <n v="739851"/>
    <n v="223.79038112522687"/>
  </r>
  <r>
    <x v="2686"/>
    <s v="May"/>
    <x v="19"/>
    <s v="803 Pine Rd"/>
    <x v="3"/>
    <x v="0"/>
    <m/>
    <n v="2348"/>
    <n v="488127"/>
    <n v="207.89054514480409"/>
  </r>
  <r>
    <x v="2687"/>
    <s v="Sep"/>
    <x v="9"/>
    <s v="474 Main St"/>
    <x v="2"/>
    <x v="3"/>
    <n v="5"/>
    <n v="2355"/>
    <n v="373460"/>
    <n v="158.58174097664545"/>
  </r>
  <r>
    <x v="2688"/>
    <s v="Jul"/>
    <x v="8"/>
    <s v="311 Maple Ave"/>
    <x v="4"/>
    <x v="2"/>
    <n v="3"/>
    <n v="3003"/>
    <m/>
    <n v="0"/>
  </r>
  <r>
    <x v="359"/>
    <s v="Jul"/>
    <x v="10"/>
    <s v="293 Oak St"/>
    <x v="6"/>
    <x v="2"/>
    <m/>
    <n v="805"/>
    <n v="480473"/>
    <n v="596.8608695652174"/>
  </r>
  <r>
    <x v="1179"/>
    <s v="Jul"/>
    <x v="9"/>
    <s v="975 Main St"/>
    <x v="4"/>
    <x v="0"/>
    <n v="2"/>
    <n v="1655"/>
    <n v="499660"/>
    <n v="301.90936555891238"/>
  </r>
  <r>
    <x v="1371"/>
    <s v="Nov"/>
    <x v="11"/>
    <s v="427 Main St"/>
    <x v="0"/>
    <x v="3"/>
    <m/>
    <n v="2912"/>
    <n v="482549"/>
    <n v="165.71050824175825"/>
  </r>
  <r>
    <x v="2689"/>
    <s v="Mar"/>
    <x v="8"/>
    <s v="332 Pine Rd"/>
    <x v="6"/>
    <x v="3"/>
    <m/>
    <n v="2623"/>
    <n v="788614"/>
    <n v="300.65345024780783"/>
  </r>
  <r>
    <x v="2690"/>
    <s v="Sep"/>
    <x v="19"/>
    <s v="205 Elm St"/>
    <x v="5"/>
    <x v="1"/>
    <n v="2"/>
    <n v="3486"/>
    <n v="145820"/>
    <n v="41.83017785427424"/>
  </r>
  <r>
    <x v="2691"/>
    <s v="Jun"/>
    <x v="15"/>
    <s v="782 Elm St"/>
    <x v="4"/>
    <x v="3"/>
    <m/>
    <n v="2876"/>
    <n v="602687"/>
    <n v="209.55737134909597"/>
  </r>
  <r>
    <x v="2692"/>
    <s v="Jul"/>
    <x v="6"/>
    <s v="656 Main St"/>
    <x v="4"/>
    <x v="2"/>
    <n v="2"/>
    <n v="1365"/>
    <n v="116944"/>
    <n v="85.673260073260067"/>
  </r>
  <r>
    <x v="81"/>
    <s v="Feb"/>
    <x v="8"/>
    <s v="955 Elm St"/>
    <x v="6"/>
    <x v="3"/>
    <m/>
    <n v="1540"/>
    <n v="856076"/>
    <n v="555.89350649350649"/>
  </r>
  <r>
    <x v="2693"/>
    <s v="Aug"/>
    <x v="2"/>
    <s v="283 Oak St"/>
    <x v="2"/>
    <x v="2"/>
    <n v="3"/>
    <n v="1916"/>
    <n v="488231"/>
    <n v="254.81784968684761"/>
  </r>
  <r>
    <x v="2694"/>
    <s v="Sep"/>
    <x v="11"/>
    <s v="636 Elm St"/>
    <x v="0"/>
    <x v="3"/>
    <m/>
    <n v="1188"/>
    <n v="618868"/>
    <n v="520.93265993265993"/>
  </r>
  <r>
    <x v="2695"/>
    <s v="Jun"/>
    <x v="13"/>
    <s v="382 Oak St"/>
    <x v="0"/>
    <x v="2"/>
    <n v="5"/>
    <n v="3346"/>
    <n v="260612"/>
    <n v="77.887627017334125"/>
  </r>
  <r>
    <x v="2696"/>
    <s v="Aug"/>
    <x v="14"/>
    <s v="818 Oak St"/>
    <x v="1"/>
    <x v="0"/>
    <m/>
    <n v="858"/>
    <n v="130948"/>
    <n v="152.62004662004662"/>
  </r>
  <r>
    <x v="2102"/>
    <s v="Jul"/>
    <x v="3"/>
    <s v="622 Maple Ave"/>
    <x v="4"/>
    <x v="0"/>
    <n v="5"/>
    <n v="2510"/>
    <n v="287311"/>
    <n v="114.46653386454183"/>
  </r>
  <r>
    <x v="2697"/>
    <s v="Mar"/>
    <x v="0"/>
    <s v="743 Main St"/>
    <x v="3"/>
    <x v="1"/>
    <n v="3"/>
    <n v="2570"/>
    <n v="271984"/>
    <n v="105.83035019455252"/>
  </r>
  <r>
    <x v="983"/>
    <s v="Apr"/>
    <x v="6"/>
    <s v="440 Oak St"/>
    <x v="6"/>
    <x v="3"/>
    <n v="4"/>
    <n v="902"/>
    <n v="497862"/>
    <n v="551.95343680709539"/>
  </r>
  <r>
    <x v="2698"/>
    <s v="Jun"/>
    <x v="5"/>
    <s v="718 Main St"/>
    <x v="1"/>
    <x v="1"/>
    <n v="2"/>
    <n v="3274"/>
    <n v="635830"/>
    <n v="194.20586438607208"/>
  </r>
  <r>
    <x v="2699"/>
    <s v="Nov"/>
    <x v="9"/>
    <s v="738 Oak St"/>
    <x v="5"/>
    <x v="1"/>
    <n v="2"/>
    <n v="1241"/>
    <n v="243978"/>
    <n v="196.59790491539081"/>
  </r>
  <r>
    <x v="2700"/>
    <s v="Sep"/>
    <x v="12"/>
    <s v="445 Oak St"/>
    <x v="4"/>
    <x v="1"/>
    <n v="4"/>
    <n v="2447"/>
    <n v="136996"/>
    <n v="55.985288107887207"/>
  </r>
  <r>
    <x v="2701"/>
    <s v="Jun"/>
    <x v="2"/>
    <s v="637 Pine Rd"/>
    <x v="4"/>
    <x v="2"/>
    <n v="3"/>
    <n v="2554"/>
    <n v="631811"/>
    <n v="247.38097102584183"/>
  </r>
  <r>
    <x v="1385"/>
    <s v="May"/>
    <x v="7"/>
    <s v="265 Main St"/>
    <x v="0"/>
    <x v="2"/>
    <m/>
    <n v="2422"/>
    <n v="838329"/>
    <n v="346.13088356729975"/>
  </r>
  <r>
    <x v="2702"/>
    <s v="Nov"/>
    <x v="18"/>
    <s v="837 Oak St"/>
    <x v="6"/>
    <x v="3"/>
    <n v="3"/>
    <n v="958"/>
    <n v="758462"/>
    <n v="791.71398747390401"/>
  </r>
  <r>
    <x v="2703"/>
    <s v="Jan"/>
    <x v="18"/>
    <s v="358 Oak St"/>
    <x v="6"/>
    <x v="1"/>
    <n v="5"/>
    <n v="3068"/>
    <n v="716457"/>
    <n v="233.52574967405477"/>
  </r>
  <r>
    <x v="2157"/>
    <s v="Apr"/>
    <x v="14"/>
    <s v="113 Oak St"/>
    <x v="3"/>
    <x v="3"/>
    <n v="2"/>
    <n v="3141"/>
    <n v="488916"/>
    <n v="155.65616045845272"/>
  </r>
  <r>
    <x v="2704"/>
    <s v="Jun"/>
    <x v="14"/>
    <s v="333 Elm St"/>
    <x v="6"/>
    <x v="3"/>
    <n v="2"/>
    <n v="1177"/>
    <n v="705598"/>
    <n v="599.48853016142732"/>
  </r>
  <r>
    <x v="1646"/>
    <s v="Jul"/>
    <x v="0"/>
    <s v="694 Maple Ave"/>
    <x v="6"/>
    <x v="3"/>
    <n v="4"/>
    <n v="2311"/>
    <n v="309591"/>
    <n v="133.96408481176979"/>
  </r>
  <r>
    <x v="2705"/>
    <s v="Jul"/>
    <x v="15"/>
    <s v="653 Main St"/>
    <x v="4"/>
    <x v="2"/>
    <m/>
    <n v="2894"/>
    <n v="458606"/>
    <n v="158.46786454733933"/>
  </r>
  <r>
    <x v="2706"/>
    <s v="Nov"/>
    <x v="10"/>
    <s v="956 Maple Ave"/>
    <x v="5"/>
    <x v="2"/>
    <n v="5"/>
    <n v="1567"/>
    <n v="397269"/>
    <n v="253.52201659221441"/>
  </r>
  <r>
    <x v="2707"/>
    <s v="Oct"/>
    <x v="17"/>
    <s v="275 Pine Rd"/>
    <x v="0"/>
    <x v="2"/>
    <m/>
    <n v="2967"/>
    <n v="663962"/>
    <n v="223.78227165487024"/>
  </r>
  <r>
    <x v="1022"/>
    <s v="May"/>
    <x v="16"/>
    <s v="970 Pine Rd"/>
    <x v="3"/>
    <x v="1"/>
    <n v="5"/>
    <n v="2482"/>
    <n v="224626"/>
    <n v="90.502014504431912"/>
  </r>
  <r>
    <x v="1848"/>
    <s v="Oct"/>
    <x v="17"/>
    <s v="722 Pine Rd"/>
    <x v="4"/>
    <x v="2"/>
    <n v="5"/>
    <n v="1669"/>
    <n v="118029"/>
    <n v="70.718394248052732"/>
  </r>
  <r>
    <x v="2292"/>
    <s v="Oct"/>
    <x v="1"/>
    <s v="594 Main St"/>
    <x v="4"/>
    <x v="3"/>
    <n v="2"/>
    <n v="2018"/>
    <n v="398908"/>
    <n v="197.6749256689792"/>
  </r>
  <r>
    <x v="1723"/>
    <s v="Mar"/>
    <x v="13"/>
    <s v="744 Pine Rd"/>
    <x v="3"/>
    <x v="2"/>
    <m/>
    <n v="2723"/>
    <n v="581149"/>
    <n v="213.42232831435916"/>
  </r>
  <r>
    <x v="1783"/>
    <s v="Oct"/>
    <x v="10"/>
    <s v="829 Main St"/>
    <x v="2"/>
    <x v="0"/>
    <n v="2"/>
    <n v="2976"/>
    <n v="729222"/>
    <n v="245.03427419354838"/>
  </r>
  <r>
    <x v="2310"/>
    <s v="Aug"/>
    <x v="4"/>
    <s v="987 Pine Rd"/>
    <x v="2"/>
    <x v="1"/>
    <m/>
    <n v="2352"/>
    <n v="688864"/>
    <n v="292.88435374149662"/>
  </r>
  <r>
    <x v="2708"/>
    <s v="Sep"/>
    <x v="16"/>
    <s v="267 Pine Rd"/>
    <x v="2"/>
    <x v="1"/>
    <n v="4"/>
    <n v="1523"/>
    <n v="609264"/>
    <n v="400.04202232435983"/>
  </r>
  <r>
    <x v="2709"/>
    <s v="Jan"/>
    <x v="10"/>
    <s v="650 Oak St"/>
    <x v="4"/>
    <x v="2"/>
    <n v="3"/>
    <n v="1481"/>
    <n v="211944"/>
    <n v="143.10871033085752"/>
  </r>
  <r>
    <x v="2710"/>
    <s v="Oct"/>
    <x v="4"/>
    <s v="573 Main St"/>
    <x v="0"/>
    <x v="0"/>
    <m/>
    <n v="2856"/>
    <n v="455257"/>
    <n v="159.40371148459383"/>
  </r>
  <r>
    <x v="2711"/>
    <s v="Feb"/>
    <x v="18"/>
    <s v="137 Maple Ave"/>
    <x v="1"/>
    <x v="2"/>
    <n v="3"/>
    <n v="805"/>
    <n v="149123"/>
    <n v="185.24596273291925"/>
  </r>
  <r>
    <x v="2712"/>
    <s v="Jun"/>
    <x v="15"/>
    <s v="329 Maple Ave"/>
    <x v="6"/>
    <x v="0"/>
    <m/>
    <n v="1350"/>
    <n v="346589"/>
    <n v="256.7325925925926"/>
  </r>
  <r>
    <x v="2713"/>
    <s v="May"/>
    <x v="9"/>
    <s v="246 Main St"/>
    <x v="5"/>
    <x v="3"/>
    <n v="4"/>
    <n v="3023"/>
    <n v="861779"/>
    <n v="285.07409857757193"/>
  </r>
  <r>
    <x v="2714"/>
    <s v="Sep"/>
    <x v="15"/>
    <s v="655 Pine Rd"/>
    <x v="3"/>
    <x v="0"/>
    <m/>
    <n v="2895"/>
    <n v="646619"/>
    <n v="223.35716753022453"/>
  </r>
  <r>
    <x v="2715"/>
    <s v="Sep"/>
    <x v="5"/>
    <s v="175 Oak St"/>
    <x v="5"/>
    <x v="1"/>
    <m/>
    <n v="3089"/>
    <n v="664377"/>
    <n v="215.07834250566526"/>
  </r>
  <r>
    <x v="2716"/>
    <s v="Jan"/>
    <x v="14"/>
    <s v="327 Pine Rd"/>
    <x v="4"/>
    <x v="3"/>
    <n v="3"/>
    <n v="1757"/>
    <n v="114766"/>
    <n v="65.319294251565168"/>
  </r>
  <r>
    <x v="2210"/>
    <s v="May"/>
    <x v="3"/>
    <s v="502 Pine Rd"/>
    <x v="6"/>
    <x v="0"/>
    <n v="2"/>
    <n v="3277"/>
    <n v="123452"/>
    <n v="37.672261214525477"/>
  </r>
  <r>
    <x v="2717"/>
    <s v="Jun"/>
    <x v="0"/>
    <s v="789 Elm St"/>
    <x v="4"/>
    <x v="0"/>
    <n v="3"/>
    <n v="950"/>
    <n v="473867"/>
    <n v="498.80736842105262"/>
  </r>
  <r>
    <x v="2577"/>
    <s v="Jun"/>
    <x v="11"/>
    <s v="908 Pine Rd"/>
    <x v="4"/>
    <x v="0"/>
    <n v="3"/>
    <n v="1685"/>
    <n v="615327"/>
    <n v="365.17922848664688"/>
  </r>
  <r>
    <x v="2718"/>
    <s v="Sep"/>
    <x v="10"/>
    <s v="502 Elm St"/>
    <x v="4"/>
    <x v="1"/>
    <n v="4"/>
    <n v="2532"/>
    <n v="666981"/>
    <n v="263.42061611374407"/>
  </r>
  <r>
    <x v="2719"/>
    <s v="Feb"/>
    <x v="5"/>
    <s v="179 Main St"/>
    <x v="1"/>
    <x v="2"/>
    <n v="2"/>
    <n v="1623"/>
    <n v="734890"/>
    <n v="452.79728897104127"/>
  </r>
  <r>
    <x v="2720"/>
    <s v="Jun"/>
    <x v="15"/>
    <s v="206 Main St"/>
    <x v="4"/>
    <x v="3"/>
    <n v="5"/>
    <n v="965"/>
    <n v="781170"/>
    <n v="809.50259067357513"/>
  </r>
  <r>
    <x v="2721"/>
    <s v="Dec"/>
    <x v="12"/>
    <s v="954 Pine Rd"/>
    <x v="0"/>
    <x v="0"/>
    <m/>
    <n v="3089"/>
    <n v="438720"/>
    <n v="142.02654580770476"/>
  </r>
  <r>
    <x v="2013"/>
    <s v="Mar"/>
    <x v="3"/>
    <s v="991 Elm St"/>
    <x v="0"/>
    <x v="1"/>
    <n v="2"/>
    <n v="3459"/>
    <n v="772978"/>
    <n v="223.46863255276091"/>
  </r>
  <r>
    <x v="2722"/>
    <s v="Jan"/>
    <x v="14"/>
    <s v="156 Main St"/>
    <x v="6"/>
    <x v="3"/>
    <m/>
    <n v="1966"/>
    <n v="780830"/>
    <n v="397.16683621566631"/>
  </r>
  <r>
    <x v="2723"/>
    <s v="Jan"/>
    <x v="8"/>
    <s v="543 Oak St"/>
    <x v="2"/>
    <x v="2"/>
    <m/>
    <n v="1083"/>
    <n v="274845"/>
    <n v="253.78116343490305"/>
  </r>
  <r>
    <x v="532"/>
    <s v="Mar"/>
    <x v="13"/>
    <s v="550 Oak St"/>
    <x v="5"/>
    <x v="1"/>
    <n v="2"/>
    <n v="3070"/>
    <n v="781668"/>
    <n v="254.61498371335506"/>
  </r>
  <r>
    <x v="2724"/>
    <s v="Jan"/>
    <x v="13"/>
    <s v="640 Maple Ave"/>
    <x v="2"/>
    <x v="2"/>
    <n v="3"/>
    <n v="1515"/>
    <n v="632285"/>
    <n v="417.34983498349834"/>
  </r>
  <r>
    <x v="2725"/>
    <s v="Feb"/>
    <x v="0"/>
    <s v="226 Pine Rd"/>
    <x v="6"/>
    <x v="2"/>
    <m/>
    <n v="3323"/>
    <n v="376802"/>
    <n v="113.39211555823051"/>
  </r>
  <r>
    <x v="2726"/>
    <s v="Apr"/>
    <x v="4"/>
    <s v="111 Maple Ave"/>
    <x v="5"/>
    <x v="1"/>
    <n v="5"/>
    <n v="2329"/>
    <n v="568109"/>
    <n v="243.92829540575354"/>
  </r>
  <r>
    <x v="2727"/>
    <s v="Sep"/>
    <x v="3"/>
    <s v="285 Elm St"/>
    <x v="5"/>
    <x v="3"/>
    <n v="3"/>
    <n v="2306"/>
    <n v="810931"/>
    <n v="351.66131830008675"/>
  </r>
  <r>
    <x v="2728"/>
    <s v="Nov"/>
    <x v="9"/>
    <s v="916 Oak St"/>
    <x v="6"/>
    <x v="3"/>
    <n v="5"/>
    <n v="2028"/>
    <n v="136919"/>
    <n v="67.514299802761343"/>
  </r>
  <r>
    <x v="1544"/>
    <s v="Aug"/>
    <x v="6"/>
    <s v="496 Maple Ave"/>
    <x v="0"/>
    <x v="2"/>
    <m/>
    <n v="1040"/>
    <n v="197631"/>
    <n v="190.02980769230768"/>
  </r>
  <r>
    <x v="2729"/>
    <s v="Sep"/>
    <x v="5"/>
    <s v="237 Main St"/>
    <x v="4"/>
    <x v="1"/>
    <n v="5"/>
    <n v="1667"/>
    <n v="531989"/>
    <n v="319.12957408518298"/>
  </r>
  <r>
    <x v="2730"/>
    <s v="Jun"/>
    <x v="2"/>
    <s v="647 Maple Ave"/>
    <x v="1"/>
    <x v="1"/>
    <n v="5"/>
    <n v="3280"/>
    <n v="207509"/>
    <n v="63.264939024390245"/>
  </r>
  <r>
    <x v="2731"/>
    <s v="Jul"/>
    <x v="13"/>
    <s v="661 Oak St"/>
    <x v="0"/>
    <x v="3"/>
    <m/>
    <n v="2127"/>
    <n v="721535"/>
    <n v="339.22661024917727"/>
  </r>
  <r>
    <x v="2732"/>
    <s v="Jul"/>
    <x v="19"/>
    <s v="541 Pine Rd"/>
    <x v="3"/>
    <x v="2"/>
    <n v="2"/>
    <n v="3016"/>
    <n v="662085"/>
    <n v="219.52420424403184"/>
  </r>
  <r>
    <x v="2733"/>
    <s v="Dec"/>
    <x v="0"/>
    <s v="932 Maple Ave"/>
    <x v="5"/>
    <x v="3"/>
    <m/>
    <n v="2969"/>
    <n v="222904"/>
    <n v="75.077130346918153"/>
  </r>
  <r>
    <x v="2734"/>
    <s v="Mar"/>
    <x v="4"/>
    <s v="926 Maple Ave"/>
    <x v="4"/>
    <x v="1"/>
    <n v="2"/>
    <n v="1630"/>
    <n v="863246"/>
    <n v="529.59877300613493"/>
  </r>
  <r>
    <x v="742"/>
    <s v="Mar"/>
    <x v="8"/>
    <s v="294 Elm St"/>
    <x v="6"/>
    <x v="2"/>
    <n v="5"/>
    <n v="2222"/>
    <n v="429000"/>
    <n v="193.06930693069307"/>
  </r>
  <r>
    <x v="193"/>
    <s v="Aug"/>
    <x v="8"/>
    <s v="498 Oak St"/>
    <x v="1"/>
    <x v="2"/>
    <n v="4"/>
    <n v="2792"/>
    <n v="695884"/>
    <n v="249.24212034383953"/>
  </r>
  <r>
    <x v="2735"/>
    <s v="May"/>
    <x v="17"/>
    <s v="448 Elm St"/>
    <x v="0"/>
    <x v="3"/>
    <n v="4"/>
    <n v="1484"/>
    <n v="427878"/>
    <n v="288.32749326145552"/>
  </r>
  <r>
    <x v="2736"/>
    <s v="Apr"/>
    <x v="13"/>
    <s v="478 Elm St"/>
    <x v="0"/>
    <x v="1"/>
    <n v="2"/>
    <n v="1994"/>
    <n v="306973"/>
    <n v="153.94834503510532"/>
  </r>
  <r>
    <x v="2737"/>
    <s v="Apr"/>
    <x v="10"/>
    <s v="972 Maple Ave"/>
    <x v="0"/>
    <x v="0"/>
    <m/>
    <n v="2260"/>
    <n v="571488"/>
    <n v="252.87079646017699"/>
  </r>
  <r>
    <x v="2738"/>
    <s v="Sep"/>
    <x v="7"/>
    <s v="210 Oak St"/>
    <x v="1"/>
    <x v="0"/>
    <n v="4"/>
    <n v="2877"/>
    <n v="492311"/>
    <n v="171.11956899548142"/>
  </r>
  <r>
    <x v="2459"/>
    <s v="Apr"/>
    <x v="0"/>
    <s v="514 Elm St"/>
    <x v="0"/>
    <x v="2"/>
    <m/>
    <n v="1473"/>
    <n v="620376"/>
    <n v="421.16496945010181"/>
  </r>
  <r>
    <x v="2739"/>
    <s v="Aug"/>
    <x v="9"/>
    <s v="413 Maple Ave"/>
    <x v="6"/>
    <x v="1"/>
    <n v="4"/>
    <n v="3313"/>
    <n v="291029"/>
    <n v="87.8445517657712"/>
  </r>
  <r>
    <x v="2740"/>
    <s v="Jan"/>
    <x v="18"/>
    <s v="195 Oak St"/>
    <x v="0"/>
    <x v="0"/>
    <n v="3"/>
    <n v="2941"/>
    <n v="154946"/>
    <n v="52.684801088065285"/>
  </r>
  <r>
    <x v="924"/>
    <s v="Oct"/>
    <x v="5"/>
    <s v="709 Elm St"/>
    <x v="2"/>
    <x v="1"/>
    <n v="4"/>
    <n v="3493"/>
    <n v="849358"/>
    <n v="243.16003435442312"/>
  </r>
  <r>
    <x v="2741"/>
    <s v="Apr"/>
    <x v="18"/>
    <s v="265 Elm St"/>
    <x v="4"/>
    <x v="0"/>
    <n v="5"/>
    <n v="949"/>
    <n v="618636"/>
    <n v="651.88198103266598"/>
  </r>
  <r>
    <x v="2742"/>
    <s v="Dec"/>
    <x v="18"/>
    <s v="318 Main St"/>
    <x v="4"/>
    <x v="0"/>
    <n v="2"/>
    <n v="3359"/>
    <n v="337547"/>
    <n v="100.49032450133969"/>
  </r>
  <r>
    <x v="2743"/>
    <s v="Aug"/>
    <x v="15"/>
    <s v="704 Elm St"/>
    <x v="0"/>
    <x v="0"/>
    <n v="5"/>
    <n v="2426"/>
    <n v="209575"/>
    <n v="86.387056883759271"/>
  </r>
  <r>
    <x v="2744"/>
    <s v="Mar"/>
    <x v="0"/>
    <s v="512 Elm St"/>
    <x v="1"/>
    <x v="3"/>
    <n v="2"/>
    <n v="3150"/>
    <n v="280149"/>
    <n v="88.936190476190475"/>
  </r>
  <r>
    <x v="1015"/>
    <s v="Feb"/>
    <x v="5"/>
    <s v="583 Pine Rd"/>
    <x v="4"/>
    <x v="1"/>
    <n v="3"/>
    <n v="883"/>
    <n v="778260"/>
    <n v="881.38165345413358"/>
  </r>
  <r>
    <x v="2745"/>
    <s v="May"/>
    <x v="10"/>
    <s v="356 Elm St"/>
    <x v="4"/>
    <x v="2"/>
    <m/>
    <n v="1169"/>
    <n v="155434"/>
    <n v="132.96321642429427"/>
  </r>
  <r>
    <x v="1413"/>
    <s v="May"/>
    <x v="14"/>
    <s v="805 Main St"/>
    <x v="0"/>
    <x v="3"/>
    <n v="3"/>
    <n v="2602"/>
    <n v="648483"/>
    <n v="249.22482705611068"/>
  </r>
  <r>
    <x v="2746"/>
    <s v="Jul"/>
    <x v="5"/>
    <s v="898 Main St"/>
    <x v="4"/>
    <x v="2"/>
    <n v="2"/>
    <n v="3477"/>
    <n v="820712"/>
    <n v="236.04026459591603"/>
  </r>
  <r>
    <x v="2747"/>
    <s v="Jun"/>
    <x v="16"/>
    <s v="606 Pine Rd"/>
    <x v="0"/>
    <x v="2"/>
    <n v="2"/>
    <n v="846"/>
    <n v="437801"/>
    <n v="517.49527186761225"/>
  </r>
  <r>
    <x v="2748"/>
    <s v="Nov"/>
    <x v="9"/>
    <s v="824 Main St"/>
    <x v="2"/>
    <x v="0"/>
    <m/>
    <n v="1669"/>
    <n v="569597"/>
    <n v="341.28040742959854"/>
  </r>
  <r>
    <x v="2749"/>
    <s v="Aug"/>
    <x v="11"/>
    <s v="554 Elm St"/>
    <x v="2"/>
    <x v="2"/>
    <m/>
    <n v="3169"/>
    <n v="736020"/>
    <n v="232.25623224992111"/>
  </r>
  <r>
    <x v="1849"/>
    <s v="Jul"/>
    <x v="11"/>
    <s v="416 Pine Rd"/>
    <x v="4"/>
    <x v="3"/>
    <n v="3"/>
    <n v="2024"/>
    <n v="536747"/>
    <n v="265.19120553359681"/>
  </r>
  <r>
    <x v="2750"/>
    <s v="Oct"/>
    <x v="19"/>
    <s v="706 Main St"/>
    <x v="6"/>
    <x v="1"/>
    <m/>
    <n v="3359"/>
    <n v="693691"/>
    <n v="206.51711818993749"/>
  </r>
  <r>
    <x v="2751"/>
    <s v="Nov"/>
    <x v="10"/>
    <s v="926 Elm St"/>
    <x v="0"/>
    <x v="2"/>
    <n v="2"/>
    <n v="1402"/>
    <n v="496748"/>
    <n v="354.31383737517831"/>
  </r>
  <r>
    <x v="2639"/>
    <s v="Apr"/>
    <x v="6"/>
    <s v="230 Elm St"/>
    <x v="0"/>
    <x v="2"/>
    <m/>
    <n v="2255"/>
    <n v="193853"/>
    <n v="85.965853658536588"/>
  </r>
  <r>
    <x v="1208"/>
    <s v="Oct"/>
    <x v="10"/>
    <s v="444 Oak St"/>
    <x v="2"/>
    <x v="2"/>
    <m/>
    <n v="2612"/>
    <n v="589294"/>
    <n v="225.61026033690658"/>
  </r>
  <r>
    <x v="2752"/>
    <s v="May"/>
    <x v="19"/>
    <s v="209 Oak St"/>
    <x v="4"/>
    <x v="1"/>
    <n v="5"/>
    <n v="2675"/>
    <n v="618049"/>
    <n v="231.0463551401869"/>
  </r>
  <r>
    <x v="2753"/>
    <s v="Jan"/>
    <x v="2"/>
    <s v="315 Elm St"/>
    <x v="5"/>
    <x v="3"/>
    <n v="2"/>
    <n v="1584"/>
    <n v="702617"/>
    <n v="443.57133838383839"/>
  </r>
  <r>
    <x v="2700"/>
    <s v="Sep"/>
    <x v="12"/>
    <s v="383 Pine Rd"/>
    <x v="5"/>
    <x v="2"/>
    <n v="2"/>
    <n v="2568"/>
    <n v="844347"/>
    <n v="328.79556074766356"/>
  </r>
  <r>
    <x v="906"/>
    <s v="May"/>
    <x v="8"/>
    <s v="719 Maple Ave"/>
    <x v="4"/>
    <x v="2"/>
    <m/>
    <n v="2893"/>
    <n v="816211"/>
    <n v="282.13307984790873"/>
  </r>
  <r>
    <x v="2754"/>
    <s v="Mar"/>
    <x v="1"/>
    <s v="220 Oak St"/>
    <x v="5"/>
    <x v="3"/>
    <n v="4"/>
    <n v="3086"/>
    <n v="580531"/>
    <n v="188.11762799740765"/>
  </r>
  <r>
    <x v="524"/>
    <s v="Dec"/>
    <x v="19"/>
    <s v="305 Maple Ave"/>
    <x v="6"/>
    <x v="3"/>
    <n v="5"/>
    <n v="1037"/>
    <n v="666604"/>
    <n v="642.81967213114751"/>
  </r>
  <r>
    <x v="2631"/>
    <s v="Jul"/>
    <x v="15"/>
    <s v="707 Oak St"/>
    <x v="6"/>
    <x v="3"/>
    <m/>
    <n v="1468"/>
    <n v="457395"/>
    <n v="311.57697547683921"/>
  </r>
  <r>
    <x v="2755"/>
    <s v="Oct"/>
    <x v="3"/>
    <s v="524 Maple Ave"/>
    <x v="0"/>
    <x v="3"/>
    <n v="5"/>
    <n v="3121"/>
    <n v="735661"/>
    <n v="235.71323293816084"/>
  </r>
  <r>
    <x v="2756"/>
    <s v="Mar"/>
    <x v="5"/>
    <s v="959 Maple Ave"/>
    <x v="1"/>
    <x v="0"/>
    <n v="5"/>
    <n v="1900"/>
    <n v="141543"/>
    <n v="74.496315789473684"/>
  </r>
  <r>
    <x v="749"/>
    <s v="Apr"/>
    <x v="18"/>
    <s v="560 Main St"/>
    <x v="6"/>
    <x v="1"/>
    <n v="2"/>
    <n v="2243"/>
    <n v="821715"/>
    <n v="366.34641105662058"/>
  </r>
  <r>
    <x v="2273"/>
    <s v="Apr"/>
    <x v="5"/>
    <s v="743 Elm St"/>
    <x v="0"/>
    <x v="0"/>
    <m/>
    <n v="2168"/>
    <n v="641482"/>
    <n v="295.88653136531366"/>
  </r>
  <r>
    <x v="2757"/>
    <s v="Nov"/>
    <x v="18"/>
    <s v="330 Pine Rd"/>
    <x v="2"/>
    <x v="3"/>
    <n v="4"/>
    <n v="3330"/>
    <n v="792440"/>
    <n v="237.96996996996998"/>
  </r>
  <r>
    <x v="2758"/>
    <s v="Jun"/>
    <x v="15"/>
    <s v="132 Main St"/>
    <x v="2"/>
    <x v="3"/>
    <n v="3"/>
    <n v="1627"/>
    <n v="768674"/>
    <n v="472.44867854947756"/>
  </r>
  <r>
    <x v="734"/>
    <s v="Oct"/>
    <x v="19"/>
    <s v="186 Maple Ave"/>
    <x v="3"/>
    <x v="1"/>
    <m/>
    <n v="1253"/>
    <n v="563124"/>
    <n v="449.42059058260173"/>
  </r>
  <r>
    <x v="2759"/>
    <s v="Mar"/>
    <x v="6"/>
    <s v="664 Pine Rd"/>
    <x v="2"/>
    <x v="1"/>
    <n v="4"/>
    <n v="3002"/>
    <n v="735581"/>
    <n v="245.03031312458361"/>
  </r>
  <r>
    <x v="1806"/>
    <s v="Jan"/>
    <x v="7"/>
    <s v="942 Oak St"/>
    <x v="4"/>
    <x v="3"/>
    <n v="4"/>
    <n v="866"/>
    <n v="173884"/>
    <n v="200.78983833718246"/>
  </r>
  <r>
    <x v="2760"/>
    <s v="Apr"/>
    <x v="12"/>
    <s v="685 Maple Ave"/>
    <x v="2"/>
    <x v="3"/>
    <n v="4"/>
    <n v="1500"/>
    <n v="796912"/>
    <n v="531.27466666666669"/>
  </r>
  <r>
    <x v="1948"/>
    <s v="Mar"/>
    <x v="13"/>
    <s v="612 Main St"/>
    <x v="6"/>
    <x v="1"/>
    <m/>
    <n v="3173"/>
    <n v="279109"/>
    <n v="87.963756697132055"/>
  </r>
  <r>
    <x v="2731"/>
    <s v="Jul"/>
    <x v="13"/>
    <s v="962 Elm St"/>
    <x v="0"/>
    <x v="2"/>
    <m/>
    <n v="1362"/>
    <n v="189546"/>
    <n v="139.16740088105726"/>
  </r>
  <r>
    <x v="2761"/>
    <s v="Nov"/>
    <x v="3"/>
    <s v="780 Oak St"/>
    <x v="5"/>
    <x v="1"/>
    <n v="2"/>
    <n v="1584"/>
    <n v="896209"/>
    <n v="565.78851010101005"/>
  </r>
  <r>
    <x v="1075"/>
    <s v="Sep"/>
    <x v="16"/>
    <s v="334 Elm St"/>
    <x v="0"/>
    <x v="3"/>
    <m/>
    <n v="1849"/>
    <n v="859995"/>
    <n v="465.11357490535426"/>
  </r>
  <r>
    <x v="2762"/>
    <s v="Nov"/>
    <x v="9"/>
    <s v="174 Oak St"/>
    <x v="6"/>
    <x v="3"/>
    <m/>
    <n v="2468"/>
    <n v="875424"/>
    <n v="354.709886547812"/>
  </r>
  <r>
    <x v="2763"/>
    <s v="May"/>
    <x v="3"/>
    <s v="646 Main St"/>
    <x v="1"/>
    <x v="0"/>
    <m/>
    <n v="2075"/>
    <n v="618392"/>
    <n v="298.02024096385543"/>
  </r>
  <r>
    <x v="2764"/>
    <s v="Jul"/>
    <x v="0"/>
    <s v="945 Maple Ave"/>
    <x v="1"/>
    <x v="0"/>
    <n v="3"/>
    <n v="1059"/>
    <n v="285564"/>
    <n v="269.65439093484417"/>
  </r>
  <r>
    <x v="806"/>
    <s v="Jan"/>
    <x v="6"/>
    <s v="164 Oak St"/>
    <x v="4"/>
    <x v="2"/>
    <n v="3"/>
    <n v="2317"/>
    <n v="191291"/>
    <n v="82.559775571860158"/>
  </r>
  <r>
    <x v="2765"/>
    <s v="Apr"/>
    <x v="3"/>
    <s v="371 Maple Ave"/>
    <x v="6"/>
    <x v="2"/>
    <m/>
    <n v="1517"/>
    <n v="641471"/>
    <n v="422.85497692814766"/>
  </r>
  <r>
    <x v="2766"/>
    <s v="Jan"/>
    <x v="5"/>
    <s v="239 Pine Rd"/>
    <x v="0"/>
    <x v="3"/>
    <n v="3"/>
    <n v="1475"/>
    <n v="213463"/>
    <n v="144.7206779661017"/>
  </r>
  <r>
    <x v="2767"/>
    <s v="Oct"/>
    <x v="18"/>
    <s v="544 Maple Ave"/>
    <x v="0"/>
    <x v="0"/>
    <n v="4"/>
    <n v="1523"/>
    <n v="822692"/>
    <n v="540.17859487852922"/>
  </r>
  <r>
    <x v="2768"/>
    <s v="Sep"/>
    <x v="3"/>
    <s v="566 Pine Rd"/>
    <x v="4"/>
    <x v="3"/>
    <m/>
    <n v="2783"/>
    <n v="451075"/>
    <n v="162.08228530362916"/>
  </r>
  <r>
    <x v="2769"/>
    <s v="Nov"/>
    <x v="17"/>
    <s v="464 Pine Rd"/>
    <x v="5"/>
    <x v="0"/>
    <m/>
    <n v="2333"/>
    <n v="297633"/>
    <n v="127.57522503214744"/>
  </r>
  <r>
    <x v="1261"/>
    <s v="Feb"/>
    <x v="10"/>
    <s v="751 Oak St"/>
    <x v="6"/>
    <x v="2"/>
    <n v="2"/>
    <n v="1311"/>
    <n v="331263"/>
    <n v="252.67963386727689"/>
  </r>
  <r>
    <x v="1925"/>
    <s v="Jun"/>
    <x v="11"/>
    <s v="327 Pine Rd"/>
    <x v="0"/>
    <x v="3"/>
    <n v="3"/>
    <n v="3032"/>
    <n v="714279"/>
    <n v="235.5801451187335"/>
  </r>
  <r>
    <x v="2770"/>
    <s v="Oct"/>
    <x v="5"/>
    <s v="843 Maple Ave"/>
    <x v="6"/>
    <x v="3"/>
    <m/>
    <n v="2105"/>
    <n v="143244"/>
    <n v="68.049406175771978"/>
  </r>
  <r>
    <x v="2771"/>
    <s v="Mar"/>
    <x v="14"/>
    <s v="412 Maple Ave"/>
    <x v="1"/>
    <x v="3"/>
    <n v="3"/>
    <n v="1853"/>
    <n v="112604"/>
    <n v="60.768483540205075"/>
  </r>
  <r>
    <x v="2772"/>
    <s v="Mar"/>
    <x v="5"/>
    <s v="459 Maple Ave"/>
    <x v="6"/>
    <x v="0"/>
    <n v="3"/>
    <n v="1958"/>
    <n v="375211"/>
    <n v="191.6297242083759"/>
  </r>
  <r>
    <x v="2773"/>
    <s v="Jun"/>
    <x v="14"/>
    <s v="548 Pine Rd"/>
    <x v="2"/>
    <x v="2"/>
    <m/>
    <n v="2404"/>
    <n v="833835"/>
    <n v="346.85316139767053"/>
  </r>
  <r>
    <x v="2774"/>
    <s v="Jun"/>
    <x v="14"/>
    <s v="935 Pine Rd"/>
    <x v="2"/>
    <x v="3"/>
    <n v="4"/>
    <n v="2206"/>
    <m/>
    <n v="0"/>
  </r>
  <r>
    <x v="2775"/>
    <s v="Mar"/>
    <x v="5"/>
    <s v="706 Main St"/>
    <x v="1"/>
    <x v="0"/>
    <n v="4"/>
    <n v="2935"/>
    <n v="105054"/>
    <n v="35.793526405451445"/>
  </r>
  <r>
    <x v="2776"/>
    <s v="Jul"/>
    <x v="1"/>
    <s v="860 Elm St"/>
    <x v="5"/>
    <x v="1"/>
    <m/>
    <n v="3365"/>
    <n v="353844"/>
    <n v="105.15423476968796"/>
  </r>
  <r>
    <x v="127"/>
    <s v="Oct"/>
    <x v="17"/>
    <s v="355 Oak St"/>
    <x v="1"/>
    <x v="1"/>
    <m/>
    <n v="952"/>
    <n v="557513"/>
    <n v="585.62289915966392"/>
  </r>
  <r>
    <x v="2777"/>
    <s v="Jan"/>
    <x v="14"/>
    <s v="796 Maple Ave"/>
    <x v="0"/>
    <x v="3"/>
    <n v="2"/>
    <n v="3469"/>
    <n v="315358"/>
    <n v="90.907466128567307"/>
  </r>
  <r>
    <x v="2778"/>
    <s v="Mar"/>
    <x v="3"/>
    <s v="944 Maple Ave"/>
    <x v="6"/>
    <x v="3"/>
    <m/>
    <n v="2343"/>
    <n v="361524"/>
    <n v="154.29961587708067"/>
  </r>
  <r>
    <x v="2779"/>
    <s v="Jun"/>
    <x v="17"/>
    <s v="635 Main St"/>
    <x v="0"/>
    <x v="2"/>
    <m/>
    <n v="2258"/>
    <n v="459160"/>
    <n v="203.34809565987601"/>
  </r>
  <r>
    <x v="1833"/>
    <s v="May"/>
    <x v="19"/>
    <s v="472 Pine Rd"/>
    <x v="4"/>
    <x v="2"/>
    <n v="3"/>
    <n v="2543"/>
    <n v="550483"/>
    <n v="216.46991742036965"/>
  </r>
  <r>
    <x v="2780"/>
    <s v="Nov"/>
    <x v="5"/>
    <s v="811 Elm St"/>
    <x v="2"/>
    <x v="2"/>
    <n v="2"/>
    <n v="2717"/>
    <n v="878884"/>
    <n v="323.47589252852413"/>
  </r>
  <r>
    <x v="2781"/>
    <s v="Jun"/>
    <x v="1"/>
    <s v="559 Pine Rd"/>
    <x v="4"/>
    <x v="1"/>
    <n v="2"/>
    <n v="3084"/>
    <n v="235745"/>
    <n v="76.441309987029825"/>
  </r>
  <r>
    <x v="2782"/>
    <s v="Sep"/>
    <x v="15"/>
    <s v="438 Pine Rd"/>
    <x v="0"/>
    <x v="0"/>
    <n v="2"/>
    <n v="2356"/>
    <n v="277955"/>
    <n v="117.97750424448218"/>
  </r>
  <r>
    <x v="1725"/>
    <s v="Aug"/>
    <x v="2"/>
    <s v="549 Elm St"/>
    <x v="6"/>
    <x v="2"/>
    <m/>
    <n v="2962"/>
    <n v="472132"/>
    <n v="159.39635381498988"/>
  </r>
  <r>
    <x v="2783"/>
    <s v="Jan"/>
    <x v="7"/>
    <s v="701 Elm St"/>
    <x v="4"/>
    <x v="1"/>
    <m/>
    <n v="2421"/>
    <n v="475204"/>
    <n v="196.28418009087153"/>
  </r>
  <r>
    <x v="1450"/>
    <s v="Sep"/>
    <x v="16"/>
    <s v="471 Main St"/>
    <x v="1"/>
    <x v="3"/>
    <n v="2"/>
    <n v="1767"/>
    <n v="557683"/>
    <n v="315.61007357102432"/>
  </r>
  <r>
    <x v="2784"/>
    <s v="Sep"/>
    <x v="13"/>
    <s v="515 Maple Ave"/>
    <x v="6"/>
    <x v="0"/>
    <n v="3"/>
    <n v="1493"/>
    <n v="316557"/>
    <n v="212.02746148693905"/>
  </r>
  <r>
    <x v="2785"/>
    <s v="May"/>
    <x v="0"/>
    <s v="368 Oak St"/>
    <x v="6"/>
    <x v="2"/>
    <n v="3"/>
    <n v="1228"/>
    <n v="409276"/>
    <n v="333.28664495114009"/>
  </r>
  <r>
    <x v="2786"/>
    <s v="Aug"/>
    <x v="9"/>
    <s v="198 Maple Ave"/>
    <x v="0"/>
    <x v="2"/>
    <n v="3"/>
    <n v="1754"/>
    <n v="540267"/>
    <n v="308.01995438996579"/>
  </r>
  <r>
    <x v="2787"/>
    <s v="Nov"/>
    <x v="10"/>
    <s v="224 Main St"/>
    <x v="4"/>
    <x v="1"/>
    <n v="2"/>
    <n v="2616"/>
    <n v="572981"/>
    <n v="219.02943425076452"/>
  </r>
  <r>
    <x v="12"/>
    <s v="Jan"/>
    <x v="9"/>
    <s v="288 Elm St"/>
    <x v="1"/>
    <x v="2"/>
    <m/>
    <n v="3112"/>
    <n v="140162"/>
    <n v="45.039203084832906"/>
  </r>
  <r>
    <x v="2788"/>
    <s v="Apr"/>
    <x v="18"/>
    <s v="551 Elm St"/>
    <x v="6"/>
    <x v="2"/>
    <n v="3"/>
    <n v="1099"/>
    <n v="671662"/>
    <n v="611.15741583257511"/>
  </r>
  <r>
    <x v="2789"/>
    <s v="Nov"/>
    <x v="19"/>
    <s v="323 Pine Rd"/>
    <x v="4"/>
    <x v="3"/>
    <m/>
    <n v="891"/>
    <n v="187251"/>
    <n v="210.15824915824916"/>
  </r>
  <r>
    <x v="1563"/>
    <s v="Jul"/>
    <x v="8"/>
    <s v="454 Maple Ave"/>
    <x v="4"/>
    <x v="3"/>
    <n v="4"/>
    <n v="2774"/>
    <n v="460236"/>
    <n v="165.91059841384282"/>
  </r>
  <r>
    <x v="2790"/>
    <s v="Feb"/>
    <x v="6"/>
    <s v="282 Maple Ave"/>
    <x v="6"/>
    <x v="3"/>
    <n v="5"/>
    <n v="2925"/>
    <n v="435284"/>
    <n v="148.81504273504274"/>
  </r>
  <r>
    <x v="2791"/>
    <s v="Feb"/>
    <x v="10"/>
    <s v="663 Oak St"/>
    <x v="5"/>
    <x v="2"/>
    <m/>
    <n v="2837"/>
    <n v="324666"/>
    <n v="114.43990130419458"/>
  </r>
  <r>
    <x v="2792"/>
    <s v="Jun"/>
    <x v="3"/>
    <s v="898 Pine Rd"/>
    <x v="4"/>
    <x v="2"/>
    <n v="5"/>
    <n v="2595"/>
    <n v="259841"/>
    <n v="100.13140655105973"/>
  </r>
  <r>
    <x v="2793"/>
    <s v="Nov"/>
    <x v="18"/>
    <s v="914 Maple Ave"/>
    <x v="6"/>
    <x v="0"/>
    <n v="3"/>
    <n v="987"/>
    <n v="722638"/>
    <n v="732.1560283687943"/>
  </r>
  <r>
    <x v="2385"/>
    <s v="Jan"/>
    <x v="9"/>
    <s v="123 Oak St"/>
    <x v="4"/>
    <x v="0"/>
    <m/>
    <n v="3115"/>
    <n v="326176"/>
    <n v="104.71139646869985"/>
  </r>
  <r>
    <x v="263"/>
    <s v="Feb"/>
    <x v="13"/>
    <s v="397 Pine Rd"/>
    <x v="0"/>
    <x v="3"/>
    <n v="2"/>
    <n v="2404"/>
    <n v="555932"/>
    <n v="231.25291181364392"/>
  </r>
  <r>
    <x v="2794"/>
    <s v="Jun"/>
    <x v="3"/>
    <s v="536 Maple Ave"/>
    <x v="2"/>
    <x v="0"/>
    <m/>
    <n v="1982"/>
    <n v="794948"/>
    <n v="401.08375378405651"/>
  </r>
  <r>
    <x v="2795"/>
    <s v="Apr"/>
    <x v="15"/>
    <s v="472 Maple Ave"/>
    <x v="2"/>
    <x v="0"/>
    <n v="4"/>
    <n v="1789"/>
    <n v="249003"/>
    <n v="139.1855785354947"/>
  </r>
  <r>
    <x v="2796"/>
    <s v="Oct"/>
    <x v="3"/>
    <s v="729 Oak St"/>
    <x v="3"/>
    <x v="1"/>
    <n v="5"/>
    <n v="2918"/>
    <n v="878678"/>
    <n v="301.12337217272102"/>
  </r>
  <r>
    <x v="2797"/>
    <s v="Jul"/>
    <x v="15"/>
    <s v="970 Main St"/>
    <x v="4"/>
    <x v="1"/>
    <n v="4"/>
    <n v="2293"/>
    <n v="276796"/>
    <n v="120.71347579590056"/>
  </r>
  <r>
    <x v="972"/>
    <s v="Mar"/>
    <x v="14"/>
    <s v="646 Elm St"/>
    <x v="6"/>
    <x v="1"/>
    <m/>
    <n v="1081"/>
    <m/>
    <n v="0"/>
  </r>
  <r>
    <x v="1015"/>
    <s v="Feb"/>
    <x v="5"/>
    <s v="956 Pine Rd"/>
    <x v="1"/>
    <x v="2"/>
    <n v="2"/>
    <n v="2730"/>
    <n v="184255"/>
    <n v="67.492673992673986"/>
  </r>
  <r>
    <x v="1239"/>
    <s v="Mar"/>
    <x v="11"/>
    <s v="596 Elm St"/>
    <x v="1"/>
    <x v="1"/>
    <n v="4"/>
    <n v="1422"/>
    <n v="709085"/>
    <n v="498.65330520393809"/>
  </r>
  <r>
    <x v="510"/>
    <s v="Oct"/>
    <x v="4"/>
    <s v="510 Maple Ave"/>
    <x v="4"/>
    <x v="2"/>
    <m/>
    <n v="2282"/>
    <n v="564065"/>
    <n v="247.18010517090272"/>
  </r>
  <r>
    <x v="2798"/>
    <s v="Sep"/>
    <x v="15"/>
    <s v="546 Maple Ave"/>
    <x v="6"/>
    <x v="1"/>
    <m/>
    <n v="1675"/>
    <n v="447107"/>
    <n v="266.92955223880597"/>
  </r>
  <r>
    <x v="2799"/>
    <s v="Oct"/>
    <x v="8"/>
    <s v="734 Maple Ave"/>
    <x v="5"/>
    <x v="3"/>
    <n v="2"/>
    <n v="1531"/>
    <n v="825062"/>
    <n v="538.90398432397126"/>
  </r>
  <r>
    <x v="2800"/>
    <s v="Feb"/>
    <x v="17"/>
    <s v="181 Oak St"/>
    <x v="3"/>
    <x v="1"/>
    <n v="5"/>
    <n v="1100"/>
    <n v="724976"/>
    <n v="659.06909090909096"/>
  </r>
  <r>
    <x v="2801"/>
    <s v="Jun"/>
    <x v="4"/>
    <s v="394 Oak St"/>
    <x v="0"/>
    <x v="3"/>
    <n v="2"/>
    <n v="1122"/>
    <n v="141321"/>
    <n v="125.95454545454545"/>
  </r>
  <r>
    <x v="2263"/>
    <s v="Nov"/>
    <x v="15"/>
    <s v="948 Pine Rd"/>
    <x v="0"/>
    <x v="1"/>
    <n v="3"/>
    <n v="2532"/>
    <n v="155213"/>
    <n v="61.300552922590839"/>
  </r>
  <r>
    <x v="2802"/>
    <s v="May"/>
    <x v="0"/>
    <s v="956 Oak St"/>
    <x v="6"/>
    <x v="1"/>
    <n v="5"/>
    <n v="1676"/>
    <n v="522262"/>
    <n v="311.61217183770884"/>
  </r>
  <r>
    <x v="2803"/>
    <s v="Nov"/>
    <x v="13"/>
    <s v="722 Pine Rd"/>
    <x v="5"/>
    <x v="3"/>
    <m/>
    <n v="3324"/>
    <n v="883799"/>
    <n v="265.8841756919374"/>
  </r>
  <r>
    <x v="2804"/>
    <s v="Nov"/>
    <x v="17"/>
    <s v="688 Maple Ave"/>
    <x v="4"/>
    <x v="2"/>
    <n v="4"/>
    <n v="2677"/>
    <n v="681893"/>
    <n v="254.72282405677998"/>
  </r>
  <r>
    <x v="1148"/>
    <s v="Jul"/>
    <x v="14"/>
    <s v="268 Pine Rd"/>
    <x v="0"/>
    <x v="3"/>
    <m/>
    <n v="3172"/>
    <n v="412121"/>
    <n v="129.92465321563682"/>
  </r>
  <r>
    <x v="2805"/>
    <s v="Apr"/>
    <x v="13"/>
    <s v="504 Pine Rd"/>
    <x v="6"/>
    <x v="0"/>
    <n v="5"/>
    <n v="3499"/>
    <n v="505513"/>
    <n v="144.47356387539298"/>
  </r>
  <r>
    <x v="2806"/>
    <s v="Jun"/>
    <x v="11"/>
    <s v="414 Elm St"/>
    <x v="6"/>
    <x v="3"/>
    <n v="5"/>
    <n v="2605"/>
    <n v="467493"/>
    <n v="179.45988483685221"/>
  </r>
  <r>
    <x v="520"/>
    <s v="Oct"/>
    <x v="5"/>
    <s v="685 Maple Ave"/>
    <x v="0"/>
    <x v="0"/>
    <n v="5"/>
    <n v="1055"/>
    <n v="672217"/>
    <n v="637.17251184834129"/>
  </r>
  <r>
    <x v="2807"/>
    <s v="Mar"/>
    <x v="16"/>
    <s v="410 Maple Ave"/>
    <x v="2"/>
    <x v="2"/>
    <n v="4"/>
    <n v="3006"/>
    <n v="876655"/>
    <n v="291.63506320691948"/>
  </r>
  <r>
    <x v="2808"/>
    <s v="Oct"/>
    <x v="0"/>
    <s v="142 Elm St"/>
    <x v="2"/>
    <x v="0"/>
    <m/>
    <n v="2287"/>
    <n v="197843"/>
    <n v="86.507651945780495"/>
  </r>
  <r>
    <x v="2809"/>
    <s v="May"/>
    <x v="4"/>
    <s v="123 Elm St"/>
    <x v="6"/>
    <x v="3"/>
    <n v="5"/>
    <n v="860"/>
    <n v="344943"/>
    <n v="401.09651162790698"/>
  </r>
  <r>
    <x v="2101"/>
    <s v="Dec"/>
    <x v="7"/>
    <s v="319 Maple Ave"/>
    <x v="3"/>
    <x v="1"/>
    <m/>
    <n v="2473"/>
    <n v="266904"/>
    <n v="107.92721391023049"/>
  </r>
  <r>
    <x v="314"/>
    <s v="Oct"/>
    <x v="7"/>
    <s v="608 Oak St"/>
    <x v="3"/>
    <x v="0"/>
    <n v="2"/>
    <n v="2367"/>
    <n v="481196"/>
    <n v="203.29362061681454"/>
  </r>
  <r>
    <x v="337"/>
    <s v="Nov"/>
    <x v="4"/>
    <s v="270 Elm St"/>
    <x v="0"/>
    <x v="3"/>
    <n v="5"/>
    <n v="2701"/>
    <n v="695623"/>
    <n v="257.54276194002222"/>
  </r>
  <r>
    <x v="637"/>
    <s v="Mar"/>
    <x v="2"/>
    <s v="391 Oak St"/>
    <x v="4"/>
    <x v="3"/>
    <n v="5"/>
    <n v="2830"/>
    <n v="101640"/>
    <n v="35.915194346289752"/>
  </r>
  <r>
    <x v="1948"/>
    <s v="Mar"/>
    <x v="13"/>
    <s v="930 Elm St"/>
    <x v="3"/>
    <x v="2"/>
    <m/>
    <n v="2100"/>
    <n v="152221"/>
    <n v="72.486190476190473"/>
  </r>
  <r>
    <x v="2810"/>
    <s v="Nov"/>
    <x v="4"/>
    <s v="211 Maple Ave"/>
    <x v="5"/>
    <x v="2"/>
    <n v="4"/>
    <n v="1853"/>
    <n v="755959"/>
    <n v="407.96492174851591"/>
  </r>
  <r>
    <x v="2811"/>
    <s v="Mar"/>
    <x v="3"/>
    <s v="230 Oak St"/>
    <x v="5"/>
    <x v="1"/>
    <n v="4"/>
    <n v="2460"/>
    <n v="398719"/>
    <n v="162.0808943089431"/>
  </r>
  <r>
    <x v="1290"/>
    <s v="Aug"/>
    <x v="8"/>
    <s v="394 Main St"/>
    <x v="2"/>
    <x v="2"/>
    <n v="4"/>
    <n v="2302"/>
    <n v="460494"/>
    <n v="200.04083405734144"/>
  </r>
  <r>
    <x v="2812"/>
    <s v="May"/>
    <x v="12"/>
    <s v="937 Maple Ave"/>
    <x v="4"/>
    <x v="0"/>
    <n v="4"/>
    <n v="2839"/>
    <n v="788084"/>
    <n v="277.59210989785134"/>
  </r>
  <r>
    <x v="2813"/>
    <s v="Mar"/>
    <x v="3"/>
    <s v="226 Maple Ave"/>
    <x v="1"/>
    <x v="0"/>
    <n v="2"/>
    <n v="3390"/>
    <n v="798667"/>
    <n v="235.59498525073747"/>
  </r>
  <r>
    <x v="2814"/>
    <s v="Nov"/>
    <x v="5"/>
    <s v="140 Maple Ave"/>
    <x v="1"/>
    <x v="3"/>
    <n v="3"/>
    <n v="953"/>
    <n v="396903"/>
    <n v="416.47743966421825"/>
  </r>
  <r>
    <x v="2815"/>
    <s v="Dec"/>
    <x v="14"/>
    <s v="294 Maple Ave"/>
    <x v="3"/>
    <x v="0"/>
    <n v="3"/>
    <n v="3276"/>
    <n v="562695"/>
    <n v="171.76282051282053"/>
  </r>
  <r>
    <x v="2816"/>
    <s v="Mar"/>
    <x v="12"/>
    <s v="295 Maple Ave"/>
    <x v="4"/>
    <x v="0"/>
    <m/>
    <n v="3472"/>
    <n v="325373"/>
    <n v="93.713421658986178"/>
  </r>
  <r>
    <x v="1728"/>
    <s v="Dec"/>
    <x v="10"/>
    <s v="227 Maple Ave"/>
    <x v="4"/>
    <x v="2"/>
    <n v="5"/>
    <n v="1791"/>
    <n v="293965"/>
    <n v="164.13456169737577"/>
  </r>
  <r>
    <x v="2817"/>
    <s v="Dec"/>
    <x v="9"/>
    <s v="188 Maple Ave"/>
    <x v="6"/>
    <x v="1"/>
    <n v="2"/>
    <n v="1736"/>
    <n v="656171"/>
    <n v="377.97868663594471"/>
  </r>
  <r>
    <x v="2818"/>
    <s v="Mar"/>
    <x v="13"/>
    <s v="534 Pine Rd"/>
    <x v="1"/>
    <x v="3"/>
    <m/>
    <n v="3399"/>
    <n v="514849"/>
    <n v="151.47072668431892"/>
  </r>
  <r>
    <x v="2819"/>
    <s v="Jun"/>
    <x v="11"/>
    <s v="351 Oak St"/>
    <x v="3"/>
    <x v="0"/>
    <m/>
    <n v="3056"/>
    <n v="349611"/>
    <n v="114.40150523560209"/>
  </r>
  <r>
    <x v="2820"/>
    <s v="Feb"/>
    <x v="1"/>
    <s v="361 Maple Ave"/>
    <x v="4"/>
    <x v="3"/>
    <m/>
    <n v="3174"/>
    <n v="210495"/>
    <n v="66.318525519848777"/>
  </r>
  <r>
    <x v="552"/>
    <s v="Oct"/>
    <x v="15"/>
    <s v="699 Elm St"/>
    <x v="3"/>
    <x v="0"/>
    <n v="3"/>
    <n v="1611"/>
    <n v="327652"/>
    <n v="203.38423339540657"/>
  </r>
  <r>
    <x v="2821"/>
    <s v="Nov"/>
    <x v="9"/>
    <s v="689 Maple Ave"/>
    <x v="3"/>
    <x v="3"/>
    <n v="5"/>
    <n v="1131"/>
    <n v="310981"/>
    <n v="274.96109637488945"/>
  </r>
  <r>
    <x v="2822"/>
    <s v="Jun"/>
    <x v="14"/>
    <s v="730 Main St"/>
    <x v="2"/>
    <x v="2"/>
    <n v="5"/>
    <n v="1639"/>
    <n v="183816"/>
    <n v="112.15131177547285"/>
  </r>
  <r>
    <x v="2823"/>
    <s v="Jun"/>
    <x v="3"/>
    <s v="226 Main St"/>
    <x v="5"/>
    <x v="0"/>
    <n v="3"/>
    <n v="2832"/>
    <n v="514224"/>
    <n v="181.57627118644066"/>
  </r>
  <r>
    <x v="328"/>
    <s v="Feb"/>
    <x v="0"/>
    <s v="948 Oak St"/>
    <x v="6"/>
    <x v="3"/>
    <m/>
    <n v="1261"/>
    <n v="711904"/>
    <n v="564.55511498810472"/>
  </r>
  <r>
    <x v="2510"/>
    <s v="Mar"/>
    <x v="16"/>
    <s v="897 Pine Rd"/>
    <x v="0"/>
    <x v="1"/>
    <m/>
    <n v="2126"/>
    <n v="405833"/>
    <n v="190.89040451552211"/>
  </r>
  <r>
    <x v="2824"/>
    <s v="Nov"/>
    <x v="19"/>
    <s v="733 Main St"/>
    <x v="2"/>
    <x v="1"/>
    <n v="2"/>
    <n v="938"/>
    <n v="511698"/>
    <n v="545.52025586353943"/>
  </r>
  <r>
    <x v="617"/>
    <s v="Feb"/>
    <x v="9"/>
    <s v="502 Oak St"/>
    <x v="3"/>
    <x v="0"/>
    <m/>
    <n v="1816"/>
    <n v="219738"/>
    <n v="121.00110132158591"/>
  </r>
  <r>
    <x v="2825"/>
    <s v="Dec"/>
    <x v="8"/>
    <s v="480 Main St"/>
    <x v="1"/>
    <x v="3"/>
    <n v="5"/>
    <n v="977"/>
    <n v="855422"/>
    <n v="875.55987717502558"/>
  </r>
  <r>
    <x v="2291"/>
    <s v="Feb"/>
    <x v="3"/>
    <s v="187 Main St"/>
    <x v="6"/>
    <x v="0"/>
    <n v="5"/>
    <n v="1186"/>
    <n v="881052"/>
    <n v="742.87689713322095"/>
  </r>
  <r>
    <x v="1773"/>
    <s v="Feb"/>
    <x v="4"/>
    <s v="705 Maple Ave"/>
    <x v="2"/>
    <x v="2"/>
    <n v="2"/>
    <n v="950"/>
    <n v="875273"/>
    <n v="921.34"/>
  </r>
  <r>
    <x v="2826"/>
    <s v="Feb"/>
    <x v="19"/>
    <s v="483 Oak St"/>
    <x v="4"/>
    <x v="2"/>
    <n v="4"/>
    <n v="1591"/>
    <n v="210997"/>
    <n v="132.61910747957259"/>
  </r>
  <r>
    <x v="2827"/>
    <s v="Sep"/>
    <x v="11"/>
    <s v="682 Oak St"/>
    <x v="4"/>
    <x v="3"/>
    <m/>
    <n v="3469"/>
    <n v="781779"/>
    <n v="225.36148746036321"/>
  </r>
  <r>
    <x v="2828"/>
    <s v="Dec"/>
    <x v="3"/>
    <s v="430 Main St"/>
    <x v="5"/>
    <x v="0"/>
    <n v="3"/>
    <n v="2943"/>
    <n v="176766"/>
    <n v="60.06320081549439"/>
  </r>
  <r>
    <x v="2829"/>
    <s v="Feb"/>
    <x v="4"/>
    <s v="590 Maple Ave"/>
    <x v="3"/>
    <x v="2"/>
    <n v="4"/>
    <n v="1640"/>
    <n v="672051"/>
    <n v="409.78719512195124"/>
  </r>
  <r>
    <x v="2830"/>
    <s v="Jun"/>
    <x v="19"/>
    <s v="540 Elm St"/>
    <x v="1"/>
    <x v="1"/>
    <n v="2"/>
    <n v="2516"/>
    <n v="691987"/>
    <n v="275.03457869634337"/>
  </r>
  <r>
    <x v="2115"/>
    <s v="Dec"/>
    <x v="9"/>
    <s v="162 Oak St"/>
    <x v="0"/>
    <x v="1"/>
    <m/>
    <n v="883"/>
    <m/>
    <n v="0"/>
  </r>
  <r>
    <x v="2831"/>
    <s v="Jul"/>
    <x v="13"/>
    <s v="662 Pine Rd"/>
    <x v="3"/>
    <x v="1"/>
    <m/>
    <n v="3436"/>
    <n v="815658"/>
    <n v="237.38591385331782"/>
  </r>
  <r>
    <x v="2832"/>
    <s v="Sep"/>
    <x v="12"/>
    <s v="259 Pine Rd"/>
    <x v="2"/>
    <x v="1"/>
    <n v="5"/>
    <n v="1910"/>
    <n v="402306"/>
    <n v="210.63141361256544"/>
  </r>
  <r>
    <x v="2833"/>
    <s v="May"/>
    <x v="13"/>
    <s v="707 Pine Rd"/>
    <x v="0"/>
    <x v="0"/>
    <n v="3"/>
    <n v="3483"/>
    <n v="879414"/>
    <n v="252.48751076658053"/>
  </r>
  <r>
    <x v="1973"/>
    <s v="May"/>
    <x v="14"/>
    <s v="482 Elm St"/>
    <x v="5"/>
    <x v="1"/>
    <n v="3"/>
    <n v="1775"/>
    <n v="731548"/>
    <n v="412.13971830985918"/>
  </r>
  <r>
    <x v="2606"/>
    <s v="Sep"/>
    <x v="12"/>
    <s v="744 Pine Rd"/>
    <x v="3"/>
    <x v="2"/>
    <m/>
    <n v="2194"/>
    <n v="610979"/>
    <n v="278.47721057429351"/>
  </r>
  <r>
    <x v="2834"/>
    <s v="Jan"/>
    <x v="4"/>
    <s v="116 Elm St"/>
    <x v="0"/>
    <x v="1"/>
    <n v="3"/>
    <n v="2309"/>
    <n v="318418"/>
    <n v="137.90298830662624"/>
  </r>
  <r>
    <x v="402"/>
    <s v="Jul"/>
    <x v="19"/>
    <s v="439 Elm St"/>
    <x v="2"/>
    <x v="3"/>
    <n v="5"/>
    <n v="2154"/>
    <n v="714278"/>
    <n v="331.60538532961931"/>
  </r>
  <r>
    <x v="1578"/>
    <s v="May"/>
    <x v="6"/>
    <s v="921 Maple Ave"/>
    <x v="2"/>
    <x v="0"/>
    <n v="2"/>
    <n v="1114"/>
    <n v="122353"/>
    <n v="109.83213644524237"/>
  </r>
  <r>
    <x v="430"/>
    <s v="Dec"/>
    <x v="5"/>
    <s v="924 Maple Ave"/>
    <x v="3"/>
    <x v="3"/>
    <m/>
    <n v="2824"/>
    <n v="595049"/>
    <n v="210.71140226628896"/>
  </r>
  <r>
    <x v="1536"/>
    <s v="Apr"/>
    <x v="12"/>
    <s v="921 Main St"/>
    <x v="0"/>
    <x v="3"/>
    <m/>
    <n v="2313"/>
    <n v="453071"/>
    <n v="195.88024210981411"/>
  </r>
  <r>
    <x v="2835"/>
    <s v="Jul"/>
    <x v="14"/>
    <s v="557 Pine Rd"/>
    <x v="3"/>
    <x v="1"/>
    <m/>
    <n v="2173"/>
    <n v="791314"/>
    <n v="364.15738610216289"/>
  </r>
  <r>
    <x v="2836"/>
    <s v="May"/>
    <x v="2"/>
    <s v="691 Maple Ave"/>
    <x v="6"/>
    <x v="0"/>
    <m/>
    <n v="2189"/>
    <n v="492249"/>
    <n v="224.87391502969393"/>
  </r>
  <r>
    <x v="2837"/>
    <s v="Jul"/>
    <x v="3"/>
    <s v="340 Maple Ave"/>
    <x v="6"/>
    <x v="3"/>
    <n v="5"/>
    <n v="2907"/>
    <m/>
    <n v="0"/>
  </r>
  <r>
    <x v="2273"/>
    <s v="Apr"/>
    <x v="5"/>
    <s v="172 Oak St"/>
    <x v="4"/>
    <x v="1"/>
    <n v="3"/>
    <n v="3137"/>
    <n v="117412"/>
    <n v="37.428116034427795"/>
  </r>
  <r>
    <x v="2838"/>
    <s v="Jan"/>
    <x v="1"/>
    <s v="879 Maple Ave"/>
    <x v="0"/>
    <x v="3"/>
    <n v="2"/>
    <n v="3328"/>
    <n v="839377"/>
    <n v="252.21664663461539"/>
  </r>
  <r>
    <x v="119"/>
    <s v="Jul"/>
    <x v="3"/>
    <s v="514 Maple Ave"/>
    <x v="2"/>
    <x v="3"/>
    <n v="4"/>
    <n v="2898"/>
    <n v="327641"/>
    <n v="113.05762594893029"/>
  </r>
  <r>
    <x v="2839"/>
    <s v="Feb"/>
    <x v="3"/>
    <s v="977 Oak St"/>
    <x v="4"/>
    <x v="3"/>
    <m/>
    <n v="3004"/>
    <n v="543149"/>
    <n v="180.80858854860188"/>
  </r>
  <r>
    <x v="2840"/>
    <s v="Nov"/>
    <x v="8"/>
    <s v="103 Oak St"/>
    <x v="0"/>
    <x v="2"/>
    <m/>
    <n v="1837"/>
    <n v="543901"/>
    <n v="296.08111050626019"/>
  </r>
  <r>
    <x v="647"/>
    <s v="Sep"/>
    <x v="3"/>
    <s v="164 Maple Ave"/>
    <x v="6"/>
    <x v="1"/>
    <n v="3"/>
    <n v="1752"/>
    <n v="443546"/>
    <n v="253.16552511415526"/>
  </r>
  <r>
    <x v="2841"/>
    <s v="Sep"/>
    <x v="16"/>
    <s v="392 Elm St"/>
    <x v="5"/>
    <x v="0"/>
    <n v="4"/>
    <n v="2522"/>
    <n v="750824"/>
    <n v="297.70975416336239"/>
  </r>
  <r>
    <x v="2842"/>
    <s v="Mar"/>
    <x v="6"/>
    <s v="937 Main St"/>
    <x v="3"/>
    <x v="3"/>
    <n v="4"/>
    <n v="961"/>
    <n v="471022"/>
    <n v="490.13735691987512"/>
  </r>
  <r>
    <x v="2843"/>
    <s v="Apr"/>
    <x v="17"/>
    <s v="839 Maple Ave"/>
    <x v="4"/>
    <x v="1"/>
    <m/>
    <n v="1187"/>
    <n v="501944"/>
    <n v="422.8677337826453"/>
  </r>
  <r>
    <x v="2844"/>
    <s v="Apr"/>
    <x v="14"/>
    <s v="934 Pine Rd"/>
    <x v="0"/>
    <x v="1"/>
    <m/>
    <n v="1049"/>
    <n v="552077"/>
    <n v="526.28884652049567"/>
  </r>
  <r>
    <x v="2845"/>
    <s v="Jan"/>
    <x v="12"/>
    <s v="772 Elm St"/>
    <x v="6"/>
    <x v="1"/>
    <m/>
    <n v="1470"/>
    <n v="518517"/>
    <n v="352.73265306122448"/>
  </r>
  <r>
    <x v="2846"/>
    <s v="Jun"/>
    <x v="16"/>
    <s v="797 Maple Ave"/>
    <x v="4"/>
    <x v="0"/>
    <m/>
    <n v="2274"/>
    <n v="828460"/>
    <n v="364.31838170624451"/>
  </r>
  <r>
    <x v="2847"/>
    <s v="Jul"/>
    <x v="9"/>
    <s v="337 Maple Ave"/>
    <x v="4"/>
    <x v="3"/>
    <n v="2"/>
    <n v="965"/>
    <n v="569289"/>
    <n v="589.93678756476686"/>
  </r>
  <r>
    <x v="449"/>
    <s v="May"/>
    <x v="15"/>
    <s v="983 Oak St"/>
    <x v="4"/>
    <x v="1"/>
    <n v="2"/>
    <n v="2740"/>
    <n v="748783"/>
    <n v="273.27846715328468"/>
  </r>
  <r>
    <x v="2071"/>
    <s v="Dec"/>
    <x v="17"/>
    <s v="633 Oak St"/>
    <x v="1"/>
    <x v="1"/>
    <n v="2"/>
    <n v="3186"/>
    <n v="872029"/>
    <n v="273.70652856246079"/>
  </r>
  <r>
    <x v="780"/>
    <s v="Sep"/>
    <x v="11"/>
    <s v="770 Pine Rd"/>
    <x v="6"/>
    <x v="0"/>
    <m/>
    <n v="3312"/>
    <n v="322966"/>
    <n v="97.513888888888886"/>
  </r>
  <r>
    <x v="2848"/>
    <s v="Dec"/>
    <x v="9"/>
    <s v="152 Maple Ave"/>
    <x v="4"/>
    <x v="3"/>
    <n v="2"/>
    <n v="2842"/>
    <n v="476339"/>
    <n v="167.60696692470091"/>
  </r>
  <r>
    <x v="972"/>
    <s v="Mar"/>
    <x v="14"/>
    <s v="200 Maple Ave"/>
    <x v="4"/>
    <x v="1"/>
    <m/>
    <n v="3281"/>
    <n v="530008"/>
    <n v="161.53855531850047"/>
  </r>
  <r>
    <x v="2809"/>
    <s v="May"/>
    <x v="4"/>
    <s v="849 Main St"/>
    <x v="4"/>
    <x v="3"/>
    <n v="3"/>
    <n v="2659"/>
    <n v="542755"/>
    <n v="204.11996991350131"/>
  </r>
  <r>
    <x v="627"/>
    <s v="Nov"/>
    <x v="18"/>
    <s v="256 Oak St"/>
    <x v="0"/>
    <x v="1"/>
    <n v="3"/>
    <n v="1723"/>
    <n v="596704"/>
    <n v="346.3168891468369"/>
  </r>
  <r>
    <x v="1564"/>
    <s v="Dec"/>
    <x v="10"/>
    <s v="652 Maple Ave"/>
    <x v="0"/>
    <x v="3"/>
    <m/>
    <n v="2567"/>
    <n v="416634"/>
    <n v="162.30385664199454"/>
  </r>
  <r>
    <x v="2849"/>
    <s v="May"/>
    <x v="5"/>
    <s v="745 Maple Ave"/>
    <x v="4"/>
    <x v="3"/>
    <n v="3"/>
    <n v="802"/>
    <n v="825400"/>
    <n v="1029.1770573566084"/>
  </r>
  <r>
    <x v="2407"/>
    <s v="Jun"/>
    <x v="12"/>
    <s v="929 Oak St"/>
    <x v="6"/>
    <x v="0"/>
    <m/>
    <n v="3112"/>
    <n v="693745"/>
    <n v="222.92577120822622"/>
  </r>
  <r>
    <x v="2464"/>
    <s v="Sep"/>
    <x v="11"/>
    <s v="980 Oak St"/>
    <x v="0"/>
    <x v="3"/>
    <m/>
    <n v="2918"/>
    <n v="465379"/>
    <n v="159.48560657984922"/>
  </r>
  <r>
    <x v="2850"/>
    <s v="Sep"/>
    <x v="10"/>
    <s v="264 Main St"/>
    <x v="1"/>
    <x v="0"/>
    <n v="4"/>
    <n v="815"/>
    <n v="483986"/>
    <n v="593.84785276073615"/>
  </r>
  <r>
    <x v="2851"/>
    <s v="Dec"/>
    <x v="16"/>
    <s v="352 Elm St"/>
    <x v="4"/>
    <x v="0"/>
    <m/>
    <n v="1468"/>
    <n v="318664"/>
    <n v="217.07356948228883"/>
  </r>
  <r>
    <x v="2852"/>
    <s v="Jan"/>
    <x v="8"/>
    <s v="778 Maple Ave"/>
    <x v="6"/>
    <x v="0"/>
    <n v="2"/>
    <n v="1462"/>
    <n v="161692"/>
    <n v="110.59644322845418"/>
  </r>
  <r>
    <x v="2853"/>
    <s v="Aug"/>
    <x v="9"/>
    <s v="725 Elm St"/>
    <x v="4"/>
    <x v="2"/>
    <n v="5"/>
    <n v="1433"/>
    <n v="394944"/>
    <n v="275.60642009769714"/>
  </r>
  <r>
    <x v="2524"/>
    <s v="Apr"/>
    <x v="5"/>
    <s v="524 Main St"/>
    <x v="0"/>
    <x v="2"/>
    <n v="3"/>
    <n v="1536"/>
    <n v="369810"/>
    <n v="240.76171875"/>
  </r>
  <r>
    <x v="2854"/>
    <s v="May"/>
    <x v="15"/>
    <s v="888 Oak St"/>
    <x v="6"/>
    <x v="2"/>
    <n v="3"/>
    <n v="2784"/>
    <n v="842538"/>
    <n v="302.63577586206895"/>
  </r>
  <r>
    <x v="2855"/>
    <s v="Mar"/>
    <x v="19"/>
    <s v="971 Maple Ave"/>
    <x v="6"/>
    <x v="0"/>
    <n v="3"/>
    <n v="2256"/>
    <n v="871367"/>
    <n v="386.24423758865248"/>
  </r>
  <r>
    <x v="2856"/>
    <s v="Jul"/>
    <x v="16"/>
    <s v="598 Main St"/>
    <x v="4"/>
    <x v="2"/>
    <n v="4"/>
    <n v="3326"/>
    <n v="253597"/>
    <n v="76.246843054720387"/>
  </r>
  <r>
    <x v="2857"/>
    <s v="Apr"/>
    <x v="16"/>
    <s v="288 Main St"/>
    <x v="4"/>
    <x v="0"/>
    <n v="2"/>
    <n v="1617"/>
    <n v="440616"/>
    <n v="272.48979591836735"/>
  </r>
  <r>
    <x v="864"/>
    <s v="Jan"/>
    <x v="12"/>
    <s v="140 Oak St"/>
    <x v="6"/>
    <x v="3"/>
    <m/>
    <n v="3461"/>
    <n v="442337"/>
    <n v="127.80612539728402"/>
  </r>
  <r>
    <x v="584"/>
    <s v="May"/>
    <x v="18"/>
    <s v="610 Main St"/>
    <x v="4"/>
    <x v="1"/>
    <n v="3"/>
    <n v="2075"/>
    <n v="485857"/>
    <n v="234.14795180722891"/>
  </r>
  <r>
    <x v="2858"/>
    <s v="Dec"/>
    <x v="5"/>
    <s v="153 Oak St"/>
    <x v="0"/>
    <x v="0"/>
    <n v="5"/>
    <n v="953"/>
    <n v="870900"/>
    <n v="913.85099685204614"/>
  </r>
  <r>
    <x v="832"/>
    <s v="Sep"/>
    <x v="6"/>
    <s v="248 Maple Ave"/>
    <x v="6"/>
    <x v="2"/>
    <n v="2"/>
    <n v="2338"/>
    <n v="559747"/>
    <n v="239.41274593669803"/>
  </r>
  <r>
    <x v="2453"/>
    <s v="Oct"/>
    <x v="14"/>
    <s v="595 Main St"/>
    <x v="5"/>
    <x v="0"/>
    <m/>
    <n v="1132"/>
    <n v="687913"/>
    <n v="607.69699646643107"/>
  </r>
  <r>
    <x v="263"/>
    <s v="Feb"/>
    <x v="13"/>
    <s v="687 Main St"/>
    <x v="0"/>
    <x v="2"/>
    <n v="4"/>
    <n v="1442"/>
    <n v="489274"/>
    <n v="339.30235783633844"/>
  </r>
  <r>
    <x v="2859"/>
    <s v="Oct"/>
    <x v="13"/>
    <s v="309 Oak St"/>
    <x v="1"/>
    <x v="0"/>
    <m/>
    <n v="2206"/>
    <n v="734797"/>
    <n v="333.09020852221215"/>
  </r>
  <r>
    <x v="2860"/>
    <s v="Dec"/>
    <x v="8"/>
    <s v="113 Main St"/>
    <x v="6"/>
    <x v="3"/>
    <m/>
    <n v="2966"/>
    <n v="495963"/>
    <n v="167.21611598111934"/>
  </r>
  <r>
    <x v="2861"/>
    <s v="Oct"/>
    <x v="15"/>
    <s v="819 Oak St"/>
    <x v="1"/>
    <x v="3"/>
    <n v="3"/>
    <n v="1816"/>
    <n v="765805"/>
    <n v="421.69878854625551"/>
  </r>
  <r>
    <x v="2862"/>
    <s v="Sep"/>
    <x v="9"/>
    <s v="372 Main St"/>
    <x v="1"/>
    <x v="1"/>
    <n v="2"/>
    <n v="2711"/>
    <n v="344365"/>
    <n v="127.02508299520473"/>
  </r>
  <r>
    <x v="2863"/>
    <s v="Dec"/>
    <x v="10"/>
    <s v="502 Pine Rd"/>
    <x v="6"/>
    <x v="3"/>
    <n v="5"/>
    <n v="3436"/>
    <n v="668482"/>
    <n v="194.5523864959255"/>
  </r>
  <r>
    <x v="2633"/>
    <s v="Jan"/>
    <x v="11"/>
    <s v="275 Maple Ave"/>
    <x v="1"/>
    <x v="0"/>
    <n v="2"/>
    <n v="2546"/>
    <n v="112832"/>
    <n v="44.317360565593084"/>
  </r>
  <r>
    <x v="2864"/>
    <s v="Nov"/>
    <x v="11"/>
    <s v="275 Elm St"/>
    <x v="5"/>
    <x v="2"/>
    <n v="5"/>
    <n v="2653"/>
    <n v="590745"/>
    <n v="222.67056162834527"/>
  </r>
  <r>
    <x v="851"/>
    <s v="Apr"/>
    <x v="12"/>
    <s v="357 Main St"/>
    <x v="5"/>
    <x v="2"/>
    <m/>
    <n v="2549"/>
    <n v="650014"/>
    <n v="255.00745390349155"/>
  </r>
  <r>
    <x v="2865"/>
    <s v="Mar"/>
    <x v="3"/>
    <s v="853 Maple Ave"/>
    <x v="4"/>
    <x v="2"/>
    <m/>
    <n v="2475"/>
    <m/>
    <n v="0"/>
  </r>
  <r>
    <x v="2866"/>
    <s v="Jul"/>
    <x v="11"/>
    <s v="919 Elm St"/>
    <x v="3"/>
    <x v="3"/>
    <m/>
    <n v="2155"/>
    <n v="198156"/>
    <n v="91.95174013921114"/>
  </r>
  <r>
    <x v="2132"/>
    <s v="Jan"/>
    <x v="19"/>
    <s v="418 Maple Ave"/>
    <x v="0"/>
    <x v="1"/>
    <n v="4"/>
    <n v="2632"/>
    <n v="669017"/>
    <n v="254.18579027355622"/>
  </r>
  <r>
    <x v="1898"/>
    <s v="Feb"/>
    <x v="19"/>
    <s v="228 Pine Rd"/>
    <x v="2"/>
    <x v="0"/>
    <m/>
    <n v="2267"/>
    <n v="623348"/>
    <n v="274.96603440670492"/>
  </r>
  <r>
    <x v="1151"/>
    <s v="Oct"/>
    <x v="7"/>
    <s v="282 Pine Rd"/>
    <x v="6"/>
    <x v="2"/>
    <n v="3"/>
    <n v="1556"/>
    <n v="352263"/>
    <n v="226.39010282776349"/>
  </r>
  <r>
    <x v="2867"/>
    <s v="Aug"/>
    <x v="9"/>
    <s v="300 Elm St"/>
    <x v="2"/>
    <x v="0"/>
    <m/>
    <n v="1292"/>
    <n v="634568"/>
    <n v="491.15170278637771"/>
  </r>
  <r>
    <x v="2868"/>
    <s v="Nov"/>
    <x v="1"/>
    <s v="608 Main St"/>
    <x v="0"/>
    <x v="2"/>
    <n v="3"/>
    <n v="1234"/>
    <n v="225326"/>
    <n v="182.59805510534846"/>
  </r>
  <r>
    <x v="2869"/>
    <s v="Oct"/>
    <x v="8"/>
    <s v="641 Main St"/>
    <x v="6"/>
    <x v="3"/>
    <n v="4"/>
    <n v="1004"/>
    <n v="679001"/>
    <n v="676.29581673306768"/>
  </r>
  <r>
    <x v="2288"/>
    <s v="Oct"/>
    <x v="10"/>
    <s v="667 Oak St"/>
    <x v="4"/>
    <x v="1"/>
    <m/>
    <n v="1807"/>
    <n v="122951"/>
    <n v="68.041505257332602"/>
  </r>
  <r>
    <x v="2870"/>
    <s v="Dec"/>
    <x v="11"/>
    <s v="209 Main St"/>
    <x v="2"/>
    <x v="1"/>
    <m/>
    <n v="1062"/>
    <n v="790583"/>
    <n v="744.42843691148778"/>
  </r>
  <r>
    <x v="2871"/>
    <s v="Oct"/>
    <x v="14"/>
    <s v="332 Oak St"/>
    <x v="6"/>
    <x v="3"/>
    <n v="4"/>
    <n v="1266"/>
    <n v="154187"/>
    <n v="121.79067930489731"/>
  </r>
  <r>
    <x v="1221"/>
    <s v="May"/>
    <x v="4"/>
    <s v="300 Maple Ave"/>
    <x v="5"/>
    <x v="2"/>
    <n v="3"/>
    <n v="2331"/>
    <n v="553098"/>
    <n v="237.27927927927928"/>
  </r>
  <r>
    <x v="2872"/>
    <s v="Aug"/>
    <x v="16"/>
    <s v="443 Main St"/>
    <x v="6"/>
    <x v="2"/>
    <n v="2"/>
    <n v="3375"/>
    <n v="423374"/>
    <n v="125.44414814814814"/>
  </r>
  <r>
    <x v="803"/>
    <s v="Feb"/>
    <x v="14"/>
    <s v="852 Oak St"/>
    <x v="1"/>
    <x v="0"/>
    <m/>
    <n v="1385"/>
    <n v="752941"/>
    <n v="543.63971119133578"/>
  </r>
  <r>
    <x v="2873"/>
    <s v="Apr"/>
    <x v="12"/>
    <s v="728 Main St"/>
    <x v="3"/>
    <x v="3"/>
    <n v="4"/>
    <n v="1283"/>
    <n v="793245"/>
    <n v="618.27357755261107"/>
  </r>
  <r>
    <x v="2874"/>
    <s v="Feb"/>
    <x v="13"/>
    <s v="427 Maple Ave"/>
    <x v="6"/>
    <x v="1"/>
    <m/>
    <n v="2815"/>
    <n v="581992"/>
    <n v="206.74671403197158"/>
  </r>
  <r>
    <x v="2875"/>
    <s v="Sep"/>
    <x v="19"/>
    <s v="817 Main St"/>
    <x v="4"/>
    <x v="0"/>
    <m/>
    <n v="2422"/>
    <n v="605260"/>
    <n v="249.9009083402147"/>
  </r>
  <r>
    <x v="2876"/>
    <s v="Aug"/>
    <x v="7"/>
    <s v="371 Main St"/>
    <x v="1"/>
    <x v="0"/>
    <n v="2"/>
    <n v="1225"/>
    <n v="240831"/>
    <n v="196.59673469387755"/>
  </r>
  <r>
    <x v="2877"/>
    <s v="Aug"/>
    <x v="16"/>
    <s v="582 Oak St"/>
    <x v="1"/>
    <x v="1"/>
    <n v="2"/>
    <n v="2803"/>
    <n v="190264"/>
    <n v="67.878701391366391"/>
  </r>
  <r>
    <x v="27"/>
    <s v="May"/>
    <x v="13"/>
    <s v="791 Elm St"/>
    <x v="0"/>
    <x v="3"/>
    <m/>
    <n v="2185"/>
    <n v="639615"/>
    <n v="292.72997711670479"/>
  </r>
  <r>
    <x v="2878"/>
    <s v="Nov"/>
    <x v="9"/>
    <s v="872 Oak St"/>
    <x v="0"/>
    <x v="1"/>
    <m/>
    <n v="3291"/>
    <n v="779505"/>
    <n v="236.85961713764814"/>
  </r>
  <r>
    <x v="2879"/>
    <s v="Apr"/>
    <x v="4"/>
    <s v="596 Elm St"/>
    <x v="0"/>
    <x v="2"/>
    <n v="5"/>
    <n v="2491"/>
    <n v="161487"/>
    <n v="64.828181453231636"/>
  </r>
  <r>
    <x v="2880"/>
    <s v="Feb"/>
    <x v="8"/>
    <s v="247 Elm St"/>
    <x v="0"/>
    <x v="1"/>
    <n v="2"/>
    <n v="3316"/>
    <n v="427836"/>
    <n v="129.02171290711701"/>
  </r>
  <r>
    <x v="2881"/>
    <s v="Jan"/>
    <x v="2"/>
    <s v="989 Elm St"/>
    <x v="3"/>
    <x v="3"/>
    <m/>
    <n v="2602"/>
    <n v="337421"/>
    <n v="129.67755572636435"/>
  </r>
  <r>
    <x v="2882"/>
    <s v="May"/>
    <x v="2"/>
    <s v="609 Main St"/>
    <x v="0"/>
    <x v="3"/>
    <n v="5"/>
    <n v="1828"/>
    <n v="892518"/>
    <n v="488.24835886214441"/>
  </r>
  <r>
    <x v="2883"/>
    <s v="Sep"/>
    <x v="10"/>
    <s v="219 Oak St"/>
    <x v="1"/>
    <x v="0"/>
    <n v="5"/>
    <n v="2493"/>
    <n v="605302"/>
    <n v="242.80064179703169"/>
  </r>
  <r>
    <x v="1836"/>
    <s v="Jan"/>
    <x v="13"/>
    <s v="101 Main St"/>
    <x v="3"/>
    <x v="2"/>
    <n v="4"/>
    <n v="3311"/>
    <n v="120716"/>
    <n v="36.459075807913017"/>
  </r>
  <r>
    <x v="503"/>
    <s v="Sep"/>
    <x v="12"/>
    <s v="388 Main St"/>
    <x v="3"/>
    <x v="2"/>
    <n v="5"/>
    <n v="3091"/>
    <n v="163915"/>
    <n v="53.029763830475574"/>
  </r>
  <r>
    <x v="2884"/>
    <s v="Jul"/>
    <x v="18"/>
    <s v="811 Main St"/>
    <x v="0"/>
    <x v="3"/>
    <n v="4"/>
    <n v="2328"/>
    <n v="136980"/>
    <n v="58.840206185567013"/>
  </r>
  <r>
    <x v="2885"/>
    <s v="Aug"/>
    <x v="19"/>
    <s v="731 Oak St"/>
    <x v="1"/>
    <x v="0"/>
    <n v="3"/>
    <n v="888"/>
    <n v="219002"/>
    <n v="246.62387387387386"/>
  </r>
  <r>
    <x v="577"/>
    <s v="Sep"/>
    <x v="8"/>
    <s v="611 Elm St"/>
    <x v="0"/>
    <x v="2"/>
    <m/>
    <n v="3173"/>
    <n v="179467"/>
    <n v="56.560668137409394"/>
  </r>
  <r>
    <x v="872"/>
    <s v="Feb"/>
    <x v="19"/>
    <s v="626 Main St"/>
    <x v="2"/>
    <x v="3"/>
    <n v="4"/>
    <n v="3054"/>
    <n v="401772"/>
    <n v="131.55599214145383"/>
  </r>
  <r>
    <x v="2886"/>
    <s v="May"/>
    <x v="14"/>
    <s v="174 Elm St"/>
    <x v="1"/>
    <x v="0"/>
    <m/>
    <n v="997"/>
    <n v="101034"/>
    <n v="101.33801404212637"/>
  </r>
  <r>
    <x v="2334"/>
    <s v="Dec"/>
    <x v="17"/>
    <s v="220 Oak St"/>
    <x v="6"/>
    <x v="0"/>
    <m/>
    <n v="3241"/>
    <n v="353796"/>
    <n v="109.16260413452638"/>
  </r>
  <r>
    <x v="2329"/>
    <s v="Jan"/>
    <x v="7"/>
    <s v="409 Elm St"/>
    <x v="4"/>
    <x v="1"/>
    <n v="4"/>
    <n v="1176"/>
    <n v="373720"/>
    <n v="317.78911564625849"/>
  </r>
  <r>
    <x v="2887"/>
    <s v="Aug"/>
    <x v="3"/>
    <s v="663 Oak St"/>
    <x v="1"/>
    <x v="1"/>
    <n v="5"/>
    <n v="2732"/>
    <n v="888724"/>
    <n v="325.30161054172765"/>
  </r>
  <r>
    <x v="2888"/>
    <s v="Aug"/>
    <x v="9"/>
    <s v="727 Pine Rd"/>
    <x v="6"/>
    <x v="1"/>
    <n v="5"/>
    <n v="2416"/>
    <n v="260270"/>
    <n v="107.72764900662251"/>
  </r>
  <r>
    <x v="2086"/>
    <s v="Nov"/>
    <x v="18"/>
    <s v="181 Elm St"/>
    <x v="6"/>
    <x v="1"/>
    <m/>
    <n v="2838"/>
    <n v="755936"/>
    <n v="266.36222692036648"/>
  </r>
  <r>
    <x v="2889"/>
    <s v="Oct"/>
    <x v="12"/>
    <s v="396 Oak St"/>
    <x v="0"/>
    <x v="3"/>
    <n v="5"/>
    <n v="2794"/>
    <n v="433305"/>
    <n v="155.08410880458123"/>
  </r>
  <r>
    <x v="2890"/>
    <s v="Jan"/>
    <x v="11"/>
    <s v="427 Pine Rd"/>
    <x v="0"/>
    <x v="2"/>
    <n v="5"/>
    <n v="1832"/>
    <n v="748916"/>
    <n v="408.79694323144105"/>
  </r>
  <r>
    <x v="133"/>
    <s v="Aug"/>
    <x v="9"/>
    <s v="787 Elm St"/>
    <x v="3"/>
    <x v="1"/>
    <n v="3"/>
    <n v="3118"/>
    <n v="768410"/>
    <n v="246.44323284156511"/>
  </r>
  <r>
    <x v="1281"/>
    <s v="Jan"/>
    <x v="18"/>
    <s v="695 Main St"/>
    <x v="5"/>
    <x v="3"/>
    <n v="2"/>
    <n v="2573"/>
    <n v="309640"/>
    <n v="120.34201321414692"/>
  </r>
  <r>
    <x v="2891"/>
    <s v="Sep"/>
    <x v="3"/>
    <s v="435 Maple Ave"/>
    <x v="0"/>
    <x v="1"/>
    <m/>
    <n v="3173"/>
    <n v="529257"/>
    <n v="166.80018909549324"/>
  </r>
  <r>
    <x v="2892"/>
    <s v="Aug"/>
    <x v="5"/>
    <s v="534 Oak St"/>
    <x v="4"/>
    <x v="3"/>
    <m/>
    <n v="1349"/>
    <n v="593772"/>
    <n v="440.15715344699777"/>
  </r>
  <r>
    <x v="2893"/>
    <s v="Mar"/>
    <x v="18"/>
    <s v="494 Pine Rd"/>
    <x v="3"/>
    <x v="2"/>
    <m/>
    <n v="2049"/>
    <n v="186326"/>
    <n v="90.935090287945343"/>
  </r>
  <r>
    <x v="2340"/>
    <s v="Jan"/>
    <x v="15"/>
    <s v="297 Pine Rd"/>
    <x v="4"/>
    <x v="2"/>
    <m/>
    <n v="1741"/>
    <n v="841160"/>
    <n v="483.14761631246409"/>
  </r>
  <r>
    <x v="2894"/>
    <s v="Jan"/>
    <x v="16"/>
    <s v="689 Main St"/>
    <x v="4"/>
    <x v="0"/>
    <m/>
    <n v="2613"/>
    <n v="486303"/>
    <n v="186.10907003444316"/>
  </r>
  <r>
    <x v="2895"/>
    <s v="Jun"/>
    <x v="6"/>
    <s v="593 Pine Rd"/>
    <x v="5"/>
    <x v="0"/>
    <m/>
    <n v="2846"/>
    <n v="689888"/>
    <n v="242.40618411806042"/>
  </r>
  <r>
    <x v="2896"/>
    <s v="Sep"/>
    <x v="5"/>
    <s v="618 Pine Rd"/>
    <x v="3"/>
    <x v="1"/>
    <n v="5"/>
    <n v="1954"/>
    <n v="675917"/>
    <n v="345.91453428863866"/>
  </r>
  <r>
    <x v="2897"/>
    <s v="Nov"/>
    <x v="1"/>
    <s v="540 Main St"/>
    <x v="0"/>
    <x v="1"/>
    <n v="5"/>
    <n v="3338"/>
    <n v="171968"/>
    <n v="51.518274415817856"/>
  </r>
  <r>
    <x v="2898"/>
    <s v="Aug"/>
    <x v="1"/>
    <s v="116 Oak St"/>
    <x v="6"/>
    <x v="2"/>
    <m/>
    <n v="3336"/>
    <n v="606459"/>
    <n v="181.79226618705036"/>
  </r>
  <r>
    <x v="2899"/>
    <s v="Nov"/>
    <x v="4"/>
    <s v="402 Pine Rd"/>
    <x v="4"/>
    <x v="2"/>
    <m/>
    <n v="2053"/>
    <n v="859018"/>
    <n v="418.42084754018509"/>
  </r>
  <r>
    <x v="2900"/>
    <s v="Jul"/>
    <x v="6"/>
    <s v="499 Elm St"/>
    <x v="6"/>
    <x v="2"/>
    <n v="4"/>
    <n v="2052"/>
    <n v="291641"/>
    <n v="142.12524366471735"/>
  </r>
  <r>
    <x v="2045"/>
    <s v="Apr"/>
    <x v="5"/>
    <s v="557 Maple Ave"/>
    <x v="5"/>
    <x v="1"/>
    <n v="2"/>
    <n v="1253"/>
    <n v="511286"/>
    <n v="408.04948124501198"/>
  </r>
  <r>
    <x v="2276"/>
    <s v="Mar"/>
    <x v="11"/>
    <s v="724 Main St"/>
    <x v="4"/>
    <x v="3"/>
    <n v="5"/>
    <n v="3334"/>
    <n v="244086"/>
    <n v="73.211157768446313"/>
  </r>
  <r>
    <x v="2180"/>
    <s v="Feb"/>
    <x v="15"/>
    <s v="122 Maple Ave"/>
    <x v="4"/>
    <x v="1"/>
    <m/>
    <n v="1717"/>
    <n v="493066"/>
    <n v="287.16715200931856"/>
  </r>
  <r>
    <x v="2473"/>
    <s v="Dec"/>
    <x v="10"/>
    <s v="875 Main St"/>
    <x v="5"/>
    <x v="3"/>
    <n v="4"/>
    <n v="3359"/>
    <n v="789392"/>
    <n v="235.00803810657933"/>
  </r>
  <r>
    <x v="2901"/>
    <s v="Sep"/>
    <x v="7"/>
    <s v="948 Oak St"/>
    <x v="4"/>
    <x v="3"/>
    <n v="3"/>
    <n v="2943"/>
    <n v="370251"/>
    <n v="125.80733944954129"/>
  </r>
  <r>
    <x v="2902"/>
    <s v="Jul"/>
    <x v="18"/>
    <s v="534 Oak St"/>
    <x v="0"/>
    <x v="3"/>
    <n v="5"/>
    <n v="2210"/>
    <n v="304141"/>
    <n v="137.62036199095022"/>
  </r>
  <r>
    <x v="2903"/>
    <s v="Jul"/>
    <x v="7"/>
    <s v="798 Main St"/>
    <x v="1"/>
    <x v="3"/>
    <n v="4"/>
    <n v="2513"/>
    <m/>
    <n v="0"/>
  </r>
  <r>
    <x v="1613"/>
    <s v="Oct"/>
    <x v="19"/>
    <s v="968 Pine Rd"/>
    <x v="3"/>
    <x v="0"/>
    <n v="4"/>
    <n v="2450"/>
    <n v="840391"/>
    <n v="343.01673469387754"/>
  </r>
  <r>
    <x v="2904"/>
    <s v="Jan"/>
    <x v="0"/>
    <s v="715 Maple Ave"/>
    <x v="0"/>
    <x v="3"/>
    <n v="2"/>
    <n v="2006"/>
    <n v="626956"/>
    <n v="312.54037886340979"/>
  </r>
  <r>
    <x v="2905"/>
    <s v="Nov"/>
    <x v="17"/>
    <s v="939 Pine Rd"/>
    <x v="3"/>
    <x v="2"/>
    <n v="3"/>
    <n v="1090"/>
    <n v="693089"/>
    <n v="635.86146788990823"/>
  </r>
  <r>
    <x v="2906"/>
    <s v="Jun"/>
    <x v="19"/>
    <s v="663 Elm St"/>
    <x v="3"/>
    <x v="3"/>
    <m/>
    <n v="3147"/>
    <n v="761785"/>
    <n v="242.06704798220528"/>
  </r>
  <r>
    <x v="2198"/>
    <s v="Nov"/>
    <x v="11"/>
    <s v="907 Elm St"/>
    <x v="0"/>
    <x v="3"/>
    <m/>
    <n v="940"/>
    <n v="576968"/>
    <n v="613.79574468085104"/>
  </r>
  <r>
    <x v="1"/>
    <s v="Jul"/>
    <x v="1"/>
    <s v="861 Oak St"/>
    <x v="0"/>
    <x v="2"/>
    <n v="5"/>
    <n v="2646"/>
    <n v="145736"/>
    <n v="55.077853363567648"/>
  </r>
  <r>
    <x v="2907"/>
    <s v="Sep"/>
    <x v="1"/>
    <s v="167 Elm St"/>
    <x v="2"/>
    <x v="3"/>
    <m/>
    <n v="3370"/>
    <n v="180188"/>
    <n v="53.468249258160235"/>
  </r>
  <r>
    <x v="2145"/>
    <s v="Nov"/>
    <x v="17"/>
    <s v="127 Main St"/>
    <x v="0"/>
    <x v="2"/>
    <m/>
    <n v="1895"/>
    <n v="606950"/>
    <n v="320.29023746701847"/>
  </r>
  <r>
    <x v="2908"/>
    <s v="Jan"/>
    <x v="9"/>
    <s v="545 Maple Ave"/>
    <x v="4"/>
    <x v="3"/>
    <n v="2"/>
    <n v="1929"/>
    <n v="102879"/>
    <n v="53.332814930015552"/>
  </r>
  <r>
    <x v="2909"/>
    <s v="May"/>
    <x v="2"/>
    <s v="990 Oak St"/>
    <x v="0"/>
    <x v="3"/>
    <n v="2"/>
    <n v="1812"/>
    <n v="689661"/>
    <n v="380.60761589403972"/>
  </r>
  <r>
    <x v="1208"/>
    <s v="Oct"/>
    <x v="10"/>
    <s v="345 Main St"/>
    <x v="1"/>
    <x v="1"/>
    <n v="3"/>
    <n v="2251"/>
    <n v="197863"/>
    <n v="87.900044424700127"/>
  </r>
  <r>
    <x v="2910"/>
    <s v="Jan"/>
    <x v="13"/>
    <s v="169 Elm St"/>
    <x v="3"/>
    <x v="3"/>
    <m/>
    <n v="887"/>
    <n v="366856"/>
    <n v="413.59188275084557"/>
  </r>
  <r>
    <x v="1303"/>
    <s v="Dec"/>
    <x v="1"/>
    <s v="519 Elm St"/>
    <x v="6"/>
    <x v="0"/>
    <n v="4"/>
    <n v="1093"/>
    <n v="599335"/>
    <n v="548.33943275388833"/>
  </r>
  <r>
    <x v="2911"/>
    <s v="Sep"/>
    <x v="4"/>
    <s v="278 Oak St"/>
    <x v="6"/>
    <x v="1"/>
    <n v="2"/>
    <n v="925"/>
    <n v="570878"/>
    <n v="617.16540540540541"/>
  </r>
  <r>
    <x v="486"/>
    <s v="Aug"/>
    <x v="14"/>
    <s v="698 Maple Ave"/>
    <x v="5"/>
    <x v="2"/>
    <n v="3"/>
    <n v="1875"/>
    <n v="883085"/>
    <n v="470.97866666666664"/>
  </r>
  <r>
    <x v="2912"/>
    <s v="Oct"/>
    <x v="12"/>
    <s v="578 Elm St"/>
    <x v="0"/>
    <x v="0"/>
    <n v="2"/>
    <n v="3249"/>
    <n v="305768"/>
    <n v="94.111418898122494"/>
  </r>
  <r>
    <x v="300"/>
    <s v="Aug"/>
    <x v="17"/>
    <s v="855 Oak St"/>
    <x v="1"/>
    <x v="0"/>
    <n v="4"/>
    <n v="1554"/>
    <n v="333234"/>
    <n v="214.43629343629343"/>
  </r>
  <r>
    <x v="2913"/>
    <s v="Jun"/>
    <x v="15"/>
    <s v="677 Pine Rd"/>
    <x v="4"/>
    <x v="0"/>
    <m/>
    <n v="2947"/>
    <n v="779902"/>
    <n v="264.64268747879197"/>
  </r>
  <r>
    <x v="2914"/>
    <s v="Jan"/>
    <x v="18"/>
    <s v="905 Oak St"/>
    <x v="1"/>
    <x v="1"/>
    <m/>
    <n v="2692"/>
    <n v="488398"/>
    <n v="181.42570579494799"/>
  </r>
  <r>
    <x v="1451"/>
    <s v="Jul"/>
    <x v="18"/>
    <s v="285 Elm St"/>
    <x v="0"/>
    <x v="3"/>
    <n v="5"/>
    <n v="3159"/>
    <n v="391739"/>
    <n v="124.00728078505857"/>
  </r>
  <r>
    <x v="2915"/>
    <s v="Apr"/>
    <x v="13"/>
    <s v="900 Main St"/>
    <x v="0"/>
    <x v="1"/>
    <n v="5"/>
    <n v="1028"/>
    <n v="355530"/>
    <n v="345.8463035019455"/>
  </r>
  <r>
    <x v="2916"/>
    <s v="Nov"/>
    <x v="8"/>
    <s v="639 Maple Ave"/>
    <x v="4"/>
    <x v="2"/>
    <n v="4"/>
    <n v="3268"/>
    <n v="697292"/>
    <n v="213.36964504283966"/>
  </r>
  <r>
    <x v="2917"/>
    <s v="Nov"/>
    <x v="8"/>
    <s v="912 Elm St"/>
    <x v="6"/>
    <x v="1"/>
    <n v="2"/>
    <n v="1133"/>
    <n v="840961"/>
    <n v="742.242718446602"/>
  </r>
  <r>
    <x v="1013"/>
    <s v="Dec"/>
    <x v="11"/>
    <s v="945 Pine Rd"/>
    <x v="6"/>
    <x v="2"/>
    <n v="3"/>
    <n v="2623"/>
    <n v="186715"/>
    <n v="71.183759054517722"/>
  </r>
  <r>
    <x v="2918"/>
    <s v="Dec"/>
    <x v="0"/>
    <s v="671 Pine Rd"/>
    <x v="6"/>
    <x v="0"/>
    <m/>
    <n v="1413"/>
    <n v="714657"/>
    <n v="505.77282377919323"/>
  </r>
  <r>
    <x v="561"/>
    <s v="Feb"/>
    <x v="13"/>
    <s v="908 Pine Rd"/>
    <x v="2"/>
    <x v="2"/>
    <n v="4"/>
    <n v="2647"/>
    <n v="789589"/>
    <n v="298.29580657347941"/>
  </r>
  <r>
    <x v="2919"/>
    <s v="Aug"/>
    <x v="1"/>
    <s v="276 Oak St"/>
    <x v="0"/>
    <x v="1"/>
    <n v="3"/>
    <n v="1711"/>
    <n v="789512"/>
    <n v="461.43308007013445"/>
  </r>
  <r>
    <x v="2920"/>
    <s v="Feb"/>
    <x v="17"/>
    <s v="963 Main St"/>
    <x v="3"/>
    <x v="0"/>
    <m/>
    <n v="2456"/>
    <n v="667028"/>
    <n v="271.59120521172639"/>
  </r>
  <r>
    <x v="2113"/>
    <s v="Dec"/>
    <x v="5"/>
    <s v="893 Maple Ave"/>
    <x v="4"/>
    <x v="2"/>
    <n v="5"/>
    <n v="2667"/>
    <n v="630734"/>
    <n v="236.49568803899513"/>
  </r>
  <r>
    <x v="2921"/>
    <s v="Oct"/>
    <x v="17"/>
    <s v="802 Maple Ave"/>
    <x v="2"/>
    <x v="3"/>
    <n v="5"/>
    <n v="2112"/>
    <n v="480089"/>
    <n v="227.31486742424244"/>
  </r>
  <r>
    <x v="2341"/>
    <s v="Dec"/>
    <x v="18"/>
    <s v="703 Maple Ave"/>
    <x v="3"/>
    <x v="3"/>
    <n v="3"/>
    <n v="876"/>
    <n v="870337"/>
    <n v="993.53538812785393"/>
  </r>
  <r>
    <x v="589"/>
    <s v="May"/>
    <x v="2"/>
    <s v="768 Maple Ave"/>
    <x v="0"/>
    <x v="2"/>
    <n v="2"/>
    <n v="2388"/>
    <n v="771294"/>
    <n v="322.98743718592965"/>
  </r>
  <r>
    <x v="1913"/>
    <s v="Mar"/>
    <x v="5"/>
    <s v="349 Pine Rd"/>
    <x v="6"/>
    <x v="3"/>
    <m/>
    <n v="2579"/>
    <n v="394659"/>
    <n v="153.02791779759596"/>
  </r>
  <r>
    <x v="2922"/>
    <s v="Feb"/>
    <x v="8"/>
    <s v="545 Oak St"/>
    <x v="0"/>
    <x v="0"/>
    <m/>
    <n v="1609"/>
    <n v="653152"/>
    <n v="405.93660658794283"/>
  </r>
  <r>
    <x v="2923"/>
    <s v="Apr"/>
    <x v="13"/>
    <s v="881 Oak St"/>
    <x v="2"/>
    <x v="3"/>
    <n v="3"/>
    <n v="2379"/>
    <n v="408151"/>
    <n v="171.56410256410257"/>
  </r>
  <r>
    <x v="2924"/>
    <s v="Sep"/>
    <x v="14"/>
    <s v="574 Maple Ave"/>
    <x v="4"/>
    <x v="0"/>
    <m/>
    <n v="2131"/>
    <n v="496091"/>
    <n v="232.7972782731112"/>
  </r>
  <r>
    <x v="2376"/>
    <s v="Sep"/>
    <x v="18"/>
    <s v="694 Main St"/>
    <x v="6"/>
    <x v="0"/>
    <m/>
    <n v="2346"/>
    <n v="428096"/>
    <n v="182.47911338448424"/>
  </r>
  <r>
    <x v="2925"/>
    <s v="Oct"/>
    <x v="15"/>
    <s v="112 Oak St"/>
    <x v="6"/>
    <x v="1"/>
    <n v="4"/>
    <n v="2788"/>
    <n v="276079"/>
    <n v="99.024031563845057"/>
  </r>
  <r>
    <x v="1530"/>
    <s v="Oct"/>
    <x v="4"/>
    <s v="501 Oak St"/>
    <x v="2"/>
    <x v="3"/>
    <m/>
    <n v="1124"/>
    <n v="822585"/>
    <n v="731.83718861209968"/>
  </r>
  <r>
    <x v="2065"/>
    <s v="Feb"/>
    <x v="18"/>
    <s v="279 Pine Rd"/>
    <x v="6"/>
    <x v="0"/>
    <n v="2"/>
    <n v="1430"/>
    <n v="676159"/>
    <n v="472.83846153846156"/>
  </r>
  <r>
    <x v="2926"/>
    <s v="Jun"/>
    <x v="12"/>
    <s v="190 Elm St"/>
    <x v="0"/>
    <x v="1"/>
    <n v="3"/>
    <n v="1427"/>
    <n v="312526"/>
    <n v="219.00911002102313"/>
  </r>
  <r>
    <x v="174"/>
    <s v="Oct"/>
    <x v="12"/>
    <s v="452 Pine Rd"/>
    <x v="6"/>
    <x v="1"/>
    <m/>
    <n v="1399"/>
    <n v="241329"/>
    <n v="172.50107219442458"/>
  </r>
  <r>
    <x v="2927"/>
    <s v="Feb"/>
    <x v="3"/>
    <s v="547 Main St"/>
    <x v="6"/>
    <x v="0"/>
    <n v="5"/>
    <n v="3237"/>
    <n v="719892"/>
    <n v="222.39481000926784"/>
  </r>
  <r>
    <x v="2555"/>
    <s v="Sep"/>
    <x v="12"/>
    <s v="116 Oak St"/>
    <x v="6"/>
    <x v="2"/>
    <n v="4"/>
    <n v="2737"/>
    <n v="620970"/>
    <n v="226.87979539641944"/>
  </r>
  <r>
    <x v="2928"/>
    <s v="Mar"/>
    <x v="13"/>
    <s v="360 Pine Rd"/>
    <x v="1"/>
    <x v="3"/>
    <m/>
    <n v="1716"/>
    <n v="281483"/>
    <n v="164.03438228438227"/>
  </r>
  <r>
    <x v="2929"/>
    <s v="Aug"/>
    <x v="15"/>
    <s v="776 Elm St"/>
    <x v="6"/>
    <x v="1"/>
    <m/>
    <n v="2126"/>
    <n v="139906"/>
    <n v="65.807149576669801"/>
  </r>
  <r>
    <x v="459"/>
    <s v="Nov"/>
    <x v="12"/>
    <s v="300 Elm St"/>
    <x v="4"/>
    <x v="1"/>
    <n v="3"/>
    <n v="2137"/>
    <n v="654887"/>
    <n v="306.45156761815628"/>
  </r>
  <r>
    <x v="2930"/>
    <s v="Feb"/>
    <x v="0"/>
    <s v="780 Elm St"/>
    <x v="4"/>
    <x v="1"/>
    <m/>
    <n v="2340"/>
    <n v="228485"/>
    <n v="97.643162393162399"/>
  </r>
  <r>
    <x v="2931"/>
    <s v="Feb"/>
    <x v="14"/>
    <s v="684 Pine Rd"/>
    <x v="1"/>
    <x v="2"/>
    <n v="4"/>
    <n v="1955"/>
    <n v="607743"/>
    <n v="310.86598465473145"/>
  </r>
  <r>
    <x v="2932"/>
    <s v="Jan"/>
    <x v="8"/>
    <s v="203 Main St"/>
    <x v="3"/>
    <x v="2"/>
    <n v="3"/>
    <n v="1187"/>
    <n v="118948"/>
    <n v="100.2089300758214"/>
  </r>
  <r>
    <x v="1799"/>
    <s v="Dec"/>
    <x v="8"/>
    <s v="893 Pine Rd"/>
    <x v="2"/>
    <x v="3"/>
    <n v="4"/>
    <n v="1663"/>
    <n v="259267"/>
    <n v="155.90318701142513"/>
  </r>
  <r>
    <x v="2933"/>
    <s v="Jul"/>
    <x v="19"/>
    <s v="937 Elm St"/>
    <x v="0"/>
    <x v="2"/>
    <n v="3"/>
    <n v="2971"/>
    <n v="664902"/>
    <n v="223.79737462133963"/>
  </r>
  <r>
    <x v="2934"/>
    <s v="Aug"/>
    <x v="12"/>
    <s v="466 Maple Ave"/>
    <x v="4"/>
    <x v="1"/>
    <n v="4"/>
    <n v="1647"/>
    <n v="230390"/>
    <n v="139.88463873709776"/>
  </r>
  <r>
    <x v="237"/>
    <s v="Jun"/>
    <x v="16"/>
    <s v="499 Elm St"/>
    <x v="0"/>
    <x v="0"/>
    <n v="4"/>
    <n v="1013"/>
    <n v="875279"/>
    <n v="864.0463968410661"/>
  </r>
  <r>
    <x v="1168"/>
    <s v="Aug"/>
    <x v="0"/>
    <s v="341 Main St"/>
    <x v="5"/>
    <x v="1"/>
    <n v="5"/>
    <n v="1815"/>
    <n v="812918"/>
    <n v="447.88870523415977"/>
  </r>
  <r>
    <x v="2935"/>
    <s v="Feb"/>
    <x v="5"/>
    <s v="334 Elm St"/>
    <x v="6"/>
    <x v="2"/>
    <n v="3"/>
    <n v="1907"/>
    <n v="156964"/>
    <n v="82.309386470896698"/>
  </r>
  <r>
    <x v="2936"/>
    <s v="Sep"/>
    <x v="9"/>
    <s v="993 Pine Rd"/>
    <x v="2"/>
    <x v="2"/>
    <n v="4"/>
    <n v="1876"/>
    <n v="675364"/>
    <n v="360.00213219616205"/>
  </r>
  <r>
    <x v="27"/>
    <s v="May"/>
    <x v="13"/>
    <s v="328 Maple Ave"/>
    <x v="1"/>
    <x v="0"/>
    <n v="5"/>
    <n v="2794"/>
    <n v="394131"/>
    <n v="141.06335003579099"/>
  </r>
  <r>
    <x v="2937"/>
    <s v="Aug"/>
    <x v="11"/>
    <s v="596 Oak St"/>
    <x v="4"/>
    <x v="3"/>
    <n v="4"/>
    <n v="1671"/>
    <n v="518938"/>
    <n v="310.55535607420705"/>
  </r>
  <r>
    <x v="2938"/>
    <s v="Oct"/>
    <x v="9"/>
    <s v="970 Maple Ave"/>
    <x v="0"/>
    <x v="1"/>
    <n v="5"/>
    <n v="2240"/>
    <n v="805680"/>
    <n v="359.67857142857144"/>
  </r>
  <r>
    <x v="2939"/>
    <s v="Oct"/>
    <x v="12"/>
    <s v="424 Oak St"/>
    <x v="0"/>
    <x v="2"/>
    <n v="3"/>
    <n v="815"/>
    <n v="401326"/>
    <n v="492.42453987730062"/>
  </r>
  <r>
    <x v="228"/>
    <s v="Sep"/>
    <x v="8"/>
    <s v="673 Main St"/>
    <x v="4"/>
    <x v="3"/>
    <n v="2"/>
    <n v="3320"/>
    <n v="679459"/>
    <n v="204.65632530120482"/>
  </r>
  <r>
    <x v="2940"/>
    <s v="Jun"/>
    <x v="0"/>
    <s v="219 Pine Rd"/>
    <x v="5"/>
    <x v="3"/>
    <n v="3"/>
    <n v="2062"/>
    <n v="383440"/>
    <n v="185.95538312318138"/>
  </r>
  <r>
    <x v="2717"/>
    <s v="Jun"/>
    <x v="0"/>
    <s v="402 Oak St"/>
    <x v="6"/>
    <x v="2"/>
    <m/>
    <n v="2294"/>
    <n v="751275"/>
    <n v="327.4956408020924"/>
  </r>
  <r>
    <x v="2941"/>
    <s v="Nov"/>
    <x v="15"/>
    <s v="129 Maple Ave"/>
    <x v="2"/>
    <x v="1"/>
    <n v="5"/>
    <n v="3176"/>
    <n v="529891"/>
    <n v="166.84225440806046"/>
  </r>
  <r>
    <x v="2942"/>
    <s v="Jun"/>
    <x v="8"/>
    <s v="780 Pine Rd"/>
    <x v="6"/>
    <x v="2"/>
    <n v="4"/>
    <n v="3371"/>
    <n v="414429"/>
    <n v="122.9394838326906"/>
  </r>
  <r>
    <x v="1464"/>
    <s v="Jul"/>
    <x v="6"/>
    <s v="580 Elm St"/>
    <x v="1"/>
    <x v="0"/>
    <n v="4"/>
    <n v="3169"/>
    <n v="507060"/>
    <n v="160.00631113916063"/>
  </r>
  <r>
    <x v="2943"/>
    <s v="Jul"/>
    <x v="8"/>
    <s v="961 Main St"/>
    <x v="6"/>
    <x v="3"/>
    <n v="2"/>
    <n v="2248"/>
    <n v="898104"/>
    <n v="399.51245551601426"/>
  </r>
  <r>
    <x v="2944"/>
    <s v="May"/>
    <x v="7"/>
    <s v="681 Elm St"/>
    <x v="6"/>
    <x v="3"/>
    <m/>
    <n v="2081"/>
    <n v="661813"/>
    <n v="318.02642960115327"/>
  </r>
  <r>
    <x v="1602"/>
    <s v="Apr"/>
    <x v="3"/>
    <s v="879 Maple Ave"/>
    <x v="3"/>
    <x v="3"/>
    <n v="2"/>
    <n v="2144"/>
    <n v="556630"/>
    <n v="259.62220149253733"/>
  </r>
  <r>
    <x v="2625"/>
    <s v="Sep"/>
    <x v="10"/>
    <s v="675 Main St"/>
    <x v="6"/>
    <x v="1"/>
    <n v="2"/>
    <n v="2803"/>
    <n v="571307"/>
    <n v="203.81983589011773"/>
  </r>
  <r>
    <x v="446"/>
    <s v="Nov"/>
    <x v="2"/>
    <s v="727 Pine Rd"/>
    <x v="6"/>
    <x v="0"/>
    <n v="5"/>
    <n v="2292"/>
    <m/>
    <n v="0"/>
  </r>
  <r>
    <x v="2945"/>
    <s v="Apr"/>
    <x v="13"/>
    <s v="938 Pine Rd"/>
    <x v="0"/>
    <x v="1"/>
    <n v="5"/>
    <n v="1099"/>
    <n v="463337"/>
    <n v="421.59872611464971"/>
  </r>
  <r>
    <x v="2877"/>
    <s v="Aug"/>
    <x v="16"/>
    <s v="199 Oak St"/>
    <x v="0"/>
    <x v="1"/>
    <n v="5"/>
    <n v="1046"/>
    <n v="455064"/>
    <n v="435.05162523900572"/>
  </r>
  <r>
    <x v="1849"/>
    <s v="Jul"/>
    <x v="11"/>
    <s v="501 Maple Ave"/>
    <x v="4"/>
    <x v="1"/>
    <m/>
    <n v="2959"/>
    <n v="132612"/>
    <n v="44.816492058127743"/>
  </r>
  <r>
    <x v="2946"/>
    <s v="Jul"/>
    <x v="2"/>
    <s v="941 Pine Rd"/>
    <x v="0"/>
    <x v="0"/>
    <n v="3"/>
    <n v="2085"/>
    <n v="408847"/>
    <n v="196.08968824940047"/>
  </r>
  <r>
    <x v="2235"/>
    <s v="Oct"/>
    <x v="3"/>
    <s v="427 Oak St"/>
    <x v="0"/>
    <x v="0"/>
    <m/>
    <n v="2207"/>
    <n v="526488"/>
    <n v="238.55369279565019"/>
  </r>
  <r>
    <x v="2947"/>
    <s v="Aug"/>
    <x v="17"/>
    <s v="599 Main St"/>
    <x v="5"/>
    <x v="1"/>
    <n v="5"/>
    <n v="3131"/>
    <n v="614381"/>
    <n v="196.22516767805814"/>
  </r>
  <r>
    <x v="1981"/>
    <s v="Nov"/>
    <x v="2"/>
    <s v="734 Main St"/>
    <x v="4"/>
    <x v="0"/>
    <m/>
    <n v="1209"/>
    <n v="735218"/>
    <n v="608.12076095947066"/>
  </r>
  <r>
    <x v="2948"/>
    <s v="Mar"/>
    <x v="16"/>
    <s v="376 Pine Rd"/>
    <x v="4"/>
    <x v="1"/>
    <m/>
    <n v="2869"/>
    <n v="176454"/>
    <n v="61.503659811781105"/>
  </r>
  <r>
    <x v="1513"/>
    <s v="Jun"/>
    <x v="0"/>
    <s v="791 Maple Ave"/>
    <x v="1"/>
    <x v="2"/>
    <m/>
    <n v="2706"/>
    <n v="735044"/>
    <n v="271.63488543976348"/>
  </r>
  <r>
    <x v="2405"/>
    <s v="Sep"/>
    <x v="3"/>
    <s v="643 Elm St"/>
    <x v="0"/>
    <x v="3"/>
    <n v="4"/>
    <n v="2954"/>
    <n v="378270"/>
    <n v="128.05348679756261"/>
  </r>
  <r>
    <x v="2949"/>
    <s v="Jun"/>
    <x v="9"/>
    <s v="867 Elm St"/>
    <x v="4"/>
    <x v="0"/>
    <m/>
    <n v="3291"/>
    <n v="345940"/>
    <n v="105.11698571862655"/>
  </r>
  <r>
    <x v="2950"/>
    <s v="Feb"/>
    <x v="15"/>
    <s v="129 Pine Rd"/>
    <x v="4"/>
    <x v="2"/>
    <m/>
    <n v="2462"/>
    <n v="229509"/>
    <n v="93.220552396425674"/>
  </r>
  <r>
    <x v="2951"/>
    <s v="Mar"/>
    <x v="11"/>
    <s v="923 Pine Rd"/>
    <x v="3"/>
    <x v="0"/>
    <m/>
    <n v="1726"/>
    <n v="626027"/>
    <n v="362.70393974507533"/>
  </r>
  <r>
    <x v="2952"/>
    <s v="Sep"/>
    <x v="19"/>
    <s v="383 Oak St"/>
    <x v="2"/>
    <x v="3"/>
    <m/>
    <n v="1455"/>
    <n v="408957"/>
    <n v="281.07010309278348"/>
  </r>
  <r>
    <x v="2824"/>
    <s v="Nov"/>
    <x v="19"/>
    <s v="505 Oak St"/>
    <x v="3"/>
    <x v="1"/>
    <n v="2"/>
    <n v="1245"/>
    <n v="476355"/>
    <n v="382.6144578313253"/>
  </r>
  <r>
    <x v="448"/>
    <s v="Jan"/>
    <x v="11"/>
    <s v="169 Maple Ave"/>
    <x v="0"/>
    <x v="2"/>
    <n v="5"/>
    <n v="1896"/>
    <n v="115039"/>
    <n v="60.674578059071727"/>
  </r>
  <r>
    <x v="115"/>
    <s v="Feb"/>
    <x v="0"/>
    <s v="575 Main St"/>
    <x v="4"/>
    <x v="1"/>
    <n v="5"/>
    <n v="2191"/>
    <n v="145054"/>
    <n v="66.204472843450475"/>
  </r>
  <r>
    <x v="2953"/>
    <s v="Jan"/>
    <x v="18"/>
    <s v="504 Elm St"/>
    <x v="4"/>
    <x v="3"/>
    <m/>
    <n v="3467"/>
    <n v="525941"/>
    <n v="151.69916354196712"/>
  </r>
  <r>
    <x v="2732"/>
    <s v="Jul"/>
    <x v="19"/>
    <s v="932 Maple Ave"/>
    <x v="5"/>
    <x v="0"/>
    <n v="2"/>
    <n v="1865"/>
    <n v="668236"/>
    <n v="358.30348525469168"/>
  </r>
  <r>
    <x v="103"/>
    <s v="Nov"/>
    <x v="9"/>
    <s v="740 Oak St"/>
    <x v="4"/>
    <x v="3"/>
    <m/>
    <n v="2398"/>
    <n v="299520"/>
    <n v="124.90408673894912"/>
  </r>
  <r>
    <x v="1953"/>
    <s v="Mar"/>
    <x v="4"/>
    <s v="795 Oak St"/>
    <x v="1"/>
    <x v="0"/>
    <n v="5"/>
    <n v="2227"/>
    <n v="837795"/>
    <n v="376.1989223170184"/>
  </r>
  <r>
    <x v="2954"/>
    <s v="Nov"/>
    <x v="7"/>
    <s v="504 Maple Ave"/>
    <x v="2"/>
    <x v="0"/>
    <n v="2"/>
    <n v="2379"/>
    <n v="383079"/>
    <n v="161.0252206809584"/>
  </r>
  <r>
    <x v="2282"/>
    <s v="Mar"/>
    <x v="1"/>
    <s v="805 Main St"/>
    <x v="3"/>
    <x v="1"/>
    <m/>
    <n v="2200"/>
    <n v="253505"/>
    <n v="115.22954545454546"/>
  </r>
  <r>
    <x v="2955"/>
    <s v="Sep"/>
    <x v="9"/>
    <s v="967 Maple Ave"/>
    <x v="0"/>
    <x v="3"/>
    <m/>
    <n v="2221"/>
    <n v="409980"/>
    <n v="184.59252588923908"/>
  </r>
  <r>
    <x v="2956"/>
    <s v="Sep"/>
    <x v="18"/>
    <s v="135 Pine Rd"/>
    <x v="2"/>
    <x v="3"/>
    <n v="3"/>
    <n v="1298"/>
    <n v="845971"/>
    <n v="651.74961479198771"/>
  </r>
  <r>
    <x v="1435"/>
    <s v="Jan"/>
    <x v="14"/>
    <s v="559 Maple Ave"/>
    <x v="6"/>
    <x v="3"/>
    <n v="4"/>
    <n v="1775"/>
    <n v="486656"/>
    <n v="274.17239436619718"/>
  </r>
  <r>
    <x v="1140"/>
    <s v="Apr"/>
    <x v="8"/>
    <s v="928 Main St"/>
    <x v="0"/>
    <x v="3"/>
    <n v="2"/>
    <n v="2983"/>
    <n v="306131"/>
    <n v="102.62520952061683"/>
  </r>
  <r>
    <x v="2957"/>
    <s v="Mar"/>
    <x v="13"/>
    <s v="160 Main St"/>
    <x v="0"/>
    <x v="1"/>
    <m/>
    <n v="2710"/>
    <n v="158192"/>
    <n v="58.373431734317343"/>
  </r>
  <r>
    <x v="1391"/>
    <s v="Dec"/>
    <x v="7"/>
    <s v="324 Elm St"/>
    <x v="6"/>
    <x v="1"/>
    <m/>
    <n v="3268"/>
    <n v="274636"/>
    <n v="84.037943696450427"/>
  </r>
  <r>
    <x v="2958"/>
    <s v="Aug"/>
    <x v="8"/>
    <s v="829 Pine Rd"/>
    <x v="2"/>
    <x v="2"/>
    <n v="5"/>
    <n v="1239"/>
    <n v="353231"/>
    <n v="285.09362389023408"/>
  </r>
  <r>
    <x v="2959"/>
    <s v="Sep"/>
    <x v="7"/>
    <s v="306 Maple Ave"/>
    <x v="6"/>
    <x v="0"/>
    <m/>
    <n v="2610"/>
    <n v="523686"/>
    <n v="200.64597701149424"/>
  </r>
  <r>
    <x v="1141"/>
    <s v="Jul"/>
    <x v="0"/>
    <s v="510 Main St"/>
    <x v="0"/>
    <x v="2"/>
    <n v="4"/>
    <n v="2550"/>
    <n v="748182"/>
    <n v="293.40470588235291"/>
  </r>
  <r>
    <x v="2960"/>
    <s v="Jan"/>
    <x v="19"/>
    <s v="272 Oak St"/>
    <x v="4"/>
    <x v="0"/>
    <n v="4"/>
    <n v="3324"/>
    <n v="132829"/>
    <n v="39.960589651022865"/>
  </r>
  <r>
    <x v="2961"/>
    <s v="Sep"/>
    <x v="11"/>
    <s v="284 Pine Rd"/>
    <x v="1"/>
    <x v="3"/>
    <n v="2"/>
    <n v="1039"/>
    <n v="649352"/>
    <n v="624.97786333012516"/>
  </r>
  <r>
    <x v="1977"/>
    <s v="Dec"/>
    <x v="0"/>
    <s v="359 Oak St"/>
    <x v="1"/>
    <x v="0"/>
    <n v="3"/>
    <n v="3033"/>
    <n v="671594"/>
    <n v="221.42894823606989"/>
  </r>
  <r>
    <x v="1032"/>
    <s v="Aug"/>
    <x v="16"/>
    <s v="276 Main St"/>
    <x v="4"/>
    <x v="2"/>
    <n v="5"/>
    <n v="3071"/>
    <n v="684885"/>
    <n v="223.01693259524586"/>
  </r>
  <r>
    <x v="2962"/>
    <s v="Aug"/>
    <x v="10"/>
    <s v="201 Pine Rd"/>
    <x v="6"/>
    <x v="2"/>
    <n v="2"/>
    <n v="1373"/>
    <n v="503387"/>
    <n v="366.63292061179897"/>
  </r>
  <r>
    <x v="2963"/>
    <s v="Oct"/>
    <x v="9"/>
    <s v="238 Maple Ave"/>
    <x v="0"/>
    <x v="0"/>
    <m/>
    <n v="1656"/>
    <n v="627879"/>
    <n v="379.15398550724638"/>
  </r>
  <r>
    <x v="374"/>
    <s v="Oct"/>
    <x v="16"/>
    <s v="270 Maple Ave"/>
    <x v="5"/>
    <x v="3"/>
    <m/>
    <n v="1808"/>
    <n v="735576"/>
    <n v="406.84513274336285"/>
  </r>
  <r>
    <x v="2964"/>
    <s v="Apr"/>
    <x v="15"/>
    <s v="691 Elm St"/>
    <x v="1"/>
    <x v="3"/>
    <n v="3"/>
    <n v="3085"/>
    <n v="840465"/>
    <n v="272.43598055105349"/>
  </r>
  <r>
    <x v="2965"/>
    <s v="Dec"/>
    <x v="14"/>
    <s v="421 Oak St"/>
    <x v="4"/>
    <x v="3"/>
    <m/>
    <n v="2282"/>
    <n v="768182"/>
    <n v="336.62664329535494"/>
  </r>
  <r>
    <x v="798"/>
    <s v="Mar"/>
    <x v="16"/>
    <s v="825 Elm St"/>
    <x v="6"/>
    <x v="1"/>
    <n v="3"/>
    <n v="2263"/>
    <n v="538522"/>
    <n v="237.96818382677861"/>
  </r>
  <r>
    <x v="1656"/>
    <s v="Jul"/>
    <x v="4"/>
    <s v="995 Pine Rd"/>
    <x v="4"/>
    <x v="0"/>
    <n v="2"/>
    <n v="2410"/>
    <n v="711228"/>
    <n v="295.11535269709543"/>
  </r>
  <r>
    <x v="2966"/>
    <s v="May"/>
    <x v="9"/>
    <s v="284 Elm St"/>
    <x v="1"/>
    <x v="1"/>
    <n v="2"/>
    <n v="1679"/>
    <n v="561108"/>
    <n v="334.1917808219178"/>
  </r>
  <r>
    <x v="2312"/>
    <s v="Jul"/>
    <x v="4"/>
    <s v="576 Main St"/>
    <x v="0"/>
    <x v="3"/>
    <n v="5"/>
    <n v="1606"/>
    <n v="627593"/>
    <n v="390.78019925280199"/>
  </r>
  <r>
    <x v="1388"/>
    <s v="Jun"/>
    <x v="13"/>
    <s v="872 Pine Rd"/>
    <x v="4"/>
    <x v="2"/>
    <n v="5"/>
    <n v="2982"/>
    <n v="298009"/>
    <n v="99.935949027498324"/>
  </r>
  <r>
    <x v="2114"/>
    <s v="Jan"/>
    <x v="10"/>
    <s v="521 Maple Ave"/>
    <x v="4"/>
    <x v="2"/>
    <n v="2"/>
    <n v="1357"/>
    <n v="635810"/>
    <n v="468.54089904200441"/>
  </r>
  <r>
    <x v="2967"/>
    <s v="Sep"/>
    <x v="0"/>
    <s v="936 Oak St"/>
    <x v="2"/>
    <x v="3"/>
    <m/>
    <n v="937"/>
    <n v="324518"/>
    <n v="346.33724653148346"/>
  </r>
  <r>
    <x v="1120"/>
    <s v="Mar"/>
    <x v="17"/>
    <s v="242 Pine Rd"/>
    <x v="4"/>
    <x v="2"/>
    <m/>
    <n v="2087"/>
    <n v="193484"/>
    <n v="92.709151892668899"/>
  </r>
  <r>
    <x v="2968"/>
    <s v="Jun"/>
    <x v="3"/>
    <s v="820 Main St"/>
    <x v="4"/>
    <x v="0"/>
    <n v="4"/>
    <n v="2693"/>
    <n v="308914"/>
    <n v="114.70998886000743"/>
  </r>
  <r>
    <x v="2731"/>
    <s v="Jul"/>
    <x v="13"/>
    <s v="317 Maple Ave"/>
    <x v="1"/>
    <x v="0"/>
    <n v="5"/>
    <n v="966"/>
    <n v="373785"/>
    <n v="386.94099378881987"/>
  </r>
  <r>
    <x v="530"/>
    <s v="Jun"/>
    <x v="14"/>
    <s v="600 Main St"/>
    <x v="5"/>
    <x v="2"/>
    <n v="5"/>
    <n v="971"/>
    <n v="543383"/>
    <n v="559.61174047373845"/>
  </r>
  <r>
    <x v="2969"/>
    <s v="Oct"/>
    <x v="11"/>
    <s v="295 Pine Rd"/>
    <x v="3"/>
    <x v="0"/>
    <m/>
    <n v="1352"/>
    <n v="837856"/>
    <n v="619.71597633136093"/>
  </r>
  <r>
    <x v="1764"/>
    <s v="Mar"/>
    <x v="16"/>
    <s v="914 Pine Rd"/>
    <x v="4"/>
    <x v="3"/>
    <n v="5"/>
    <n v="1714"/>
    <n v="258211"/>
    <n v="150.64819136522755"/>
  </r>
  <r>
    <x v="1805"/>
    <s v="Feb"/>
    <x v="8"/>
    <s v="896 Elm St"/>
    <x v="4"/>
    <x v="3"/>
    <m/>
    <n v="2691"/>
    <n v="404241"/>
    <n v="150.21962095875139"/>
  </r>
  <r>
    <x v="2064"/>
    <s v="Feb"/>
    <x v="15"/>
    <s v="637 Maple Ave"/>
    <x v="6"/>
    <x v="0"/>
    <n v="4"/>
    <n v="1649"/>
    <n v="733440"/>
    <n v="444.77865372953306"/>
  </r>
  <r>
    <x v="2712"/>
    <s v="Jun"/>
    <x v="15"/>
    <s v="865 Oak St"/>
    <x v="5"/>
    <x v="0"/>
    <n v="5"/>
    <n v="2569"/>
    <n v="632022"/>
    <n v="246.01868431296225"/>
  </r>
  <r>
    <x v="2970"/>
    <s v="Jan"/>
    <x v="17"/>
    <s v="145 Elm St"/>
    <x v="3"/>
    <x v="2"/>
    <m/>
    <n v="1682"/>
    <n v="181067"/>
    <n v="107.64982164090368"/>
  </r>
  <r>
    <x v="2971"/>
    <s v="Sep"/>
    <x v="17"/>
    <s v="972 Pine Rd"/>
    <x v="5"/>
    <x v="2"/>
    <n v="4"/>
    <n v="2895"/>
    <n v="607415"/>
    <n v="209.81519861830742"/>
  </r>
  <r>
    <x v="2972"/>
    <s v="Jun"/>
    <x v="8"/>
    <s v="386 Oak St"/>
    <x v="3"/>
    <x v="3"/>
    <n v="4"/>
    <n v="958"/>
    <n v="311368"/>
    <n v="325.01878914405012"/>
  </r>
  <r>
    <x v="955"/>
    <s v="Jan"/>
    <x v="6"/>
    <s v="868 Main St"/>
    <x v="4"/>
    <x v="1"/>
    <m/>
    <n v="2664"/>
    <n v="285696"/>
    <n v="107.24324324324324"/>
  </r>
  <r>
    <x v="1573"/>
    <s v="Dec"/>
    <x v="6"/>
    <s v="151 Pine Rd"/>
    <x v="0"/>
    <x v="1"/>
    <n v="5"/>
    <n v="1355"/>
    <n v="537379"/>
    <n v="396.58966789667898"/>
  </r>
  <r>
    <x v="344"/>
    <s v="Nov"/>
    <x v="12"/>
    <s v="216 Maple Ave"/>
    <x v="0"/>
    <x v="1"/>
    <n v="4"/>
    <n v="2445"/>
    <n v="580979"/>
    <n v="237.61922290388549"/>
  </r>
  <r>
    <x v="1145"/>
    <s v="Aug"/>
    <x v="1"/>
    <s v="712 Maple Ave"/>
    <x v="4"/>
    <x v="1"/>
    <m/>
    <n v="2000"/>
    <n v="169080"/>
    <n v="84.54"/>
  </r>
  <r>
    <x v="2973"/>
    <s v="Jun"/>
    <x v="18"/>
    <s v="194 Maple Ave"/>
    <x v="1"/>
    <x v="3"/>
    <n v="5"/>
    <n v="3123"/>
    <n v="877127"/>
    <n v="280.86039065001603"/>
  </r>
  <r>
    <x v="2974"/>
    <s v="Apr"/>
    <x v="10"/>
    <s v="740 Oak St"/>
    <x v="6"/>
    <x v="3"/>
    <m/>
    <n v="1262"/>
    <n v="151268"/>
    <n v="119.86370839936609"/>
  </r>
  <r>
    <x v="2975"/>
    <s v="Jan"/>
    <x v="4"/>
    <s v="456 Main St"/>
    <x v="5"/>
    <x v="3"/>
    <n v="5"/>
    <n v="2394"/>
    <n v="520593"/>
    <n v="217.45739348370927"/>
  </r>
  <r>
    <x v="2976"/>
    <s v="Nov"/>
    <x v="12"/>
    <s v="634 Oak St"/>
    <x v="6"/>
    <x v="3"/>
    <n v="4"/>
    <n v="2796"/>
    <m/>
    <n v="0"/>
  </r>
  <r>
    <x v="1581"/>
    <s v="Jul"/>
    <x v="5"/>
    <s v="734 Pine Rd"/>
    <x v="6"/>
    <x v="1"/>
    <n v="2"/>
    <n v="1544"/>
    <n v="700976"/>
    <n v="454"/>
  </r>
  <r>
    <x v="1944"/>
    <s v="Jun"/>
    <x v="1"/>
    <s v="551 Oak St"/>
    <x v="0"/>
    <x v="3"/>
    <n v="2"/>
    <n v="3453"/>
    <n v="687623"/>
    <n v="199.13785114393281"/>
  </r>
  <r>
    <x v="106"/>
    <s v="Aug"/>
    <x v="13"/>
    <s v="640 Main St"/>
    <x v="0"/>
    <x v="1"/>
    <n v="5"/>
    <n v="2543"/>
    <n v="813627"/>
    <n v="319.94769956744005"/>
  </r>
  <r>
    <x v="2977"/>
    <s v="Aug"/>
    <x v="5"/>
    <s v="494 Elm St"/>
    <x v="0"/>
    <x v="1"/>
    <n v="4"/>
    <n v="1072"/>
    <n v="432859"/>
    <n v="403.7863805970149"/>
  </r>
  <r>
    <x v="2031"/>
    <s v="Oct"/>
    <x v="18"/>
    <s v="242 Main St"/>
    <x v="3"/>
    <x v="3"/>
    <m/>
    <n v="2831"/>
    <n v="691290"/>
    <n v="244.18580007064642"/>
  </r>
  <r>
    <x v="2978"/>
    <s v="Apr"/>
    <x v="16"/>
    <s v="943 Pine Rd"/>
    <x v="2"/>
    <x v="0"/>
    <m/>
    <n v="3068"/>
    <n v="342493"/>
    <n v="111.63396349413298"/>
  </r>
  <r>
    <x v="2979"/>
    <s v="May"/>
    <x v="2"/>
    <s v="436 Pine Rd"/>
    <x v="6"/>
    <x v="3"/>
    <m/>
    <n v="2277"/>
    <n v="880370"/>
    <n v="386.63592446201142"/>
  </r>
  <r>
    <x v="2980"/>
    <s v="Sep"/>
    <x v="15"/>
    <s v="615 Oak St"/>
    <x v="6"/>
    <x v="1"/>
    <m/>
    <n v="2288"/>
    <n v="425087"/>
    <n v="185.78977272727272"/>
  </r>
  <r>
    <x v="2981"/>
    <s v="Feb"/>
    <x v="7"/>
    <s v="433 Main St"/>
    <x v="3"/>
    <x v="1"/>
    <m/>
    <n v="2240"/>
    <n v="761562"/>
    <n v="339.98303571428573"/>
  </r>
  <r>
    <x v="2982"/>
    <s v="Jun"/>
    <x v="19"/>
    <s v="341 Pine Rd"/>
    <x v="6"/>
    <x v="0"/>
    <n v="3"/>
    <n v="866"/>
    <n v="477100"/>
    <n v="550.92378752886839"/>
  </r>
  <r>
    <x v="2983"/>
    <s v="May"/>
    <x v="6"/>
    <s v="641 Main St"/>
    <x v="6"/>
    <x v="1"/>
    <n v="4"/>
    <n v="3206"/>
    <n v="736129"/>
    <n v="229.609794135995"/>
  </r>
  <r>
    <x v="2984"/>
    <s v="Dec"/>
    <x v="2"/>
    <s v="841 Pine Rd"/>
    <x v="0"/>
    <x v="3"/>
    <n v="4"/>
    <n v="1646"/>
    <n v="209688"/>
    <n v="127.39246658566221"/>
  </r>
  <r>
    <x v="2985"/>
    <s v="Nov"/>
    <x v="4"/>
    <s v="291 Maple Ave"/>
    <x v="6"/>
    <x v="1"/>
    <m/>
    <n v="1833"/>
    <n v="416655"/>
    <n v="227.30769230769232"/>
  </r>
  <r>
    <x v="2986"/>
    <s v="Nov"/>
    <x v="18"/>
    <s v="232 Main St"/>
    <x v="0"/>
    <x v="3"/>
    <m/>
    <n v="2804"/>
    <n v="807556"/>
    <n v="288.00142653352356"/>
  </r>
  <r>
    <x v="684"/>
    <s v="Jun"/>
    <x v="13"/>
    <s v="118 Maple Ave"/>
    <x v="6"/>
    <x v="2"/>
    <n v="4"/>
    <n v="1687"/>
    <n v="754050"/>
    <n v="446.9768820391227"/>
  </r>
  <r>
    <x v="2987"/>
    <s v="Nov"/>
    <x v="3"/>
    <s v="846 Maple Ave"/>
    <x v="2"/>
    <x v="0"/>
    <n v="4"/>
    <n v="3267"/>
    <n v="699865"/>
    <n v="214.22252831343741"/>
  </r>
  <r>
    <x v="2988"/>
    <s v="Jan"/>
    <x v="2"/>
    <s v="119 Maple Ave"/>
    <x v="1"/>
    <x v="0"/>
    <n v="2"/>
    <n v="1054"/>
    <n v="168437"/>
    <n v="159.80740037950665"/>
  </r>
  <r>
    <x v="2989"/>
    <s v="Dec"/>
    <x v="16"/>
    <s v="921 Pine Rd"/>
    <x v="4"/>
    <x v="0"/>
    <n v="4"/>
    <n v="1598"/>
    <n v="809187"/>
    <n v="506.37484355444303"/>
  </r>
  <r>
    <x v="1664"/>
    <s v="Dec"/>
    <x v="6"/>
    <s v="402 Main St"/>
    <x v="4"/>
    <x v="1"/>
    <n v="3"/>
    <n v="1485"/>
    <n v="381857"/>
    <n v="257.14276094276096"/>
  </r>
  <r>
    <x v="2990"/>
    <s v="May"/>
    <x v="5"/>
    <s v="499 Maple Ave"/>
    <x v="2"/>
    <x v="3"/>
    <m/>
    <n v="3363"/>
    <n v="455771"/>
    <n v="135.52512637526019"/>
  </r>
  <r>
    <x v="74"/>
    <s v="Nov"/>
    <x v="12"/>
    <s v="111 Oak St"/>
    <x v="2"/>
    <x v="2"/>
    <n v="3"/>
    <n v="2041"/>
    <n v="537998"/>
    <n v="263.59529642332188"/>
  </r>
  <r>
    <x v="1851"/>
    <s v="Nov"/>
    <x v="8"/>
    <s v="785 Maple Ave"/>
    <x v="5"/>
    <x v="2"/>
    <n v="4"/>
    <n v="1756"/>
    <n v="692956"/>
    <n v="394.62186788154895"/>
  </r>
  <r>
    <x v="1351"/>
    <s v="Jun"/>
    <x v="5"/>
    <s v="247 Elm St"/>
    <x v="6"/>
    <x v="0"/>
    <m/>
    <n v="1030"/>
    <n v="125497"/>
    <n v="121.84174757281554"/>
  </r>
  <r>
    <x v="2991"/>
    <s v="May"/>
    <x v="19"/>
    <s v="628 Oak St"/>
    <x v="2"/>
    <x v="2"/>
    <m/>
    <n v="1491"/>
    <n v="153491"/>
    <n v="102.94500335345406"/>
  </r>
  <r>
    <x v="2992"/>
    <s v="Sep"/>
    <x v="3"/>
    <s v="831 Elm St"/>
    <x v="3"/>
    <x v="2"/>
    <m/>
    <n v="2463"/>
    <n v="738890"/>
    <n v="299.99593991067803"/>
  </r>
  <r>
    <x v="2993"/>
    <s v="Oct"/>
    <x v="8"/>
    <s v="611 Oak St"/>
    <x v="2"/>
    <x v="3"/>
    <n v="4"/>
    <n v="2068"/>
    <n v="553162"/>
    <n v="267.4864603481625"/>
  </r>
  <r>
    <x v="2994"/>
    <s v="Jul"/>
    <x v="10"/>
    <s v="852 Main St"/>
    <x v="6"/>
    <x v="3"/>
    <n v="3"/>
    <n v="2746"/>
    <n v="803668"/>
    <n v="292.66860888565185"/>
  </r>
  <r>
    <x v="2995"/>
    <s v="Aug"/>
    <x v="10"/>
    <s v="511 Elm St"/>
    <x v="0"/>
    <x v="2"/>
    <m/>
    <n v="1895"/>
    <n v="251121"/>
    <n v="132.51767810026385"/>
  </r>
  <r>
    <x v="2996"/>
    <s v="Apr"/>
    <x v="19"/>
    <s v="297 Oak St"/>
    <x v="6"/>
    <x v="2"/>
    <n v="5"/>
    <n v="2340"/>
    <n v="406444"/>
    <n v="173.69401709401708"/>
  </r>
  <r>
    <x v="2997"/>
    <s v="Jul"/>
    <x v="2"/>
    <s v="898 Pine Rd"/>
    <x v="2"/>
    <x v="2"/>
    <n v="5"/>
    <n v="1223"/>
    <n v="804160"/>
    <n v="657.53066230580544"/>
  </r>
  <r>
    <x v="2692"/>
    <s v="Jul"/>
    <x v="6"/>
    <s v="942 Maple Ave"/>
    <x v="3"/>
    <x v="3"/>
    <m/>
    <n v="1580"/>
    <n v="214839"/>
    <n v="135.9740506329114"/>
  </r>
  <r>
    <x v="817"/>
    <s v="Nov"/>
    <x v="18"/>
    <s v="179 Oak St"/>
    <x v="1"/>
    <x v="3"/>
    <n v="3"/>
    <n v="1559"/>
    <n v="595239"/>
    <n v="381.80821039127648"/>
  </r>
  <r>
    <x v="2998"/>
    <s v="Nov"/>
    <x v="1"/>
    <s v="192 Main St"/>
    <x v="0"/>
    <x v="0"/>
    <n v="4"/>
    <n v="2627"/>
    <n v="361639"/>
    <n v="137.6623524933384"/>
  </r>
  <r>
    <x v="2999"/>
    <s v="Oct"/>
    <x v="4"/>
    <s v="822 Maple Ave"/>
    <x v="4"/>
    <x v="1"/>
    <m/>
    <n v="1011"/>
    <n v="870802"/>
    <n v="861.32739861523248"/>
  </r>
  <r>
    <x v="2715"/>
    <s v="Sep"/>
    <x v="5"/>
    <s v="325 Elm St"/>
    <x v="5"/>
    <x v="2"/>
    <n v="2"/>
    <n v="2565"/>
    <n v="816016"/>
    <n v="318.13489278752439"/>
  </r>
  <r>
    <x v="1202"/>
    <s v="Jan"/>
    <x v="15"/>
    <s v="148 Maple Ave"/>
    <x v="6"/>
    <x v="2"/>
    <m/>
    <n v="2006"/>
    <n v="387001"/>
    <n v="192.92173479561316"/>
  </r>
  <r>
    <x v="3000"/>
    <s v="Aug"/>
    <x v="7"/>
    <s v="741 Oak St"/>
    <x v="3"/>
    <x v="2"/>
    <n v="4"/>
    <n v="993"/>
    <n v="348401"/>
    <n v="350.85699899295065"/>
  </r>
  <r>
    <x v="3001"/>
    <s v="Aug"/>
    <x v="5"/>
    <s v="585 Maple Ave"/>
    <x v="4"/>
    <x v="2"/>
    <n v="2"/>
    <n v="3050"/>
    <n v="150720"/>
    <n v="49.416393442622947"/>
  </r>
  <r>
    <x v="3002"/>
    <s v="Jul"/>
    <x v="9"/>
    <s v="901 Pine Rd"/>
    <x v="3"/>
    <x v="2"/>
    <n v="3"/>
    <n v="1304"/>
    <n v="497509"/>
    <n v="381.52530674846628"/>
  </r>
  <r>
    <x v="650"/>
    <s v="Dec"/>
    <x v="10"/>
    <s v="599 Elm St"/>
    <x v="1"/>
    <x v="3"/>
    <n v="2"/>
    <n v="3242"/>
    <n v="742206"/>
    <n v="228.93460826650215"/>
  </r>
  <r>
    <x v="2550"/>
    <s v="Dec"/>
    <x v="12"/>
    <s v="965 Oak St"/>
    <x v="0"/>
    <x v="0"/>
    <n v="5"/>
    <n v="2490"/>
    <n v="898731"/>
    <n v="360.93614457831325"/>
  </r>
  <r>
    <x v="3003"/>
    <s v="Jan"/>
    <x v="5"/>
    <s v="781 Oak St"/>
    <x v="0"/>
    <x v="1"/>
    <n v="4"/>
    <n v="2809"/>
    <n v="812621"/>
    <n v="289.29191883232465"/>
  </r>
  <r>
    <x v="3004"/>
    <s v="Oct"/>
    <x v="7"/>
    <s v="896 Main St"/>
    <x v="1"/>
    <x v="2"/>
    <n v="2"/>
    <n v="922"/>
    <n v="874068"/>
    <n v="948.01301518438174"/>
  </r>
  <r>
    <x v="3005"/>
    <s v="Apr"/>
    <x v="16"/>
    <s v="230 Pine Rd"/>
    <x v="4"/>
    <x v="1"/>
    <n v="2"/>
    <n v="2095"/>
    <n v="253934"/>
    <n v="121.20954653937947"/>
  </r>
  <r>
    <x v="3006"/>
    <s v="Apr"/>
    <x v="9"/>
    <s v="441 Pine Rd"/>
    <x v="6"/>
    <x v="2"/>
    <n v="3"/>
    <n v="1468"/>
    <n v="734740"/>
    <n v="500.50408719346046"/>
  </r>
  <r>
    <x v="324"/>
    <s v="Oct"/>
    <x v="18"/>
    <s v="411 Elm St"/>
    <x v="0"/>
    <x v="2"/>
    <n v="5"/>
    <n v="1162"/>
    <n v="183851"/>
    <n v="158.21944922547331"/>
  </r>
  <r>
    <x v="801"/>
    <s v="Mar"/>
    <x v="16"/>
    <s v="241 Maple Ave"/>
    <x v="4"/>
    <x v="0"/>
    <n v="5"/>
    <n v="3158"/>
    <n v="205035"/>
    <n v="64.925585813806208"/>
  </r>
  <r>
    <x v="3007"/>
    <s v="Mar"/>
    <x v="6"/>
    <s v="511 Pine Rd"/>
    <x v="4"/>
    <x v="1"/>
    <m/>
    <n v="2801"/>
    <n v="199249"/>
    <n v="71.134951802927532"/>
  </r>
  <r>
    <x v="2249"/>
    <s v="Feb"/>
    <x v="19"/>
    <s v="189 Elm St"/>
    <x v="6"/>
    <x v="1"/>
    <n v="5"/>
    <n v="1182"/>
    <n v="467420"/>
    <n v="395.44839255499153"/>
  </r>
  <r>
    <x v="3008"/>
    <s v="Nov"/>
    <x v="10"/>
    <s v="695 Pine Rd"/>
    <x v="6"/>
    <x v="2"/>
    <n v="5"/>
    <n v="3067"/>
    <n v="778433"/>
    <n v="253.80925986305837"/>
  </r>
  <r>
    <x v="1452"/>
    <s v="Aug"/>
    <x v="2"/>
    <s v="779 Main St"/>
    <x v="0"/>
    <x v="3"/>
    <m/>
    <n v="944"/>
    <n v="512335"/>
    <n v="542.72775423728808"/>
  </r>
  <r>
    <x v="1242"/>
    <s v="Jan"/>
    <x v="6"/>
    <s v="851 Elm St"/>
    <x v="1"/>
    <x v="2"/>
    <m/>
    <n v="1311"/>
    <n v="251360"/>
    <n v="191.73150266971777"/>
  </r>
  <r>
    <x v="1074"/>
    <s v="Jan"/>
    <x v="7"/>
    <s v="145 Pine Rd"/>
    <x v="2"/>
    <x v="2"/>
    <n v="3"/>
    <n v="1437"/>
    <n v="722881"/>
    <n v="503.04871259568546"/>
  </r>
  <r>
    <x v="3009"/>
    <s v="May"/>
    <x v="16"/>
    <s v="128 Maple Ave"/>
    <x v="6"/>
    <x v="1"/>
    <n v="4"/>
    <n v="2977"/>
    <n v="137850"/>
    <n v="46.305005038629496"/>
  </r>
  <r>
    <x v="3010"/>
    <s v="Feb"/>
    <x v="12"/>
    <s v="675 Pine Rd"/>
    <x v="6"/>
    <x v="0"/>
    <m/>
    <n v="1828"/>
    <n v="720167"/>
    <n v="393.96444201312909"/>
  </r>
  <r>
    <x v="3011"/>
    <s v="Aug"/>
    <x v="2"/>
    <s v="602 Main St"/>
    <x v="1"/>
    <x v="0"/>
    <m/>
    <n v="2475"/>
    <n v="371950"/>
    <n v="150.28282828282829"/>
  </r>
  <r>
    <x v="3012"/>
    <s v="May"/>
    <x v="5"/>
    <s v="834 Elm St"/>
    <x v="6"/>
    <x v="3"/>
    <n v="3"/>
    <n v="3466"/>
    <n v="738727"/>
    <n v="213.13531448355454"/>
  </r>
  <r>
    <x v="3013"/>
    <s v="Oct"/>
    <x v="13"/>
    <s v="799 Oak St"/>
    <x v="0"/>
    <x v="3"/>
    <n v="3"/>
    <n v="1299"/>
    <n v="136877"/>
    <n v="105.37105465742879"/>
  </r>
  <r>
    <x v="3014"/>
    <s v="Sep"/>
    <x v="8"/>
    <s v="433 Main St"/>
    <x v="5"/>
    <x v="3"/>
    <n v="3"/>
    <n v="2077"/>
    <n v="742670"/>
    <n v="357.56860857005296"/>
  </r>
  <r>
    <x v="1585"/>
    <s v="May"/>
    <x v="13"/>
    <s v="338 Maple Ave"/>
    <x v="0"/>
    <x v="3"/>
    <m/>
    <n v="1374"/>
    <n v="450480"/>
    <n v="327.86026200873363"/>
  </r>
  <r>
    <x v="3015"/>
    <s v="Feb"/>
    <x v="17"/>
    <s v="696 Elm St"/>
    <x v="0"/>
    <x v="1"/>
    <n v="4"/>
    <n v="2253"/>
    <n v="458872"/>
    <n v="203.67154904571683"/>
  </r>
  <r>
    <x v="3016"/>
    <s v="Jun"/>
    <x v="11"/>
    <s v="832 Pine Rd"/>
    <x v="0"/>
    <x v="3"/>
    <n v="4"/>
    <n v="2068"/>
    <n v="575675"/>
    <n v="278.37282398452612"/>
  </r>
  <r>
    <x v="3017"/>
    <s v="Jul"/>
    <x v="8"/>
    <s v="179 Elm St"/>
    <x v="6"/>
    <x v="2"/>
    <n v="2"/>
    <n v="2816"/>
    <n v="569407"/>
    <n v="202.20419034090909"/>
  </r>
  <r>
    <x v="1545"/>
    <s v="Aug"/>
    <x v="17"/>
    <s v="956 Main St"/>
    <x v="0"/>
    <x v="1"/>
    <m/>
    <n v="3159"/>
    <n v="166045"/>
    <n v="52.562519784742008"/>
  </r>
  <r>
    <x v="2727"/>
    <s v="Sep"/>
    <x v="3"/>
    <s v="984 Oak St"/>
    <x v="0"/>
    <x v="2"/>
    <m/>
    <n v="1283"/>
    <n v="772122"/>
    <n v="601.80982073265784"/>
  </r>
  <r>
    <x v="886"/>
    <s v="Jan"/>
    <x v="1"/>
    <s v="104 Main St"/>
    <x v="1"/>
    <x v="1"/>
    <n v="4"/>
    <n v="3215"/>
    <n v="530060"/>
    <n v="164.87091757387248"/>
  </r>
  <r>
    <x v="529"/>
    <s v="Dec"/>
    <x v="4"/>
    <s v="171 Maple Ave"/>
    <x v="2"/>
    <x v="3"/>
    <n v="5"/>
    <n v="2608"/>
    <n v="550251"/>
    <n v="210.98581288343559"/>
  </r>
  <r>
    <x v="3018"/>
    <s v="Apr"/>
    <x v="10"/>
    <s v="173 Main St"/>
    <x v="0"/>
    <x v="2"/>
    <m/>
    <n v="1611"/>
    <n v="221893"/>
    <n v="137.73618870266915"/>
  </r>
  <r>
    <x v="3019"/>
    <s v="Oct"/>
    <x v="17"/>
    <s v="953 Oak St"/>
    <x v="6"/>
    <x v="3"/>
    <n v="4"/>
    <n v="1589"/>
    <n v="423677"/>
    <n v="266.63121460037758"/>
  </r>
  <r>
    <x v="3020"/>
    <s v="Oct"/>
    <x v="19"/>
    <s v="317 Pine Rd"/>
    <x v="3"/>
    <x v="2"/>
    <m/>
    <n v="3270"/>
    <n v="373446"/>
    <n v="114.20366972477065"/>
  </r>
  <r>
    <x v="2841"/>
    <s v="Sep"/>
    <x v="16"/>
    <s v="862 Pine Rd"/>
    <x v="2"/>
    <x v="0"/>
    <m/>
    <n v="2263"/>
    <n v="189539"/>
    <n v="83.755634114007961"/>
  </r>
  <r>
    <x v="3021"/>
    <s v="Apr"/>
    <x v="17"/>
    <s v="714 Pine Rd"/>
    <x v="4"/>
    <x v="3"/>
    <m/>
    <n v="2922"/>
    <n v="482463"/>
    <n v="165.11396303901438"/>
  </r>
  <r>
    <x v="3022"/>
    <s v="Nov"/>
    <x v="19"/>
    <s v="454 Maple Ave"/>
    <x v="3"/>
    <x v="3"/>
    <m/>
    <n v="1897"/>
    <n v="598273"/>
    <n v="315.37849235635213"/>
  </r>
  <r>
    <x v="3023"/>
    <s v="Aug"/>
    <x v="17"/>
    <s v="251 Main St"/>
    <x v="4"/>
    <x v="2"/>
    <n v="4"/>
    <n v="2655"/>
    <n v="131525"/>
    <n v="49.538606403013183"/>
  </r>
  <r>
    <x v="2503"/>
    <s v="Jun"/>
    <x v="4"/>
    <s v="968 Pine Rd"/>
    <x v="2"/>
    <x v="3"/>
    <n v="3"/>
    <n v="1431"/>
    <n v="852913"/>
    <n v="596.02585604472392"/>
  </r>
  <r>
    <x v="3024"/>
    <s v="Oct"/>
    <x v="7"/>
    <s v="266 Maple Ave"/>
    <x v="2"/>
    <x v="1"/>
    <n v="4"/>
    <n v="1492"/>
    <n v="146500"/>
    <n v="98.190348525469176"/>
  </r>
  <r>
    <x v="2771"/>
    <s v="Mar"/>
    <x v="14"/>
    <s v="324 Maple Ave"/>
    <x v="3"/>
    <x v="3"/>
    <n v="3"/>
    <n v="2634"/>
    <n v="209020"/>
    <n v="79.354593773728169"/>
  </r>
  <r>
    <x v="3025"/>
    <s v="Apr"/>
    <x v="9"/>
    <s v="462 Pine Rd"/>
    <x v="4"/>
    <x v="3"/>
    <n v="2"/>
    <n v="2353"/>
    <n v="136347"/>
    <n v="57.946026349341267"/>
  </r>
  <r>
    <x v="713"/>
    <s v="Nov"/>
    <x v="7"/>
    <s v="514 Pine Rd"/>
    <x v="5"/>
    <x v="1"/>
    <n v="4"/>
    <n v="877"/>
    <n v="878535"/>
    <n v="1001.7502850627138"/>
  </r>
  <r>
    <x v="3026"/>
    <s v="Mar"/>
    <x v="19"/>
    <s v="758 Elm St"/>
    <x v="4"/>
    <x v="3"/>
    <n v="2"/>
    <n v="1242"/>
    <n v="592107"/>
    <n v="476.73671497584542"/>
  </r>
  <r>
    <x v="2710"/>
    <s v="Oct"/>
    <x v="4"/>
    <s v="391 Main St"/>
    <x v="0"/>
    <x v="3"/>
    <m/>
    <n v="904"/>
    <n v="802156"/>
    <n v="887.34070796460173"/>
  </r>
  <r>
    <x v="11"/>
    <s v="Dec"/>
    <x v="8"/>
    <s v="455 Main St"/>
    <x v="6"/>
    <x v="2"/>
    <m/>
    <n v="1238"/>
    <n v="176965"/>
    <n v="142.9442649434572"/>
  </r>
  <r>
    <x v="2054"/>
    <s v="Apr"/>
    <x v="16"/>
    <s v="218 Pine Rd"/>
    <x v="4"/>
    <x v="3"/>
    <n v="3"/>
    <n v="2372"/>
    <n v="814481"/>
    <n v="343.37310286677911"/>
  </r>
  <r>
    <x v="94"/>
    <s v="Feb"/>
    <x v="10"/>
    <s v="843 Oak St"/>
    <x v="0"/>
    <x v="0"/>
    <n v="4"/>
    <n v="2015"/>
    <n v="598635"/>
    <n v="297.08933002481388"/>
  </r>
  <r>
    <x v="505"/>
    <s v="Oct"/>
    <x v="4"/>
    <s v="817 Maple Ave"/>
    <x v="5"/>
    <x v="1"/>
    <m/>
    <n v="1505"/>
    <n v="658205"/>
    <n v="437.34551495016609"/>
  </r>
  <r>
    <x v="694"/>
    <s v="Aug"/>
    <x v="9"/>
    <s v="183 Oak St"/>
    <x v="1"/>
    <x v="0"/>
    <n v="5"/>
    <n v="2910"/>
    <n v="567690"/>
    <n v="195.08247422680412"/>
  </r>
  <r>
    <x v="3027"/>
    <s v="Aug"/>
    <x v="2"/>
    <s v="296 Main St"/>
    <x v="2"/>
    <x v="0"/>
    <n v="2"/>
    <n v="887"/>
    <n v="179401"/>
    <n v="202.25591882750845"/>
  </r>
  <r>
    <x v="3028"/>
    <s v="May"/>
    <x v="8"/>
    <s v="402 Main St"/>
    <x v="4"/>
    <x v="0"/>
    <n v="5"/>
    <n v="1931"/>
    <n v="820686"/>
    <n v="425.00569653029521"/>
  </r>
  <r>
    <x v="3029"/>
    <s v="Oct"/>
    <x v="3"/>
    <s v="111 Main St"/>
    <x v="3"/>
    <x v="0"/>
    <m/>
    <n v="2341"/>
    <n v="572152"/>
    <n v="244.40495514737293"/>
  </r>
  <r>
    <x v="3030"/>
    <s v="Aug"/>
    <x v="12"/>
    <s v="552 Elm St"/>
    <x v="0"/>
    <x v="3"/>
    <m/>
    <n v="1980"/>
    <n v="169964"/>
    <n v="85.840404040404039"/>
  </r>
  <r>
    <x v="675"/>
    <s v="Mar"/>
    <x v="7"/>
    <s v="323 Pine Rd"/>
    <x v="6"/>
    <x v="0"/>
    <n v="4"/>
    <n v="1413"/>
    <n v="196337"/>
    <n v="138.95046001415429"/>
  </r>
  <r>
    <x v="3031"/>
    <s v="Mar"/>
    <x v="7"/>
    <s v="590 Elm St"/>
    <x v="5"/>
    <x v="2"/>
    <n v="2"/>
    <n v="2018"/>
    <n v="499293"/>
    <n v="247.41972249752229"/>
  </r>
  <r>
    <x v="501"/>
    <s v="Jun"/>
    <x v="19"/>
    <s v="160 Pine Rd"/>
    <x v="4"/>
    <x v="2"/>
    <m/>
    <n v="2060"/>
    <n v="847299"/>
    <n v="411.31019417475727"/>
  </r>
  <r>
    <x v="1308"/>
    <s v="Apr"/>
    <x v="16"/>
    <s v="616 Main St"/>
    <x v="3"/>
    <x v="1"/>
    <m/>
    <n v="2205"/>
    <n v="159578"/>
    <n v="72.370975056689346"/>
  </r>
  <r>
    <x v="3032"/>
    <s v="Nov"/>
    <x v="14"/>
    <s v="733 Elm St"/>
    <x v="0"/>
    <x v="2"/>
    <n v="5"/>
    <n v="2802"/>
    <n v="427699"/>
    <n v="152.64061384725196"/>
  </r>
  <r>
    <x v="3033"/>
    <s v="May"/>
    <x v="17"/>
    <s v="712 Main St"/>
    <x v="1"/>
    <x v="3"/>
    <n v="2"/>
    <n v="1775"/>
    <n v="506978"/>
    <n v="285.62140845070422"/>
  </r>
  <r>
    <x v="461"/>
    <s v="Oct"/>
    <x v="13"/>
    <s v="981 Elm St"/>
    <x v="5"/>
    <x v="2"/>
    <n v="3"/>
    <n v="2457"/>
    <n v="119741"/>
    <n v="48.734635734635738"/>
  </r>
  <r>
    <x v="3034"/>
    <s v="Nov"/>
    <x v="3"/>
    <s v="310 Main St"/>
    <x v="4"/>
    <x v="3"/>
    <m/>
    <n v="2266"/>
    <n v="375663"/>
    <n v="165.78243601059134"/>
  </r>
  <r>
    <x v="2912"/>
    <s v="Oct"/>
    <x v="12"/>
    <s v="406 Oak St"/>
    <x v="6"/>
    <x v="0"/>
    <n v="5"/>
    <n v="887"/>
    <n v="409747"/>
    <n v="461.94701240135288"/>
  </r>
  <r>
    <x v="3035"/>
    <s v="Jan"/>
    <x v="17"/>
    <s v="267 Oak St"/>
    <x v="4"/>
    <x v="1"/>
    <n v="3"/>
    <n v="3336"/>
    <n v="623954"/>
    <n v="187.03657074340526"/>
  </r>
  <r>
    <x v="3036"/>
    <s v="Jan"/>
    <x v="10"/>
    <s v="267 Elm St"/>
    <x v="1"/>
    <x v="0"/>
    <n v="2"/>
    <n v="3337"/>
    <n v="847679"/>
    <n v="254.02427329937069"/>
  </r>
  <r>
    <x v="2196"/>
    <s v="Apr"/>
    <x v="11"/>
    <s v="776 Pine Rd"/>
    <x v="0"/>
    <x v="2"/>
    <m/>
    <n v="1793"/>
    <n v="228210"/>
    <n v="127.27830451756832"/>
  </r>
  <r>
    <x v="3037"/>
    <s v="Oct"/>
    <x v="15"/>
    <s v="346 Maple Ave"/>
    <x v="6"/>
    <x v="2"/>
    <n v="4"/>
    <n v="3416"/>
    <n v="813448"/>
    <n v="238.12880562060889"/>
  </r>
  <r>
    <x v="3038"/>
    <s v="Sep"/>
    <x v="18"/>
    <s v="420 Pine Rd"/>
    <x v="6"/>
    <x v="3"/>
    <n v="2"/>
    <n v="3379"/>
    <n v="211792"/>
    <n v="62.678899082568805"/>
  </r>
  <r>
    <x v="974"/>
    <s v="Oct"/>
    <x v="14"/>
    <s v="576 Main St"/>
    <x v="0"/>
    <x v="2"/>
    <m/>
    <n v="1879"/>
    <n v="851572"/>
    <n v="453.20489622139434"/>
  </r>
  <r>
    <x v="3039"/>
    <s v="Apr"/>
    <x v="8"/>
    <s v="218 Maple Ave"/>
    <x v="3"/>
    <x v="2"/>
    <n v="3"/>
    <n v="3320"/>
    <n v="214485"/>
    <n v="64.603915662650607"/>
  </r>
  <r>
    <x v="3040"/>
    <s v="Feb"/>
    <x v="9"/>
    <s v="326 Maple Ave"/>
    <x v="5"/>
    <x v="1"/>
    <m/>
    <n v="2048"/>
    <n v="170814"/>
    <n v="83.4052734375"/>
  </r>
  <r>
    <x v="612"/>
    <s v="Mar"/>
    <x v="12"/>
    <s v="905 Elm St"/>
    <x v="6"/>
    <x v="3"/>
    <n v="3"/>
    <n v="2668"/>
    <n v="865991"/>
    <n v="324.58433283358323"/>
  </r>
  <r>
    <x v="3041"/>
    <s v="Nov"/>
    <x v="0"/>
    <s v="784 Maple Ave"/>
    <x v="5"/>
    <x v="3"/>
    <n v="2"/>
    <n v="3476"/>
    <n v="469583"/>
    <n v="135.09292289988491"/>
  </r>
  <r>
    <x v="3042"/>
    <s v="Jul"/>
    <x v="15"/>
    <s v="489 Pine Rd"/>
    <x v="0"/>
    <x v="0"/>
    <n v="3"/>
    <n v="3165"/>
    <n v="679321"/>
    <n v="214.63538704581359"/>
  </r>
  <r>
    <x v="3043"/>
    <s v="Oct"/>
    <x v="10"/>
    <s v="775 Elm St"/>
    <x v="5"/>
    <x v="2"/>
    <n v="4"/>
    <n v="3019"/>
    <n v="388661"/>
    <n v="128.73832394832726"/>
  </r>
  <r>
    <x v="2679"/>
    <s v="Jun"/>
    <x v="6"/>
    <s v="223 Main St"/>
    <x v="6"/>
    <x v="0"/>
    <n v="2"/>
    <n v="1247"/>
    <n v="787043"/>
    <n v="631.14915797915"/>
  </r>
  <r>
    <x v="3044"/>
    <s v="Jul"/>
    <x v="6"/>
    <s v="869 Pine Rd"/>
    <x v="6"/>
    <x v="3"/>
    <m/>
    <n v="2760"/>
    <n v="134688"/>
    <n v="48.8"/>
  </r>
  <r>
    <x v="2005"/>
    <s v="Jan"/>
    <x v="14"/>
    <s v="494 Pine Rd"/>
    <x v="5"/>
    <x v="2"/>
    <n v="3"/>
    <n v="2374"/>
    <n v="117591"/>
    <n v="49.53285593934288"/>
  </r>
  <r>
    <x v="373"/>
    <s v="Dec"/>
    <x v="1"/>
    <s v="265 Maple Ave"/>
    <x v="6"/>
    <x v="3"/>
    <n v="4"/>
    <n v="1354"/>
    <n v="421601"/>
    <n v="311.3744460856721"/>
  </r>
  <r>
    <x v="3045"/>
    <s v="Apr"/>
    <x v="5"/>
    <s v="617 Oak St"/>
    <x v="1"/>
    <x v="0"/>
    <m/>
    <n v="3442"/>
    <n v="863696"/>
    <n v="250.92852992446251"/>
  </r>
  <r>
    <x v="916"/>
    <s v="Sep"/>
    <x v="13"/>
    <s v="731 Elm St"/>
    <x v="3"/>
    <x v="3"/>
    <n v="4"/>
    <n v="1952"/>
    <n v="140922"/>
    <n v="72.193647540983605"/>
  </r>
  <r>
    <x v="3046"/>
    <s v="Jan"/>
    <x v="9"/>
    <s v="677 Pine Rd"/>
    <x v="0"/>
    <x v="1"/>
    <n v="2"/>
    <n v="2460"/>
    <n v="624173"/>
    <n v="253.72886178861788"/>
  </r>
  <r>
    <x v="1998"/>
    <s v="Jun"/>
    <x v="9"/>
    <s v="547 Main St"/>
    <x v="0"/>
    <x v="0"/>
    <n v="4"/>
    <n v="3109"/>
    <n v="311768"/>
    <n v="100.27918944998392"/>
  </r>
  <r>
    <x v="479"/>
    <s v="Feb"/>
    <x v="9"/>
    <s v="942 Main St"/>
    <x v="6"/>
    <x v="2"/>
    <n v="3"/>
    <n v="2926"/>
    <n v="105359"/>
    <n v="36.007860560492141"/>
  </r>
  <r>
    <x v="447"/>
    <s v="Aug"/>
    <x v="17"/>
    <s v="638 Main St"/>
    <x v="2"/>
    <x v="2"/>
    <m/>
    <n v="1116"/>
    <n v="623419"/>
    <n v="558.61917562724011"/>
  </r>
  <r>
    <x v="2746"/>
    <s v="Jul"/>
    <x v="5"/>
    <s v="416 Oak St"/>
    <x v="1"/>
    <x v="1"/>
    <n v="2"/>
    <n v="1795"/>
    <n v="535556"/>
    <n v="298.35988857938719"/>
  </r>
  <r>
    <x v="3047"/>
    <s v="Feb"/>
    <x v="9"/>
    <s v="450 Maple Ave"/>
    <x v="1"/>
    <x v="1"/>
    <m/>
    <n v="2566"/>
    <n v="199254"/>
    <n v="77.65159781761497"/>
  </r>
  <r>
    <x v="3048"/>
    <s v="Mar"/>
    <x v="1"/>
    <s v="792 Main St"/>
    <x v="6"/>
    <x v="0"/>
    <n v="5"/>
    <n v="2543"/>
    <n v="187236"/>
    <n v="73.627998427054663"/>
  </r>
  <r>
    <x v="2965"/>
    <s v="Dec"/>
    <x v="14"/>
    <s v="325 Elm St"/>
    <x v="3"/>
    <x v="1"/>
    <n v="2"/>
    <n v="3357"/>
    <n v="245936"/>
    <n v="73.260649389335711"/>
  </r>
  <r>
    <x v="3049"/>
    <s v="Oct"/>
    <x v="18"/>
    <s v="171 Elm St"/>
    <x v="3"/>
    <x v="1"/>
    <n v="2"/>
    <n v="1028"/>
    <n v="144053"/>
    <n v="140.12937743190662"/>
  </r>
  <r>
    <x v="1058"/>
    <s v="Sep"/>
    <x v="8"/>
    <s v="497 Oak St"/>
    <x v="3"/>
    <x v="1"/>
    <n v="5"/>
    <n v="3212"/>
    <n v="516523"/>
    <n v="160.81039850560398"/>
  </r>
  <r>
    <x v="3050"/>
    <s v="Aug"/>
    <x v="4"/>
    <s v="982 Main St"/>
    <x v="5"/>
    <x v="3"/>
    <n v="3"/>
    <n v="1092"/>
    <n v="290275"/>
    <n v="265.81959706959708"/>
  </r>
  <r>
    <x v="3051"/>
    <s v="Jan"/>
    <x v="10"/>
    <s v="287 Pine Rd"/>
    <x v="6"/>
    <x v="2"/>
    <m/>
    <n v="1206"/>
    <n v="233282"/>
    <n v="193.43449419568822"/>
  </r>
  <r>
    <x v="3052"/>
    <s v="Jun"/>
    <x v="12"/>
    <s v="447 Pine Rd"/>
    <x v="0"/>
    <x v="0"/>
    <n v="3"/>
    <n v="2290"/>
    <n v="750733"/>
    <n v="327.83100436681224"/>
  </r>
  <r>
    <x v="3053"/>
    <s v="Apr"/>
    <x v="11"/>
    <s v="781 Main St"/>
    <x v="0"/>
    <x v="1"/>
    <n v="2"/>
    <n v="1704"/>
    <n v="234724"/>
    <n v="137.74882629107981"/>
  </r>
  <r>
    <x v="3054"/>
    <s v="Sep"/>
    <x v="16"/>
    <s v="387 Elm St"/>
    <x v="4"/>
    <x v="2"/>
    <n v="5"/>
    <n v="3336"/>
    <n v="626100"/>
    <n v="187.67985611510792"/>
  </r>
  <r>
    <x v="2516"/>
    <s v="Apr"/>
    <x v="8"/>
    <s v="725 Oak St"/>
    <x v="0"/>
    <x v="1"/>
    <n v="4"/>
    <n v="2098"/>
    <n v="100252"/>
    <n v="47.784556720686368"/>
  </r>
  <r>
    <x v="1251"/>
    <s v="Sep"/>
    <x v="7"/>
    <s v="612 Elm St"/>
    <x v="5"/>
    <x v="2"/>
    <n v="3"/>
    <n v="3480"/>
    <n v="592338"/>
    <n v="170.21206896551723"/>
  </r>
  <r>
    <x v="3055"/>
    <s v="Mar"/>
    <x v="19"/>
    <s v="949 Elm St"/>
    <x v="1"/>
    <x v="0"/>
    <m/>
    <n v="2253"/>
    <n v="648799"/>
    <n v="287.97114957833998"/>
  </r>
  <r>
    <x v="3056"/>
    <s v="Oct"/>
    <x v="12"/>
    <s v="438 Pine Rd"/>
    <x v="3"/>
    <x v="3"/>
    <n v="5"/>
    <n v="1247"/>
    <n v="343132"/>
    <n v="275.16599839615077"/>
  </r>
  <r>
    <x v="3057"/>
    <s v="Mar"/>
    <x v="9"/>
    <s v="530 Elm St"/>
    <x v="4"/>
    <x v="1"/>
    <n v="2"/>
    <n v="958"/>
    <n v="689347"/>
    <n v="719.56889352818371"/>
  </r>
  <r>
    <x v="189"/>
    <s v="Dec"/>
    <x v="0"/>
    <s v="918 Oak St"/>
    <x v="2"/>
    <x v="0"/>
    <m/>
    <n v="2263"/>
    <n v="470742"/>
    <n v="208.01679186920018"/>
  </r>
  <r>
    <x v="3058"/>
    <s v="Jan"/>
    <x v="3"/>
    <s v="634 Maple Ave"/>
    <x v="4"/>
    <x v="1"/>
    <n v="2"/>
    <n v="3011"/>
    <n v="858990"/>
    <n v="285.28395881766858"/>
  </r>
  <r>
    <x v="3059"/>
    <s v="May"/>
    <x v="12"/>
    <s v="400 Pine Rd"/>
    <x v="0"/>
    <x v="3"/>
    <m/>
    <n v="2543"/>
    <n v="592567"/>
    <n v="233.01887534408181"/>
  </r>
  <r>
    <x v="3060"/>
    <s v="Sep"/>
    <x v="15"/>
    <s v="711 Maple Ave"/>
    <x v="1"/>
    <x v="2"/>
    <n v="4"/>
    <n v="2436"/>
    <n v="345238"/>
    <n v="141.72331691297208"/>
  </r>
  <r>
    <x v="3061"/>
    <s v="Mar"/>
    <x v="1"/>
    <s v="440 Oak St"/>
    <x v="1"/>
    <x v="2"/>
    <n v="5"/>
    <n v="1649"/>
    <n v="512143"/>
    <n v="310.5779260157671"/>
  </r>
  <r>
    <x v="2747"/>
    <s v="Jun"/>
    <x v="16"/>
    <s v="473 Maple Ave"/>
    <x v="6"/>
    <x v="3"/>
    <n v="2"/>
    <n v="1866"/>
    <n v="691154"/>
    <n v="370.39335476956057"/>
  </r>
  <r>
    <x v="847"/>
    <s v="Nov"/>
    <x v="0"/>
    <s v="717 Oak St"/>
    <x v="2"/>
    <x v="1"/>
    <n v="4"/>
    <n v="1046"/>
    <m/>
    <n v="0"/>
  </r>
  <r>
    <x v="3062"/>
    <s v="Sep"/>
    <x v="14"/>
    <s v="623 Main St"/>
    <x v="0"/>
    <x v="2"/>
    <n v="5"/>
    <n v="2607"/>
    <n v="594371"/>
    <n v="227.9904104334484"/>
  </r>
  <r>
    <x v="3063"/>
    <s v="May"/>
    <x v="2"/>
    <s v="877 Oak St"/>
    <x v="4"/>
    <x v="1"/>
    <n v="3"/>
    <n v="1142"/>
    <n v="133965"/>
    <n v="117.30735551663747"/>
  </r>
  <r>
    <x v="2087"/>
    <s v="Nov"/>
    <x v="8"/>
    <s v="316 Main St"/>
    <x v="5"/>
    <x v="1"/>
    <m/>
    <n v="1805"/>
    <n v="773045"/>
    <n v="428.27977839335182"/>
  </r>
  <r>
    <x v="2029"/>
    <s v="Jul"/>
    <x v="14"/>
    <s v="865 Pine Rd"/>
    <x v="6"/>
    <x v="2"/>
    <n v="4"/>
    <n v="1791"/>
    <n v="150664"/>
    <n v="84.122836404243444"/>
  </r>
  <r>
    <x v="3064"/>
    <s v="Apr"/>
    <x v="9"/>
    <s v="530 Pine Rd"/>
    <x v="4"/>
    <x v="2"/>
    <n v="5"/>
    <n v="2875"/>
    <n v="455432"/>
    <n v="158.41113043478262"/>
  </r>
  <r>
    <x v="3065"/>
    <s v="Jul"/>
    <x v="3"/>
    <s v="436 Main St"/>
    <x v="2"/>
    <x v="0"/>
    <m/>
    <n v="3418"/>
    <n v="357655"/>
    <n v="104.63867758923347"/>
  </r>
  <r>
    <x v="2695"/>
    <s v="Jun"/>
    <x v="13"/>
    <s v="781 Main St"/>
    <x v="4"/>
    <x v="0"/>
    <n v="4"/>
    <n v="2565"/>
    <n v="727303"/>
    <n v="283.54892787524369"/>
  </r>
  <r>
    <x v="6"/>
    <s v="Mar"/>
    <x v="3"/>
    <s v="932 Main St"/>
    <x v="0"/>
    <x v="0"/>
    <n v="5"/>
    <n v="1770"/>
    <n v="452825"/>
    <n v="255.83333333333334"/>
  </r>
  <r>
    <x v="3066"/>
    <s v="Nov"/>
    <x v="8"/>
    <s v="940 Oak St"/>
    <x v="5"/>
    <x v="2"/>
    <n v="5"/>
    <n v="2992"/>
    <n v="735479"/>
    <n v="245.81517379679144"/>
  </r>
  <r>
    <x v="3067"/>
    <s v="Oct"/>
    <x v="6"/>
    <s v="348 Main St"/>
    <x v="4"/>
    <x v="0"/>
    <m/>
    <n v="2791"/>
    <n v="884662"/>
    <n v="316.96954496596203"/>
  </r>
  <r>
    <x v="3068"/>
    <s v="Jan"/>
    <x v="15"/>
    <s v="270 Pine Rd"/>
    <x v="6"/>
    <x v="0"/>
    <n v="2"/>
    <n v="3112"/>
    <n v="584500"/>
    <n v="187.82133676092545"/>
  </r>
  <r>
    <x v="1491"/>
    <s v="May"/>
    <x v="0"/>
    <s v="293 Maple Ave"/>
    <x v="4"/>
    <x v="2"/>
    <m/>
    <n v="2080"/>
    <n v="474561"/>
    <n v="228.15432692307692"/>
  </r>
  <r>
    <x v="2038"/>
    <s v="Apr"/>
    <x v="8"/>
    <s v="258 Maple Ave"/>
    <x v="1"/>
    <x v="0"/>
    <n v="5"/>
    <n v="2727"/>
    <n v="473354"/>
    <n v="173.58049138247159"/>
  </r>
  <r>
    <x v="3048"/>
    <s v="Mar"/>
    <x v="1"/>
    <s v="495 Elm St"/>
    <x v="2"/>
    <x v="1"/>
    <n v="5"/>
    <n v="969"/>
    <n v="328164"/>
    <n v="338.6625386996904"/>
  </r>
  <r>
    <x v="3069"/>
    <s v="May"/>
    <x v="5"/>
    <s v="614 Maple Ave"/>
    <x v="4"/>
    <x v="0"/>
    <m/>
    <n v="1927"/>
    <n v="312632"/>
    <n v="162.23767514270887"/>
  </r>
  <r>
    <x v="814"/>
    <s v="Jun"/>
    <x v="2"/>
    <s v="368 Maple Ave"/>
    <x v="0"/>
    <x v="0"/>
    <m/>
    <n v="3151"/>
    <n v="856046"/>
    <n v="271.67438908283083"/>
  </r>
  <r>
    <x v="253"/>
    <s v="Sep"/>
    <x v="8"/>
    <s v="663 Elm St"/>
    <x v="6"/>
    <x v="3"/>
    <n v="2"/>
    <n v="1864"/>
    <n v="785468"/>
    <n v="421.38841201716735"/>
  </r>
  <r>
    <x v="219"/>
    <s v="Oct"/>
    <x v="3"/>
    <s v="733 Oak St"/>
    <x v="3"/>
    <x v="0"/>
    <m/>
    <n v="1338"/>
    <n v="615192"/>
    <n v="459.78475336322867"/>
  </r>
  <r>
    <x v="1976"/>
    <s v="Sep"/>
    <x v="15"/>
    <s v="828 Oak St"/>
    <x v="0"/>
    <x v="2"/>
    <n v="4"/>
    <n v="2298"/>
    <n v="757864"/>
    <n v="329.792863359443"/>
  </r>
  <r>
    <x v="3070"/>
    <s v="Aug"/>
    <x v="0"/>
    <s v="733 Oak St"/>
    <x v="4"/>
    <x v="0"/>
    <n v="5"/>
    <n v="1343"/>
    <n v="586076"/>
    <n v="436.39314966492924"/>
  </r>
  <r>
    <x v="911"/>
    <s v="Oct"/>
    <x v="15"/>
    <s v="204 Oak St"/>
    <x v="6"/>
    <x v="3"/>
    <m/>
    <n v="1660"/>
    <n v="824715"/>
    <n v="496.81626506024094"/>
  </r>
  <r>
    <x v="3071"/>
    <s v="Aug"/>
    <x v="9"/>
    <s v="904 Pine Rd"/>
    <x v="2"/>
    <x v="1"/>
    <n v="3"/>
    <n v="2230"/>
    <n v="648165"/>
    <n v="290.65695067264573"/>
  </r>
  <r>
    <x v="3072"/>
    <s v="Mar"/>
    <x v="3"/>
    <s v="963 Oak St"/>
    <x v="1"/>
    <x v="2"/>
    <n v="3"/>
    <n v="2123"/>
    <n v="155823"/>
    <n v="73.3975506358926"/>
  </r>
  <r>
    <x v="2879"/>
    <s v="Apr"/>
    <x v="4"/>
    <s v="905 Oak St"/>
    <x v="2"/>
    <x v="2"/>
    <n v="3"/>
    <n v="3197"/>
    <n v="276098"/>
    <n v="86.361588989677827"/>
  </r>
  <r>
    <x v="1598"/>
    <s v="Feb"/>
    <x v="3"/>
    <s v="587 Elm St"/>
    <x v="1"/>
    <x v="2"/>
    <n v="3"/>
    <n v="1579"/>
    <n v="657927"/>
    <n v="416.67321089297025"/>
  </r>
  <r>
    <x v="2890"/>
    <s v="Jan"/>
    <x v="11"/>
    <s v="599 Main St"/>
    <x v="1"/>
    <x v="2"/>
    <m/>
    <n v="3096"/>
    <n v="760356"/>
    <n v="245.59302325581396"/>
  </r>
  <r>
    <x v="3073"/>
    <s v="Dec"/>
    <x v="19"/>
    <s v="743 Main St"/>
    <x v="2"/>
    <x v="1"/>
    <n v="2"/>
    <n v="3302"/>
    <n v="455262"/>
    <n v="137.87462144155057"/>
  </r>
  <r>
    <x v="2985"/>
    <s v="Nov"/>
    <x v="4"/>
    <s v="242 Main St"/>
    <x v="1"/>
    <x v="3"/>
    <m/>
    <n v="1923"/>
    <n v="412663"/>
    <n v="214.59334373374935"/>
  </r>
  <r>
    <x v="1727"/>
    <s v="Jul"/>
    <x v="8"/>
    <s v="856 Elm St"/>
    <x v="0"/>
    <x v="0"/>
    <n v="2"/>
    <n v="2203"/>
    <n v="724708"/>
    <n v="328.96413980935091"/>
  </r>
  <r>
    <x v="3074"/>
    <s v="Dec"/>
    <x v="0"/>
    <s v="832 Oak St"/>
    <x v="5"/>
    <x v="2"/>
    <n v="2"/>
    <n v="1660"/>
    <n v="479421"/>
    <n v="288.80783132530121"/>
  </r>
  <r>
    <x v="3067"/>
    <s v="Oct"/>
    <x v="6"/>
    <s v="202 Oak St"/>
    <x v="4"/>
    <x v="0"/>
    <n v="2"/>
    <n v="2669"/>
    <n v="888670"/>
    <n v="332.95991007868116"/>
  </r>
  <r>
    <x v="3075"/>
    <s v="Jul"/>
    <x v="0"/>
    <s v="347 Elm St"/>
    <x v="2"/>
    <x v="2"/>
    <n v="3"/>
    <n v="1429"/>
    <n v="586072"/>
    <n v="410.12736179146253"/>
  </r>
  <r>
    <x v="808"/>
    <s v="Nov"/>
    <x v="12"/>
    <s v="498 Maple Ave"/>
    <x v="2"/>
    <x v="0"/>
    <n v="2"/>
    <n v="853"/>
    <n v="749237"/>
    <n v="878.3552168815944"/>
  </r>
  <r>
    <x v="3076"/>
    <s v="Nov"/>
    <x v="11"/>
    <s v="289 Oak St"/>
    <x v="4"/>
    <x v="3"/>
    <n v="5"/>
    <n v="1110"/>
    <n v="431140"/>
    <n v="388.41441441441441"/>
  </r>
  <r>
    <x v="3077"/>
    <s v="Jun"/>
    <x v="10"/>
    <s v="400 Pine Rd"/>
    <x v="1"/>
    <x v="3"/>
    <n v="5"/>
    <n v="2758"/>
    <n v="429149"/>
    <n v="155.60152284263958"/>
  </r>
  <r>
    <x v="2897"/>
    <s v="Nov"/>
    <x v="1"/>
    <s v="911 Oak St"/>
    <x v="4"/>
    <x v="1"/>
    <n v="5"/>
    <n v="3058"/>
    <m/>
    <n v="0"/>
  </r>
  <r>
    <x v="2139"/>
    <s v="Nov"/>
    <x v="4"/>
    <s v="736 Main St"/>
    <x v="2"/>
    <x v="2"/>
    <n v="2"/>
    <n v="825"/>
    <n v="143031"/>
    <n v="173.37090909090909"/>
  </r>
  <r>
    <x v="1220"/>
    <s v="Jun"/>
    <x v="14"/>
    <s v="128 Pine Rd"/>
    <x v="0"/>
    <x v="2"/>
    <n v="2"/>
    <n v="1935"/>
    <n v="615172"/>
    <n v="317.91834625322997"/>
  </r>
  <r>
    <x v="3078"/>
    <s v="Apr"/>
    <x v="10"/>
    <s v="574 Pine Rd"/>
    <x v="3"/>
    <x v="1"/>
    <n v="3"/>
    <n v="1831"/>
    <n v="593579"/>
    <n v="324.1829601310759"/>
  </r>
  <r>
    <x v="582"/>
    <s v="Jun"/>
    <x v="11"/>
    <s v="391 Main St"/>
    <x v="0"/>
    <x v="2"/>
    <m/>
    <n v="1286"/>
    <m/>
    <n v="0"/>
  </r>
  <r>
    <x v="3079"/>
    <s v="Apr"/>
    <x v="18"/>
    <s v="315 Maple Ave"/>
    <x v="0"/>
    <x v="0"/>
    <m/>
    <n v="3425"/>
    <n v="136159"/>
    <n v="39.754452554744525"/>
  </r>
  <r>
    <x v="3080"/>
    <s v="Feb"/>
    <x v="13"/>
    <s v="796 Main St"/>
    <x v="3"/>
    <x v="1"/>
    <m/>
    <n v="2155"/>
    <n v="305461"/>
    <n v="141.74524361948957"/>
  </r>
  <r>
    <x v="3081"/>
    <s v="Oct"/>
    <x v="7"/>
    <s v="260 Maple Ave"/>
    <x v="6"/>
    <x v="3"/>
    <m/>
    <n v="1597"/>
    <n v="107137"/>
    <n v="67.086412022542262"/>
  </r>
  <r>
    <x v="3082"/>
    <s v="Mar"/>
    <x v="4"/>
    <s v="174 Pine Rd"/>
    <x v="2"/>
    <x v="2"/>
    <n v="3"/>
    <n v="3001"/>
    <n v="202896"/>
    <n v="67.609463512162606"/>
  </r>
  <r>
    <x v="3083"/>
    <s v="Jun"/>
    <x v="6"/>
    <s v="825 Main St"/>
    <x v="3"/>
    <x v="0"/>
    <m/>
    <n v="1346"/>
    <n v="174640"/>
    <n v="129.74739970282317"/>
  </r>
  <r>
    <x v="3084"/>
    <s v="Jun"/>
    <x v="6"/>
    <s v="575 Pine Rd"/>
    <x v="5"/>
    <x v="1"/>
    <m/>
    <n v="2352"/>
    <n v="126749"/>
    <n v="53.889880952380949"/>
  </r>
  <r>
    <x v="2"/>
    <s v="Oct"/>
    <x v="2"/>
    <s v="190 Oak St"/>
    <x v="0"/>
    <x v="1"/>
    <n v="2"/>
    <n v="933"/>
    <n v="702834"/>
    <n v="753.30546623794214"/>
  </r>
  <r>
    <x v="3085"/>
    <s v="Jan"/>
    <x v="12"/>
    <s v="899 Elm St"/>
    <x v="4"/>
    <x v="2"/>
    <m/>
    <n v="3492"/>
    <n v="379977"/>
    <n v="108.81357388316151"/>
  </r>
  <r>
    <x v="3086"/>
    <s v="Jun"/>
    <x v="6"/>
    <s v="646 Oak St"/>
    <x v="4"/>
    <x v="3"/>
    <n v="5"/>
    <n v="1916"/>
    <n v="241156"/>
    <n v="125.8643006263048"/>
  </r>
  <r>
    <x v="20"/>
    <s v="Apr"/>
    <x v="8"/>
    <s v="652 Main St"/>
    <x v="4"/>
    <x v="0"/>
    <m/>
    <n v="1748"/>
    <n v="291140"/>
    <n v="166.55606407322654"/>
  </r>
  <r>
    <x v="3087"/>
    <s v="Nov"/>
    <x v="1"/>
    <s v="102 Oak St"/>
    <x v="4"/>
    <x v="3"/>
    <m/>
    <n v="1705"/>
    <n v="683075"/>
    <n v="400.63049853372434"/>
  </r>
  <r>
    <x v="168"/>
    <s v="Feb"/>
    <x v="10"/>
    <s v="710 Pine Rd"/>
    <x v="3"/>
    <x v="3"/>
    <n v="4"/>
    <n v="3379"/>
    <n v="336059"/>
    <n v="99.455164249778036"/>
  </r>
  <r>
    <x v="2505"/>
    <s v="Mar"/>
    <x v="15"/>
    <s v="504 Oak St"/>
    <x v="0"/>
    <x v="1"/>
    <m/>
    <n v="2714"/>
    <n v="445108"/>
    <n v="164.00442151805453"/>
  </r>
  <r>
    <x v="3088"/>
    <s v="Aug"/>
    <x v="15"/>
    <s v="631 Elm St"/>
    <x v="2"/>
    <x v="1"/>
    <m/>
    <n v="3034"/>
    <n v="776767"/>
    <n v="256.02076466710611"/>
  </r>
  <r>
    <x v="3089"/>
    <s v="Oct"/>
    <x v="10"/>
    <s v="558 Oak St"/>
    <x v="6"/>
    <x v="3"/>
    <n v="2"/>
    <n v="1955"/>
    <n v="359422"/>
    <n v="183.84757033248081"/>
  </r>
  <r>
    <x v="3090"/>
    <s v="Jun"/>
    <x v="11"/>
    <s v="638 Main St"/>
    <x v="2"/>
    <x v="2"/>
    <n v="3"/>
    <n v="1329"/>
    <n v="885629"/>
    <n v="666.38750940556815"/>
  </r>
  <r>
    <x v="3091"/>
    <s v="Sep"/>
    <x v="19"/>
    <s v="130 Oak St"/>
    <x v="0"/>
    <x v="1"/>
    <m/>
    <n v="2566"/>
    <n v="503898"/>
    <n v="196.37490257209666"/>
  </r>
  <r>
    <x v="3092"/>
    <s v="May"/>
    <x v="10"/>
    <s v="695 Main St"/>
    <x v="4"/>
    <x v="2"/>
    <m/>
    <n v="2704"/>
    <n v="460022"/>
    <n v="170.12647928994082"/>
  </r>
  <r>
    <x v="1305"/>
    <s v="Jun"/>
    <x v="14"/>
    <s v="365 Pine Rd"/>
    <x v="4"/>
    <x v="2"/>
    <m/>
    <n v="1633"/>
    <n v="644071"/>
    <n v="394.40967544396818"/>
  </r>
  <r>
    <x v="292"/>
    <s v="Feb"/>
    <x v="18"/>
    <s v="543 Pine Rd"/>
    <x v="6"/>
    <x v="1"/>
    <m/>
    <n v="2160"/>
    <n v="172719"/>
    <n v="79.962500000000006"/>
  </r>
  <r>
    <x v="3093"/>
    <s v="Jun"/>
    <x v="10"/>
    <s v="414 Elm St"/>
    <x v="2"/>
    <x v="1"/>
    <n v="3"/>
    <n v="1598"/>
    <n v="154724"/>
    <n v="96.82352941176471"/>
  </r>
  <r>
    <x v="3094"/>
    <s v="Jul"/>
    <x v="1"/>
    <s v="326 Elm St"/>
    <x v="6"/>
    <x v="1"/>
    <n v="3"/>
    <n v="1890"/>
    <n v="102335"/>
    <n v="54.145502645502646"/>
  </r>
  <r>
    <x v="2233"/>
    <s v="Feb"/>
    <x v="11"/>
    <s v="336 Elm St"/>
    <x v="6"/>
    <x v="2"/>
    <m/>
    <n v="2294"/>
    <n v="231843"/>
    <n v="101.06495204882302"/>
  </r>
  <r>
    <x v="2377"/>
    <s v="May"/>
    <x v="17"/>
    <s v="428 Oak St"/>
    <x v="1"/>
    <x v="0"/>
    <n v="2"/>
    <n v="2779"/>
    <n v="319732"/>
    <n v="115.0528967254408"/>
  </r>
  <r>
    <x v="1032"/>
    <s v="Aug"/>
    <x v="16"/>
    <s v="441 Oak St"/>
    <x v="2"/>
    <x v="1"/>
    <m/>
    <n v="1686"/>
    <n v="851452"/>
    <n v="505.01304863582442"/>
  </r>
  <r>
    <x v="3095"/>
    <s v="Jan"/>
    <x v="9"/>
    <s v="485 Maple Ave"/>
    <x v="3"/>
    <x v="0"/>
    <n v="2"/>
    <n v="2533"/>
    <n v="464893"/>
    <n v="183.53454401894987"/>
  </r>
  <r>
    <x v="2262"/>
    <s v="Nov"/>
    <x v="8"/>
    <s v="340 Main St"/>
    <x v="5"/>
    <x v="1"/>
    <m/>
    <n v="1659"/>
    <n v="632147"/>
    <n v="381.04098854731768"/>
  </r>
  <r>
    <x v="3025"/>
    <s v="Apr"/>
    <x v="9"/>
    <s v="337 Main St"/>
    <x v="6"/>
    <x v="3"/>
    <n v="4"/>
    <n v="2309"/>
    <n v="848431"/>
    <n v="367.44521437851881"/>
  </r>
  <r>
    <x v="3096"/>
    <s v="Feb"/>
    <x v="2"/>
    <s v="127 Main St"/>
    <x v="4"/>
    <x v="1"/>
    <n v="2"/>
    <n v="1047"/>
    <n v="389604"/>
    <n v="372.11461318051573"/>
  </r>
  <r>
    <x v="3097"/>
    <s v="Sep"/>
    <x v="9"/>
    <s v="840 Oak St"/>
    <x v="1"/>
    <x v="2"/>
    <n v="4"/>
    <n v="2065"/>
    <n v="695700"/>
    <n v="336.90072639225184"/>
  </r>
  <r>
    <x v="218"/>
    <s v="Jan"/>
    <x v="14"/>
    <s v="807 Main St"/>
    <x v="2"/>
    <x v="0"/>
    <n v="4"/>
    <n v="2864"/>
    <n v="591931"/>
    <n v="206.67981843575419"/>
  </r>
  <r>
    <x v="3098"/>
    <s v="Jul"/>
    <x v="6"/>
    <s v="884 Oak St"/>
    <x v="6"/>
    <x v="2"/>
    <n v="4"/>
    <n v="2008"/>
    <n v="668499"/>
    <n v="332.91782868525894"/>
  </r>
  <r>
    <x v="3099"/>
    <s v="Feb"/>
    <x v="12"/>
    <s v="811 Maple Ave"/>
    <x v="4"/>
    <x v="1"/>
    <n v="3"/>
    <n v="2801"/>
    <n v="102181"/>
    <n v="36.480185647982864"/>
  </r>
  <r>
    <x v="3100"/>
    <s v="Nov"/>
    <x v="10"/>
    <s v="654 Oak St"/>
    <x v="6"/>
    <x v="3"/>
    <n v="4"/>
    <n v="1680"/>
    <n v="487340"/>
    <n v="290.08333333333331"/>
  </r>
  <r>
    <x v="1372"/>
    <s v="Aug"/>
    <x v="12"/>
    <s v="113 Pine Rd"/>
    <x v="4"/>
    <x v="1"/>
    <m/>
    <n v="1585"/>
    <n v="573715"/>
    <n v="361.96529968454257"/>
  </r>
  <r>
    <x v="3101"/>
    <s v="Aug"/>
    <x v="2"/>
    <s v="235 Pine Rd"/>
    <x v="1"/>
    <x v="2"/>
    <n v="5"/>
    <n v="3300"/>
    <n v="814059"/>
    <n v="246.68454545454546"/>
  </r>
  <r>
    <x v="3102"/>
    <s v="Mar"/>
    <x v="9"/>
    <s v="392 Maple Ave"/>
    <x v="4"/>
    <x v="3"/>
    <n v="5"/>
    <n v="3089"/>
    <n v="760712"/>
    <n v="246.26481061832308"/>
  </r>
  <r>
    <x v="3103"/>
    <s v="Sep"/>
    <x v="11"/>
    <s v="986 Main St"/>
    <x v="6"/>
    <x v="0"/>
    <n v="3"/>
    <n v="936"/>
    <n v="655789"/>
    <n v="700.62927350427356"/>
  </r>
  <r>
    <x v="2425"/>
    <s v="Feb"/>
    <x v="5"/>
    <s v="538 Oak St"/>
    <x v="4"/>
    <x v="3"/>
    <n v="4"/>
    <n v="851"/>
    <n v="661018"/>
    <n v="776.75440658049354"/>
  </r>
  <r>
    <x v="3104"/>
    <s v="Mar"/>
    <x v="12"/>
    <s v="699 Main St"/>
    <x v="6"/>
    <x v="1"/>
    <n v="2"/>
    <n v="2012"/>
    <n v="105239"/>
    <n v="52.305666003976143"/>
  </r>
  <r>
    <x v="26"/>
    <s v="Sep"/>
    <x v="14"/>
    <s v="646 Maple Ave"/>
    <x v="6"/>
    <x v="3"/>
    <m/>
    <n v="3424"/>
    <n v="296958"/>
    <n v="86.728387850467286"/>
  </r>
  <r>
    <x v="1064"/>
    <s v="Aug"/>
    <x v="0"/>
    <s v="218 Pine Rd"/>
    <x v="4"/>
    <x v="0"/>
    <n v="2"/>
    <n v="1038"/>
    <n v="707782"/>
    <n v="681.87090558766863"/>
  </r>
  <r>
    <x v="2312"/>
    <s v="Jul"/>
    <x v="4"/>
    <s v="165 Pine Rd"/>
    <x v="4"/>
    <x v="2"/>
    <n v="5"/>
    <n v="2831"/>
    <n v="818298"/>
    <n v="289.04909925821266"/>
  </r>
  <r>
    <x v="2882"/>
    <s v="May"/>
    <x v="2"/>
    <s v="176 Pine Rd"/>
    <x v="3"/>
    <x v="0"/>
    <n v="4"/>
    <n v="2536"/>
    <n v="767053"/>
    <n v="302.46569400630915"/>
  </r>
  <r>
    <x v="3105"/>
    <s v="Nov"/>
    <x v="18"/>
    <s v="185 Pine Rd"/>
    <x v="4"/>
    <x v="1"/>
    <m/>
    <n v="1494"/>
    <n v="701351"/>
    <n v="469.44511378848728"/>
  </r>
  <r>
    <x v="2880"/>
    <s v="Feb"/>
    <x v="8"/>
    <s v="344 Elm St"/>
    <x v="0"/>
    <x v="0"/>
    <n v="3"/>
    <n v="1155"/>
    <n v="817935"/>
    <n v="708.16883116883116"/>
  </r>
  <r>
    <x v="3106"/>
    <s v="Jan"/>
    <x v="5"/>
    <s v="521 Oak St"/>
    <x v="0"/>
    <x v="3"/>
    <m/>
    <n v="3034"/>
    <n v="247969"/>
    <n v="81.73005932762031"/>
  </r>
  <r>
    <x v="3107"/>
    <s v="Apr"/>
    <x v="4"/>
    <s v="468 Pine Rd"/>
    <x v="4"/>
    <x v="2"/>
    <m/>
    <n v="1036"/>
    <n v="274599"/>
    <n v="265.05694980694983"/>
  </r>
  <r>
    <x v="3108"/>
    <s v="Jan"/>
    <x v="2"/>
    <s v="380 Pine Rd"/>
    <x v="6"/>
    <x v="1"/>
    <m/>
    <n v="2217"/>
    <n v="673819"/>
    <n v="303.93279206134417"/>
  </r>
  <r>
    <x v="3109"/>
    <s v="Oct"/>
    <x v="0"/>
    <s v="233 Elm St"/>
    <x v="0"/>
    <x v="2"/>
    <n v="2"/>
    <n v="1276"/>
    <n v="166675"/>
    <n v="130.6230407523511"/>
  </r>
  <r>
    <x v="1958"/>
    <s v="Jan"/>
    <x v="4"/>
    <s v="647 Oak St"/>
    <x v="4"/>
    <x v="3"/>
    <n v="2"/>
    <n v="839"/>
    <n v="286982"/>
    <n v="342.0524433849821"/>
  </r>
  <r>
    <x v="3110"/>
    <s v="Oct"/>
    <x v="7"/>
    <s v="891 Oak St"/>
    <x v="5"/>
    <x v="3"/>
    <n v="2"/>
    <n v="3133"/>
    <n v="808498"/>
    <n v="258.05872965209068"/>
  </r>
  <r>
    <x v="2653"/>
    <s v="Aug"/>
    <x v="14"/>
    <s v="475 Pine Rd"/>
    <x v="1"/>
    <x v="1"/>
    <n v="3"/>
    <n v="2545"/>
    <n v="406172"/>
    <n v="159.59607072691551"/>
  </r>
  <r>
    <x v="1782"/>
    <s v="Apr"/>
    <x v="17"/>
    <s v="140 Pine Rd"/>
    <x v="3"/>
    <x v="0"/>
    <m/>
    <n v="2767"/>
    <n v="439825"/>
    <n v="158.95374051319118"/>
  </r>
  <r>
    <x v="571"/>
    <s v="Dec"/>
    <x v="9"/>
    <s v="920 Pine Rd"/>
    <x v="5"/>
    <x v="1"/>
    <m/>
    <n v="3403"/>
    <n v="334752"/>
    <n v="98.369673817220104"/>
  </r>
  <r>
    <x v="3111"/>
    <s v="Sep"/>
    <x v="0"/>
    <s v="532 Maple Ave"/>
    <x v="6"/>
    <x v="1"/>
    <n v="4"/>
    <n v="1635"/>
    <n v="687785"/>
    <n v="420.66360856269114"/>
  </r>
  <r>
    <x v="3112"/>
    <s v="Jan"/>
    <x v="16"/>
    <s v="972 Pine Rd"/>
    <x v="4"/>
    <x v="0"/>
    <n v="2"/>
    <n v="3101"/>
    <n v="623743"/>
    <n v="201.14253466623668"/>
  </r>
  <r>
    <x v="3113"/>
    <s v="Jun"/>
    <x v="1"/>
    <s v="295 Elm St"/>
    <x v="0"/>
    <x v="2"/>
    <n v="4"/>
    <n v="2114"/>
    <n v="848185"/>
    <n v="401.2228003784295"/>
  </r>
  <r>
    <x v="2231"/>
    <s v="Jan"/>
    <x v="10"/>
    <s v="937 Elm St"/>
    <x v="1"/>
    <x v="0"/>
    <m/>
    <n v="2033"/>
    <n v="337821"/>
    <n v="166.16871618298083"/>
  </r>
  <r>
    <x v="3114"/>
    <s v="May"/>
    <x v="11"/>
    <s v="505 Maple Ave"/>
    <x v="1"/>
    <x v="1"/>
    <n v="4"/>
    <n v="3348"/>
    <n v="424558"/>
    <n v="126.80943847072879"/>
  </r>
  <r>
    <x v="3115"/>
    <s v="Jan"/>
    <x v="10"/>
    <s v="763 Maple Ave"/>
    <x v="6"/>
    <x v="0"/>
    <n v="4"/>
    <n v="2826"/>
    <n v="395822"/>
    <n v="140.06440198159945"/>
  </r>
  <r>
    <x v="3116"/>
    <s v="Nov"/>
    <x v="16"/>
    <s v="947 Main St"/>
    <x v="3"/>
    <x v="2"/>
    <m/>
    <n v="2703"/>
    <n v="478845"/>
    <n v="177.15316315205328"/>
  </r>
  <r>
    <x v="1785"/>
    <s v="Mar"/>
    <x v="15"/>
    <s v="854 Maple Ave"/>
    <x v="2"/>
    <x v="0"/>
    <n v="5"/>
    <n v="3343"/>
    <n v="110134"/>
    <n v="32.944660484594678"/>
  </r>
  <r>
    <x v="3117"/>
    <s v="Jul"/>
    <x v="11"/>
    <s v="444 Oak St"/>
    <x v="2"/>
    <x v="3"/>
    <m/>
    <n v="3133"/>
    <n v="689646"/>
    <n v="220.12320459623365"/>
  </r>
  <r>
    <x v="2524"/>
    <s v="Apr"/>
    <x v="5"/>
    <s v="155 Maple Ave"/>
    <x v="6"/>
    <x v="0"/>
    <n v="5"/>
    <n v="2980"/>
    <n v="420071"/>
    <n v="140.96342281879194"/>
  </r>
  <r>
    <x v="904"/>
    <s v="Dec"/>
    <x v="13"/>
    <s v="368 Oak St"/>
    <x v="2"/>
    <x v="0"/>
    <n v="3"/>
    <n v="2598"/>
    <n v="106647"/>
    <n v="41.049653579676672"/>
  </r>
  <r>
    <x v="2473"/>
    <s v="Dec"/>
    <x v="10"/>
    <s v="843 Oak St"/>
    <x v="2"/>
    <x v="3"/>
    <n v="4"/>
    <n v="2187"/>
    <n v="772897"/>
    <n v="353.40512117055329"/>
  </r>
  <r>
    <x v="3118"/>
    <s v="Feb"/>
    <x v="5"/>
    <s v="913 Pine Rd"/>
    <x v="0"/>
    <x v="3"/>
    <n v="2"/>
    <n v="2872"/>
    <n v="206046"/>
    <n v="71.743036211699163"/>
  </r>
  <r>
    <x v="3119"/>
    <s v="Feb"/>
    <x v="8"/>
    <s v="877 Main St"/>
    <x v="6"/>
    <x v="3"/>
    <m/>
    <n v="3177"/>
    <n v="600556"/>
    <n v="189.0324205225055"/>
  </r>
  <r>
    <x v="3120"/>
    <s v="Dec"/>
    <x v="4"/>
    <s v="235 Elm St"/>
    <x v="4"/>
    <x v="2"/>
    <n v="4"/>
    <n v="2239"/>
    <n v="224053"/>
    <n v="100.06833407771326"/>
  </r>
  <r>
    <x v="2591"/>
    <s v="Jul"/>
    <x v="16"/>
    <s v="835 Maple Ave"/>
    <x v="5"/>
    <x v="3"/>
    <n v="4"/>
    <n v="2078"/>
    <n v="592338"/>
    <n v="285.05197305101058"/>
  </r>
  <r>
    <x v="3121"/>
    <s v="Jul"/>
    <x v="19"/>
    <s v="771 Pine Rd"/>
    <x v="3"/>
    <x v="2"/>
    <m/>
    <n v="2467"/>
    <n v="727225"/>
    <n v="294.78111066072154"/>
  </r>
  <r>
    <x v="159"/>
    <s v="Nov"/>
    <x v="8"/>
    <s v="110 Pine Rd"/>
    <x v="6"/>
    <x v="3"/>
    <n v="3"/>
    <n v="3151"/>
    <n v="713331"/>
    <n v="226.38241827991115"/>
  </r>
  <r>
    <x v="3122"/>
    <s v="Oct"/>
    <x v="2"/>
    <s v="947 Elm St"/>
    <x v="6"/>
    <x v="1"/>
    <n v="2"/>
    <n v="2370"/>
    <n v="887299"/>
    <n v="374.38776371308018"/>
  </r>
  <r>
    <x v="2035"/>
    <s v="Mar"/>
    <x v="1"/>
    <s v="134 Elm St"/>
    <x v="3"/>
    <x v="3"/>
    <n v="3"/>
    <n v="2165"/>
    <n v="735512"/>
    <n v="339.72840646651269"/>
  </r>
  <r>
    <x v="3123"/>
    <s v="Oct"/>
    <x v="8"/>
    <s v="887 Maple Ave"/>
    <x v="2"/>
    <x v="2"/>
    <n v="4"/>
    <n v="991"/>
    <n v="407971"/>
    <n v="411.6760847628658"/>
  </r>
  <r>
    <x v="466"/>
    <s v="Aug"/>
    <x v="18"/>
    <s v="750 Elm St"/>
    <x v="3"/>
    <x v="3"/>
    <m/>
    <n v="2830"/>
    <n v="494150"/>
    <n v="174.61130742049471"/>
  </r>
  <r>
    <x v="1142"/>
    <s v="Jun"/>
    <x v="16"/>
    <s v="357 Oak St"/>
    <x v="3"/>
    <x v="3"/>
    <m/>
    <n v="930"/>
    <n v="541643"/>
    <n v="582.41182795698921"/>
  </r>
  <r>
    <x v="3124"/>
    <s v="Nov"/>
    <x v="14"/>
    <s v="471 Elm St"/>
    <x v="5"/>
    <x v="1"/>
    <n v="3"/>
    <n v="1227"/>
    <n v="728882"/>
    <n v="594.03585982070092"/>
  </r>
  <r>
    <x v="234"/>
    <s v="Jun"/>
    <x v="1"/>
    <s v="544 Maple Ave"/>
    <x v="6"/>
    <x v="2"/>
    <n v="2"/>
    <n v="2925"/>
    <n v="358309"/>
    <n v="122.49880341880342"/>
  </r>
  <r>
    <x v="3125"/>
    <s v="Jul"/>
    <x v="18"/>
    <s v="603 Maple Ave"/>
    <x v="5"/>
    <x v="2"/>
    <m/>
    <n v="2718"/>
    <n v="245907"/>
    <n v="90.473509933774835"/>
  </r>
  <r>
    <x v="3126"/>
    <s v="Apr"/>
    <x v="2"/>
    <s v="663 Pine Rd"/>
    <x v="3"/>
    <x v="0"/>
    <m/>
    <n v="1361"/>
    <n v="749499"/>
    <n v="550.69728141072744"/>
  </r>
  <r>
    <x v="3127"/>
    <s v="Sep"/>
    <x v="0"/>
    <s v="834 Elm St"/>
    <x v="2"/>
    <x v="2"/>
    <m/>
    <n v="997"/>
    <m/>
    <n v="0"/>
  </r>
  <r>
    <x v="1234"/>
    <s v="Mar"/>
    <x v="18"/>
    <s v="407 Pine Rd"/>
    <x v="5"/>
    <x v="0"/>
    <m/>
    <n v="2219"/>
    <n v="635090"/>
    <n v="286.2054979720595"/>
  </r>
  <r>
    <x v="315"/>
    <s v="Jul"/>
    <x v="11"/>
    <s v="493 Oak St"/>
    <x v="4"/>
    <x v="0"/>
    <m/>
    <n v="1699"/>
    <n v="280712"/>
    <n v="165.22189523248969"/>
  </r>
  <r>
    <x v="3128"/>
    <s v="Nov"/>
    <x v="18"/>
    <s v="324 Oak St"/>
    <x v="6"/>
    <x v="0"/>
    <n v="3"/>
    <n v="2750"/>
    <n v="513032"/>
    <n v="186.5570909090909"/>
  </r>
  <r>
    <x v="3129"/>
    <s v="May"/>
    <x v="18"/>
    <s v="215 Elm St"/>
    <x v="5"/>
    <x v="3"/>
    <n v="3"/>
    <n v="2018"/>
    <n v="162710"/>
    <n v="80.62933597621408"/>
  </r>
  <r>
    <x v="1475"/>
    <s v="Sep"/>
    <x v="0"/>
    <s v="265 Main St"/>
    <x v="5"/>
    <x v="2"/>
    <n v="2"/>
    <n v="2001"/>
    <n v="577667"/>
    <n v="288.68915542228888"/>
  </r>
  <r>
    <x v="1246"/>
    <s v="Feb"/>
    <x v="6"/>
    <s v="296 Maple Ave"/>
    <x v="4"/>
    <x v="0"/>
    <n v="3"/>
    <n v="2049"/>
    <n v="734077"/>
    <n v="358.26110297706197"/>
  </r>
  <r>
    <x v="3130"/>
    <s v="Mar"/>
    <x v="13"/>
    <s v="414 Maple Ave"/>
    <x v="3"/>
    <x v="2"/>
    <n v="4"/>
    <n v="1739"/>
    <n v="369826"/>
    <n v="212.66589994249568"/>
  </r>
  <r>
    <x v="3095"/>
    <s v="Jan"/>
    <x v="9"/>
    <s v="345 Oak St"/>
    <x v="2"/>
    <x v="0"/>
    <n v="2"/>
    <n v="2811"/>
    <n v="438382"/>
    <n v="155.95233013162576"/>
  </r>
  <r>
    <x v="3131"/>
    <s v="Oct"/>
    <x v="3"/>
    <s v="153 Oak St"/>
    <x v="3"/>
    <x v="3"/>
    <m/>
    <n v="1859"/>
    <n v="598620"/>
    <n v="322.0118343195266"/>
  </r>
  <r>
    <x v="3132"/>
    <s v="Oct"/>
    <x v="5"/>
    <s v="820 Maple Ave"/>
    <x v="3"/>
    <x v="2"/>
    <n v="3"/>
    <n v="3065"/>
    <n v="225702"/>
    <n v="73.63849918433931"/>
  </r>
  <r>
    <x v="3133"/>
    <s v="Jul"/>
    <x v="11"/>
    <s v="743 Elm St"/>
    <x v="6"/>
    <x v="3"/>
    <n v="2"/>
    <n v="3284"/>
    <n v="161065"/>
    <n v="49.045371498172962"/>
  </r>
  <r>
    <x v="1402"/>
    <s v="Jan"/>
    <x v="0"/>
    <s v="570 Pine Rd"/>
    <x v="0"/>
    <x v="1"/>
    <n v="5"/>
    <n v="2894"/>
    <n v="416684"/>
    <n v="143.98203178991017"/>
  </r>
  <r>
    <x v="2907"/>
    <s v="Sep"/>
    <x v="1"/>
    <s v="638 Pine Rd"/>
    <x v="1"/>
    <x v="2"/>
    <n v="3"/>
    <n v="2909"/>
    <n v="443857"/>
    <n v="152.58061189412169"/>
  </r>
  <r>
    <x v="3134"/>
    <s v="Nov"/>
    <x v="9"/>
    <s v="107 Oak St"/>
    <x v="3"/>
    <x v="3"/>
    <n v="2"/>
    <n v="3451"/>
    <n v="577436"/>
    <n v="167.32425383946682"/>
  </r>
  <r>
    <x v="660"/>
    <s v="Feb"/>
    <x v="7"/>
    <s v="254 Pine Rd"/>
    <x v="3"/>
    <x v="1"/>
    <n v="4"/>
    <n v="3250"/>
    <n v="735710"/>
    <n v="226.37230769230769"/>
  </r>
  <r>
    <x v="3135"/>
    <s v="Apr"/>
    <x v="9"/>
    <s v="260 Oak St"/>
    <x v="1"/>
    <x v="1"/>
    <n v="3"/>
    <n v="1931"/>
    <n v="201310"/>
    <n v="104.25168306576903"/>
  </r>
  <r>
    <x v="2512"/>
    <s v="Sep"/>
    <x v="13"/>
    <s v="511 Oak St"/>
    <x v="1"/>
    <x v="0"/>
    <n v="2"/>
    <n v="1313"/>
    <n v="294032"/>
    <n v="223.93907083015995"/>
  </r>
  <r>
    <x v="1506"/>
    <s v="Dec"/>
    <x v="1"/>
    <s v="828 Pine Rd"/>
    <x v="4"/>
    <x v="1"/>
    <n v="3"/>
    <n v="1964"/>
    <n v="310000"/>
    <n v="157.84114052953157"/>
  </r>
  <r>
    <x v="987"/>
    <s v="May"/>
    <x v="10"/>
    <s v="900 Pine Rd"/>
    <x v="4"/>
    <x v="0"/>
    <m/>
    <n v="3342"/>
    <n v="509407"/>
    <n v="152.42579293836027"/>
  </r>
  <r>
    <x v="3136"/>
    <s v="Oct"/>
    <x v="14"/>
    <s v="846 Pine Rd"/>
    <x v="4"/>
    <x v="3"/>
    <m/>
    <n v="1822"/>
    <n v="676673"/>
    <n v="371.39023051591658"/>
  </r>
  <r>
    <x v="3137"/>
    <s v="Dec"/>
    <x v="7"/>
    <s v="167 Oak St"/>
    <x v="6"/>
    <x v="1"/>
    <m/>
    <n v="1388"/>
    <n v="468910"/>
    <n v="337.8314121037464"/>
  </r>
  <r>
    <x v="3138"/>
    <s v="Sep"/>
    <x v="16"/>
    <s v="761 Pine Rd"/>
    <x v="4"/>
    <x v="0"/>
    <m/>
    <n v="2769"/>
    <n v="272958"/>
    <n v="98.576381365113761"/>
  </r>
  <r>
    <x v="2310"/>
    <s v="Aug"/>
    <x v="4"/>
    <s v="341 Elm St"/>
    <x v="4"/>
    <x v="1"/>
    <m/>
    <n v="2384"/>
    <n v="561751"/>
    <n v="235.63380872483222"/>
  </r>
  <r>
    <x v="1496"/>
    <s v="Jul"/>
    <x v="5"/>
    <s v="850 Elm St"/>
    <x v="6"/>
    <x v="0"/>
    <n v="2"/>
    <n v="1695"/>
    <n v="617036"/>
    <n v="364.03303834808258"/>
  </r>
  <r>
    <x v="3139"/>
    <s v="Apr"/>
    <x v="6"/>
    <s v="158 Maple Ave"/>
    <x v="3"/>
    <x v="0"/>
    <n v="5"/>
    <n v="2060"/>
    <n v="709072"/>
    <n v="344.2097087378641"/>
  </r>
  <r>
    <x v="3140"/>
    <s v="Apr"/>
    <x v="16"/>
    <s v="149 Elm St"/>
    <x v="6"/>
    <x v="3"/>
    <n v="5"/>
    <n v="834"/>
    <n v="298015"/>
    <n v="357.33213429256597"/>
  </r>
  <r>
    <x v="3141"/>
    <s v="Sep"/>
    <x v="15"/>
    <s v="860 Main St"/>
    <x v="6"/>
    <x v="3"/>
    <n v="4"/>
    <n v="2971"/>
    <n v="538607"/>
    <n v="181.28811847862673"/>
  </r>
  <r>
    <x v="3142"/>
    <s v="Jul"/>
    <x v="9"/>
    <s v="619 Pine Rd"/>
    <x v="3"/>
    <x v="0"/>
    <m/>
    <n v="2757"/>
    <n v="658580"/>
    <n v="238.87558940877767"/>
  </r>
  <r>
    <x v="214"/>
    <s v="Aug"/>
    <x v="11"/>
    <s v="284 Pine Rd"/>
    <x v="0"/>
    <x v="0"/>
    <n v="2"/>
    <n v="983"/>
    <n v="284355"/>
    <n v="289.27263479145472"/>
  </r>
  <r>
    <x v="3143"/>
    <s v="Jul"/>
    <x v="12"/>
    <s v="117 Pine Rd"/>
    <x v="1"/>
    <x v="0"/>
    <n v="5"/>
    <n v="2314"/>
    <n v="788446"/>
    <n v="340.72860847018148"/>
  </r>
  <r>
    <x v="35"/>
    <s v="May"/>
    <x v="12"/>
    <s v="458 Elm St"/>
    <x v="0"/>
    <x v="0"/>
    <m/>
    <n v="2205"/>
    <n v="628783"/>
    <n v="285.162358276644"/>
  </r>
  <r>
    <x v="3144"/>
    <s v="Mar"/>
    <x v="17"/>
    <s v="289 Main St"/>
    <x v="1"/>
    <x v="1"/>
    <n v="2"/>
    <n v="2299"/>
    <n v="742450"/>
    <n v="322.94475859069161"/>
  </r>
  <r>
    <x v="3145"/>
    <s v="Apr"/>
    <x v="4"/>
    <s v="749 Maple Ave"/>
    <x v="6"/>
    <x v="1"/>
    <n v="5"/>
    <n v="2992"/>
    <n v="500651"/>
    <n v="167.3298796791444"/>
  </r>
  <r>
    <x v="1822"/>
    <s v="May"/>
    <x v="11"/>
    <s v="230 Pine Rd"/>
    <x v="6"/>
    <x v="2"/>
    <m/>
    <n v="2454"/>
    <n v="330004"/>
    <n v="134.47595762021189"/>
  </r>
  <r>
    <x v="3146"/>
    <s v="Jun"/>
    <x v="8"/>
    <s v="505 Main St"/>
    <x v="2"/>
    <x v="2"/>
    <m/>
    <n v="3128"/>
    <n v="242152"/>
    <n v="77.414322250639387"/>
  </r>
  <r>
    <x v="3147"/>
    <s v="Mar"/>
    <x v="15"/>
    <s v="281 Pine Rd"/>
    <x v="0"/>
    <x v="0"/>
    <m/>
    <n v="1282"/>
    <n v="609365"/>
    <n v="475.32371294851794"/>
  </r>
  <r>
    <x v="3148"/>
    <s v="Jun"/>
    <x v="10"/>
    <s v="176 Oak St"/>
    <x v="0"/>
    <x v="3"/>
    <m/>
    <n v="3152"/>
    <n v="328410"/>
    <n v="104.19098984771574"/>
  </r>
  <r>
    <x v="949"/>
    <s v="Sep"/>
    <x v="15"/>
    <s v="595 Oak St"/>
    <x v="1"/>
    <x v="0"/>
    <n v="2"/>
    <n v="2718"/>
    <n v="801025"/>
    <n v="294.7111846946284"/>
  </r>
  <r>
    <x v="3149"/>
    <s v="Aug"/>
    <x v="15"/>
    <s v="594 Oak St"/>
    <x v="1"/>
    <x v="3"/>
    <n v="4"/>
    <n v="1431"/>
    <n v="407217"/>
    <n v="284.56813417190773"/>
  </r>
  <r>
    <x v="745"/>
    <s v="May"/>
    <x v="6"/>
    <s v="527 Oak St"/>
    <x v="6"/>
    <x v="3"/>
    <m/>
    <n v="1178"/>
    <n v="864901"/>
    <n v="734.21137521222408"/>
  </r>
  <r>
    <x v="3150"/>
    <s v="Feb"/>
    <x v="1"/>
    <s v="699 Main St"/>
    <x v="5"/>
    <x v="3"/>
    <n v="4"/>
    <n v="3243"/>
    <n v="682649"/>
    <n v="210.49922910884982"/>
  </r>
  <r>
    <x v="3151"/>
    <s v="Nov"/>
    <x v="2"/>
    <s v="899 Oak St"/>
    <x v="3"/>
    <x v="1"/>
    <m/>
    <n v="2057"/>
    <n v="542419"/>
    <n v="263.69421487603307"/>
  </r>
  <r>
    <x v="3152"/>
    <s v="Oct"/>
    <x v="7"/>
    <s v="959 Oak St"/>
    <x v="3"/>
    <x v="3"/>
    <n v="2"/>
    <n v="1703"/>
    <n v="656949"/>
    <n v="385.75983558426304"/>
  </r>
  <r>
    <x v="3153"/>
    <s v="Jan"/>
    <x v="19"/>
    <s v="749 Main St"/>
    <x v="4"/>
    <x v="3"/>
    <m/>
    <n v="1176"/>
    <n v="694187"/>
    <n v="590.29506802721085"/>
  </r>
  <r>
    <x v="1908"/>
    <s v="Aug"/>
    <x v="8"/>
    <s v="628 Pine Rd"/>
    <x v="6"/>
    <x v="2"/>
    <n v="3"/>
    <n v="2321"/>
    <n v="443180"/>
    <n v="190.94355881085738"/>
  </r>
  <r>
    <x v="2562"/>
    <s v="Dec"/>
    <x v="3"/>
    <s v="479 Maple Ave"/>
    <x v="0"/>
    <x v="1"/>
    <n v="4"/>
    <n v="3189"/>
    <n v="836744"/>
    <n v="262.38444653496396"/>
  </r>
  <r>
    <x v="3154"/>
    <s v="Jul"/>
    <x v="4"/>
    <s v="838 Oak St"/>
    <x v="5"/>
    <x v="1"/>
    <n v="5"/>
    <n v="1726"/>
    <n v="346318"/>
    <n v="200.64774044032444"/>
  </r>
  <r>
    <x v="3155"/>
    <s v="Jun"/>
    <x v="18"/>
    <s v="408 Maple Ave"/>
    <x v="5"/>
    <x v="1"/>
    <n v="5"/>
    <n v="3116"/>
    <n v="856262"/>
    <n v="274.79525032092425"/>
  </r>
  <r>
    <x v="3156"/>
    <s v="Jan"/>
    <x v="13"/>
    <s v="378 Main St"/>
    <x v="0"/>
    <x v="3"/>
    <n v="4"/>
    <n v="2232"/>
    <n v="826715"/>
    <n v="370.39202508960574"/>
  </r>
  <r>
    <x v="3157"/>
    <s v="May"/>
    <x v="17"/>
    <s v="513 Oak St"/>
    <x v="2"/>
    <x v="1"/>
    <m/>
    <n v="1627"/>
    <n v="676120"/>
    <n v="415.56238475722188"/>
  </r>
  <r>
    <x v="301"/>
    <s v="Jun"/>
    <x v="7"/>
    <s v="922 Oak St"/>
    <x v="3"/>
    <x v="3"/>
    <n v="5"/>
    <n v="3420"/>
    <n v="725538"/>
    <n v="212.14561403508773"/>
  </r>
  <r>
    <x v="3158"/>
    <s v="Sep"/>
    <x v="11"/>
    <s v="505 Maple Ave"/>
    <x v="4"/>
    <x v="2"/>
    <m/>
    <n v="2200"/>
    <n v="104831"/>
    <n v="47.650454545454544"/>
  </r>
  <r>
    <x v="608"/>
    <s v="Jan"/>
    <x v="8"/>
    <s v="430 Elm St"/>
    <x v="1"/>
    <x v="0"/>
    <m/>
    <n v="1636"/>
    <n v="508011"/>
    <n v="310.52017114914423"/>
  </r>
  <r>
    <x v="3159"/>
    <s v="Apr"/>
    <x v="5"/>
    <s v="915 Elm St"/>
    <x v="4"/>
    <x v="2"/>
    <n v="4"/>
    <n v="2788"/>
    <n v="392537"/>
    <n v="140.79519368723098"/>
  </r>
  <r>
    <x v="2564"/>
    <s v="Apr"/>
    <x v="18"/>
    <s v="125 Oak St"/>
    <x v="6"/>
    <x v="1"/>
    <m/>
    <n v="2095"/>
    <n v="238022"/>
    <n v="113.61431980906922"/>
  </r>
  <r>
    <x v="1881"/>
    <s v="Jan"/>
    <x v="13"/>
    <s v="338 Maple Ave"/>
    <x v="0"/>
    <x v="2"/>
    <m/>
    <n v="1828"/>
    <n v="728548"/>
    <n v="398.5492341356674"/>
  </r>
  <r>
    <x v="3160"/>
    <s v="Apr"/>
    <x v="7"/>
    <s v="562 Pine Rd"/>
    <x v="1"/>
    <x v="3"/>
    <n v="4"/>
    <n v="1276"/>
    <n v="348180"/>
    <n v="272.86833855799375"/>
  </r>
  <r>
    <x v="3161"/>
    <s v="Jun"/>
    <x v="2"/>
    <s v="761 Maple Ave"/>
    <x v="4"/>
    <x v="2"/>
    <n v="4"/>
    <n v="2891"/>
    <n v="599207"/>
    <n v="207.26634382566587"/>
  </r>
  <r>
    <x v="3162"/>
    <s v="Apr"/>
    <x v="14"/>
    <s v="612 Main St"/>
    <x v="6"/>
    <x v="2"/>
    <n v="5"/>
    <n v="896"/>
    <n v="832026"/>
    <n v="928.60044642857144"/>
  </r>
  <r>
    <x v="2903"/>
    <s v="Jul"/>
    <x v="7"/>
    <s v="788 Pine Rd"/>
    <x v="2"/>
    <x v="2"/>
    <n v="4"/>
    <n v="2739"/>
    <n v="296439"/>
    <n v="108.22891566265061"/>
  </r>
  <r>
    <x v="3163"/>
    <s v="May"/>
    <x v="12"/>
    <s v="851 Maple Ave"/>
    <x v="4"/>
    <x v="0"/>
    <n v="3"/>
    <n v="1531"/>
    <n v="442879"/>
    <n v="289.27433050293928"/>
  </r>
  <r>
    <x v="3164"/>
    <s v="Sep"/>
    <x v="6"/>
    <s v="635 Maple Ave"/>
    <x v="6"/>
    <x v="1"/>
    <n v="4"/>
    <n v="1157"/>
    <n v="691624"/>
    <n v="597.7735522904062"/>
  </r>
  <r>
    <x v="2364"/>
    <s v="Mar"/>
    <x v="0"/>
    <s v="649 Maple Ave"/>
    <x v="2"/>
    <x v="3"/>
    <m/>
    <n v="1795"/>
    <n v="763106"/>
    <n v="425.12869080779944"/>
  </r>
  <r>
    <x v="3153"/>
    <s v="Jan"/>
    <x v="19"/>
    <s v="904 Pine Rd"/>
    <x v="6"/>
    <x v="2"/>
    <n v="4"/>
    <n v="1054"/>
    <n v="737099"/>
    <n v="699.33491461100573"/>
  </r>
  <r>
    <x v="3165"/>
    <s v="May"/>
    <x v="19"/>
    <s v="800 Oak St"/>
    <x v="2"/>
    <x v="3"/>
    <m/>
    <n v="2845"/>
    <n v="505040"/>
    <n v="177.51845342706503"/>
  </r>
  <r>
    <x v="3166"/>
    <s v="Jun"/>
    <x v="19"/>
    <s v="351 Maple Ave"/>
    <x v="4"/>
    <x v="1"/>
    <n v="5"/>
    <n v="1612"/>
    <n v="446426"/>
    <n v="276.93920595533501"/>
  </r>
  <r>
    <x v="3167"/>
    <s v="Jul"/>
    <x v="8"/>
    <s v="110 Main St"/>
    <x v="6"/>
    <x v="2"/>
    <m/>
    <n v="3176"/>
    <n v="840278"/>
    <n v="264.57115869017633"/>
  </r>
  <r>
    <x v="3168"/>
    <s v="Sep"/>
    <x v="17"/>
    <s v="580 Main St"/>
    <x v="2"/>
    <x v="3"/>
    <n v="4"/>
    <n v="1593"/>
    <n v="564972"/>
    <n v="354.65913370998118"/>
  </r>
  <r>
    <x v="1762"/>
    <s v="Sep"/>
    <x v="2"/>
    <s v="701 Pine Rd"/>
    <x v="4"/>
    <x v="2"/>
    <n v="3"/>
    <n v="1748"/>
    <n v="683632"/>
    <n v="391.09382151029746"/>
  </r>
  <r>
    <x v="155"/>
    <s v="Jan"/>
    <x v="4"/>
    <s v="755 Oak St"/>
    <x v="5"/>
    <x v="1"/>
    <n v="4"/>
    <n v="1737"/>
    <n v="459186"/>
    <n v="264.35578583765113"/>
  </r>
  <r>
    <x v="38"/>
    <s v="Dec"/>
    <x v="17"/>
    <s v="126 Pine Rd"/>
    <x v="0"/>
    <x v="1"/>
    <n v="2"/>
    <n v="1567"/>
    <n v="856799"/>
    <n v="546.77664326738989"/>
  </r>
  <r>
    <x v="3169"/>
    <s v="Oct"/>
    <x v="13"/>
    <s v="598 Elm St"/>
    <x v="3"/>
    <x v="3"/>
    <n v="3"/>
    <n v="1921"/>
    <n v="425618"/>
    <n v="221.5606454971369"/>
  </r>
  <r>
    <x v="3170"/>
    <s v="Feb"/>
    <x v="19"/>
    <s v="905 Main St"/>
    <x v="4"/>
    <x v="1"/>
    <n v="2"/>
    <n v="3353"/>
    <n v="525898"/>
    <n v="156.84402028034597"/>
  </r>
  <r>
    <x v="3171"/>
    <s v="Dec"/>
    <x v="8"/>
    <s v="126 Maple Ave"/>
    <x v="0"/>
    <x v="0"/>
    <n v="4"/>
    <n v="2559"/>
    <n v="357088"/>
    <n v="139.54200859710824"/>
  </r>
  <r>
    <x v="1612"/>
    <s v="Nov"/>
    <x v="8"/>
    <s v="248 Pine Rd"/>
    <x v="3"/>
    <x v="1"/>
    <n v="3"/>
    <n v="3286"/>
    <n v="409725"/>
    <n v="124.68807060255629"/>
  </r>
  <r>
    <x v="3172"/>
    <s v="Jun"/>
    <x v="11"/>
    <s v="184 Elm St"/>
    <x v="2"/>
    <x v="3"/>
    <n v="2"/>
    <n v="2010"/>
    <n v="153575"/>
    <n v="76.405472636815915"/>
  </r>
  <r>
    <x v="2214"/>
    <s v="Oct"/>
    <x v="11"/>
    <s v="694 Elm St"/>
    <x v="6"/>
    <x v="0"/>
    <m/>
    <n v="2355"/>
    <n v="572261"/>
    <n v="242.99830148619958"/>
  </r>
  <r>
    <x v="529"/>
    <s v="Dec"/>
    <x v="4"/>
    <s v="848 Pine Rd"/>
    <x v="3"/>
    <x v="2"/>
    <m/>
    <n v="3418"/>
    <n v="745572"/>
    <n v="218.13107080163837"/>
  </r>
  <r>
    <x v="3173"/>
    <s v="Dec"/>
    <x v="19"/>
    <s v="702 Maple Ave"/>
    <x v="3"/>
    <x v="2"/>
    <n v="3"/>
    <n v="2663"/>
    <n v="224079"/>
    <n v="84.145324821629742"/>
  </r>
  <r>
    <x v="1291"/>
    <s v="May"/>
    <x v="7"/>
    <s v="661 Oak St"/>
    <x v="1"/>
    <x v="1"/>
    <n v="2"/>
    <n v="2791"/>
    <m/>
    <n v="0"/>
  </r>
  <r>
    <x v="2699"/>
    <s v="Nov"/>
    <x v="9"/>
    <s v="915 Oak St"/>
    <x v="6"/>
    <x v="0"/>
    <m/>
    <n v="1742"/>
    <n v="210222"/>
    <n v="120.67853042479908"/>
  </r>
  <r>
    <x v="3174"/>
    <s v="Sep"/>
    <x v="8"/>
    <s v="815 Maple Ave"/>
    <x v="4"/>
    <x v="3"/>
    <n v="2"/>
    <n v="1495"/>
    <n v="140141"/>
    <n v="93.739799331103683"/>
  </r>
  <r>
    <x v="3175"/>
    <s v="Apr"/>
    <x v="15"/>
    <s v="157 Oak St"/>
    <x v="5"/>
    <x v="2"/>
    <m/>
    <n v="1002"/>
    <n v="127436"/>
    <n v="127.18163672654691"/>
  </r>
  <r>
    <x v="1329"/>
    <s v="Aug"/>
    <x v="13"/>
    <s v="976 Maple Ave"/>
    <x v="4"/>
    <x v="2"/>
    <n v="4"/>
    <n v="2546"/>
    <n v="775546"/>
    <n v="304.61351139041636"/>
  </r>
  <r>
    <x v="3176"/>
    <s v="Feb"/>
    <x v="3"/>
    <s v="594 Pine Rd"/>
    <x v="6"/>
    <x v="0"/>
    <m/>
    <n v="2300"/>
    <n v="730797"/>
    <n v="317.73782608695655"/>
  </r>
  <r>
    <x v="3177"/>
    <s v="Dec"/>
    <x v="17"/>
    <s v="632 Elm St"/>
    <x v="4"/>
    <x v="1"/>
    <n v="4"/>
    <n v="2070"/>
    <n v="713902"/>
    <n v="344.880193236715"/>
  </r>
  <r>
    <x v="3178"/>
    <s v="Aug"/>
    <x v="16"/>
    <s v="698 Oak St"/>
    <x v="0"/>
    <x v="0"/>
    <n v="2"/>
    <n v="852"/>
    <n v="709493"/>
    <n v="832.73826291079808"/>
  </r>
  <r>
    <x v="3179"/>
    <s v="Dec"/>
    <x v="4"/>
    <s v="504 Pine Rd"/>
    <x v="4"/>
    <x v="1"/>
    <n v="3"/>
    <n v="3458"/>
    <n v="160216"/>
    <n v="46.331983805668017"/>
  </r>
  <r>
    <x v="1195"/>
    <s v="Oct"/>
    <x v="10"/>
    <s v="262 Main St"/>
    <x v="5"/>
    <x v="1"/>
    <n v="4"/>
    <n v="1387"/>
    <n v="147371"/>
    <n v="106.25162220620044"/>
  </r>
  <r>
    <x v="1973"/>
    <s v="May"/>
    <x v="14"/>
    <s v="478 Oak St"/>
    <x v="4"/>
    <x v="2"/>
    <n v="5"/>
    <n v="1843"/>
    <n v="518457"/>
    <n v="281.31144872490506"/>
  </r>
  <r>
    <x v="450"/>
    <s v="May"/>
    <x v="3"/>
    <s v="473 Main St"/>
    <x v="2"/>
    <x v="0"/>
    <n v="3"/>
    <n v="991"/>
    <n v="170164"/>
    <n v="171.70938446014128"/>
  </r>
  <r>
    <x v="3180"/>
    <s v="Mar"/>
    <x v="4"/>
    <s v="880 Main St"/>
    <x v="5"/>
    <x v="1"/>
    <m/>
    <n v="3239"/>
    <n v="750927"/>
    <n v="231.83914788514974"/>
  </r>
  <r>
    <x v="3181"/>
    <s v="Jul"/>
    <x v="9"/>
    <s v="593 Maple Ave"/>
    <x v="2"/>
    <x v="3"/>
    <m/>
    <n v="869"/>
    <n v="520779"/>
    <n v="599.28538550057533"/>
  </r>
  <r>
    <x v="1075"/>
    <s v="Sep"/>
    <x v="16"/>
    <s v="808 Oak St"/>
    <x v="5"/>
    <x v="3"/>
    <m/>
    <n v="1118"/>
    <n v="287517"/>
    <n v="257.17084078711986"/>
  </r>
  <r>
    <x v="3182"/>
    <s v="Mar"/>
    <x v="12"/>
    <s v="369 Oak St"/>
    <x v="2"/>
    <x v="3"/>
    <m/>
    <n v="2310"/>
    <n v="148815"/>
    <n v="64.422077922077918"/>
  </r>
  <r>
    <x v="1211"/>
    <s v="Dec"/>
    <x v="1"/>
    <s v="160 Pine Rd"/>
    <x v="2"/>
    <x v="2"/>
    <n v="3"/>
    <n v="908"/>
    <n v="230787"/>
    <n v="254.17070484581498"/>
  </r>
  <r>
    <x v="3183"/>
    <s v="Dec"/>
    <x v="9"/>
    <s v="639 Oak St"/>
    <x v="1"/>
    <x v="0"/>
    <m/>
    <n v="1277"/>
    <n v="660520"/>
    <n v="517.24353954581045"/>
  </r>
  <r>
    <x v="1215"/>
    <s v="Dec"/>
    <x v="13"/>
    <s v="709 Maple Ave"/>
    <x v="4"/>
    <x v="0"/>
    <m/>
    <n v="896"/>
    <n v="800600"/>
    <n v="893.52678571428567"/>
  </r>
  <r>
    <x v="3184"/>
    <s v="Feb"/>
    <x v="1"/>
    <s v="408 Main St"/>
    <x v="0"/>
    <x v="2"/>
    <n v="2"/>
    <n v="2480"/>
    <n v="438341"/>
    <n v="176.75040322580645"/>
  </r>
  <r>
    <x v="810"/>
    <s v="Oct"/>
    <x v="1"/>
    <s v="557 Oak St"/>
    <x v="6"/>
    <x v="1"/>
    <n v="2"/>
    <n v="1238"/>
    <n v="779151"/>
    <n v="629.36268174474958"/>
  </r>
  <r>
    <x v="2104"/>
    <s v="Aug"/>
    <x v="10"/>
    <s v="242 Elm St"/>
    <x v="0"/>
    <x v="2"/>
    <m/>
    <n v="3208"/>
    <n v="731016"/>
    <n v="227.87281795511223"/>
  </r>
  <r>
    <x v="475"/>
    <s v="Dec"/>
    <x v="17"/>
    <s v="655 Main St"/>
    <x v="1"/>
    <x v="2"/>
    <n v="5"/>
    <n v="2751"/>
    <n v="238520"/>
    <n v="86.703017084696469"/>
  </r>
  <r>
    <x v="2542"/>
    <s v="Aug"/>
    <x v="1"/>
    <s v="576 Elm St"/>
    <x v="0"/>
    <x v="3"/>
    <m/>
    <n v="2805"/>
    <n v="421804"/>
    <n v="150.37575757575758"/>
  </r>
  <r>
    <x v="698"/>
    <s v="Oct"/>
    <x v="2"/>
    <s v="961 Main St"/>
    <x v="4"/>
    <x v="3"/>
    <n v="4"/>
    <n v="1398"/>
    <n v="504006"/>
    <n v="360.51931330472104"/>
  </r>
  <r>
    <x v="3185"/>
    <s v="Apr"/>
    <x v="7"/>
    <s v="537 Elm St"/>
    <x v="3"/>
    <x v="3"/>
    <n v="2"/>
    <n v="3039"/>
    <n v="783165"/>
    <n v="257.70483711747283"/>
  </r>
  <r>
    <x v="3186"/>
    <s v="Nov"/>
    <x v="12"/>
    <s v="690 Maple Ave"/>
    <x v="6"/>
    <x v="1"/>
    <n v="2"/>
    <n v="1310"/>
    <n v="564361"/>
    <n v="430.80992366412215"/>
  </r>
  <r>
    <x v="2385"/>
    <s v="Jan"/>
    <x v="9"/>
    <s v="830 Main St"/>
    <x v="2"/>
    <x v="0"/>
    <n v="4"/>
    <n v="1634"/>
    <n v="169420"/>
    <n v="103.68421052631579"/>
  </r>
  <r>
    <x v="2671"/>
    <s v="Jan"/>
    <x v="15"/>
    <s v="631 Pine Rd"/>
    <x v="4"/>
    <x v="0"/>
    <n v="3"/>
    <n v="1463"/>
    <n v="594326"/>
    <n v="406.23786739576212"/>
  </r>
  <r>
    <x v="3187"/>
    <s v="Nov"/>
    <x v="9"/>
    <s v="593 Oak St"/>
    <x v="6"/>
    <x v="3"/>
    <n v="3"/>
    <n v="1134"/>
    <n v="400892"/>
    <n v="353.52028218694886"/>
  </r>
  <r>
    <x v="3188"/>
    <s v="Jan"/>
    <x v="4"/>
    <s v="832 Oak St"/>
    <x v="0"/>
    <x v="0"/>
    <n v="4"/>
    <n v="1941"/>
    <n v="753058"/>
    <n v="387.97424008243172"/>
  </r>
  <r>
    <x v="2029"/>
    <s v="Jul"/>
    <x v="14"/>
    <s v="567 Main St"/>
    <x v="6"/>
    <x v="0"/>
    <m/>
    <n v="2776"/>
    <n v="518571"/>
    <n v="186.80511527377521"/>
  </r>
  <r>
    <x v="3189"/>
    <s v="Jun"/>
    <x v="2"/>
    <s v="337 Pine Rd"/>
    <x v="0"/>
    <x v="0"/>
    <m/>
    <n v="2799"/>
    <n v="210033"/>
    <n v="75.038585209003216"/>
  </r>
  <r>
    <x v="3190"/>
    <s v="Oct"/>
    <x v="8"/>
    <s v="188 Oak St"/>
    <x v="4"/>
    <x v="3"/>
    <n v="2"/>
    <n v="2054"/>
    <n v="418725"/>
    <n v="203.85832521908472"/>
  </r>
  <r>
    <x v="3191"/>
    <s v="May"/>
    <x v="9"/>
    <s v="169 Elm St"/>
    <x v="0"/>
    <x v="1"/>
    <m/>
    <n v="2639"/>
    <n v="190677"/>
    <n v="72.253505115574086"/>
  </r>
  <r>
    <x v="2041"/>
    <s v="Jun"/>
    <x v="18"/>
    <s v="610 Pine Rd"/>
    <x v="2"/>
    <x v="0"/>
    <m/>
    <n v="2829"/>
    <n v="127192"/>
    <n v="44.960056557087313"/>
  </r>
  <r>
    <x v="3192"/>
    <s v="Jan"/>
    <x v="8"/>
    <s v="940 Elm St"/>
    <x v="1"/>
    <x v="1"/>
    <n v="4"/>
    <n v="2639"/>
    <n v="850625"/>
    <n v="322.3285335354301"/>
  </r>
  <r>
    <x v="3193"/>
    <s v="Jul"/>
    <x v="19"/>
    <s v="284 Maple Ave"/>
    <x v="4"/>
    <x v="1"/>
    <n v="3"/>
    <n v="2147"/>
    <n v="541478"/>
    <n v="252.20214252445271"/>
  </r>
  <r>
    <x v="2838"/>
    <s v="Jan"/>
    <x v="1"/>
    <s v="263 Elm St"/>
    <x v="0"/>
    <x v="3"/>
    <m/>
    <n v="1332"/>
    <n v="613684"/>
    <n v="460.72372372372371"/>
  </r>
  <r>
    <x v="3194"/>
    <s v="Dec"/>
    <x v="16"/>
    <s v="500 Maple Ave"/>
    <x v="6"/>
    <x v="2"/>
    <m/>
    <n v="3117"/>
    <n v="627066"/>
    <n v="201.17613089509143"/>
  </r>
  <r>
    <x v="3195"/>
    <s v="Dec"/>
    <x v="8"/>
    <s v="875 Main St"/>
    <x v="4"/>
    <x v="0"/>
    <n v="3"/>
    <n v="1652"/>
    <n v="491201"/>
    <n v="297.3371670702179"/>
  </r>
  <r>
    <x v="3196"/>
    <s v="Jan"/>
    <x v="8"/>
    <s v="773 Main St"/>
    <x v="1"/>
    <x v="1"/>
    <n v="5"/>
    <n v="1377"/>
    <n v="596559"/>
    <n v="433.23093681917209"/>
  </r>
  <r>
    <x v="3197"/>
    <s v="Dec"/>
    <x v="18"/>
    <s v="672 Main St"/>
    <x v="4"/>
    <x v="1"/>
    <n v="5"/>
    <n v="1791"/>
    <n v="660177"/>
    <n v="368.60804020100505"/>
  </r>
  <r>
    <x v="1574"/>
    <s v="Dec"/>
    <x v="9"/>
    <s v="178 Main St"/>
    <x v="6"/>
    <x v="1"/>
    <n v="3"/>
    <n v="1033"/>
    <n v="262596"/>
    <n v="254.20716360116165"/>
  </r>
  <r>
    <x v="3198"/>
    <s v="Jun"/>
    <x v="19"/>
    <s v="630 Pine Rd"/>
    <x v="5"/>
    <x v="1"/>
    <n v="3"/>
    <n v="2595"/>
    <n v="821097"/>
    <n v="316.4150289017341"/>
  </r>
  <r>
    <x v="3199"/>
    <s v="Nov"/>
    <x v="16"/>
    <s v="230 Main St"/>
    <x v="1"/>
    <x v="0"/>
    <n v="5"/>
    <n v="1319"/>
    <n v="427763"/>
    <n v="324.30856709628506"/>
  </r>
  <r>
    <x v="1356"/>
    <s v="Nov"/>
    <x v="4"/>
    <s v="997 Maple Ave"/>
    <x v="6"/>
    <x v="2"/>
    <n v="5"/>
    <n v="3362"/>
    <n v="610856"/>
    <n v="181.69422962522307"/>
  </r>
  <r>
    <x v="3200"/>
    <s v="Oct"/>
    <x v="3"/>
    <s v="239 Maple Ave"/>
    <x v="6"/>
    <x v="2"/>
    <n v="4"/>
    <n v="2769"/>
    <m/>
    <n v="0"/>
  </r>
  <r>
    <x v="678"/>
    <s v="Jul"/>
    <x v="8"/>
    <s v="536 Main St"/>
    <x v="2"/>
    <x v="3"/>
    <n v="4"/>
    <n v="2409"/>
    <n v="545658"/>
    <n v="226.50809464508094"/>
  </r>
  <r>
    <x v="3201"/>
    <s v="Sep"/>
    <x v="10"/>
    <s v="815 Elm St"/>
    <x v="3"/>
    <x v="0"/>
    <n v="4"/>
    <n v="2463"/>
    <n v="891546"/>
    <n v="361.97563946406819"/>
  </r>
  <r>
    <x v="3202"/>
    <s v="Mar"/>
    <x v="7"/>
    <s v="994 Main St"/>
    <x v="2"/>
    <x v="3"/>
    <m/>
    <n v="971"/>
    <n v="423218"/>
    <n v="435.85787847579815"/>
  </r>
  <r>
    <x v="2149"/>
    <s v="Jan"/>
    <x v="2"/>
    <s v="342 Oak St"/>
    <x v="6"/>
    <x v="0"/>
    <m/>
    <n v="3277"/>
    <n v="635825"/>
    <n v="194.02654867256638"/>
  </r>
  <r>
    <x v="2073"/>
    <s v="Jan"/>
    <x v="9"/>
    <s v="561 Main St"/>
    <x v="6"/>
    <x v="1"/>
    <m/>
    <n v="1893"/>
    <n v="729727"/>
    <n v="385.48705758055996"/>
  </r>
  <r>
    <x v="3203"/>
    <s v="Aug"/>
    <x v="18"/>
    <s v="658 Oak St"/>
    <x v="0"/>
    <x v="1"/>
    <n v="2"/>
    <n v="2486"/>
    <n v="204295"/>
    <n v="82.178197908286407"/>
  </r>
  <r>
    <x v="3204"/>
    <s v="Aug"/>
    <x v="16"/>
    <s v="399 Oak St"/>
    <x v="0"/>
    <x v="2"/>
    <m/>
    <n v="1591"/>
    <n v="179923"/>
    <n v="113.0879949717159"/>
  </r>
  <r>
    <x v="1140"/>
    <s v="Apr"/>
    <x v="8"/>
    <s v="473 Main St"/>
    <x v="6"/>
    <x v="2"/>
    <m/>
    <n v="2150"/>
    <n v="793671"/>
    <n v="369.1493023255814"/>
  </r>
  <r>
    <x v="3205"/>
    <s v="Dec"/>
    <x v="10"/>
    <s v="697 Oak St"/>
    <x v="0"/>
    <x v="0"/>
    <m/>
    <n v="3298"/>
    <m/>
    <n v="0"/>
  </r>
  <r>
    <x v="3206"/>
    <s v="Nov"/>
    <x v="6"/>
    <s v="506 Oak St"/>
    <x v="2"/>
    <x v="1"/>
    <m/>
    <n v="879"/>
    <n v="234897"/>
    <n v="267.23208191126281"/>
  </r>
  <r>
    <x v="3207"/>
    <s v="Dec"/>
    <x v="11"/>
    <s v="227 Pine Rd"/>
    <x v="6"/>
    <x v="3"/>
    <n v="5"/>
    <n v="2911"/>
    <n v="555069"/>
    <n v="190.67983510821023"/>
  </r>
  <r>
    <x v="2349"/>
    <s v="Nov"/>
    <x v="7"/>
    <s v="716 Elm St"/>
    <x v="6"/>
    <x v="2"/>
    <m/>
    <n v="1156"/>
    <n v="451730"/>
    <n v="390.76989619377161"/>
  </r>
  <r>
    <x v="922"/>
    <s v="Jul"/>
    <x v="1"/>
    <s v="363 Maple Ave"/>
    <x v="5"/>
    <x v="3"/>
    <n v="4"/>
    <n v="3395"/>
    <n v="233618"/>
    <n v="68.812371134020623"/>
  </r>
  <r>
    <x v="3208"/>
    <s v="Dec"/>
    <x v="8"/>
    <s v="347 Oak St"/>
    <x v="4"/>
    <x v="0"/>
    <m/>
    <n v="2557"/>
    <n v="169401"/>
    <n v="66.249902229174808"/>
  </r>
  <r>
    <x v="3209"/>
    <s v="Aug"/>
    <x v="10"/>
    <s v="944 Main St"/>
    <x v="0"/>
    <x v="0"/>
    <n v="4"/>
    <n v="2721"/>
    <n v="474880"/>
    <n v="174.52407203234105"/>
  </r>
  <r>
    <x v="3210"/>
    <s v="May"/>
    <x v="2"/>
    <s v="318 Main St"/>
    <x v="4"/>
    <x v="3"/>
    <n v="3"/>
    <n v="2617"/>
    <n v="799609"/>
    <n v="305.54413450515858"/>
  </r>
  <r>
    <x v="3211"/>
    <s v="Dec"/>
    <x v="13"/>
    <s v="731 Maple Ave"/>
    <x v="5"/>
    <x v="2"/>
    <m/>
    <n v="1536"/>
    <n v="655749"/>
    <n v="426.919921875"/>
  </r>
  <r>
    <x v="39"/>
    <s v="Jan"/>
    <x v="2"/>
    <s v="552 Maple Ave"/>
    <x v="2"/>
    <x v="1"/>
    <n v="2"/>
    <n v="3094"/>
    <n v="618433"/>
    <n v="199.8813833225598"/>
  </r>
  <r>
    <x v="2950"/>
    <s v="Feb"/>
    <x v="15"/>
    <s v="577 Pine Rd"/>
    <x v="0"/>
    <x v="2"/>
    <m/>
    <n v="2289"/>
    <n v="647724"/>
    <n v="282.97247706422019"/>
  </r>
  <r>
    <x v="2945"/>
    <s v="Apr"/>
    <x v="13"/>
    <s v="187 Elm St"/>
    <x v="4"/>
    <x v="3"/>
    <n v="4"/>
    <n v="3108"/>
    <n v="591792"/>
    <n v="190.40926640926642"/>
  </r>
  <r>
    <x v="1680"/>
    <s v="Jul"/>
    <x v="1"/>
    <s v="484 Main St"/>
    <x v="5"/>
    <x v="0"/>
    <n v="4"/>
    <n v="1390"/>
    <n v="666045"/>
    <n v="479.16906474820144"/>
  </r>
  <r>
    <x v="1882"/>
    <s v="Dec"/>
    <x v="9"/>
    <s v="967 Main St"/>
    <x v="4"/>
    <x v="0"/>
    <m/>
    <n v="1073"/>
    <n v="306025"/>
    <n v="285.20503261882573"/>
  </r>
  <r>
    <x v="3212"/>
    <s v="Nov"/>
    <x v="1"/>
    <s v="864 Oak St"/>
    <x v="4"/>
    <x v="3"/>
    <n v="3"/>
    <n v="2810"/>
    <n v="321097"/>
    <n v="114.2693950177936"/>
  </r>
  <r>
    <x v="2688"/>
    <s v="Jul"/>
    <x v="8"/>
    <s v="150 Pine Rd"/>
    <x v="4"/>
    <x v="0"/>
    <n v="4"/>
    <n v="2956"/>
    <n v="614546"/>
    <n v="207.89783491204329"/>
  </r>
  <r>
    <x v="3213"/>
    <s v="Aug"/>
    <x v="13"/>
    <s v="552 Pine Rd"/>
    <x v="4"/>
    <x v="1"/>
    <n v="2"/>
    <n v="1822"/>
    <n v="110042"/>
    <n v="60.396267837541167"/>
  </r>
  <r>
    <x v="1998"/>
    <s v="Jun"/>
    <x v="9"/>
    <s v="751 Main St"/>
    <x v="6"/>
    <x v="1"/>
    <n v="4"/>
    <n v="2330"/>
    <n v="114877"/>
    <n v="49.303433476394851"/>
  </r>
  <r>
    <x v="3214"/>
    <s v="Jul"/>
    <x v="1"/>
    <s v="340 Main St"/>
    <x v="0"/>
    <x v="3"/>
    <m/>
    <n v="1980"/>
    <n v="837542"/>
    <n v="423.00101010101008"/>
  </r>
  <r>
    <x v="3215"/>
    <s v="Jun"/>
    <x v="14"/>
    <s v="629 Oak St"/>
    <x v="1"/>
    <x v="3"/>
    <n v="4"/>
    <n v="1631"/>
    <n v="669526"/>
    <n v="410.5003065603924"/>
  </r>
  <r>
    <x v="3216"/>
    <s v="Jan"/>
    <x v="15"/>
    <s v="583 Main St"/>
    <x v="4"/>
    <x v="2"/>
    <n v="4"/>
    <n v="2723"/>
    <n v="448992"/>
    <n v="164.88872567021667"/>
  </r>
  <r>
    <x v="3217"/>
    <s v="Aug"/>
    <x v="0"/>
    <s v="373 Main St"/>
    <x v="1"/>
    <x v="3"/>
    <n v="2"/>
    <n v="1301"/>
    <n v="649940"/>
    <n v="499.56956187548042"/>
  </r>
  <r>
    <x v="3218"/>
    <s v="Sep"/>
    <x v="18"/>
    <s v="590 Pine Rd"/>
    <x v="4"/>
    <x v="1"/>
    <m/>
    <n v="2814"/>
    <n v="865761"/>
    <n v="307.66204690831557"/>
  </r>
  <r>
    <x v="1563"/>
    <s v="Jul"/>
    <x v="8"/>
    <s v="842 Elm St"/>
    <x v="4"/>
    <x v="3"/>
    <n v="5"/>
    <n v="1375"/>
    <n v="417698"/>
    <n v="303.78036363636363"/>
  </r>
  <r>
    <x v="3219"/>
    <s v="Aug"/>
    <x v="5"/>
    <s v="717 Main St"/>
    <x v="4"/>
    <x v="1"/>
    <n v="3"/>
    <n v="884"/>
    <n v="210196"/>
    <n v="237.77828054298644"/>
  </r>
  <r>
    <x v="3220"/>
    <s v="May"/>
    <x v="9"/>
    <s v="268 Maple Ave"/>
    <x v="4"/>
    <x v="2"/>
    <m/>
    <n v="1841"/>
    <n v="849151"/>
    <n v="461.24443237370991"/>
  </r>
  <r>
    <x v="3221"/>
    <s v="Jun"/>
    <x v="15"/>
    <s v="926 Main St"/>
    <x v="2"/>
    <x v="0"/>
    <n v="5"/>
    <n v="2874"/>
    <n v="119756"/>
    <n v="41.668754349338897"/>
  </r>
  <r>
    <x v="3222"/>
    <s v="May"/>
    <x v="6"/>
    <s v="107 Main St"/>
    <x v="5"/>
    <x v="1"/>
    <n v="2"/>
    <n v="1178"/>
    <n v="301925"/>
    <n v="256.3030560271647"/>
  </r>
  <r>
    <x v="705"/>
    <s v="Jul"/>
    <x v="9"/>
    <s v="296 Maple Ave"/>
    <x v="0"/>
    <x v="2"/>
    <n v="2"/>
    <n v="3101"/>
    <n v="414196"/>
    <n v="133.56852628184456"/>
  </r>
  <r>
    <x v="1614"/>
    <s v="Sep"/>
    <x v="13"/>
    <s v="186 Elm St"/>
    <x v="3"/>
    <x v="2"/>
    <n v="4"/>
    <n v="2986"/>
    <n v="245948"/>
    <n v="82.367046215673142"/>
  </r>
  <r>
    <x v="3223"/>
    <s v="Apr"/>
    <x v="14"/>
    <s v="555 Pine Rd"/>
    <x v="6"/>
    <x v="3"/>
    <n v="4"/>
    <n v="3012"/>
    <n v="789392"/>
    <n v="262.0823373173971"/>
  </r>
  <r>
    <x v="2423"/>
    <s v="Oct"/>
    <x v="6"/>
    <s v="607 Oak St"/>
    <x v="0"/>
    <x v="3"/>
    <n v="4"/>
    <n v="1587"/>
    <n v="101657"/>
    <n v="64.056080655324507"/>
  </r>
  <r>
    <x v="3224"/>
    <s v="Dec"/>
    <x v="4"/>
    <s v="123 Elm St"/>
    <x v="6"/>
    <x v="0"/>
    <m/>
    <n v="3077"/>
    <n v="259484"/>
    <n v="84.330191745206363"/>
  </r>
  <r>
    <x v="1168"/>
    <s v="Aug"/>
    <x v="0"/>
    <s v="861 Maple Ave"/>
    <x v="3"/>
    <x v="1"/>
    <n v="2"/>
    <n v="2589"/>
    <n v="711235"/>
    <n v="274.71417535728079"/>
  </r>
  <r>
    <x v="3225"/>
    <s v="Mar"/>
    <x v="10"/>
    <s v="637 Maple Ave"/>
    <x v="4"/>
    <x v="2"/>
    <n v="3"/>
    <n v="2208"/>
    <n v="383049"/>
    <n v="173.48233695652175"/>
  </r>
  <r>
    <x v="932"/>
    <s v="Aug"/>
    <x v="4"/>
    <s v="699 Pine Rd"/>
    <x v="0"/>
    <x v="3"/>
    <n v="2"/>
    <n v="1421"/>
    <n v="719371"/>
    <n v="506.24278676988035"/>
  </r>
  <r>
    <x v="2649"/>
    <s v="Jul"/>
    <x v="8"/>
    <s v="874 Oak St"/>
    <x v="1"/>
    <x v="3"/>
    <n v="2"/>
    <n v="2931"/>
    <n v="472464"/>
    <n v="161.19549641760491"/>
  </r>
  <r>
    <x v="3226"/>
    <s v="Sep"/>
    <x v="5"/>
    <s v="398 Pine Rd"/>
    <x v="6"/>
    <x v="0"/>
    <n v="4"/>
    <n v="3476"/>
    <n v="191625"/>
    <n v="55.128020713463755"/>
  </r>
  <r>
    <x v="2691"/>
    <s v="Jun"/>
    <x v="15"/>
    <s v="445 Main St"/>
    <x v="6"/>
    <x v="3"/>
    <m/>
    <n v="850"/>
    <n v="708294"/>
    <n v="833.28705882352938"/>
  </r>
  <r>
    <x v="1317"/>
    <s v="May"/>
    <x v="10"/>
    <s v="837 Maple Ave"/>
    <x v="3"/>
    <x v="2"/>
    <n v="4"/>
    <n v="1629"/>
    <n v="215128"/>
    <n v="132.06138735420504"/>
  </r>
  <r>
    <x v="3227"/>
    <s v="Jul"/>
    <x v="7"/>
    <s v="888 Maple Ave"/>
    <x v="6"/>
    <x v="1"/>
    <n v="5"/>
    <n v="3271"/>
    <n v="560868"/>
    <n v="171.46682971568328"/>
  </r>
  <r>
    <x v="3228"/>
    <s v="Sep"/>
    <x v="2"/>
    <s v="424 Oak St"/>
    <x v="6"/>
    <x v="1"/>
    <n v="4"/>
    <n v="1096"/>
    <n v="510712"/>
    <n v="465.978102189781"/>
  </r>
  <r>
    <x v="2653"/>
    <s v="Aug"/>
    <x v="14"/>
    <s v="954 Maple Ave"/>
    <x v="0"/>
    <x v="0"/>
    <n v="3"/>
    <n v="1462"/>
    <n v="683390"/>
    <n v="467.43502051983586"/>
  </r>
  <r>
    <x v="1771"/>
    <s v="Dec"/>
    <x v="4"/>
    <s v="233 Elm St"/>
    <x v="2"/>
    <x v="2"/>
    <m/>
    <n v="896"/>
    <n v="765524"/>
    <n v="854.37946428571433"/>
  </r>
  <r>
    <x v="3229"/>
    <s v="May"/>
    <x v="2"/>
    <s v="820 Pine Rd"/>
    <x v="2"/>
    <x v="2"/>
    <n v="5"/>
    <n v="1215"/>
    <n v="257595"/>
    <n v="212.01234567901236"/>
  </r>
  <r>
    <x v="2695"/>
    <s v="Jun"/>
    <x v="13"/>
    <s v="248 Pine Rd"/>
    <x v="4"/>
    <x v="3"/>
    <n v="3"/>
    <n v="1653"/>
    <n v="218530"/>
    <n v="132.20205686630368"/>
  </r>
  <r>
    <x v="3230"/>
    <s v="Oct"/>
    <x v="12"/>
    <s v="415 Maple Ave"/>
    <x v="3"/>
    <x v="2"/>
    <m/>
    <n v="1823"/>
    <n v="547337"/>
    <n v="300.2397147558969"/>
  </r>
  <r>
    <x v="3231"/>
    <s v="Feb"/>
    <x v="13"/>
    <s v="583 Main St"/>
    <x v="3"/>
    <x v="0"/>
    <m/>
    <n v="1824"/>
    <n v="120658"/>
    <n v="66.150219298245617"/>
  </r>
  <r>
    <x v="3232"/>
    <s v="Dec"/>
    <x v="4"/>
    <s v="566 Main St"/>
    <x v="3"/>
    <x v="1"/>
    <n v="5"/>
    <n v="1890"/>
    <n v="627968"/>
    <n v="332.25820105820105"/>
  </r>
  <r>
    <x v="3233"/>
    <s v="Jun"/>
    <x v="17"/>
    <s v="315 Oak St"/>
    <x v="0"/>
    <x v="0"/>
    <n v="2"/>
    <n v="3225"/>
    <n v="194537"/>
    <n v="60.321550387596901"/>
  </r>
  <r>
    <x v="3234"/>
    <s v="Apr"/>
    <x v="1"/>
    <s v="327 Oak St"/>
    <x v="3"/>
    <x v="3"/>
    <m/>
    <n v="1828"/>
    <n v="870470"/>
    <n v="476.1870897155361"/>
  </r>
  <r>
    <x v="1911"/>
    <s v="Apr"/>
    <x v="19"/>
    <s v="149 Maple Ave"/>
    <x v="0"/>
    <x v="1"/>
    <m/>
    <n v="1996"/>
    <n v="782742"/>
    <n v="392.15531062124251"/>
  </r>
  <r>
    <x v="3235"/>
    <s v="Oct"/>
    <x v="6"/>
    <s v="215 Elm St"/>
    <x v="6"/>
    <x v="2"/>
    <n v="5"/>
    <n v="959"/>
    <n v="553719"/>
    <n v="577.39207507820652"/>
  </r>
  <r>
    <x v="1563"/>
    <s v="Jul"/>
    <x v="8"/>
    <s v="541 Elm St"/>
    <x v="4"/>
    <x v="3"/>
    <n v="2"/>
    <n v="1682"/>
    <n v="449262"/>
    <n v="267.09988109393578"/>
  </r>
  <r>
    <x v="3236"/>
    <s v="Apr"/>
    <x v="0"/>
    <s v="650 Oak St"/>
    <x v="4"/>
    <x v="0"/>
    <n v="4"/>
    <n v="2304"/>
    <n v="249012"/>
    <n v="108.078125"/>
  </r>
  <r>
    <x v="1231"/>
    <s v="Apr"/>
    <x v="15"/>
    <s v="892 Pine Rd"/>
    <x v="5"/>
    <x v="0"/>
    <m/>
    <n v="1524"/>
    <n v="598549"/>
    <n v="392.748687664042"/>
  </r>
  <r>
    <x v="1335"/>
    <s v="Apr"/>
    <x v="9"/>
    <s v="139 Main St"/>
    <x v="0"/>
    <x v="1"/>
    <n v="4"/>
    <n v="2384"/>
    <n v="789642"/>
    <n v="331.2256711409396"/>
  </r>
  <r>
    <x v="2587"/>
    <s v="Dec"/>
    <x v="19"/>
    <s v="815 Pine Rd"/>
    <x v="6"/>
    <x v="2"/>
    <n v="4"/>
    <n v="2561"/>
    <n v="775285"/>
    <n v="302.72745021475987"/>
  </r>
  <r>
    <x v="3237"/>
    <s v="Jun"/>
    <x v="16"/>
    <s v="770 Main St"/>
    <x v="4"/>
    <x v="0"/>
    <m/>
    <n v="2394"/>
    <n v="242253"/>
    <n v="101.19172932330827"/>
  </r>
  <r>
    <x v="3238"/>
    <s v="Jul"/>
    <x v="6"/>
    <s v="574 Elm St"/>
    <x v="6"/>
    <x v="2"/>
    <n v="4"/>
    <n v="2839"/>
    <n v="118657"/>
    <n v="41.795350475519548"/>
  </r>
  <r>
    <x v="3239"/>
    <s v="Jun"/>
    <x v="5"/>
    <s v="825 Elm St"/>
    <x v="1"/>
    <x v="0"/>
    <n v="3"/>
    <n v="2958"/>
    <n v="691399"/>
    <n v="233.73867478025693"/>
  </r>
  <r>
    <x v="3240"/>
    <s v="Oct"/>
    <x v="6"/>
    <s v="199 Maple Ave"/>
    <x v="4"/>
    <x v="2"/>
    <n v="5"/>
    <n v="3185"/>
    <n v="212488"/>
    <n v="66.71522762951335"/>
  </r>
  <r>
    <x v="3241"/>
    <s v="Apr"/>
    <x v="17"/>
    <s v="745 Maple Ave"/>
    <x v="6"/>
    <x v="0"/>
    <n v="5"/>
    <n v="2308"/>
    <n v="479703"/>
    <n v="207.84358752166378"/>
  </r>
  <r>
    <x v="274"/>
    <s v="Apr"/>
    <x v="18"/>
    <s v="655 Pine Rd"/>
    <x v="2"/>
    <x v="3"/>
    <m/>
    <n v="2491"/>
    <n v="799710"/>
    <n v="321.03974307507025"/>
  </r>
  <r>
    <x v="3242"/>
    <s v="Jun"/>
    <x v="6"/>
    <s v="271 Elm St"/>
    <x v="1"/>
    <x v="1"/>
    <n v="5"/>
    <n v="2803"/>
    <n v="431602"/>
    <n v="153.97859436318231"/>
  </r>
  <r>
    <x v="3243"/>
    <s v="Sep"/>
    <x v="4"/>
    <s v="764 Main St"/>
    <x v="3"/>
    <x v="2"/>
    <n v="2"/>
    <n v="1293"/>
    <n v="616656"/>
    <n v="476.91879350348029"/>
  </r>
  <r>
    <x v="184"/>
    <s v="Oct"/>
    <x v="1"/>
    <s v="237 Maple Ave"/>
    <x v="5"/>
    <x v="2"/>
    <n v="4"/>
    <n v="2946"/>
    <n v="210087"/>
    <n v="71.312627291242364"/>
  </r>
  <r>
    <x v="3244"/>
    <s v="Oct"/>
    <x v="13"/>
    <s v="450 Elm St"/>
    <x v="6"/>
    <x v="2"/>
    <m/>
    <n v="1894"/>
    <n v="672311"/>
    <n v="354.96884899683209"/>
  </r>
  <r>
    <x v="3245"/>
    <s v="Mar"/>
    <x v="11"/>
    <s v="942 Main St"/>
    <x v="0"/>
    <x v="3"/>
    <n v="4"/>
    <n v="3151"/>
    <n v="556994"/>
    <n v="176.76737543636941"/>
  </r>
  <r>
    <x v="3246"/>
    <s v="Jan"/>
    <x v="4"/>
    <s v="669 Pine Rd"/>
    <x v="3"/>
    <x v="1"/>
    <n v="5"/>
    <n v="2382"/>
    <m/>
    <n v="0"/>
  </r>
  <r>
    <x v="2354"/>
    <s v="Jul"/>
    <x v="17"/>
    <s v="625 Oak St"/>
    <x v="1"/>
    <x v="2"/>
    <n v="4"/>
    <n v="1942"/>
    <n v="732728"/>
    <n v="377.30587023686923"/>
  </r>
  <r>
    <x v="1392"/>
    <s v="Feb"/>
    <x v="10"/>
    <s v="550 Maple Ave"/>
    <x v="6"/>
    <x v="0"/>
    <m/>
    <n v="856"/>
    <n v="670171"/>
    <n v="782.91004672897191"/>
  </r>
  <r>
    <x v="1295"/>
    <s v="Jan"/>
    <x v="9"/>
    <s v="669 Oak St"/>
    <x v="1"/>
    <x v="0"/>
    <n v="4"/>
    <n v="2931"/>
    <n v="865762"/>
    <n v="295.38109860116003"/>
  </r>
  <r>
    <x v="3247"/>
    <s v="Sep"/>
    <x v="14"/>
    <s v="494 Elm St"/>
    <x v="4"/>
    <x v="0"/>
    <m/>
    <n v="2537"/>
    <n v="867766"/>
    <n v="342.04414662987779"/>
  </r>
  <r>
    <x v="131"/>
    <s v="Oct"/>
    <x v="8"/>
    <s v="115 Elm St"/>
    <x v="5"/>
    <x v="2"/>
    <m/>
    <n v="1775"/>
    <n v="398769"/>
    <n v="224.65859154929578"/>
  </r>
  <r>
    <x v="1343"/>
    <s v="Oct"/>
    <x v="7"/>
    <s v="969 Elm St"/>
    <x v="0"/>
    <x v="0"/>
    <m/>
    <n v="1329"/>
    <n v="786472"/>
    <n v="591.77727614747926"/>
  </r>
  <r>
    <x v="3248"/>
    <s v="Apr"/>
    <x v="13"/>
    <s v="817 Maple Ave"/>
    <x v="4"/>
    <x v="0"/>
    <n v="2"/>
    <n v="2179"/>
    <n v="276883"/>
    <n v="127.06883891693437"/>
  </r>
  <r>
    <x v="171"/>
    <s v="Mar"/>
    <x v="12"/>
    <s v="326 Oak St"/>
    <x v="6"/>
    <x v="0"/>
    <m/>
    <n v="2648"/>
    <n v="323536"/>
    <n v="122.18126888217523"/>
  </r>
  <r>
    <x v="228"/>
    <s v="Sep"/>
    <x v="8"/>
    <s v="916 Oak St"/>
    <x v="4"/>
    <x v="1"/>
    <n v="2"/>
    <n v="2325"/>
    <n v="627926"/>
    <n v="270.07569892473117"/>
  </r>
  <r>
    <x v="415"/>
    <s v="Sep"/>
    <x v="10"/>
    <s v="513 Pine Rd"/>
    <x v="3"/>
    <x v="0"/>
    <m/>
    <n v="2853"/>
    <n v="316988"/>
    <n v="111.10690501226779"/>
  </r>
  <r>
    <x v="3249"/>
    <s v="Feb"/>
    <x v="19"/>
    <s v="999 Main St"/>
    <x v="0"/>
    <x v="3"/>
    <n v="3"/>
    <n v="931"/>
    <n v="387766"/>
    <n v="416.50483351235232"/>
  </r>
  <r>
    <x v="3250"/>
    <s v="Dec"/>
    <x v="14"/>
    <s v="584 Maple Ave"/>
    <x v="2"/>
    <x v="3"/>
    <n v="3"/>
    <n v="3323"/>
    <n v="202425"/>
    <n v="60.916340656033704"/>
  </r>
  <r>
    <x v="2339"/>
    <s v="Feb"/>
    <x v="8"/>
    <s v="610 Maple Ave"/>
    <x v="5"/>
    <x v="2"/>
    <m/>
    <n v="2865"/>
    <n v="155765"/>
    <n v="54.368237347294937"/>
  </r>
  <r>
    <x v="2254"/>
    <s v="Dec"/>
    <x v="5"/>
    <s v="841 Elm St"/>
    <x v="3"/>
    <x v="1"/>
    <n v="5"/>
    <n v="3225"/>
    <n v="132978"/>
    <n v="41.233488372093021"/>
  </r>
  <r>
    <x v="774"/>
    <s v="May"/>
    <x v="6"/>
    <s v="833 Main St"/>
    <x v="1"/>
    <x v="1"/>
    <n v="4"/>
    <n v="1058"/>
    <n v="683771"/>
    <n v="646.28638941398867"/>
  </r>
  <r>
    <x v="2219"/>
    <s v="Jun"/>
    <x v="13"/>
    <s v="683 Pine Rd"/>
    <x v="4"/>
    <x v="2"/>
    <m/>
    <n v="1121"/>
    <n v="860829"/>
    <n v="767.91168599464766"/>
  </r>
  <r>
    <x v="3251"/>
    <s v="Oct"/>
    <x v="2"/>
    <s v="204 Main St"/>
    <x v="0"/>
    <x v="2"/>
    <n v="5"/>
    <n v="3222"/>
    <n v="327358"/>
    <n v="101.60086902545004"/>
  </r>
  <r>
    <x v="3252"/>
    <s v="Mar"/>
    <x v="15"/>
    <s v="756 Main St"/>
    <x v="5"/>
    <x v="0"/>
    <n v="2"/>
    <n v="2018"/>
    <n v="894509"/>
    <n v="443.26511397423189"/>
  </r>
  <r>
    <x v="270"/>
    <s v="Jan"/>
    <x v="2"/>
    <s v="450 Oak St"/>
    <x v="0"/>
    <x v="0"/>
    <n v="4"/>
    <n v="1866"/>
    <n v="205389"/>
    <n v="110.06913183279742"/>
  </r>
  <r>
    <x v="1673"/>
    <s v="Apr"/>
    <x v="2"/>
    <s v="484 Maple Ave"/>
    <x v="5"/>
    <x v="0"/>
    <n v="5"/>
    <n v="2876"/>
    <n v="634866"/>
    <n v="220.74617524339359"/>
  </r>
  <r>
    <x v="1808"/>
    <s v="Sep"/>
    <x v="8"/>
    <s v="389 Main St"/>
    <x v="4"/>
    <x v="2"/>
    <m/>
    <n v="1546"/>
    <n v="194781"/>
    <n v="125.99029754204399"/>
  </r>
  <r>
    <x v="3253"/>
    <s v="Mar"/>
    <x v="8"/>
    <s v="202 Oak St"/>
    <x v="0"/>
    <x v="0"/>
    <n v="4"/>
    <n v="1937"/>
    <n v="489828"/>
    <n v="252.8797108931337"/>
  </r>
  <r>
    <x v="3254"/>
    <s v="Feb"/>
    <x v="8"/>
    <s v="144 Pine Rd"/>
    <x v="3"/>
    <x v="3"/>
    <n v="3"/>
    <n v="1604"/>
    <n v="413327"/>
    <n v="257.68516209476309"/>
  </r>
  <r>
    <x v="700"/>
    <s v="May"/>
    <x v="17"/>
    <s v="880 Maple Ave"/>
    <x v="6"/>
    <x v="2"/>
    <n v="4"/>
    <n v="2295"/>
    <n v="607871"/>
    <n v="264.86753812636164"/>
  </r>
  <r>
    <x v="2178"/>
    <s v="Feb"/>
    <x v="6"/>
    <s v="139 Maple Ave"/>
    <x v="5"/>
    <x v="3"/>
    <n v="2"/>
    <n v="1586"/>
    <n v="404491"/>
    <n v="255.03846153846155"/>
  </r>
  <r>
    <x v="3255"/>
    <s v="Jul"/>
    <x v="13"/>
    <s v="370 Elm St"/>
    <x v="6"/>
    <x v="1"/>
    <n v="2"/>
    <n v="2394"/>
    <n v="604762"/>
    <n v="252.6157059314954"/>
  </r>
  <r>
    <x v="3256"/>
    <s v="Jan"/>
    <x v="9"/>
    <s v="573 Maple Ave"/>
    <x v="0"/>
    <x v="1"/>
    <n v="5"/>
    <n v="2554"/>
    <n v="499189"/>
    <n v="195.45379796397808"/>
  </r>
  <r>
    <x v="3257"/>
    <s v="Jun"/>
    <x v="12"/>
    <s v="135 Maple Ave"/>
    <x v="1"/>
    <x v="0"/>
    <n v="4"/>
    <n v="2094"/>
    <n v="182770"/>
    <n v="87.282712511938868"/>
  </r>
  <r>
    <x v="765"/>
    <s v="Jun"/>
    <x v="12"/>
    <s v="462 Oak St"/>
    <x v="2"/>
    <x v="2"/>
    <n v="2"/>
    <n v="2748"/>
    <n v="419820"/>
    <n v="152.77292576419214"/>
  </r>
  <r>
    <x v="3258"/>
    <s v="Nov"/>
    <x v="0"/>
    <s v="395 Pine Rd"/>
    <x v="2"/>
    <x v="2"/>
    <n v="3"/>
    <n v="1439"/>
    <n v="717745"/>
    <n v="498.78040305767894"/>
  </r>
  <r>
    <x v="3259"/>
    <s v="May"/>
    <x v="4"/>
    <s v="642 Oak St"/>
    <x v="2"/>
    <x v="2"/>
    <m/>
    <n v="1212"/>
    <m/>
    <n v="0"/>
  </r>
  <r>
    <x v="3260"/>
    <s v="Mar"/>
    <x v="8"/>
    <s v="861 Pine Rd"/>
    <x v="5"/>
    <x v="0"/>
    <m/>
    <n v="1295"/>
    <n v="825828"/>
    <n v="637.70501930501928"/>
  </r>
  <r>
    <x v="3261"/>
    <s v="Jan"/>
    <x v="4"/>
    <s v="424 Main St"/>
    <x v="2"/>
    <x v="2"/>
    <m/>
    <n v="1823"/>
    <n v="586246"/>
    <n v="321.58310477235324"/>
  </r>
  <r>
    <x v="3262"/>
    <s v="Jul"/>
    <x v="10"/>
    <s v="114 Elm St"/>
    <x v="6"/>
    <x v="2"/>
    <n v="3"/>
    <n v="2008"/>
    <n v="842668"/>
    <n v="419.65537848605578"/>
  </r>
  <r>
    <x v="3263"/>
    <s v="Sep"/>
    <x v="14"/>
    <s v="591 Main St"/>
    <x v="0"/>
    <x v="0"/>
    <n v="5"/>
    <n v="1795"/>
    <n v="488218"/>
    <n v="271.9877437325905"/>
  </r>
  <r>
    <x v="3264"/>
    <s v="Oct"/>
    <x v="8"/>
    <s v="190 Maple Ave"/>
    <x v="4"/>
    <x v="1"/>
    <n v="2"/>
    <n v="2900"/>
    <n v="578815"/>
    <n v="199.59137931034482"/>
  </r>
  <r>
    <x v="3265"/>
    <s v="Nov"/>
    <x v="2"/>
    <s v="753 Main St"/>
    <x v="2"/>
    <x v="3"/>
    <n v="3"/>
    <n v="1616"/>
    <n v="225900"/>
    <n v="139.78960396039605"/>
  </r>
  <r>
    <x v="3266"/>
    <s v="Nov"/>
    <x v="19"/>
    <s v="989 Main St"/>
    <x v="6"/>
    <x v="3"/>
    <n v="5"/>
    <n v="2935"/>
    <n v="150416"/>
    <n v="51.249063032367971"/>
  </r>
  <r>
    <x v="2070"/>
    <s v="Jun"/>
    <x v="4"/>
    <s v="909 Maple Ave"/>
    <x v="4"/>
    <x v="0"/>
    <n v="2"/>
    <n v="955"/>
    <n v="898607"/>
    <n v="940.94973821989527"/>
  </r>
  <r>
    <x v="3267"/>
    <s v="Mar"/>
    <x v="9"/>
    <s v="729 Pine Rd"/>
    <x v="6"/>
    <x v="2"/>
    <m/>
    <n v="3031"/>
    <n v="282560"/>
    <n v="93.223358627515665"/>
  </r>
  <r>
    <x v="3268"/>
    <s v="Jun"/>
    <x v="13"/>
    <s v="737 Elm St"/>
    <x v="4"/>
    <x v="1"/>
    <n v="5"/>
    <n v="1694"/>
    <n v="738955"/>
    <n v="436.21900826446279"/>
  </r>
  <r>
    <x v="3269"/>
    <s v="Feb"/>
    <x v="0"/>
    <s v="918 Pine Rd"/>
    <x v="4"/>
    <x v="3"/>
    <n v="3"/>
    <n v="2158"/>
    <n v="170619"/>
    <n v="79.063484708063015"/>
  </r>
  <r>
    <x v="1611"/>
    <s v="Mar"/>
    <x v="16"/>
    <s v="594 Maple Ave"/>
    <x v="3"/>
    <x v="3"/>
    <m/>
    <n v="3399"/>
    <n v="227916"/>
    <n v="67.053839364518979"/>
  </r>
  <r>
    <x v="2939"/>
    <s v="Oct"/>
    <x v="12"/>
    <s v="604 Maple Ave"/>
    <x v="6"/>
    <x v="3"/>
    <n v="2"/>
    <n v="1161"/>
    <n v="399867"/>
    <n v="344.41602067183464"/>
  </r>
  <r>
    <x v="2168"/>
    <s v="May"/>
    <x v="16"/>
    <s v="176 Main St"/>
    <x v="0"/>
    <x v="1"/>
    <n v="2"/>
    <n v="1777"/>
    <n v="433532"/>
    <n v="243.96848621271806"/>
  </r>
  <r>
    <x v="3270"/>
    <s v="Jul"/>
    <x v="6"/>
    <s v="264 Maple Ave"/>
    <x v="1"/>
    <x v="3"/>
    <n v="4"/>
    <n v="2531"/>
    <n v="320412"/>
    <n v="126.59502173054129"/>
  </r>
  <r>
    <x v="3114"/>
    <s v="May"/>
    <x v="11"/>
    <s v="570 Main St"/>
    <x v="5"/>
    <x v="2"/>
    <n v="4"/>
    <n v="1574"/>
    <n v="112616"/>
    <n v="71.547649301143579"/>
  </r>
  <r>
    <x v="3271"/>
    <s v="May"/>
    <x v="0"/>
    <s v="385 Maple Ave"/>
    <x v="0"/>
    <x v="1"/>
    <n v="3"/>
    <n v="837"/>
    <n v="560318"/>
    <n v="669.43608124253285"/>
  </r>
  <r>
    <x v="1997"/>
    <s v="Dec"/>
    <x v="14"/>
    <s v="677 Main St"/>
    <x v="3"/>
    <x v="0"/>
    <n v="3"/>
    <n v="2641"/>
    <n v="500410"/>
    <n v="189.4774706550549"/>
  </r>
  <r>
    <x v="2044"/>
    <s v="Jul"/>
    <x v="2"/>
    <s v="468 Oak St"/>
    <x v="6"/>
    <x v="0"/>
    <m/>
    <n v="1797"/>
    <n v="234487"/>
    <n v="130.48803561491374"/>
  </r>
  <r>
    <x v="3272"/>
    <s v="May"/>
    <x v="1"/>
    <s v="354 Pine Rd"/>
    <x v="6"/>
    <x v="1"/>
    <n v="3"/>
    <n v="2737"/>
    <n v="397334"/>
    <n v="145.17135549872123"/>
  </r>
  <r>
    <x v="3100"/>
    <s v="Nov"/>
    <x v="10"/>
    <s v="559 Maple Ave"/>
    <x v="6"/>
    <x v="2"/>
    <m/>
    <n v="3256"/>
    <n v="548611"/>
    <n v="168.49232186732186"/>
  </r>
  <r>
    <x v="3273"/>
    <s v="Jun"/>
    <x v="11"/>
    <s v="860 Pine Rd"/>
    <x v="6"/>
    <x v="1"/>
    <m/>
    <n v="1867"/>
    <n v="727272"/>
    <n v="389.54043920728441"/>
  </r>
  <r>
    <x v="3274"/>
    <s v="Jul"/>
    <x v="12"/>
    <s v="827 Elm St"/>
    <x v="2"/>
    <x v="3"/>
    <m/>
    <n v="2963"/>
    <n v="525548"/>
    <n v="177.3702328720891"/>
  </r>
  <r>
    <x v="2965"/>
    <s v="Dec"/>
    <x v="14"/>
    <s v="220 Oak St"/>
    <x v="6"/>
    <x v="0"/>
    <n v="2"/>
    <n v="2339"/>
    <n v="849511"/>
    <n v="363.19410004275329"/>
  </r>
  <r>
    <x v="1529"/>
    <s v="Dec"/>
    <x v="0"/>
    <s v="217 Maple Ave"/>
    <x v="4"/>
    <x v="1"/>
    <n v="3"/>
    <n v="805"/>
    <n v="411120"/>
    <n v="510.70807453416148"/>
  </r>
  <r>
    <x v="3275"/>
    <s v="Aug"/>
    <x v="18"/>
    <s v="163 Main St"/>
    <x v="4"/>
    <x v="1"/>
    <m/>
    <n v="2840"/>
    <n v="706528"/>
    <n v="248.7774647887324"/>
  </r>
  <r>
    <x v="2942"/>
    <s v="Jun"/>
    <x v="8"/>
    <s v="777 Maple Ave"/>
    <x v="2"/>
    <x v="3"/>
    <n v="5"/>
    <n v="2457"/>
    <n v="180902"/>
    <n v="73.627187627187624"/>
  </r>
  <r>
    <x v="1403"/>
    <s v="Apr"/>
    <x v="14"/>
    <s v="625 Maple Ave"/>
    <x v="0"/>
    <x v="0"/>
    <n v="5"/>
    <n v="1773"/>
    <n v="118852"/>
    <n v="67.034404963338972"/>
  </r>
  <r>
    <x v="1553"/>
    <s v="Nov"/>
    <x v="8"/>
    <s v="955 Main St"/>
    <x v="3"/>
    <x v="1"/>
    <n v="2"/>
    <n v="2621"/>
    <n v="650067"/>
    <n v="248.02251049217855"/>
  </r>
  <r>
    <x v="883"/>
    <s v="Aug"/>
    <x v="17"/>
    <s v="979 Maple Ave"/>
    <x v="6"/>
    <x v="3"/>
    <n v="3"/>
    <n v="1405"/>
    <n v="659896"/>
    <n v="469.67686832740213"/>
  </r>
  <r>
    <x v="3276"/>
    <s v="Apr"/>
    <x v="5"/>
    <s v="735 Oak St"/>
    <x v="0"/>
    <x v="2"/>
    <n v="5"/>
    <n v="2705"/>
    <n v="641699"/>
    <n v="237.22698706099814"/>
  </r>
  <r>
    <x v="3277"/>
    <s v="Jul"/>
    <x v="10"/>
    <s v="817 Maple Ave"/>
    <x v="6"/>
    <x v="1"/>
    <n v="3"/>
    <n v="2879"/>
    <n v="351390"/>
    <n v="122.05279610976034"/>
  </r>
  <r>
    <x v="172"/>
    <s v="May"/>
    <x v="17"/>
    <s v="109 Elm St"/>
    <x v="0"/>
    <x v="1"/>
    <n v="2"/>
    <n v="1399"/>
    <n v="550827"/>
    <n v="393.72909220872049"/>
  </r>
  <r>
    <x v="3278"/>
    <s v="Dec"/>
    <x v="17"/>
    <s v="279 Main St"/>
    <x v="0"/>
    <x v="0"/>
    <m/>
    <n v="3336"/>
    <n v="767971"/>
    <n v="230.20713429256594"/>
  </r>
  <r>
    <x v="3279"/>
    <s v="Mar"/>
    <x v="3"/>
    <s v="441 Elm St"/>
    <x v="4"/>
    <x v="2"/>
    <n v="2"/>
    <n v="3337"/>
    <n v="367468"/>
    <n v="110.11926880431525"/>
  </r>
  <r>
    <x v="3280"/>
    <s v="Apr"/>
    <x v="1"/>
    <s v="303 Maple Ave"/>
    <x v="0"/>
    <x v="0"/>
    <m/>
    <n v="1334"/>
    <n v="441170"/>
    <n v="330.71214392803597"/>
  </r>
  <r>
    <x v="2346"/>
    <s v="Apr"/>
    <x v="13"/>
    <s v="411 Oak St"/>
    <x v="1"/>
    <x v="2"/>
    <n v="5"/>
    <n v="1952"/>
    <n v="306087"/>
    <n v="156.80686475409837"/>
  </r>
  <r>
    <x v="3281"/>
    <s v="Oct"/>
    <x v="12"/>
    <s v="460 Oak St"/>
    <x v="1"/>
    <x v="3"/>
    <n v="3"/>
    <n v="1100"/>
    <n v="888897"/>
    <n v="808.08818181818185"/>
  </r>
  <r>
    <x v="3282"/>
    <s v="Aug"/>
    <x v="2"/>
    <s v="343 Main St"/>
    <x v="6"/>
    <x v="3"/>
    <n v="2"/>
    <n v="1859"/>
    <n v="593484"/>
    <n v="319.249058633674"/>
  </r>
  <r>
    <x v="1473"/>
    <s v="Dec"/>
    <x v="1"/>
    <s v="406 Main St"/>
    <x v="3"/>
    <x v="1"/>
    <m/>
    <n v="3309"/>
    <n v="892655"/>
    <n v="269.76579026896343"/>
  </r>
  <r>
    <x v="2205"/>
    <s v="Dec"/>
    <x v="18"/>
    <s v="713 Pine Rd"/>
    <x v="6"/>
    <x v="1"/>
    <n v="2"/>
    <n v="2910"/>
    <n v="331532"/>
    <n v="113.92852233676976"/>
  </r>
  <r>
    <x v="1364"/>
    <s v="Nov"/>
    <x v="11"/>
    <s v="237 Main St"/>
    <x v="1"/>
    <x v="2"/>
    <n v="5"/>
    <n v="1915"/>
    <n v="818912"/>
    <n v="427.6302872062663"/>
  </r>
  <r>
    <x v="3283"/>
    <s v="Nov"/>
    <x v="8"/>
    <s v="550 Oak St"/>
    <x v="0"/>
    <x v="2"/>
    <m/>
    <n v="2089"/>
    <n v="491054"/>
    <n v="235.06653901388225"/>
  </r>
  <r>
    <x v="3284"/>
    <s v="Jul"/>
    <x v="19"/>
    <s v="545 Maple Ave"/>
    <x v="2"/>
    <x v="1"/>
    <n v="2"/>
    <n v="2039"/>
    <n v="695936"/>
    <n v="341.31240804315843"/>
  </r>
  <r>
    <x v="2444"/>
    <s v="Apr"/>
    <x v="11"/>
    <s v="662 Elm St"/>
    <x v="4"/>
    <x v="3"/>
    <n v="4"/>
    <n v="3367"/>
    <n v="135432"/>
    <n v="40.22334422334422"/>
  </r>
  <r>
    <x v="404"/>
    <s v="Dec"/>
    <x v="7"/>
    <s v="488 Main St"/>
    <x v="5"/>
    <x v="2"/>
    <n v="3"/>
    <n v="1226"/>
    <n v="695996"/>
    <n v="567.69657422512239"/>
  </r>
  <r>
    <x v="2735"/>
    <s v="May"/>
    <x v="17"/>
    <s v="838 Main St"/>
    <x v="4"/>
    <x v="0"/>
    <n v="5"/>
    <n v="954"/>
    <n v="244341"/>
    <n v="256.12264150943395"/>
  </r>
  <r>
    <x v="1142"/>
    <s v="Jun"/>
    <x v="16"/>
    <s v="948 Pine Rd"/>
    <x v="6"/>
    <x v="3"/>
    <n v="2"/>
    <n v="1437"/>
    <n v="147609"/>
    <n v="102.72025052192066"/>
  </r>
  <r>
    <x v="3262"/>
    <s v="Jul"/>
    <x v="10"/>
    <s v="561 Maple Ave"/>
    <x v="3"/>
    <x v="2"/>
    <n v="4"/>
    <n v="2090"/>
    <n v="718075"/>
    <n v="343.57655502392345"/>
  </r>
  <r>
    <x v="3285"/>
    <s v="Oct"/>
    <x v="10"/>
    <s v="969 Elm St"/>
    <x v="2"/>
    <x v="3"/>
    <n v="4"/>
    <n v="1200"/>
    <n v="452001"/>
    <n v="376.66750000000002"/>
  </r>
  <r>
    <x v="3050"/>
    <s v="Aug"/>
    <x v="4"/>
    <s v="862 Elm St"/>
    <x v="6"/>
    <x v="3"/>
    <n v="4"/>
    <n v="3225"/>
    <n v="619149"/>
    <n v="191.98418604651164"/>
  </r>
  <r>
    <x v="752"/>
    <s v="Nov"/>
    <x v="14"/>
    <s v="150 Main St"/>
    <x v="1"/>
    <x v="0"/>
    <m/>
    <n v="2279"/>
    <n v="579110"/>
    <n v="254.10706450197455"/>
  </r>
  <r>
    <x v="542"/>
    <s v="Dec"/>
    <x v="3"/>
    <s v="416 Elm St"/>
    <x v="2"/>
    <x v="3"/>
    <n v="4"/>
    <n v="2195"/>
    <n v="684067"/>
    <n v="311.64783599088838"/>
  </r>
  <r>
    <x v="3286"/>
    <s v="Jul"/>
    <x v="18"/>
    <s v="702 Elm St"/>
    <x v="1"/>
    <x v="2"/>
    <n v="3"/>
    <n v="2699"/>
    <n v="715126"/>
    <n v="264.95961467210077"/>
  </r>
  <r>
    <x v="3287"/>
    <s v="Feb"/>
    <x v="11"/>
    <s v="199 Main St"/>
    <x v="6"/>
    <x v="1"/>
    <n v="2"/>
    <n v="2860"/>
    <n v="821258"/>
    <n v="287.15314685314684"/>
  </r>
  <r>
    <x v="1181"/>
    <s v="Mar"/>
    <x v="7"/>
    <s v="843 Maple Ave"/>
    <x v="4"/>
    <x v="3"/>
    <m/>
    <n v="2550"/>
    <n v="629450"/>
    <n v="246.84313725490196"/>
  </r>
  <r>
    <x v="1813"/>
    <s v="Oct"/>
    <x v="3"/>
    <s v="232 Elm St"/>
    <x v="6"/>
    <x v="1"/>
    <n v="5"/>
    <n v="2470"/>
    <n v="598491"/>
    <n v="242.30404858299596"/>
  </r>
  <r>
    <x v="638"/>
    <s v="Mar"/>
    <x v="14"/>
    <s v="179 Maple Ave"/>
    <x v="5"/>
    <x v="2"/>
    <n v="5"/>
    <n v="3318"/>
    <n v="141845"/>
    <n v="42.750150693188665"/>
  </r>
  <r>
    <x v="305"/>
    <s v="Apr"/>
    <x v="7"/>
    <s v="234 Oak St"/>
    <x v="2"/>
    <x v="1"/>
    <n v="3"/>
    <n v="1573"/>
    <n v="119640"/>
    <n v="76.058486967577878"/>
  </r>
  <r>
    <x v="3161"/>
    <s v="Jun"/>
    <x v="2"/>
    <s v="374 Main St"/>
    <x v="4"/>
    <x v="1"/>
    <n v="3"/>
    <n v="1704"/>
    <n v="243384"/>
    <n v="142.83098591549296"/>
  </r>
  <r>
    <x v="3288"/>
    <s v="Dec"/>
    <x v="7"/>
    <s v="210 Elm St"/>
    <x v="5"/>
    <x v="0"/>
    <n v="3"/>
    <n v="2592"/>
    <n v="604422"/>
    <n v="233.1875"/>
  </r>
  <r>
    <x v="2134"/>
    <s v="Sep"/>
    <x v="19"/>
    <s v="320 Elm St"/>
    <x v="0"/>
    <x v="3"/>
    <n v="3"/>
    <n v="3005"/>
    <n v="264543"/>
    <n v="88.034276206322801"/>
  </r>
  <r>
    <x v="1829"/>
    <s v="Oct"/>
    <x v="2"/>
    <s v="714 Maple Ave"/>
    <x v="6"/>
    <x v="0"/>
    <n v="4"/>
    <n v="1782"/>
    <n v="321402"/>
    <n v="180.36026936026937"/>
  </r>
  <r>
    <x v="3289"/>
    <s v="Jul"/>
    <x v="9"/>
    <s v="520 Pine Rd"/>
    <x v="3"/>
    <x v="1"/>
    <m/>
    <n v="1993"/>
    <n v="131550"/>
    <n v="66.006021073758149"/>
  </r>
  <r>
    <x v="2785"/>
    <s v="May"/>
    <x v="0"/>
    <s v="153 Oak St"/>
    <x v="2"/>
    <x v="3"/>
    <n v="4"/>
    <n v="1824"/>
    <n v="563853"/>
    <n v="309.1299342105263"/>
  </r>
  <r>
    <x v="2582"/>
    <s v="Feb"/>
    <x v="11"/>
    <s v="925 Main St"/>
    <x v="3"/>
    <x v="0"/>
    <n v="4"/>
    <n v="3468"/>
    <n v="570315"/>
    <n v="164.4506920415225"/>
  </r>
  <r>
    <x v="3047"/>
    <s v="Feb"/>
    <x v="9"/>
    <s v="640 Main St"/>
    <x v="0"/>
    <x v="3"/>
    <n v="5"/>
    <n v="1152"/>
    <n v="445893"/>
    <n v="387.05989583333331"/>
  </r>
  <r>
    <x v="3290"/>
    <s v="May"/>
    <x v="14"/>
    <s v="253 Main St"/>
    <x v="0"/>
    <x v="3"/>
    <n v="4"/>
    <n v="3430"/>
    <n v="798809"/>
    <n v="232.88892128279883"/>
  </r>
  <r>
    <x v="1189"/>
    <s v="Jul"/>
    <x v="10"/>
    <s v="881 Oak St"/>
    <x v="6"/>
    <x v="3"/>
    <m/>
    <n v="1228"/>
    <n v="748758"/>
    <n v="609.73778501628669"/>
  </r>
  <r>
    <x v="1102"/>
    <s v="Jun"/>
    <x v="18"/>
    <s v="929 Oak St"/>
    <x v="6"/>
    <x v="1"/>
    <n v="3"/>
    <n v="3241"/>
    <n v="439271"/>
    <n v="135.53563714902808"/>
  </r>
  <r>
    <x v="3291"/>
    <s v="Feb"/>
    <x v="10"/>
    <s v="466 Pine Rd"/>
    <x v="6"/>
    <x v="0"/>
    <m/>
    <n v="3369"/>
    <n v="760769"/>
    <n v="225.81448501038884"/>
  </r>
  <r>
    <x v="3292"/>
    <s v="Feb"/>
    <x v="6"/>
    <s v="566 Pine Rd"/>
    <x v="4"/>
    <x v="0"/>
    <n v="3"/>
    <n v="1195"/>
    <n v="389882"/>
    <n v="326.26108786610877"/>
  </r>
  <r>
    <x v="3293"/>
    <s v="Nov"/>
    <x v="4"/>
    <s v="265 Oak St"/>
    <x v="6"/>
    <x v="0"/>
    <n v="5"/>
    <n v="1114"/>
    <n v="611813"/>
    <n v="549.20377019748651"/>
  </r>
  <r>
    <x v="3294"/>
    <s v="Mar"/>
    <x v="7"/>
    <s v="381 Oak St"/>
    <x v="6"/>
    <x v="2"/>
    <m/>
    <n v="2691"/>
    <n v="261414"/>
    <n v="97.143812709030101"/>
  </r>
  <r>
    <x v="3295"/>
    <s v="Nov"/>
    <x v="7"/>
    <s v="349 Main St"/>
    <x v="0"/>
    <x v="0"/>
    <n v="2"/>
    <n v="3157"/>
    <n v="214432"/>
    <n v="67.92271143490656"/>
  </r>
  <r>
    <x v="159"/>
    <s v="Nov"/>
    <x v="8"/>
    <s v="943 Elm St"/>
    <x v="6"/>
    <x v="1"/>
    <n v="3"/>
    <n v="2327"/>
    <n v="772862"/>
    <n v="332.12806188225181"/>
  </r>
  <r>
    <x v="2600"/>
    <s v="May"/>
    <x v="18"/>
    <s v="612 Pine Rd"/>
    <x v="6"/>
    <x v="3"/>
    <m/>
    <n v="3212"/>
    <n v="690244"/>
    <n v="214.89539227895392"/>
  </r>
  <r>
    <x v="2486"/>
    <s v="Jul"/>
    <x v="18"/>
    <s v="213 Oak St"/>
    <x v="5"/>
    <x v="2"/>
    <n v="4"/>
    <n v="1636"/>
    <n v="143369"/>
    <n v="87.633863080684591"/>
  </r>
  <r>
    <x v="3296"/>
    <s v="Jan"/>
    <x v="18"/>
    <s v="879 Elm St"/>
    <x v="6"/>
    <x v="2"/>
    <n v="5"/>
    <n v="979"/>
    <n v="430457"/>
    <n v="439.69050051072526"/>
  </r>
  <r>
    <x v="1740"/>
    <s v="May"/>
    <x v="18"/>
    <s v="640 Elm St"/>
    <x v="5"/>
    <x v="3"/>
    <n v="3"/>
    <n v="1785"/>
    <n v="539380"/>
    <n v="302.17366946778714"/>
  </r>
  <r>
    <x v="2489"/>
    <s v="Jan"/>
    <x v="4"/>
    <s v="171 Pine Rd"/>
    <x v="3"/>
    <x v="2"/>
    <m/>
    <n v="2699"/>
    <n v="741251"/>
    <n v="274.63912560207484"/>
  </r>
  <r>
    <x v="3297"/>
    <s v="Dec"/>
    <x v="15"/>
    <s v="107 Main St"/>
    <x v="4"/>
    <x v="2"/>
    <n v="2"/>
    <n v="3135"/>
    <n v="216156"/>
    <n v="68.949282296650722"/>
  </r>
  <r>
    <x v="3298"/>
    <s v="Jan"/>
    <x v="0"/>
    <s v="436 Oak St"/>
    <x v="3"/>
    <x v="0"/>
    <n v="3"/>
    <n v="1732"/>
    <n v="468219"/>
    <n v="270.33429561200921"/>
  </r>
  <r>
    <x v="3299"/>
    <s v="Apr"/>
    <x v="13"/>
    <s v="543 Maple Ave"/>
    <x v="6"/>
    <x v="0"/>
    <n v="5"/>
    <n v="2799"/>
    <n v="647557"/>
    <n v="231.35298320828866"/>
  </r>
  <r>
    <x v="30"/>
    <s v="May"/>
    <x v="7"/>
    <s v="316 Maple Ave"/>
    <x v="4"/>
    <x v="2"/>
    <n v="2"/>
    <n v="1623"/>
    <n v="235461"/>
    <n v="145.07763401109057"/>
  </r>
  <r>
    <x v="3300"/>
    <s v="May"/>
    <x v="0"/>
    <s v="105 Elm St"/>
    <x v="6"/>
    <x v="0"/>
    <m/>
    <n v="2216"/>
    <n v="531358"/>
    <n v="239.78249097472923"/>
  </r>
  <r>
    <x v="1485"/>
    <s v="Mar"/>
    <x v="19"/>
    <s v="482 Elm St"/>
    <x v="6"/>
    <x v="3"/>
    <n v="4"/>
    <n v="2754"/>
    <n v="524237"/>
    <n v="190.35475671750183"/>
  </r>
  <r>
    <x v="1265"/>
    <s v="Jul"/>
    <x v="13"/>
    <s v="295 Maple Ave"/>
    <x v="5"/>
    <x v="1"/>
    <m/>
    <n v="1913"/>
    <m/>
    <n v="0"/>
  </r>
  <r>
    <x v="3301"/>
    <s v="Jan"/>
    <x v="18"/>
    <s v="266 Oak St"/>
    <x v="4"/>
    <x v="2"/>
    <n v="2"/>
    <n v="3480"/>
    <n v="284585"/>
    <n v="81.777298850574709"/>
  </r>
  <r>
    <x v="3302"/>
    <s v="Apr"/>
    <x v="9"/>
    <s v="125 Main St"/>
    <x v="6"/>
    <x v="2"/>
    <n v="3"/>
    <n v="2972"/>
    <n v="114761"/>
    <n v="38.614064602960966"/>
  </r>
  <r>
    <x v="3303"/>
    <s v="Sep"/>
    <x v="7"/>
    <s v="811 Oak St"/>
    <x v="5"/>
    <x v="3"/>
    <n v="4"/>
    <n v="2369"/>
    <n v="193544"/>
    <n v="81.698607007176022"/>
  </r>
  <r>
    <x v="3304"/>
    <s v="Mar"/>
    <x v="2"/>
    <s v="517 Pine Rd"/>
    <x v="1"/>
    <x v="2"/>
    <m/>
    <n v="2273"/>
    <n v="168138"/>
    <n v="73.971843378794546"/>
  </r>
  <r>
    <x v="2791"/>
    <s v="Feb"/>
    <x v="10"/>
    <s v="595 Oak St"/>
    <x v="2"/>
    <x v="3"/>
    <n v="4"/>
    <n v="1408"/>
    <n v="543371"/>
    <n v="385.91690340909093"/>
  </r>
  <r>
    <x v="3305"/>
    <s v="Apr"/>
    <x v="12"/>
    <s v="441 Main St"/>
    <x v="2"/>
    <x v="1"/>
    <m/>
    <n v="1919"/>
    <n v="741355"/>
    <n v="386.32360604481499"/>
  </r>
  <r>
    <x v="3136"/>
    <s v="Oct"/>
    <x v="14"/>
    <s v="695 Pine Rd"/>
    <x v="0"/>
    <x v="0"/>
    <m/>
    <n v="865"/>
    <n v="428645"/>
    <n v="495.54335260115607"/>
  </r>
  <r>
    <x v="2784"/>
    <s v="Sep"/>
    <x v="13"/>
    <s v="450 Main St"/>
    <x v="0"/>
    <x v="3"/>
    <n v="5"/>
    <n v="1723"/>
    <n v="226139"/>
    <n v="131.24724318049914"/>
  </r>
  <r>
    <x v="3306"/>
    <s v="Sep"/>
    <x v="0"/>
    <s v="309 Maple Ave"/>
    <x v="5"/>
    <x v="0"/>
    <m/>
    <n v="2692"/>
    <n v="353819"/>
    <n v="131.43350668647847"/>
  </r>
  <r>
    <x v="3146"/>
    <s v="Jun"/>
    <x v="8"/>
    <s v="903 Pine Rd"/>
    <x v="4"/>
    <x v="1"/>
    <m/>
    <n v="3060"/>
    <n v="872921"/>
    <n v="285.26830065359479"/>
  </r>
  <r>
    <x v="3307"/>
    <s v="Jul"/>
    <x v="0"/>
    <s v="114 Pine Rd"/>
    <x v="5"/>
    <x v="2"/>
    <n v="4"/>
    <n v="1583"/>
    <n v="547613"/>
    <n v="345.93367024636768"/>
  </r>
  <r>
    <x v="3308"/>
    <s v="Apr"/>
    <x v="0"/>
    <s v="453 Oak St"/>
    <x v="2"/>
    <x v="3"/>
    <n v="4"/>
    <n v="1401"/>
    <n v="263387"/>
    <n v="187.99928622412563"/>
  </r>
  <r>
    <x v="1230"/>
    <s v="Jan"/>
    <x v="7"/>
    <s v="859 Main St"/>
    <x v="1"/>
    <x v="0"/>
    <n v="5"/>
    <n v="1836"/>
    <n v="703243"/>
    <n v="383.02995642701524"/>
  </r>
  <r>
    <x v="3309"/>
    <s v="Sep"/>
    <x v="8"/>
    <s v="839 Maple Ave"/>
    <x v="1"/>
    <x v="0"/>
    <m/>
    <n v="2143"/>
    <n v="581064"/>
    <n v="271.14512365842279"/>
  </r>
  <r>
    <x v="1497"/>
    <s v="Nov"/>
    <x v="4"/>
    <s v="684 Maple Ave"/>
    <x v="0"/>
    <x v="1"/>
    <n v="4"/>
    <n v="2910"/>
    <n v="204312"/>
    <n v="70.210309278350522"/>
  </r>
  <r>
    <x v="3310"/>
    <s v="Aug"/>
    <x v="15"/>
    <s v="414 Oak St"/>
    <x v="1"/>
    <x v="1"/>
    <n v="3"/>
    <n v="966"/>
    <n v="789845"/>
    <n v="817.64492753623188"/>
  </r>
  <r>
    <x v="3311"/>
    <s v="Mar"/>
    <x v="14"/>
    <s v="760 Oak St"/>
    <x v="4"/>
    <x v="0"/>
    <n v="3"/>
    <n v="2404"/>
    <n v="320014"/>
    <n v="133.11730449251249"/>
  </r>
  <r>
    <x v="3312"/>
    <s v="Nov"/>
    <x v="17"/>
    <s v="307 Elm St"/>
    <x v="4"/>
    <x v="2"/>
    <n v="3"/>
    <n v="2996"/>
    <n v="691222"/>
    <n v="230.71495327102804"/>
  </r>
  <r>
    <x v="3313"/>
    <s v="Nov"/>
    <x v="0"/>
    <s v="261 Pine Rd"/>
    <x v="1"/>
    <x v="2"/>
    <m/>
    <n v="3378"/>
    <n v="157536"/>
    <n v="46.635879218472468"/>
  </r>
  <r>
    <x v="3314"/>
    <s v="Dec"/>
    <x v="19"/>
    <s v="861 Pine Rd"/>
    <x v="0"/>
    <x v="1"/>
    <n v="3"/>
    <n v="1750"/>
    <n v="872437"/>
    <n v="498.53542857142855"/>
  </r>
  <r>
    <x v="3315"/>
    <s v="Feb"/>
    <x v="10"/>
    <s v="717 Oak St"/>
    <x v="2"/>
    <x v="2"/>
    <n v="4"/>
    <n v="2083"/>
    <n v="742999"/>
    <n v="356.69659145463277"/>
  </r>
  <r>
    <x v="2575"/>
    <s v="Dec"/>
    <x v="10"/>
    <s v="153 Pine Rd"/>
    <x v="6"/>
    <x v="2"/>
    <n v="2"/>
    <n v="2842"/>
    <n v="747494"/>
    <n v="263.01688951442645"/>
  </r>
  <r>
    <x v="3316"/>
    <s v="Jun"/>
    <x v="16"/>
    <s v="451 Elm St"/>
    <x v="3"/>
    <x v="1"/>
    <n v="4"/>
    <n v="2882"/>
    <n v="306766"/>
    <n v="106.44205412907704"/>
  </r>
  <r>
    <x v="3317"/>
    <s v="Aug"/>
    <x v="10"/>
    <s v="792 Oak St"/>
    <x v="6"/>
    <x v="1"/>
    <n v="5"/>
    <n v="1453"/>
    <n v="571905"/>
    <n v="393.60289057123191"/>
  </r>
  <r>
    <x v="3318"/>
    <s v="Nov"/>
    <x v="19"/>
    <s v="970 Oak St"/>
    <x v="6"/>
    <x v="2"/>
    <n v="5"/>
    <n v="2383"/>
    <n v="480692"/>
    <n v="201.71716323961394"/>
  </r>
  <r>
    <x v="212"/>
    <s v="Jul"/>
    <x v="3"/>
    <s v="511 Oak St"/>
    <x v="6"/>
    <x v="0"/>
    <n v="5"/>
    <n v="1907"/>
    <n v="378578"/>
    <n v="198.52018877818563"/>
  </r>
  <r>
    <x v="1634"/>
    <s v="Feb"/>
    <x v="12"/>
    <s v="291 Elm St"/>
    <x v="1"/>
    <x v="1"/>
    <n v="5"/>
    <n v="1833"/>
    <n v="882837"/>
    <n v="481.63502454991817"/>
  </r>
  <r>
    <x v="2923"/>
    <s v="Apr"/>
    <x v="13"/>
    <s v="161 Main St"/>
    <x v="1"/>
    <x v="0"/>
    <n v="5"/>
    <n v="2009"/>
    <n v="793409"/>
    <n v="394.9273270283723"/>
  </r>
  <r>
    <x v="3319"/>
    <s v="Jul"/>
    <x v="2"/>
    <s v="226 Main St"/>
    <x v="1"/>
    <x v="1"/>
    <n v="5"/>
    <n v="1355"/>
    <n v="874389"/>
    <n v="645.30553505535056"/>
  </r>
  <r>
    <x v="3320"/>
    <s v="Jun"/>
    <x v="19"/>
    <s v="685 Oak St"/>
    <x v="6"/>
    <x v="0"/>
    <n v="4"/>
    <n v="1205"/>
    <n v="363884"/>
    <n v="301.97842323651452"/>
  </r>
  <r>
    <x v="3321"/>
    <s v="Aug"/>
    <x v="13"/>
    <s v="318 Main St"/>
    <x v="6"/>
    <x v="1"/>
    <n v="2"/>
    <n v="1742"/>
    <n v="743825"/>
    <n v="426.99483352468428"/>
  </r>
  <r>
    <x v="3322"/>
    <s v="Nov"/>
    <x v="7"/>
    <s v="425 Pine Rd"/>
    <x v="4"/>
    <x v="2"/>
    <m/>
    <n v="2287"/>
    <n v="847688"/>
    <n v="370.65500655881067"/>
  </r>
  <r>
    <x v="3323"/>
    <s v="Jan"/>
    <x v="3"/>
    <s v="828 Oak St"/>
    <x v="3"/>
    <x v="2"/>
    <m/>
    <n v="1010"/>
    <n v="427396"/>
    <n v="423.16435643564358"/>
  </r>
  <r>
    <x v="2187"/>
    <s v="Apr"/>
    <x v="5"/>
    <s v="520 Main St"/>
    <x v="4"/>
    <x v="2"/>
    <n v="3"/>
    <n v="2702"/>
    <n v="492316"/>
    <n v="182.20429311621021"/>
  </r>
  <r>
    <x v="3324"/>
    <s v="Nov"/>
    <x v="14"/>
    <s v="103 Pine Rd"/>
    <x v="4"/>
    <x v="3"/>
    <n v="4"/>
    <n v="3458"/>
    <n v="166590"/>
    <n v="48.175245806824755"/>
  </r>
  <r>
    <x v="3325"/>
    <s v="Nov"/>
    <x v="13"/>
    <s v="884 Maple Ave"/>
    <x v="2"/>
    <x v="3"/>
    <n v="3"/>
    <n v="1469"/>
    <n v="408244"/>
    <n v="277.90605854322666"/>
  </r>
  <r>
    <x v="2077"/>
    <s v="Jun"/>
    <x v="0"/>
    <s v="196 Elm St"/>
    <x v="6"/>
    <x v="0"/>
    <n v="5"/>
    <n v="1870"/>
    <n v="335624"/>
    <n v="179.47807486631015"/>
  </r>
  <r>
    <x v="1312"/>
    <s v="Sep"/>
    <x v="2"/>
    <s v="631 Maple Ave"/>
    <x v="0"/>
    <x v="0"/>
    <n v="4"/>
    <n v="2048"/>
    <n v="546120"/>
    <n v="266.66015625"/>
  </r>
  <r>
    <x v="3326"/>
    <s v="Jun"/>
    <x v="0"/>
    <s v="134 Main St"/>
    <x v="5"/>
    <x v="3"/>
    <n v="5"/>
    <n v="998"/>
    <n v="493641"/>
    <n v="494.63026052104209"/>
  </r>
  <r>
    <x v="2617"/>
    <s v="Jan"/>
    <x v="17"/>
    <s v="118 Maple Ave"/>
    <x v="1"/>
    <x v="1"/>
    <n v="4"/>
    <n v="3037"/>
    <n v="312194"/>
    <n v="102.79683898584129"/>
  </r>
  <r>
    <x v="2600"/>
    <s v="May"/>
    <x v="18"/>
    <s v="321 Main St"/>
    <x v="4"/>
    <x v="1"/>
    <n v="3"/>
    <n v="1384"/>
    <n v="494579"/>
    <n v="357.35476878612718"/>
  </r>
  <r>
    <x v="3262"/>
    <s v="Jul"/>
    <x v="10"/>
    <s v="684 Main St"/>
    <x v="4"/>
    <x v="2"/>
    <n v="3"/>
    <n v="2300"/>
    <n v="630075"/>
    <n v="273.94565217391306"/>
  </r>
  <r>
    <x v="3327"/>
    <s v="Jul"/>
    <x v="2"/>
    <s v="375 Pine Rd"/>
    <x v="6"/>
    <x v="1"/>
    <n v="4"/>
    <n v="2913"/>
    <n v="715496"/>
    <n v="245.62169584620665"/>
  </r>
  <r>
    <x v="3328"/>
    <s v="Oct"/>
    <x v="16"/>
    <s v="971 Main St"/>
    <x v="1"/>
    <x v="1"/>
    <n v="5"/>
    <n v="1599"/>
    <n v="659138"/>
    <n v="412.21888680425263"/>
  </r>
  <r>
    <x v="3329"/>
    <s v="Jan"/>
    <x v="7"/>
    <s v="300 Elm St"/>
    <x v="0"/>
    <x v="1"/>
    <m/>
    <n v="1767"/>
    <n v="749735"/>
    <n v="424.29824561403507"/>
  </r>
  <r>
    <x v="2443"/>
    <s v="Sep"/>
    <x v="15"/>
    <s v="450 Pine Rd"/>
    <x v="3"/>
    <x v="0"/>
    <n v="2"/>
    <n v="1540"/>
    <n v="531927"/>
    <n v="345.40714285714284"/>
  </r>
  <r>
    <x v="3330"/>
    <s v="Aug"/>
    <x v="19"/>
    <s v="790 Main St"/>
    <x v="2"/>
    <x v="2"/>
    <n v="2"/>
    <n v="1815"/>
    <n v="752489"/>
    <n v="414.59449035812673"/>
  </r>
  <r>
    <x v="3331"/>
    <s v="Apr"/>
    <x v="3"/>
    <s v="826 Oak St"/>
    <x v="0"/>
    <x v="1"/>
    <m/>
    <n v="2122"/>
    <n v="638872"/>
    <n v="301.07068803016023"/>
  </r>
  <r>
    <x v="725"/>
    <s v="Mar"/>
    <x v="17"/>
    <s v="518 Oak St"/>
    <x v="0"/>
    <x v="1"/>
    <n v="4"/>
    <n v="1760"/>
    <n v="676878"/>
    <n v="384.5897727272727"/>
  </r>
  <r>
    <x v="3332"/>
    <s v="Feb"/>
    <x v="1"/>
    <s v="918 Oak St"/>
    <x v="2"/>
    <x v="1"/>
    <n v="5"/>
    <n v="2577"/>
    <n v="433775"/>
    <n v="168.32557237097399"/>
  </r>
  <r>
    <x v="697"/>
    <s v="Nov"/>
    <x v="1"/>
    <s v="678 Main St"/>
    <x v="6"/>
    <x v="0"/>
    <m/>
    <n v="2219"/>
    <n v="611556"/>
    <n v="275.59981973862102"/>
  </r>
  <r>
    <x v="715"/>
    <s v="Sep"/>
    <x v="6"/>
    <s v="288 Elm St"/>
    <x v="4"/>
    <x v="0"/>
    <n v="4"/>
    <n v="1398"/>
    <n v="399854"/>
    <n v="286.01859799713878"/>
  </r>
  <r>
    <x v="855"/>
    <s v="Nov"/>
    <x v="10"/>
    <s v="201 Oak St"/>
    <x v="1"/>
    <x v="2"/>
    <n v="5"/>
    <n v="1145"/>
    <n v="492096"/>
    <n v="429.77816593886462"/>
  </r>
  <r>
    <x v="3333"/>
    <s v="Jul"/>
    <x v="8"/>
    <s v="545 Pine Rd"/>
    <x v="5"/>
    <x v="3"/>
    <m/>
    <n v="2024"/>
    <n v="505600"/>
    <n v="249.80237154150197"/>
  </r>
  <r>
    <x v="2145"/>
    <s v="Nov"/>
    <x v="17"/>
    <s v="886 Elm St"/>
    <x v="2"/>
    <x v="3"/>
    <n v="4"/>
    <n v="3034"/>
    <n v="892806"/>
    <n v="294.26697429136453"/>
  </r>
  <r>
    <x v="3334"/>
    <s v="Mar"/>
    <x v="3"/>
    <s v="379 Pine Rd"/>
    <x v="6"/>
    <x v="2"/>
    <n v="3"/>
    <n v="1253"/>
    <n v="178984"/>
    <n v="142.84437350359138"/>
  </r>
  <r>
    <x v="1825"/>
    <s v="Jun"/>
    <x v="9"/>
    <s v="142 Pine Rd"/>
    <x v="6"/>
    <x v="2"/>
    <n v="4"/>
    <n v="2031"/>
    <n v="242761"/>
    <n v="119.52781880846874"/>
  </r>
  <r>
    <x v="2139"/>
    <s v="Nov"/>
    <x v="4"/>
    <s v="484 Maple Ave"/>
    <x v="0"/>
    <x v="2"/>
    <m/>
    <n v="3238"/>
    <n v="761255"/>
    <n v="235.10037059913526"/>
  </r>
  <r>
    <x v="3335"/>
    <s v="Dec"/>
    <x v="9"/>
    <s v="747 Elm St"/>
    <x v="6"/>
    <x v="0"/>
    <n v="5"/>
    <n v="2818"/>
    <n v="536492"/>
    <n v="190.38041163946062"/>
  </r>
  <r>
    <x v="1770"/>
    <s v="Jun"/>
    <x v="19"/>
    <s v="898 Elm St"/>
    <x v="3"/>
    <x v="1"/>
    <n v="2"/>
    <n v="1842"/>
    <n v="205233"/>
    <n v="111.4185667752443"/>
  </r>
  <r>
    <x v="2497"/>
    <s v="Jan"/>
    <x v="15"/>
    <s v="288 Main St"/>
    <x v="6"/>
    <x v="0"/>
    <m/>
    <n v="2285"/>
    <n v="162108"/>
    <n v="70.944420131291025"/>
  </r>
  <r>
    <x v="1919"/>
    <s v="Jun"/>
    <x v="12"/>
    <s v="871 Main St"/>
    <x v="0"/>
    <x v="3"/>
    <n v="3"/>
    <n v="2464"/>
    <n v="378805"/>
    <n v="153.73579545454547"/>
  </r>
  <r>
    <x v="3336"/>
    <s v="Jun"/>
    <x v="14"/>
    <s v="949 Pine Rd"/>
    <x v="5"/>
    <x v="1"/>
    <m/>
    <n v="3465"/>
    <n v="444615"/>
    <n v="128.31601731601731"/>
  </r>
  <r>
    <x v="3337"/>
    <s v="Aug"/>
    <x v="17"/>
    <s v="889 Elm St"/>
    <x v="3"/>
    <x v="3"/>
    <m/>
    <n v="2255"/>
    <n v="365777"/>
    <n v="162.20709534368072"/>
  </r>
  <r>
    <x v="68"/>
    <s v="Nov"/>
    <x v="19"/>
    <s v="198 Maple Ave"/>
    <x v="6"/>
    <x v="1"/>
    <m/>
    <n v="3294"/>
    <m/>
    <n v="0"/>
  </r>
  <r>
    <x v="1964"/>
    <s v="May"/>
    <x v="10"/>
    <s v="374 Elm St"/>
    <x v="2"/>
    <x v="1"/>
    <n v="4"/>
    <n v="2121"/>
    <n v="672821"/>
    <n v="317.21876473361624"/>
  </r>
  <r>
    <x v="2220"/>
    <s v="Jan"/>
    <x v="12"/>
    <s v="927 Oak St"/>
    <x v="5"/>
    <x v="0"/>
    <n v="4"/>
    <n v="2038"/>
    <n v="627987"/>
    <n v="308.13886162904811"/>
  </r>
  <r>
    <x v="2727"/>
    <s v="Sep"/>
    <x v="3"/>
    <s v="474 Oak St"/>
    <x v="5"/>
    <x v="0"/>
    <n v="2"/>
    <n v="1091"/>
    <n v="107417"/>
    <n v="98.457378551787357"/>
  </r>
  <r>
    <x v="2091"/>
    <s v="Nov"/>
    <x v="18"/>
    <s v="672 Elm St"/>
    <x v="0"/>
    <x v="1"/>
    <m/>
    <n v="2961"/>
    <n v="483510"/>
    <n v="163.29280648429585"/>
  </r>
  <r>
    <x v="3338"/>
    <s v="Jan"/>
    <x v="0"/>
    <s v="843 Elm St"/>
    <x v="2"/>
    <x v="2"/>
    <n v="2"/>
    <n v="3047"/>
    <n v="627132"/>
    <n v="205.81949458483754"/>
  </r>
  <r>
    <x v="3339"/>
    <s v="Feb"/>
    <x v="15"/>
    <s v="406 Elm St"/>
    <x v="0"/>
    <x v="2"/>
    <n v="2"/>
    <n v="2547"/>
    <n v="296068"/>
    <n v="116.24185316058107"/>
  </r>
  <r>
    <x v="1853"/>
    <s v="Oct"/>
    <x v="13"/>
    <s v="387 Main St"/>
    <x v="1"/>
    <x v="3"/>
    <m/>
    <n v="2578"/>
    <n v="693144"/>
    <n v="268.8688906128782"/>
  </r>
  <r>
    <x v="1301"/>
    <s v="Mar"/>
    <x v="0"/>
    <s v="734 Elm St"/>
    <x v="4"/>
    <x v="3"/>
    <n v="4"/>
    <n v="1543"/>
    <n v="447139"/>
    <n v="289.7854828256643"/>
  </r>
  <r>
    <x v="794"/>
    <s v="Dec"/>
    <x v="12"/>
    <s v="478 Oak St"/>
    <x v="1"/>
    <x v="2"/>
    <n v="4"/>
    <n v="1555"/>
    <n v="747123"/>
    <n v="480.46495176848873"/>
  </r>
  <r>
    <x v="3159"/>
    <s v="Apr"/>
    <x v="5"/>
    <s v="504 Maple Ave"/>
    <x v="5"/>
    <x v="2"/>
    <n v="3"/>
    <n v="3431"/>
    <n v="571013"/>
    <n v="166.42757213640337"/>
  </r>
  <r>
    <x v="3219"/>
    <s v="Aug"/>
    <x v="5"/>
    <s v="869 Main St"/>
    <x v="1"/>
    <x v="0"/>
    <n v="4"/>
    <n v="2742"/>
    <n v="320166"/>
    <n v="116.76367614879649"/>
  </r>
  <r>
    <x v="968"/>
    <s v="Oct"/>
    <x v="17"/>
    <s v="743 Main St"/>
    <x v="0"/>
    <x v="3"/>
    <m/>
    <n v="1747"/>
    <n v="490311"/>
    <n v="280.65884373211219"/>
  </r>
  <r>
    <x v="3067"/>
    <s v="Oct"/>
    <x v="6"/>
    <s v="305 Oak St"/>
    <x v="0"/>
    <x v="2"/>
    <n v="5"/>
    <n v="2236"/>
    <n v="629708"/>
    <n v="281.62254025044723"/>
  </r>
  <r>
    <x v="3340"/>
    <s v="Nov"/>
    <x v="10"/>
    <s v="460 Maple Ave"/>
    <x v="0"/>
    <x v="2"/>
    <n v="5"/>
    <n v="1240"/>
    <n v="375650"/>
    <n v="302.94354838709677"/>
  </r>
  <r>
    <x v="3341"/>
    <s v="Nov"/>
    <x v="1"/>
    <s v="686 Oak St"/>
    <x v="1"/>
    <x v="3"/>
    <n v="3"/>
    <n v="1296"/>
    <n v="466981"/>
    <n v="360.32484567901236"/>
  </r>
  <r>
    <x v="167"/>
    <s v="Nov"/>
    <x v="17"/>
    <s v="637 Maple Ave"/>
    <x v="0"/>
    <x v="0"/>
    <n v="3"/>
    <n v="1144"/>
    <n v="261321"/>
    <n v="228.42744755244755"/>
  </r>
  <r>
    <x v="465"/>
    <s v="Apr"/>
    <x v="6"/>
    <s v="287 Main St"/>
    <x v="6"/>
    <x v="3"/>
    <m/>
    <n v="1232"/>
    <n v="612957"/>
    <n v="497.53003246753246"/>
  </r>
  <r>
    <x v="3342"/>
    <s v="Jun"/>
    <x v="19"/>
    <s v="709 Oak St"/>
    <x v="6"/>
    <x v="3"/>
    <n v="5"/>
    <n v="1689"/>
    <n v="482714"/>
    <n v="285.79869745411486"/>
  </r>
  <r>
    <x v="3343"/>
    <s v="Aug"/>
    <x v="14"/>
    <s v="220 Pine Rd"/>
    <x v="0"/>
    <x v="1"/>
    <n v="3"/>
    <n v="2180"/>
    <n v="548742"/>
    <n v="251.71651376146789"/>
  </r>
  <r>
    <x v="3344"/>
    <s v="Apr"/>
    <x v="8"/>
    <s v="323 Maple Ave"/>
    <x v="6"/>
    <x v="0"/>
    <n v="4"/>
    <n v="1838"/>
    <n v="596437"/>
    <n v="324.50326441784546"/>
  </r>
  <r>
    <x v="2510"/>
    <s v="Mar"/>
    <x v="16"/>
    <s v="104 Pine Rd"/>
    <x v="0"/>
    <x v="3"/>
    <m/>
    <n v="1229"/>
    <n v="812918"/>
    <n v="661.44670463791704"/>
  </r>
  <r>
    <x v="3345"/>
    <s v="Aug"/>
    <x v="0"/>
    <s v="178 Main St"/>
    <x v="4"/>
    <x v="1"/>
    <m/>
    <n v="3170"/>
    <n v="280566"/>
    <n v="88.50662460567824"/>
  </r>
  <r>
    <x v="3346"/>
    <s v="Nov"/>
    <x v="14"/>
    <s v="743 Oak St"/>
    <x v="1"/>
    <x v="0"/>
    <m/>
    <n v="2884"/>
    <n v="747815"/>
    <n v="259.29785020804439"/>
  </r>
  <r>
    <x v="3347"/>
    <s v="Apr"/>
    <x v="8"/>
    <s v="492 Main St"/>
    <x v="4"/>
    <x v="1"/>
    <n v="2"/>
    <n v="2453"/>
    <n v="456493"/>
    <n v="186.09580105992663"/>
  </r>
  <r>
    <x v="2278"/>
    <s v="Nov"/>
    <x v="15"/>
    <s v="769 Oak St"/>
    <x v="6"/>
    <x v="2"/>
    <m/>
    <n v="2282"/>
    <n v="858153"/>
    <n v="376.05302366345313"/>
  </r>
  <r>
    <x v="3348"/>
    <s v="Nov"/>
    <x v="9"/>
    <s v="174 Pine Rd"/>
    <x v="5"/>
    <x v="2"/>
    <n v="4"/>
    <n v="1109"/>
    <n v="633909"/>
    <n v="571.60414788097387"/>
  </r>
  <r>
    <x v="653"/>
    <s v="Jun"/>
    <x v="3"/>
    <s v="654 Maple Ave"/>
    <x v="4"/>
    <x v="3"/>
    <n v="4"/>
    <n v="2747"/>
    <n v="594638"/>
    <n v="216.4681470695304"/>
  </r>
  <r>
    <x v="3349"/>
    <s v="Jan"/>
    <x v="17"/>
    <s v="551 Main St"/>
    <x v="0"/>
    <x v="2"/>
    <n v="2"/>
    <n v="1099"/>
    <n v="386689"/>
    <n v="351.8553230209281"/>
  </r>
  <r>
    <x v="3350"/>
    <s v="Apr"/>
    <x v="5"/>
    <s v="917 Pine Rd"/>
    <x v="0"/>
    <x v="3"/>
    <n v="4"/>
    <n v="2560"/>
    <n v="756223"/>
    <n v="295.39960937500001"/>
  </r>
  <r>
    <x v="3351"/>
    <s v="Jul"/>
    <x v="5"/>
    <s v="249 Pine Rd"/>
    <x v="2"/>
    <x v="2"/>
    <n v="2"/>
    <n v="1123"/>
    <n v="183179"/>
    <n v="163.11576135351737"/>
  </r>
  <r>
    <x v="3352"/>
    <s v="Oct"/>
    <x v="13"/>
    <s v="755 Main St"/>
    <x v="5"/>
    <x v="2"/>
    <n v="4"/>
    <n v="1901"/>
    <n v="235081"/>
    <n v="123.66175697001579"/>
  </r>
  <r>
    <x v="3353"/>
    <s v="Oct"/>
    <x v="12"/>
    <s v="136 Elm St"/>
    <x v="5"/>
    <x v="1"/>
    <m/>
    <n v="1950"/>
    <n v="695787"/>
    <n v="356.81384615384616"/>
  </r>
  <r>
    <x v="1083"/>
    <s v="Nov"/>
    <x v="16"/>
    <s v="998 Pine Rd"/>
    <x v="0"/>
    <x v="3"/>
    <m/>
    <n v="3067"/>
    <n v="793007"/>
    <n v="258.56113465927615"/>
  </r>
  <r>
    <x v="3354"/>
    <s v="Feb"/>
    <x v="6"/>
    <s v="257 Pine Rd"/>
    <x v="5"/>
    <x v="2"/>
    <m/>
    <n v="3119"/>
    <n v="821943"/>
    <n v="263.52773324783584"/>
  </r>
  <r>
    <x v="1659"/>
    <s v="Mar"/>
    <x v="19"/>
    <s v="553 Main St"/>
    <x v="0"/>
    <x v="1"/>
    <n v="4"/>
    <n v="2844"/>
    <n v="209454"/>
    <n v="73.647679324894511"/>
  </r>
  <r>
    <x v="1090"/>
    <s v="Mar"/>
    <x v="5"/>
    <s v="125 Elm St"/>
    <x v="5"/>
    <x v="2"/>
    <n v="5"/>
    <n v="1727"/>
    <n v="513235"/>
    <n v="297.18297625940937"/>
  </r>
  <r>
    <x v="2129"/>
    <s v="Mar"/>
    <x v="10"/>
    <s v="205 Maple Ave"/>
    <x v="3"/>
    <x v="0"/>
    <m/>
    <n v="1536"/>
    <n v="789897"/>
    <n v="514.255859375"/>
  </r>
  <r>
    <x v="788"/>
    <s v="Jan"/>
    <x v="0"/>
    <s v="995 Elm St"/>
    <x v="2"/>
    <x v="0"/>
    <n v="3"/>
    <n v="2944"/>
    <n v="379266"/>
    <n v="128.82676630434781"/>
  </r>
  <r>
    <x v="2267"/>
    <s v="Apr"/>
    <x v="14"/>
    <s v="290 Main St"/>
    <x v="0"/>
    <x v="1"/>
    <n v="3"/>
    <n v="2073"/>
    <n v="163653"/>
    <n v="78.945007235890017"/>
  </r>
  <r>
    <x v="3355"/>
    <s v="May"/>
    <x v="9"/>
    <s v="150 Elm St"/>
    <x v="3"/>
    <x v="2"/>
    <m/>
    <n v="2448"/>
    <n v="491792"/>
    <n v="200.89542483660131"/>
  </r>
  <r>
    <x v="3356"/>
    <s v="Jun"/>
    <x v="0"/>
    <s v="453 Pine Rd"/>
    <x v="0"/>
    <x v="3"/>
    <n v="4"/>
    <n v="991"/>
    <n v="616497"/>
    <n v="622.09586276488392"/>
  </r>
  <r>
    <x v="3357"/>
    <s v="Jun"/>
    <x v="8"/>
    <s v="165 Maple Ave"/>
    <x v="6"/>
    <x v="0"/>
    <m/>
    <n v="1977"/>
    <n v="820350"/>
    <n v="414.94688922610015"/>
  </r>
  <r>
    <x v="3358"/>
    <s v="Mar"/>
    <x v="6"/>
    <s v="260 Maple Ave"/>
    <x v="6"/>
    <x v="2"/>
    <n v="3"/>
    <n v="2968"/>
    <n v="394498"/>
    <n v="132.91711590296495"/>
  </r>
  <r>
    <x v="3359"/>
    <s v="Jul"/>
    <x v="13"/>
    <s v="281 Pine Rd"/>
    <x v="0"/>
    <x v="0"/>
    <n v="3"/>
    <n v="1593"/>
    <n v="717945"/>
    <n v="450.68738229755178"/>
  </r>
  <r>
    <x v="3360"/>
    <s v="Jun"/>
    <x v="6"/>
    <s v="878 Oak St"/>
    <x v="0"/>
    <x v="1"/>
    <n v="2"/>
    <n v="2924"/>
    <n v="860298"/>
    <n v="294.21956224350203"/>
  </r>
  <r>
    <x v="3361"/>
    <s v="Jul"/>
    <x v="15"/>
    <s v="259 Main St"/>
    <x v="5"/>
    <x v="0"/>
    <n v="4"/>
    <n v="1370"/>
    <n v="783120"/>
    <n v="571.62043795620434"/>
  </r>
  <r>
    <x v="629"/>
    <s v="Jun"/>
    <x v="4"/>
    <s v="514 Oak St"/>
    <x v="4"/>
    <x v="1"/>
    <n v="5"/>
    <n v="1821"/>
    <n v="262788"/>
    <n v="144.30971993410213"/>
  </r>
  <r>
    <x v="3362"/>
    <s v="Sep"/>
    <x v="0"/>
    <s v="457 Main St"/>
    <x v="4"/>
    <x v="3"/>
    <n v="3"/>
    <n v="1252"/>
    <n v="678170"/>
    <n v="541.66932907348246"/>
  </r>
  <r>
    <x v="459"/>
    <s v="Nov"/>
    <x v="12"/>
    <s v="240 Maple Ave"/>
    <x v="0"/>
    <x v="1"/>
    <n v="5"/>
    <n v="1666"/>
    <n v="781228"/>
    <n v="468.92436974789916"/>
  </r>
  <r>
    <x v="2315"/>
    <s v="Feb"/>
    <x v="19"/>
    <s v="632 Elm St"/>
    <x v="2"/>
    <x v="1"/>
    <n v="5"/>
    <n v="2862"/>
    <n v="857452"/>
    <n v="299.59888190076867"/>
  </r>
  <r>
    <x v="3363"/>
    <s v="May"/>
    <x v="1"/>
    <s v="191 Pine Rd"/>
    <x v="0"/>
    <x v="0"/>
    <n v="2"/>
    <n v="1022"/>
    <n v="604591"/>
    <n v="591.57632093933466"/>
  </r>
  <r>
    <x v="2465"/>
    <s v="Nov"/>
    <x v="3"/>
    <s v="590 Maple Ave"/>
    <x v="0"/>
    <x v="3"/>
    <n v="2"/>
    <n v="2788"/>
    <n v="428723"/>
    <n v="153.77439024390245"/>
  </r>
  <r>
    <x v="1330"/>
    <s v="Nov"/>
    <x v="2"/>
    <s v="428 Pine Rd"/>
    <x v="6"/>
    <x v="3"/>
    <n v="3"/>
    <n v="2152"/>
    <n v="602348"/>
    <n v="279.90148698884758"/>
  </r>
  <r>
    <x v="3364"/>
    <s v="Mar"/>
    <x v="9"/>
    <s v="604 Elm St"/>
    <x v="0"/>
    <x v="0"/>
    <n v="3"/>
    <n v="3319"/>
    <n v="791142"/>
    <n v="238.36758059656523"/>
  </r>
  <r>
    <x v="3365"/>
    <s v="Feb"/>
    <x v="17"/>
    <s v="614 Elm St"/>
    <x v="0"/>
    <x v="1"/>
    <n v="5"/>
    <n v="2286"/>
    <n v="392336"/>
    <n v="171.62554680664917"/>
  </r>
  <r>
    <x v="3366"/>
    <s v="Aug"/>
    <x v="12"/>
    <s v="355 Elm St"/>
    <x v="5"/>
    <x v="3"/>
    <n v="2"/>
    <n v="3376"/>
    <n v="364448"/>
    <n v="107.95260663507109"/>
  </r>
  <r>
    <x v="1962"/>
    <s v="Sep"/>
    <x v="11"/>
    <s v="928 Oak St"/>
    <x v="6"/>
    <x v="3"/>
    <n v="3"/>
    <n v="1669"/>
    <n v="358924"/>
    <n v="215.05332534451767"/>
  </r>
  <r>
    <x v="3367"/>
    <s v="Oct"/>
    <x v="17"/>
    <s v="193 Elm St"/>
    <x v="1"/>
    <x v="2"/>
    <n v="5"/>
    <n v="1724"/>
    <n v="653319"/>
    <n v="378.95533642691413"/>
  </r>
  <r>
    <x v="3368"/>
    <s v="Apr"/>
    <x v="0"/>
    <s v="640 Pine Rd"/>
    <x v="4"/>
    <x v="3"/>
    <n v="4"/>
    <n v="1430"/>
    <n v="416486"/>
    <n v="291.24895104895103"/>
  </r>
  <r>
    <x v="3369"/>
    <s v="Jul"/>
    <x v="17"/>
    <s v="376 Oak St"/>
    <x v="0"/>
    <x v="2"/>
    <m/>
    <n v="1614"/>
    <n v="106434"/>
    <n v="65.94423791821562"/>
  </r>
  <r>
    <x v="3370"/>
    <s v="Mar"/>
    <x v="11"/>
    <s v="887 Pine Rd"/>
    <x v="6"/>
    <x v="1"/>
    <n v="3"/>
    <n v="1558"/>
    <n v="314900"/>
    <n v="202.11810012836972"/>
  </r>
  <r>
    <x v="3371"/>
    <s v="May"/>
    <x v="0"/>
    <s v="362 Oak St"/>
    <x v="0"/>
    <x v="2"/>
    <n v="2"/>
    <n v="1125"/>
    <n v="532886"/>
    <n v="473.67644444444443"/>
  </r>
  <r>
    <x v="3006"/>
    <s v="Apr"/>
    <x v="9"/>
    <s v="915 Oak St"/>
    <x v="6"/>
    <x v="0"/>
    <n v="3"/>
    <n v="1580"/>
    <m/>
    <n v="0"/>
  </r>
  <r>
    <x v="3372"/>
    <s v="Oct"/>
    <x v="9"/>
    <s v="265 Pine Rd"/>
    <x v="1"/>
    <x v="0"/>
    <m/>
    <n v="2129"/>
    <n v="147867"/>
    <n v="69.453734147487083"/>
  </r>
  <r>
    <x v="1527"/>
    <s v="Jan"/>
    <x v="14"/>
    <s v="483 Main St"/>
    <x v="2"/>
    <x v="3"/>
    <m/>
    <n v="1460"/>
    <n v="890204"/>
    <n v="609.72876712328764"/>
  </r>
  <r>
    <x v="2820"/>
    <s v="Feb"/>
    <x v="1"/>
    <s v="763 Main St"/>
    <x v="4"/>
    <x v="2"/>
    <m/>
    <n v="2565"/>
    <n v="161166"/>
    <n v="62.832748538011693"/>
  </r>
  <r>
    <x v="3095"/>
    <s v="Jan"/>
    <x v="9"/>
    <s v="262 Oak St"/>
    <x v="5"/>
    <x v="2"/>
    <n v="5"/>
    <n v="2757"/>
    <n v="256595"/>
    <n v="93.070366340224879"/>
  </r>
  <r>
    <x v="3373"/>
    <s v="Feb"/>
    <x v="5"/>
    <s v="642 Elm St"/>
    <x v="6"/>
    <x v="3"/>
    <m/>
    <n v="2811"/>
    <n v="410379"/>
    <n v="145.99039487726787"/>
  </r>
  <r>
    <x v="1414"/>
    <s v="Apr"/>
    <x v="12"/>
    <s v="874 Oak St"/>
    <x v="6"/>
    <x v="1"/>
    <n v="2"/>
    <n v="2309"/>
    <n v="517373"/>
    <n v="224.06799480294501"/>
  </r>
  <r>
    <x v="3374"/>
    <s v="Oct"/>
    <x v="8"/>
    <s v="682 Elm St"/>
    <x v="3"/>
    <x v="0"/>
    <n v="2"/>
    <n v="2610"/>
    <n v="295618"/>
    <n v="113.26360153256705"/>
  </r>
  <r>
    <x v="1352"/>
    <s v="Sep"/>
    <x v="1"/>
    <s v="518 Main St"/>
    <x v="3"/>
    <x v="2"/>
    <n v="5"/>
    <n v="2306"/>
    <n v="714113"/>
    <n v="309.6760624457936"/>
  </r>
  <r>
    <x v="3375"/>
    <s v="Mar"/>
    <x v="1"/>
    <s v="650 Main St"/>
    <x v="6"/>
    <x v="0"/>
    <m/>
    <n v="2573"/>
    <n v="252380"/>
    <n v="98.087835211815005"/>
  </r>
  <r>
    <x v="2673"/>
    <s v="Jul"/>
    <x v="6"/>
    <s v="851 Elm St"/>
    <x v="2"/>
    <x v="1"/>
    <n v="5"/>
    <n v="1288"/>
    <n v="272653"/>
    <n v="211.68711180124222"/>
  </r>
  <r>
    <x v="3376"/>
    <s v="Aug"/>
    <x v="16"/>
    <s v="683 Oak St"/>
    <x v="1"/>
    <x v="0"/>
    <n v="4"/>
    <n v="2857"/>
    <n v="252728"/>
    <n v="88.459222961148058"/>
  </r>
  <r>
    <x v="3377"/>
    <s v="Apr"/>
    <x v="9"/>
    <s v="103 Elm St"/>
    <x v="6"/>
    <x v="1"/>
    <n v="4"/>
    <n v="2895"/>
    <n v="156972"/>
    <n v="54.221761658031085"/>
  </r>
  <r>
    <x v="3378"/>
    <s v="Jun"/>
    <x v="9"/>
    <s v="497 Elm St"/>
    <x v="6"/>
    <x v="3"/>
    <m/>
    <n v="2562"/>
    <n v="270464"/>
    <n v="105.56752537080406"/>
  </r>
  <r>
    <x v="3379"/>
    <s v="Jul"/>
    <x v="13"/>
    <s v="870 Oak St"/>
    <x v="1"/>
    <x v="1"/>
    <m/>
    <n v="2636"/>
    <n v="627828"/>
    <n v="238.17450682852808"/>
  </r>
  <r>
    <x v="2736"/>
    <s v="Apr"/>
    <x v="13"/>
    <s v="691 Maple Ave"/>
    <x v="4"/>
    <x v="1"/>
    <m/>
    <n v="2041"/>
    <n v="878942"/>
    <n v="430.64282214600684"/>
  </r>
  <r>
    <x v="3380"/>
    <s v="May"/>
    <x v="3"/>
    <s v="805 Oak St"/>
    <x v="0"/>
    <x v="2"/>
    <n v="3"/>
    <n v="1039"/>
    <n v="638074"/>
    <n v="614.12319538017323"/>
  </r>
  <r>
    <x v="2351"/>
    <s v="Jun"/>
    <x v="9"/>
    <s v="136 Elm St"/>
    <x v="1"/>
    <x v="2"/>
    <n v="5"/>
    <n v="2995"/>
    <n v="519662"/>
    <n v="173.50984974958263"/>
  </r>
  <r>
    <x v="3381"/>
    <s v="Mar"/>
    <x v="15"/>
    <s v="465 Oak St"/>
    <x v="4"/>
    <x v="3"/>
    <n v="4"/>
    <n v="2645"/>
    <n v="714617"/>
    <n v="270.1765595463138"/>
  </r>
  <r>
    <x v="3382"/>
    <s v="Aug"/>
    <x v="10"/>
    <s v="881 Elm St"/>
    <x v="4"/>
    <x v="0"/>
    <n v="5"/>
    <n v="3219"/>
    <n v="569901"/>
    <n v="177.04287045666356"/>
  </r>
  <r>
    <x v="181"/>
    <s v="Sep"/>
    <x v="3"/>
    <s v="155 Maple Ave"/>
    <x v="4"/>
    <x v="3"/>
    <m/>
    <n v="1549"/>
    <n v="185591"/>
    <n v="119.81342801807618"/>
  </r>
  <r>
    <x v="3383"/>
    <s v="Sep"/>
    <x v="18"/>
    <s v="193 Maple Ave"/>
    <x v="6"/>
    <x v="0"/>
    <n v="2"/>
    <n v="2911"/>
    <n v="296281"/>
    <n v="101.77980075575404"/>
  </r>
  <r>
    <x v="3384"/>
    <s v="Jul"/>
    <x v="2"/>
    <s v="151 Pine Rd"/>
    <x v="3"/>
    <x v="0"/>
    <m/>
    <n v="2357"/>
    <n v="605635"/>
    <n v="256.95163343232923"/>
  </r>
  <r>
    <x v="311"/>
    <s v="Jan"/>
    <x v="13"/>
    <s v="210 Maple Ave"/>
    <x v="5"/>
    <x v="1"/>
    <n v="4"/>
    <n v="1894"/>
    <n v="739180"/>
    <n v="390.27455121436117"/>
  </r>
  <r>
    <x v="3385"/>
    <s v="Jul"/>
    <x v="9"/>
    <s v="400 Main St"/>
    <x v="2"/>
    <x v="1"/>
    <m/>
    <n v="1554"/>
    <n v="548151"/>
    <n v="352.73552123552122"/>
  </r>
  <r>
    <x v="3386"/>
    <s v="Aug"/>
    <x v="19"/>
    <s v="380 Oak St"/>
    <x v="0"/>
    <x v="0"/>
    <m/>
    <n v="2446"/>
    <n v="878372"/>
    <n v="359.10547833197057"/>
  </r>
  <r>
    <x v="795"/>
    <s v="May"/>
    <x v="2"/>
    <s v="346 Main St"/>
    <x v="1"/>
    <x v="2"/>
    <n v="2"/>
    <n v="2129"/>
    <n v="621563"/>
    <n v="291.95068107092533"/>
  </r>
  <r>
    <x v="1893"/>
    <s v="Feb"/>
    <x v="13"/>
    <s v="923 Oak St"/>
    <x v="4"/>
    <x v="3"/>
    <m/>
    <n v="1765"/>
    <n v="717561"/>
    <n v="406.55014164305948"/>
  </r>
  <r>
    <x v="794"/>
    <s v="Dec"/>
    <x v="12"/>
    <s v="221 Main St"/>
    <x v="2"/>
    <x v="1"/>
    <n v="3"/>
    <n v="1204"/>
    <n v="370990"/>
    <n v="308.13122923588043"/>
  </r>
  <r>
    <x v="3387"/>
    <s v="Mar"/>
    <x v="1"/>
    <s v="844 Pine Rd"/>
    <x v="2"/>
    <x v="3"/>
    <n v="4"/>
    <n v="1319"/>
    <n v="857143"/>
    <n v="649.84306292645942"/>
  </r>
  <r>
    <x v="3388"/>
    <s v="Sep"/>
    <x v="14"/>
    <s v="177 Main St"/>
    <x v="1"/>
    <x v="0"/>
    <n v="4"/>
    <n v="2784"/>
    <n v="438492"/>
    <n v="157.50431034482759"/>
  </r>
  <r>
    <x v="1916"/>
    <s v="Apr"/>
    <x v="17"/>
    <s v="889 Main St"/>
    <x v="4"/>
    <x v="2"/>
    <m/>
    <n v="1979"/>
    <n v="256897"/>
    <n v="129.81152097018696"/>
  </r>
  <r>
    <x v="281"/>
    <s v="Dec"/>
    <x v="2"/>
    <s v="429 Oak St"/>
    <x v="2"/>
    <x v="0"/>
    <n v="4"/>
    <n v="1277"/>
    <n v="178419"/>
    <n v="139.71730618637432"/>
  </r>
  <r>
    <x v="3389"/>
    <s v="Jul"/>
    <x v="4"/>
    <s v="892 Maple Ave"/>
    <x v="4"/>
    <x v="2"/>
    <m/>
    <n v="3318"/>
    <n v="807593"/>
    <n v="243.39752863170585"/>
  </r>
  <r>
    <x v="2214"/>
    <s v="Oct"/>
    <x v="11"/>
    <s v="634 Elm St"/>
    <x v="0"/>
    <x v="1"/>
    <n v="4"/>
    <n v="2599"/>
    <n v="626474"/>
    <n v="241.04424778761063"/>
  </r>
  <r>
    <x v="3390"/>
    <s v="Aug"/>
    <x v="16"/>
    <s v="339 Oak St"/>
    <x v="6"/>
    <x v="0"/>
    <m/>
    <n v="2566"/>
    <n v="573735"/>
    <n v="223.59119251753702"/>
  </r>
  <r>
    <x v="3391"/>
    <s v="Dec"/>
    <x v="4"/>
    <s v="664 Oak St"/>
    <x v="5"/>
    <x v="2"/>
    <n v="3"/>
    <n v="2048"/>
    <n v="264556"/>
    <n v="129.177734375"/>
  </r>
  <r>
    <x v="3392"/>
    <s v="Jul"/>
    <x v="19"/>
    <s v="476 Main St"/>
    <x v="1"/>
    <x v="3"/>
    <n v="2"/>
    <n v="3414"/>
    <n v="314749"/>
    <n v="92.193614528412425"/>
  </r>
  <r>
    <x v="2124"/>
    <s v="Jan"/>
    <x v="5"/>
    <s v="939 Elm St"/>
    <x v="5"/>
    <x v="0"/>
    <m/>
    <n v="2961"/>
    <n v="185234"/>
    <n v="62.557919621749406"/>
  </r>
  <r>
    <x v="3393"/>
    <s v="Jul"/>
    <x v="16"/>
    <s v="900 Elm St"/>
    <x v="0"/>
    <x v="1"/>
    <n v="2"/>
    <n v="3382"/>
    <n v="394102"/>
    <n v="116.52927261975162"/>
  </r>
  <r>
    <x v="3394"/>
    <s v="Nov"/>
    <x v="9"/>
    <s v="831 Main St"/>
    <x v="4"/>
    <x v="3"/>
    <n v="5"/>
    <n v="2369"/>
    <n v="562726"/>
    <n v="237.53735753482482"/>
  </r>
  <r>
    <x v="688"/>
    <s v="Jul"/>
    <x v="16"/>
    <s v="192 Main St"/>
    <x v="4"/>
    <x v="1"/>
    <n v="5"/>
    <n v="837"/>
    <n v="291255"/>
    <n v="347.97491039426524"/>
  </r>
  <r>
    <x v="1921"/>
    <s v="May"/>
    <x v="2"/>
    <s v="862 Elm St"/>
    <x v="1"/>
    <x v="1"/>
    <n v="4"/>
    <n v="2481"/>
    <n v="818358"/>
    <n v="329.85006045949211"/>
  </r>
  <r>
    <x v="1374"/>
    <s v="Nov"/>
    <x v="7"/>
    <s v="589 Main St"/>
    <x v="6"/>
    <x v="3"/>
    <n v="5"/>
    <n v="1270"/>
    <n v="118039"/>
    <n v="92.944094488188981"/>
  </r>
  <r>
    <x v="3395"/>
    <s v="Dec"/>
    <x v="6"/>
    <s v="642 Oak St"/>
    <x v="4"/>
    <x v="2"/>
    <n v="5"/>
    <n v="2159"/>
    <n v="512236"/>
    <n v="237.25613710050951"/>
  </r>
  <r>
    <x v="1763"/>
    <s v="Jul"/>
    <x v="1"/>
    <s v="830 Elm St"/>
    <x v="3"/>
    <x v="3"/>
    <n v="5"/>
    <n v="2701"/>
    <n v="133002"/>
    <n v="49.24176231025546"/>
  </r>
  <r>
    <x v="3396"/>
    <s v="Dec"/>
    <x v="10"/>
    <s v="629 Oak St"/>
    <x v="4"/>
    <x v="2"/>
    <n v="2"/>
    <n v="1779"/>
    <n v="827865"/>
    <n v="465.35413153457"/>
  </r>
  <r>
    <x v="3397"/>
    <s v="Oct"/>
    <x v="7"/>
    <s v="492 Elm St"/>
    <x v="4"/>
    <x v="3"/>
    <n v="5"/>
    <n v="3408"/>
    <n v="739028"/>
    <n v="216.85093896713616"/>
  </r>
  <r>
    <x v="2352"/>
    <s v="Apr"/>
    <x v="4"/>
    <s v="481 Maple Ave"/>
    <x v="2"/>
    <x v="3"/>
    <n v="5"/>
    <n v="1072"/>
    <n v="721785"/>
    <n v="673.30690298507466"/>
  </r>
  <r>
    <x v="2563"/>
    <s v="Sep"/>
    <x v="2"/>
    <s v="564 Pine Rd"/>
    <x v="4"/>
    <x v="2"/>
    <m/>
    <n v="1113"/>
    <n v="790890"/>
    <n v="710.59299191374669"/>
  </r>
  <r>
    <x v="3398"/>
    <s v="Dec"/>
    <x v="7"/>
    <s v="521 Main St"/>
    <x v="3"/>
    <x v="2"/>
    <n v="3"/>
    <n v="3256"/>
    <n v="523602"/>
    <n v="160.81142506142507"/>
  </r>
  <r>
    <x v="3399"/>
    <s v="Jul"/>
    <x v="7"/>
    <s v="666 Maple Ave"/>
    <x v="0"/>
    <x v="3"/>
    <m/>
    <n v="2163"/>
    <n v="898025"/>
    <n v="415.17568192325473"/>
  </r>
  <r>
    <x v="1810"/>
    <s v="Jun"/>
    <x v="15"/>
    <s v="220 Oak St"/>
    <x v="6"/>
    <x v="3"/>
    <m/>
    <n v="2247"/>
    <n v="432153"/>
    <n v="192.32443257676903"/>
  </r>
  <r>
    <x v="3026"/>
    <s v="Mar"/>
    <x v="19"/>
    <s v="172 Elm St"/>
    <x v="4"/>
    <x v="2"/>
    <m/>
    <n v="1908"/>
    <n v="849732"/>
    <n v="445.35220125786162"/>
  </r>
  <r>
    <x v="1976"/>
    <s v="Sep"/>
    <x v="15"/>
    <s v="228 Main St"/>
    <x v="4"/>
    <x v="0"/>
    <m/>
    <n v="1770"/>
    <n v="718791"/>
    <n v="406.0966101694915"/>
  </r>
  <r>
    <x v="3400"/>
    <s v="Feb"/>
    <x v="9"/>
    <s v="525 Elm St"/>
    <x v="4"/>
    <x v="2"/>
    <m/>
    <n v="2681"/>
    <n v="439293"/>
    <n v="163.85415889593435"/>
  </r>
  <r>
    <x v="1722"/>
    <s v="Dec"/>
    <x v="7"/>
    <s v="573 Elm St"/>
    <x v="5"/>
    <x v="3"/>
    <n v="4"/>
    <n v="2704"/>
    <n v="593672"/>
    <n v="219.55325443786981"/>
  </r>
  <r>
    <x v="3401"/>
    <s v="Dec"/>
    <x v="10"/>
    <s v="961 Oak St"/>
    <x v="0"/>
    <x v="1"/>
    <m/>
    <n v="1068"/>
    <n v="704385"/>
    <n v="659.53651685393254"/>
  </r>
  <r>
    <x v="2367"/>
    <s v="Oct"/>
    <x v="19"/>
    <s v="205 Pine Rd"/>
    <x v="1"/>
    <x v="3"/>
    <n v="2"/>
    <n v="1858"/>
    <n v="508685"/>
    <n v="273.78094725511301"/>
  </r>
  <r>
    <x v="3402"/>
    <s v="Feb"/>
    <x v="10"/>
    <s v="902 Oak St"/>
    <x v="6"/>
    <x v="2"/>
    <n v="2"/>
    <n v="1536"/>
    <n v="322285"/>
    <n v="209.82096354166666"/>
  </r>
  <r>
    <x v="3403"/>
    <s v="May"/>
    <x v="11"/>
    <s v="106 Pine Rd"/>
    <x v="6"/>
    <x v="2"/>
    <n v="4"/>
    <n v="3115"/>
    <n v="626806"/>
    <n v="201.22182985553772"/>
  </r>
  <r>
    <x v="3404"/>
    <s v="Dec"/>
    <x v="6"/>
    <s v="127 Elm St"/>
    <x v="6"/>
    <x v="0"/>
    <n v="2"/>
    <n v="2419"/>
    <n v="852441"/>
    <n v="352.39396444811905"/>
  </r>
  <r>
    <x v="3405"/>
    <s v="Jan"/>
    <x v="5"/>
    <s v="625 Main St"/>
    <x v="0"/>
    <x v="3"/>
    <n v="2"/>
    <n v="1971"/>
    <n v="868956"/>
    <n v="440.87062404870625"/>
  </r>
  <r>
    <x v="3406"/>
    <s v="Oct"/>
    <x v="2"/>
    <s v="674 Main St"/>
    <x v="2"/>
    <x v="2"/>
    <m/>
    <n v="3190"/>
    <n v="872995"/>
    <n v="273.66614420062695"/>
  </r>
  <r>
    <x v="3407"/>
    <s v="Jul"/>
    <x v="10"/>
    <s v="222 Pine Rd"/>
    <x v="0"/>
    <x v="3"/>
    <n v="3"/>
    <n v="3169"/>
    <n v="225290"/>
    <n v="71.091827074787005"/>
  </r>
  <r>
    <x v="3408"/>
    <s v="Oct"/>
    <x v="3"/>
    <s v="276 Main St"/>
    <x v="4"/>
    <x v="1"/>
    <m/>
    <n v="1908"/>
    <n v="138157"/>
    <n v="72.40932914046121"/>
  </r>
  <r>
    <x v="3263"/>
    <s v="Sep"/>
    <x v="14"/>
    <s v="912 Maple Ave"/>
    <x v="0"/>
    <x v="2"/>
    <m/>
    <n v="3079"/>
    <n v="769615"/>
    <n v="249.95615459564794"/>
  </r>
  <r>
    <x v="3409"/>
    <s v="Jun"/>
    <x v="5"/>
    <s v="275 Maple Ave"/>
    <x v="3"/>
    <x v="2"/>
    <n v="4"/>
    <n v="1794"/>
    <n v="742517"/>
    <n v="413.88907469342251"/>
  </r>
  <r>
    <x v="3410"/>
    <s v="May"/>
    <x v="15"/>
    <s v="394 Main St"/>
    <x v="0"/>
    <x v="1"/>
    <n v="3"/>
    <n v="941"/>
    <n v="701620"/>
    <n v="745.61105207226353"/>
  </r>
  <r>
    <x v="3411"/>
    <s v="May"/>
    <x v="14"/>
    <s v="276 Oak St"/>
    <x v="6"/>
    <x v="1"/>
    <n v="4"/>
    <n v="3076"/>
    <n v="107191"/>
    <n v="34.847529258777634"/>
  </r>
  <r>
    <x v="3003"/>
    <s v="Jan"/>
    <x v="5"/>
    <s v="577 Maple Ave"/>
    <x v="4"/>
    <x v="1"/>
    <m/>
    <n v="2260"/>
    <n v="671057"/>
    <n v="296.92787610619467"/>
  </r>
  <r>
    <x v="1601"/>
    <s v="Jan"/>
    <x v="16"/>
    <s v="399 Elm St"/>
    <x v="4"/>
    <x v="2"/>
    <n v="4"/>
    <n v="1475"/>
    <n v="296886"/>
    <n v="201.27864406779662"/>
  </r>
  <r>
    <x v="3412"/>
    <s v="Aug"/>
    <x v="15"/>
    <s v="159 Pine Rd"/>
    <x v="3"/>
    <x v="1"/>
    <n v="5"/>
    <n v="2974"/>
    <n v="767850"/>
    <n v="258.18762609280429"/>
  </r>
  <r>
    <x v="3413"/>
    <s v="Jun"/>
    <x v="0"/>
    <s v="773 Elm St"/>
    <x v="6"/>
    <x v="1"/>
    <n v="2"/>
    <n v="2755"/>
    <n v="655512"/>
    <n v="237.93539019963703"/>
  </r>
  <r>
    <x v="470"/>
    <s v="Oct"/>
    <x v="16"/>
    <s v="264 Oak St"/>
    <x v="5"/>
    <x v="1"/>
    <m/>
    <n v="948"/>
    <n v="101100"/>
    <n v="106.64556962025317"/>
  </r>
  <r>
    <x v="3414"/>
    <s v="Mar"/>
    <x v="9"/>
    <s v="175 Main St"/>
    <x v="5"/>
    <x v="0"/>
    <n v="4"/>
    <n v="1767"/>
    <n v="261400"/>
    <n v="147.93435200905489"/>
  </r>
  <r>
    <x v="3415"/>
    <s v="Mar"/>
    <x v="13"/>
    <s v="958 Elm St"/>
    <x v="0"/>
    <x v="2"/>
    <n v="2"/>
    <n v="1629"/>
    <n v="212012"/>
    <n v="130.14855739717618"/>
  </r>
  <r>
    <x v="3416"/>
    <s v="Sep"/>
    <x v="4"/>
    <s v="166 Pine Rd"/>
    <x v="5"/>
    <x v="3"/>
    <m/>
    <n v="2438"/>
    <m/>
    <n v="0"/>
  </r>
  <r>
    <x v="3417"/>
    <s v="May"/>
    <x v="16"/>
    <s v="290 Elm St"/>
    <x v="1"/>
    <x v="0"/>
    <n v="5"/>
    <n v="2764"/>
    <n v="451715"/>
    <n v="163.42800289435601"/>
  </r>
  <r>
    <x v="3418"/>
    <s v="Feb"/>
    <x v="9"/>
    <s v="499 Oak St"/>
    <x v="5"/>
    <x v="3"/>
    <n v="4"/>
    <n v="2473"/>
    <n v="595527"/>
    <n v="240.81156490093005"/>
  </r>
  <r>
    <x v="3419"/>
    <s v="Oct"/>
    <x v="11"/>
    <s v="775 Main St"/>
    <x v="5"/>
    <x v="3"/>
    <n v="4"/>
    <n v="1016"/>
    <n v="591264"/>
    <n v="581.95275590551182"/>
  </r>
  <r>
    <x v="1669"/>
    <s v="Dec"/>
    <x v="11"/>
    <s v="441 Elm St"/>
    <x v="4"/>
    <x v="0"/>
    <n v="4"/>
    <n v="3431"/>
    <n v="126203"/>
    <n v="36.783153599533662"/>
  </r>
  <r>
    <x v="3404"/>
    <s v="Dec"/>
    <x v="6"/>
    <s v="203 Elm St"/>
    <x v="3"/>
    <x v="3"/>
    <n v="2"/>
    <n v="2685"/>
    <n v="689193"/>
    <n v="256.6826815642458"/>
  </r>
  <r>
    <x v="753"/>
    <s v="Feb"/>
    <x v="8"/>
    <s v="734 Maple Ave"/>
    <x v="1"/>
    <x v="3"/>
    <n v="5"/>
    <n v="919"/>
    <n v="680714"/>
    <n v="740.71164309031553"/>
  </r>
  <r>
    <x v="3420"/>
    <s v="Nov"/>
    <x v="7"/>
    <s v="223 Pine Rd"/>
    <x v="0"/>
    <x v="0"/>
    <m/>
    <n v="1761"/>
    <n v="696751"/>
    <n v="395.65644520159003"/>
  </r>
  <r>
    <x v="1209"/>
    <s v="Mar"/>
    <x v="18"/>
    <s v="881 Main St"/>
    <x v="6"/>
    <x v="1"/>
    <n v="4"/>
    <n v="2597"/>
    <n v="433500"/>
    <n v="166.92337312283405"/>
  </r>
  <r>
    <x v="3421"/>
    <s v="Sep"/>
    <x v="13"/>
    <s v="924 Maple Ave"/>
    <x v="4"/>
    <x v="3"/>
    <n v="2"/>
    <n v="1864"/>
    <n v="595862"/>
    <n v="319.66845493562232"/>
  </r>
  <r>
    <x v="1510"/>
    <s v="Jul"/>
    <x v="14"/>
    <s v="937 Maple Ave"/>
    <x v="1"/>
    <x v="2"/>
    <m/>
    <n v="2869"/>
    <n v="382254"/>
    <n v="133.23597072150574"/>
  </r>
  <r>
    <x v="1604"/>
    <s v="May"/>
    <x v="8"/>
    <s v="434 Main St"/>
    <x v="3"/>
    <x v="0"/>
    <n v="3"/>
    <n v="2093"/>
    <n v="259573"/>
    <n v="124.01958910654562"/>
  </r>
  <r>
    <x v="3422"/>
    <s v="May"/>
    <x v="10"/>
    <s v="472 Pine Rd"/>
    <x v="3"/>
    <x v="1"/>
    <m/>
    <n v="2181"/>
    <n v="864012"/>
    <n v="396.15405777166438"/>
  </r>
  <r>
    <x v="3423"/>
    <s v="Jun"/>
    <x v="12"/>
    <s v="901 Main St"/>
    <x v="6"/>
    <x v="3"/>
    <m/>
    <n v="2701"/>
    <n v="471522"/>
    <n v="174.57312106627174"/>
  </r>
  <r>
    <x v="1035"/>
    <s v="Jan"/>
    <x v="9"/>
    <s v="353 Pine Rd"/>
    <x v="4"/>
    <x v="1"/>
    <m/>
    <n v="2962"/>
    <n v="280239"/>
    <n v="94.611411208642807"/>
  </r>
  <r>
    <x v="3424"/>
    <s v="Oct"/>
    <x v="7"/>
    <s v="394 Maple Ave"/>
    <x v="2"/>
    <x v="2"/>
    <n v="4"/>
    <n v="2434"/>
    <n v="339070"/>
    <n v="139.30566967953985"/>
  </r>
  <r>
    <x v="3425"/>
    <s v="Dec"/>
    <x v="9"/>
    <s v="650 Pine Rd"/>
    <x v="6"/>
    <x v="3"/>
    <n v="3"/>
    <n v="1534"/>
    <n v="472809"/>
    <n v="308.21968709256845"/>
  </r>
  <r>
    <x v="3426"/>
    <s v="May"/>
    <x v="13"/>
    <s v="950 Elm St"/>
    <x v="3"/>
    <x v="1"/>
    <n v="3"/>
    <n v="3272"/>
    <n v="694787"/>
    <n v="212.34321515892421"/>
  </r>
  <r>
    <x v="2561"/>
    <s v="Sep"/>
    <x v="19"/>
    <s v="381 Elm St"/>
    <x v="0"/>
    <x v="3"/>
    <m/>
    <n v="1823"/>
    <n v="625807"/>
    <n v="343.28414701042237"/>
  </r>
  <r>
    <x v="3427"/>
    <s v="Jul"/>
    <x v="18"/>
    <s v="803 Maple Ave"/>
    <x v="3"/>
    <x v="2"/>
    <m/>
    <n v="2915"/>
    <n v="791007"/>
    <n v="271.35746140651798"/>
  </r>
  <r>
    <x v="2137"/>
    <s v="May"/>
    <x v="12"/>
    <s v="225 Maple Ave"/>
    <x v="4"/>
    <x v="2"/>
    <m/>
    <n v="2911"/>
    <n v="470232"/>
    <n v="161.53624184129166"/>
  </r>
  <r>
    <x v="3428"/>
    <s v="Mar"/>
    <x v="13"/>
    <s v="692 Elm St"/>
    <x v="3"/>
    <x v="3"/>
    <n v="4"/>
    <n v="1186"/>
    <n v="736212"/>
    <n v="620.75210792580106"/>
  </r>
  <r>
    <x v="3429"/>
    <s v="Jun"/>
    <x v="7"/>
    <s v="616 Pine Rd"/>
    <x v="5"/>
    <x v="2"/>
    <n v="2"/>
    <n v="2772"/>
    <n v="136933"/>
    <n v="49.398629148629148"/>
  </r>
  <r>
    <x v="3038"/>
    <s v="Sep"/>
    <x v="18"/>
    <s v="506 Elm St"/>
    <x v="6"/>
    <x v="0"/>
    <n v="5"/>
    <n v="1268"/>
    <n v="605415"/>
    <n v="477.45662460567826"/>
  </r>
  <r>
    <x v="3158"/>
    <s v="Sep"/>
    <x v="11"/>
    <s v="220 Pine Rd"/>
    <x v="1"/>
    <x v="3"/>
    <n v="4"/>
    <n v="3094"/>
    <n v="392134"/>
    <n v="126.74014221073044"/>
  </r>
  <r>
    <x v="1043"/>
    <s v="Dec"/>
    <x v="4"/>
    <s v="572 Main St"/>
    <x v="4"/>
    <x v="2"/>
    <n v="3"/>
    <n v="2466"/>
    <n v="330989"/>
    <n v="134.22100567721006"/>
  </r>
  <r>
    <x v="3430"/>
    <s v="Dec"/>
    <x v="0"/>
    <s v="861 Oak St"/>
    <x v="4"/>
    <x v="2"/>
    <n v="3"/>
    <n v="3434"/>
    <n v="269291"/>
    <n v="78.419044845661034"/>
  </r>
  <r>
    <x v="3431"/>
    <s v="May"/>
    <x v="7"/>
    <s v="264 Main St"/>
    <x v="6"/>
    <x v="3"/>
    <m/>
    <n v="3076"/>
    <n v="577410"/>
    <n v="187.71456436931081"/>
  </r>
  <r>
    <x v="2688"/>
    <s v="Jul"/>
    <x v="8"/>
    <s v="934 Main St"/>
    <x v="4"/>
    <x v="2"/>
    <n v="3"/>
    <n v="3171"/>
    <n v="610813"/>
    <n v="192.62472406181016"/>
  </r>
  <r>
    <x v="541"/>
    <s v="Mar"/>
    <x v="8"/>
    <s v="589 Elm St"/>
    <x v="4"/>
    <x v="3"/>
    <m/>
    <n v="3177"/>
    <n v="672096"/>
    <n v="211.55051935788481"/>
  </r>
  <r>
    <x v="886"/>
    <s v="Jan"/>
    <x v="1"/>
    <s v="722 Oak St"/>
    <x v="1"/>
    <x v="3"/>
    <n v="5"/>
    <n v="2009"/>
    <n v="623286"/>
    <n v="310.24688899950223"/>
  </r>
  <r>
    <x v="3432"/>
    <s v="Oct"/>
    <x v="6"/>
    <s v="184 Elm St"/>
    <x v="2"/>
    <x v="3"/>
    <n v="4"/>
    <n v="2912"/>
    <n v="773204"/>
    <n v="265.52335164835165"/>
  </r>
  <r>
    <x v="3433"/>
    <s v="Feb"/>
    <x v="5"/>
    <s v="744 Oak St"/>
    <x v="0"/>
    <x v="0"/>
    <m/>
    <n v="3330"/>
    <n v="704340"/>
    <n v="211.51351351351352"/>
  </r>
  <r>
    <x v="3321"/>
    <s v="Aug"/>
    <x v="13"/>
    <s v="431 Main St"/>
    <x v="4"/>
    <x v="3"/>
    <n v="4"/>
    <n v="2934"/>
    <n v="730074"/>
    <n v="248.83231083844581"/>
  </r>
  <r>
    <x v="2926"/>
    <s v="Jun"/>
    <x v="12"/>
    <s v="473 Maple Ave"/>
    <x v="4"/>
    <x v="2"/>
    <n v="3"/>
    <n v="2648"/>
    <n v="548674"/>
    <n v="207.20317220543808"/>
  </r>
  <r>
    <x v="3434"/>
    <s v="Jan"/>
    <x v="8"/>
    <s v="990 Oak St"/>
    <x v="0"/>
    <x v="0"/>
    <n v="4"/>
    <n v="3228"/>
    <n v="171842"/>
    <n v="53.234820322180916"/>
  </r>
  <r>
    <x v="3435"/>
    <s v="Jun"/>
    <x v="6"/>
    <s v="773 Maple Ave"/>
    <x v="4"/>
    <x v="0"/>
    <m/>
    <n v="1920"/>
    <n v="681415"/>
    <n v="354.90364583333331"/>
  </r>
  <r>
    <x v="78"/>
    <s v="Apr"/>
    <x v="8"/>
    <s v="446 Elm St"/>
    <x v="6"/>
    <x v="3"/>
    <m/>
    <n v="2267"/>
    <n v="233660"/>
    <n v="103.07013674459638"/>
  </r>
  <r>
    <x v="3436"/>
    <s v="Aug"/>
    <x v="6"/>
    <s v="384 Main St"/>
    <x v="4"/>
    <x v="1"/>
    <n v="3"/>
    <n v="2918"/>
    <n v="145149"/>
    <n v="49.742631939684713"/>
  </r>
  <r>
    <x v="2198"/>
    <s v="Nov"/>
    <x v="11"/>
    <s v="599 Pine Rd"/>
    <x v="0"/>
    <x v="3"/>
    <m/>
    <n v="1346"/>
    <n v="104664"/>
    <n v="77.759286775631494"/>
  </r>
  <r>
    <x v="3437"/>
    <s v="Jul"/>
    <x v="10"/>
    <s v="447 Oak St"/>
    <x v="6"/>
    <x v="2"/>
    <m/>
    <n v="3273"/>
    <n v="420578"/>
    <n v="128.49923617476321"/>
  </r>
  <r>
    <x v="3438"/>
    <s v="Oct"/>
    <x v="17"/>
    <s v="255 Elm St"/>
    <x v="6"/>
    <x v="1"/>
    <n v="4"/>
    <n v="2672"/>
    <n v="721649"/>
    <n v="270.07821856287427"/>
  </r>
  <r>
    <x v="303"/>
    <s v="Apr"/>
    <x v="14"/>
    <s v="540 Oak St"/>
    <x v="3"/>
    <x v="2"/>
    <n v="5"/>
    <n v="1363"/>
    <n v="514842"/>
    <n v="377.72707263389583"/>
  </r>
  <r>
    <x v="3439"/>
    <s v="May"/>
    <x v="14"/>
    <s v="125 Pine Rd"/>
    <x v="5"/>
    <x v="3"/>
    <n v="4"/>
    <n v="2445"/>
    <n v="518907"/>
    <n v="212.23190184049079"/>
  </r>
  <r>
    <x v="2857"/>
    <s v="Apr"/>
    <x v="16"/>
    <s v="219 Maple Ave"/>
    <x v="0"/>
    <x v="3"/>
    <n v="3"/>
    <n v="1286"/>
    <n v="244873"/>
    <n v="190.41446345256611"/>
  </r>
  <r>
    <x v="574"/>
    <s v="Mar"/>
    <x v="19"/>
    <s v="239 Elm St"/>
    <x v="6"/>
    <x v="1"/>
    <n v="4"/>
    <n v="2019"/>
    <n v="374961"/>
    <n v="185.71619613670134"/>
  </r>
  <r>
    <x v="3440"/>
    <s v="Aug"/>
    <x v="12"/>
    <s v="352 Oak St"/>
    <x v="0"/>
    <x v="2"/>
    <m/>
    <n v="2275"/>
    <n v="721611"/>
    <n v="317.19164835164833"/>
  </r>
  <r>
    <x v="3441"/>
    <s v="Oct"/>
    <x v="3"/>
    <s v="126 Main St"/>
    <x v="1"/>
    <x v="3"/>
    <n v="3"/>
    <n v="2216"/>
    <n v="125062"/>
    <n v="56.435920577617331"/>
  </r>
  <r>
    <x v="680"/>
    <s v="Aug"/>
    <x v="14"/>
    <s v="727 Elm St"/>
    <x v="4"/>
    <x v="3"/>
    <m/>
    <n v="2080"/>
    <n v="721804"/>
    <n v="347.02115384615382"/>
  </r>
  <r>
    <x v="3442"/>
    <s v="Nov"/>
    <x v="6"/>
    <s v="492 Oak St"/>
    <x v="0"/>
    <x v="1"/>
    <n v="4"/>
    <n v="3231"/>
    <n v="381281"/>
    <n v="118.00711853915196"/>
  </r>
  <r>
    <x v="2079"/>
    <s v="Apr"/>
    <x v="17"/>
    <s v="621 Elm St"/>
    <x v="1"/>
    <x v="3"/>
    <n v="2"/>
    <n v="2214"/>
    <n v="368669"/>
    <n v="166.51716350496838"/>
  </r>
  <r>
    <x v="1580"/>
    <s v="Sep"/>
    <x v="8"/>
    <s v="223 Oak St"/>
    <x v="4"/>
    <x v="1"/>
    <m/>
    <n v="1830"/>
    <n v="823840"/>
    <n v="450.1857923497268"/>
  </r>
  <r>
    <x v="1414"/>
    <s v="Apr"/>
    <x v="12"/>
    <s v="715 Pine Rd"/>
    <x v="3"/>
    <x v="3"/>
    <m/>
    <n v="2271"/>
    <n v="271776"/>
    <n v="119.67239101717306"/>
  </r>
  <r>
    <x v="2271"/>
    <s v="Apr"/>
    <x v="5"/>
    <s v="275 Oak St"/>
    <x v="6"/>
    <x v="0"/>
    <n v="3"/>
    <n v="1325"/>
    <n v="400057"/>
    <n v="301.92981132075471"/>
  </r>
  <r>
    <x v="3443"/>
    <s v="Apr"/>
    <x v="12"/>
    <s v="176 Oak St"/>
    <x v="0"/>
    <x v="1"/>
    <m/>
    <n v="1265"/>
    <n v="523374"/>
    <n v="413.73438735177865"/>
  </r>
  <r>
    <x v="1880"/>
    <s v="Mar"/>
    <x v="16"/>
    <s v="412 Main St"/>
    <x v="4"/>
    <x v="3"/>
    <n v="5"/>
    <n v="2405"/>
    <n v="334086"/>
    <n v="138.91309771309773"/>
  </r>
  <r>
    <x v="3033"/>
    <s v="May"/>
    <x v="17"/>
    <s v="659 Maple Ave"/>
    <x v="6"/>
    <x v="3"/>
    <n v="4"/>
    <n v="887"/>
    <n v="488451"/>
    <n v="550.67756482525363"/>
  </r>
  <r>
    <x v="2968"/>
    <s v="Jun"/>
    <x v="3"/>
    <s v="885 Maple Ave"/>
    <x v="5"/>
    <x v="2"/>
    <n v="3"/>
    <n v="2287"/>
    <n v="431478"/>
    <n v="188.66550065588106"/>
  </r>
  <r>
    <x v="1958"/>
    <s v="Jan"/>
    <x v="4"/>
    <s v="252 Pine Rd"/>
    <x v="6"/>
    <x v="2"/>
    <m/>
    <n v="2796"/>
    <n v="743483"/>
    <n v="265.90951359084409"/>
  </r>
  <r>
    <x v="941"/>
    <s v="May"/>
    <x v="7"/>
    <s v="172 Main St"/>
    <x v="4"/>
    <x v="1"/>
    <n v="5"/>
    <n v="2037"/>
    <n v="212030"/>
    <n v="104.08934707903781"/>
  </r>
  <r>
    <x v="3059"/>
    <s v="May"/>
    <x v="12"/>
    <s v="447 Oak St"/>
    <x v="4"/>
    <x v="2"/>
    <n v="3"/>
    <n v="3267"/>
    <n v="705967"/>
    <n v="216.09029690847873"/>
  </r>
  <r>
    <x v="2483"/>
    <s v="Apr"/>
    <x v="17"/>
    <s v="439 Oak St"/>
    <x v="6"/>
    <x v="1"/>
    <n v="3"/>
    <n v="2922"/>
    <n v="646610"/>
    <n v="221.29021218343601"/>
  </r>
  <r>
    <x v="3444"/>
    <s v="Jan"/>
    <x v="18"/>
    <s v="994 Oak St"/>
    <x v="6"/>
    <x v="0"/>
    <n v="5"/>
    <n v="2548"/>
    <n v="667772"/>
    <n v="262.07692307692309"/>
  </r>
  <r>
    <x v="1965"/>
    <s v="Jul"/>
    <x v="18"/>
    <s v="820 Pine Rd"/>
    <x v="3"/>
    <x v="0"/>
    <n v="3"/>
    <n v="2433"/>
    <n v="821424"/>
    <n v="337.61775585696671"/>
  </r>
  <r>
    <x v="413"/>
    <s v="Apr"/>
    <x v="12"/>
    <s v="164 Pine Rd"/>
    <x v="2"/>
    <x v="3"/>
    <n v="4"/>
    <n v="3228"/>
    <n v="860801"/>
    <n v="266.66697645600993"/>
  </r>
  <r>
    <x v="3445"/>
    <s v="Jul"/>
    <x v="6"/>
    <s v="663 Main St"/>
    <x v="0"/>
    <x v="2"/>
    <m/>
    <n v="3039"/>
    <n v="752613"/>
    <n v="247.65153010858836"/>
  </r>
  <r>
    <x v="1704"/>
    <s v="Nov"/>
    <x v="6"/>
    <s v="276 Maple Ave"/>
    <x v="1"/>
    <x v="0"/>
    <m/>
    <n v="1333"/>
    <n v="483707"/>
    <n v="362.87096774193549"/>
  </r>
  <r>
    <x v="3446"/>
    <s v="Sep"/>
    <x v="9"/>
    <s v="960 Main St"/>
    <x v="4"/>
    <x v="3"/>
    <n v="2"/>
    <n v="2740"/>
    <n v="143259"/>
    <n v="52.284306569343066"/>
  </r>
  <r>
    <x v="3447"/>
    <s v="Oct"/>
    <x v="7"/>
    <s v="709 Pine Rd"/>
    <x v="5"/>
    <x v="2"/>
    <n v="4"/>
    <n v="3373"/>
    <n v="756267"/>
    <n v="224.21197746812925"/>
  </r>
  <r>
    <x v="1573"/>
    <s v="Dec"/>
    <x v="6"/>
    <s v="964 Main St"/>
    <x v="4"/>
    <x v="1"/>
    <n v="4"/>
    <n v="1859"/>
    <n v="712064"/>
    <n v="383.03604088219475"/>
  </r>
  <r>
    <x v="2718"/>
    <s v="Sep"/>
    <x v="10"/>
    <s v="237 Main St"/>
    <x v="0"/>
    <x v="2"/>
    <n v="3"/>
    <n v="1086"/>
    <n v="509298"/>
    <n v="468.96685082872926"/>
  </r>
  <r>
    <x v="3448"/>
    <s v="Jun"/>
    <x v="16"/>
    <s v="684 Maple Ave"/>
    <x v="6"/>
    <x v="3"/>
    <n v="3"/>
    <n v="1338"/>
    <n v="819867"/>
    <n v="612.75560538116588"/>
  </r>
  <r>
    <x v="3449"/>
    <s v="Feb"/>
    <x v="5"/>
    <s v="562 Maple Ave"/>
    <x v="4"/>
    <x v="0"/>
    <n v="5"/>
    <n v="1791"/>
    <n v="108708"/>
    <n v="60.696817420435508"/>
  </r>
  <r>
    <x v="1948"/>
    <s v="Mar"/>
    <x v="13"/>
    <s v="378 Maple Ave"/>
    <x v="0"/>
    <x v="0"/>
    <m/>
    <n v="1123"/>
    <n v="699441"/>
    <n v="622.83259127337487"/>
  </r>
  <r>
    <x v="3450"/>
    <s v="Sep"/>
    <x v="9"/>
    <s v="846 Maple Ave"/>
    <x v="4"/>
    <x v="3"/>
    <n v="2"/>
    <n v="3491"/>
    <n v="724388"/>
    <n v="207.50157547980521"/>
  </r>
  <r>
    <x v="3451"/>
    <s v="Oct"/>
    <x v="18"/>
    <s v="110 Main St"/>
    <x v="4"/>
    <x v="3"/>
    <n v="3"/>
    <n v="2755"/>
    <n v="191982"/>
    <n v="69.684936479128851"/>
  </r>
  <r>
    <x v="3452"/>
    <s v="Jun"/>
    <x v="1"/>
    <s v="437 Elm St"/>
    <x v="4"/>
    <x v="3"/>
    <n v="5"/>
    <n v="2256"/>
    <n v="415049"/>
    <n v="183.9756205673759"/>
  </r>
  <r>
    <x v="3453"/>
    <s v="Oct"/>
    <x v="2"/>
    <s v="493 Main St"/>
    <x v="6"/>
    <x v="2"/>
    <n v="5"/>
    <n v="3304"/>
    <n v="160565"/>
    <n v="48.597154963680389"/>
  </r>
  <r>
    <x v="2028"/>
    <s v="Aug"/>
    <x v="11"/>
    <s v="340 Pine Rd"/>
    <x v="2"/>
    <x v="1"/>
    <n v="2"/>
    <n v="3371"/>
    <n v="495913"/>
    <n v="147.11153960249183"/>
  </r>
  <r>
    <x v="590"/>
    <s v="Aug"/>
    <x v="18"/>
    <s v="604 Main St"/>
    <x v="5"/>
    <x v="3"/>
    <m/>
    <n v="2429"/>
    <n v="700102"/>
    <n v="288.22643062988885"/>
  </r>
  <r>
    <x v="3055"/>
    <s v="Mar"/>
    <x v="19"/>
    <s v="147 Main St"/>
    <x v="6"/>
    <x v="2"/>
    <n v="3"/>
    <n v="1169"/>
    <n v="721645"/>
    <n v="617.31822070145427"/>
  </r>
  <r>
    <x v="588"/>
    <s v="Apr"/>
    <x v="7"/>
    <s v="837 Maple Ave"/>
    <x v="4"/>
    <x v="0"/>
    <n v="5"/>
    <n v="1466"/>
    <n v="198610"/>
    <n v="135.4774897680764"/>
  </r>
  <r>
    <x v="3454"/>
    <s v="Sep"/>
    <x v="9"/>
    <s v="534 Maple Ave"/>
    <x v="0"/>
    <x v="2"/>
    <n v="2"/>
    <n v="2281"/>
    <n v="778001"/>
    <n v="341.07891275756248"/>
  </r>
  <r>
    <x v="3455"/>
    <s v="Mar"/>
    <x v="12"/>
    <s v="752 Maple Ave"/>
    <x v="0"/>
    <x v="0"/>
    <m/>
    <n v="3084"/>
    <n v="100065"/>
    <n v="32.446498054474709"/>
  </r>
  <r>
    <x v="1741"/>
    <s v="Jul"/>
    <x v="10"/>
    <s v="301 Main St"/>
    <x v="6"/>
    <x v="2"/>
    <m/>
    <n v="1982"/>
    <n v="440318"/>
    <n v="222.15842583249244"/>
  </r>
  <r>
    <x v="3456"/>
    <s v="Oct"/>
    <x v="6"/>
    <s v="667 Oak St"/>
    <x v="0"/>
    <x v="3"/>
    <n v="4"/>
    <n v="869"/>
    <n v="590992"/>
    <n v="680.08285385500574"/>
  </r>
  <r>
    <x v="534"/>
    <s v="Sep"/>
    <x v="10"/>
    <s v="119 Oak St"/>
    <x v="6"/>
    <x v="3"/>
    <n v="2"/>
    <n v="1289"/>
    <n v="309107"/>
    <n v="239.80372381691234"/>
  </r>
  <r>
    <x v="1111"/>
    <s v="May"/>
    <x v="14"/>
    <s v="398 Maple Ave"/>
    <x v="2"/>
    <x v="3"/>
    <n v="2"/>
    <n v="1579"/>
    <n v="572858"/>
    <n v="362.79797340088663"/>
  </r>
  <r>
    <x v="708"/>
    <s v="Feb"/>
    <x v="1"/>
    <s v="276 Maple Ave"/>
    <x v="2"/>
    <x v="0"/>
    <m/>
    <n v="3451"/>
    <n v="666577"/>
    <n v="193.15473775717183"/>
  </r>
  <r>
    <x v="111"/>
    <s v="Oct"/>
    <x v="1"/>
    <s v="878 Oak St"/>
    <x v="6"/>
    <x v="3"/>
    <m/>
    <n v="2634"/>
    <n v="481729"/>
    <n v="182.88876233864843"/>
  </r>
  <r>
    <x v="3112"/>
    <s v="Jan"/>
    <x v="16"/>
    <s v="657 Main St"/>
    <x v="2"/>
    <x v="2"/>
    <n v="5"/>
    <n v="863"/>
    <n v="140360"/>
    <n v="162.64194669756662"/>
  </r>
  <r>
    <x v="3457"/>
    <s v="Jul"/>
    <x v="0"/>
    <s v="578 Elm St"/>
    <x v="0"/>
    <x v="2"/>
    <n v="4"/>
    <n v="3422"/>
    <m/>
    <n v="0"/>
  </r>
  <r>
    <x v="2089"/>
    <s v="Aug"/>
    <x v="5"/>
    <s v="890 Maple Ave"/>
    <x v="1"/>
    <x v="3"/>
    <n v="3"/>
    <n v="860"/>
    <n v="307868"/>
    <n v="357.98604651162793"/>
  </r>
  <r>
    <x v="3458"/>
    <s v="Nov"/>
    <x v="12"/>
    <s v="409 Maple Ave"/>
    <x v="4"/>
    <x v="0"/>
    <n v="5"/>
    <n v="1834"/>
    <n v="108805"/>
    <n v="59.326608505997818"/>
  </r>
  <r>
    <x v="497"/>
    <s v="May"/>
    <x v="4"/>
    <s v="504 Maple Ave"/>
    <x v="4"/>
    <x v="1"/>
    <n v="4"/>
    <n v="3198"/>
    <n v="269822"/>
    <n v="84.37210756722952"/>
  </r>
  <r>
    <x v="3062"/>
    <s v="Sep"/>
    <x v="14"/>
    <s v="890 Maple Ave"/>
    <x v="6"/>
    <x v="3"/>
    <n v="5"/>
    <n v="1091"/>
    <n v="865048"/>
    <n v="792.89459211732355"/>
  </r>
  <r>
    <x v="3459"/>
    <s v="May"/>
    <x v="10"/>
    <s v="471 Elm St"/>
    <x v="4"/>
    <x v="1"/>
    <n v="4"/>
    <n v="965"/>
    <n v="159312"/>
    <n v="165.09015544041452"/>
  </r>
  <r>
    <x v="2891"/>
    <s v="Sep"/>
    <x v="3"/>
    <s v="112 Maple Ave"/>
    <x v="4"/>
    <x v="0"/>
    <n v="5"/>
    <n v="2937"/>
    <n v="799435"/>
    <n v="272.19441607082058"/>
  </r>
  <r>
    <x v="1298"/>
    <s v="Aug"/>
    <x v="14"/>
    <s v="483 Elm St"/>
    <x v="5"/>
    <x v="0"/>
    <m/>
    <n v="843"/>
    <n v="297458"/>
    <n v="352.85646500593117"/>
  </r>
  <r>
    <x v="1816"/>
    <s v="Feb"/>
    <x v="2"/>
    <s v="662 Maple Ave"/>
    <x v="4"/>
    <x v="0"/>
    <n v="2"/>
    <n v="949"/>
    <n v="657624"/>
    <n v="692.9652265542677"/>
  </r>
  <r>
    <x v="1908"/>
    <s v="Aug"/>
    <x v="8"/>
    <s v="132 Elm St"/>
    <x v="3"/>
    <x v="1"/>
    <n v="5"/>
    <n v="1352"/>
    <n v="444973"/>
    <n v="329.12204142011836"/>
  </r>
  <r>
    <x v="2777"/>
    <s v="Jan"/>
    <x v="14"/>
    <s v="236 Main St"/>
    <x v="1"/>
    <x v="0"/>
    <m/>
    <n v="2657"/>
    <n v="796394"/>
    <n v="299.73428678961233"/>
  </r>
  <r>
    <x v="2211"/>
    <s v="Dec"/>
    <x v="17"/>
    <s v="561 Maple Ave"/>
    <x v="2"/>
    <x v="3"/>
    <m/>
    <n v="1531"/>
    <n v="620531"/>
    <n v="405.31090790333116"/>
  </r>
  <r>
    <x v="652"/>
    <s v="Oct"/>
    <x v="1"/>
    <s v="176 Oak St"/>
    <x v="4"/>
    <x v="0"/>
    <m/>
    <n v="1606"/>
    <n v="104214"/>
    <n v="64.890410958904113"/>
  </r>
  <r>
    <x v="3460"/>
    <s v="Aug"/>
    <x v="5"/>
    <s v="623 Maple Ave"/>
    <x v="1"/>
    <x v="0"/>
    <n v="4"/>
    <n v="1649"/>
    <n v="612584"/>
    <n v="371.48817465130384"/>
  </r>
  <r>
    <x v="72"/>
    <s v="May"/>
    <x v="18"/>
    <s v="663 Elm St"/>
    <x v="3"/>
    <x v="0"/>
    <n v="2"/>
    <n v="3137"/>
    <n v="759398"/>
    <n v="242.07778131973222"/>
  </r>
  <r>
    <x v="3319"/>
    <s v="Jul"/>
    <x v="2"/>
    <s v="620 Main St"/>
    <x v="3"/>
    <x v="0"/>
    <m/>
    <n v="2407"/>
    <n v="560097"/>
    <n v="232.69505608641464"/>
  </r>
  <r>
    <x v="3461"/>
    <s v="Feb"/>
    <x v="12"/>
    <s v="336 Main St"/>
    <x v="6"/>
    <x v="1"/>
    <n v="4"/>
    <n v="3054"/>
    <n v="454117"/>
    <n v="148.69580877537655"/>
  </r>
  <r>
    <x v="3462"/>
    <s v="Apr"/>
    <x v="5"/>
    <s v="622 Elm St"/>
    <x v="5"/>
    <x v="1"/>
    <m/>
    <n v="1134"/>
    <n v="442392"/>
    <n v="390.11640211640213"/>
  </r>
  <r>
    <x v="2165"/>
    <s v="Aug"/>
    <x v="2"/>
    <s v="897 Pine Rd"/>
    <x v="0"/>
    <x v="1"/>
    <n v="2"/>
    <n v="2553"/>
    <n v="320498"/>
    <n v="125.53779866823345"/>
  </r>
  <r>
    <x v="3463"/>
    <s v="Jun"/>
    <x v="4"/>
    <s v="668 Pine Rd"/>
    <x v="4"/>
    <x v="1"/>
    <n v="3"/>
    <n v="1583"/>
    <n v="273360"/>
    <n v="172.68477574226154"/>
  </r>
  <r>
    <x v="1661"/>
    <s v="Jan"/>
    <x v="8"/>
    <s v="430 Oak St"/>
    <x v="0"/>
    <x v="3"/>
    <m/>
    <n v="1651"/>
    <n v="627181"/>
    <n v="379.87946698970319"/>
  </r>
  <r>
    <x v="3464"/>
    <s v="May"/>
    <x v="2"/>
    <s v="720 Pine Rd"/>
    <x v="4"/>
    <x v="0"/>
    <n v="2"/>
    <n v="3405"/>
    <n v="379634"/>
    <n v="111.49309838472834"/>
  </r>
  <r>
    <x v="3465"/>
    <s v="Jan"/>
    <x v="1"/>
    <s v="471 Maple Ave"/>
    <x v="6"/>
    <x v="1"/>
    <m/>
    <n v="2107"/>
    <n v="390033"/>
    <n v="185.11295681063123"/>
  </r>
  <r>
    <x v="2798"/>
    <s v="Sep"/>
    <x v="15"/>
    <s v="929 Maple Ave"/>
    <x v="2"/>
    <x v="1"/>
    <m/>
    <n v="2840"/>
    <n v="763052"/>
    <n v="268.68028169014087"/>
  </r>
  <r>
    <x v="1745"/>
    <s v="Mar"/>
    <x v="18"/>
    <s v="432 Maple Ave"/>
    <x v="0"/>
    <x v="2"/>
    <m/>
    <n v="2703"/>
    <n v="434981"/>
    <n v="160.92526822049575"/>
  </r>
  <r>
    <x v="1450"/>
    <s v="Sep"/>
    <x v="16"/>
    <s v="247 Elm St"/>
    <x v="0"/>
    <x v="1"/>
    <n v="3"/>
    <n v="2799"/>
    <n v="549327"/>
    <n v="196.25830653804931"/>
  </r>
  <r>
    <x v="3225"/>
    <s v="Mar"/>
    <x v="10"/>
    <s v="888 Pine Rd"/>
    <x v="6"/>
    <x v="0"/>
    <m/>
    <n v="1619"/>
    <n v="584101"/>
    <n v="360.7788758492897"/>
  </r>
  <r>
    <x v="3466"/>
    <s v="Aug"/>
    <x v="17"/>
    <s v="897 Oak St"/>
    <x v="4"/>
    <x v="0"/>
    <m/>
    <n v="2827"/>
    <n v="274738"/>
    <n v="97.183586841174389"/>
  </r>
  <r>
    <x v="1827"/>
    <s v="Aug"/>
    <x v="19"/>
    <s v="112 Oak St"/>
    <x v="4"/>
    <x v="1"/>
    <n v="4"/>
    <n v="3211"/>
    <n v="539224"/>
    <n v="167.93023980068514"/>
  </r>
  <r>
    <x v="3467"/>
    <s v="Feb"/>
    <x v="3"/>
    <s v="373 Main St"/>
    <x v="0"/>
    <x v="1"/>
    <n v="3"/>
    <n v="2663"/>
    <n v="332671"/>
    <n v="124.92339466766805"/>
  </r>
  <r>
    <x v="571"/>
    <s v="Dec"/>
    <x v="9"/>
    <s v="694 Main St"/>
    <x v="1"/>
    <x v="1"/>
    <n v="5"/>
    <n v="2976"/>
    <n v="498274"/>
    <n v="167.43077956989248"/>
  </r>
  <r>
    <x v="2022"/>
    <s v="Feb"/>
    <x v="2"/>
    <s v="476 Elm St"/>
    <x v="0"/>
    <x v="1"/>
    <m/>
    <n v="2906"/>
    <n v="874266"/>
    <n v="300.84858912594632"/>
  </r>
  <r>
    <x v="3468"/>
    <s v="Dec"/>
    <x v="18"/>
    <s v="954 Pine Rd"/>
    <x v="1"/>
    <x v="0"/>
    <n v="2"/>
    <n v="1775"/>
    <n v="667435"/>
    <n v="376.01971830985917"/>
  </r>
  <r>
    <x v="3469"/>
    <s v="Feb"/>
    <x v="17"/>
    <s v="939 Oak St"/>
    <x v="0"/>
    <x v="0"/>
    <n v="3"/>
    <n v="2534"/>
    <n v="251626"/>
    <n v="99.299921073401734"/>
  </r>
  <r>
    <x v="2361"/>
    <s v="Jan"/>
    <x v="1"/>
    <s v="160 Oak St"/>
    <x v="3"/>
    <x v="1"/>
    <m/>
    <n v="1117"/>
    <n v="851430"/>
    <n v="762.24709042076995"/>
  </r>
  <r>
    <x v="225"/>
    <s v="Apr"/>
    <x v="19"/>
    <s v="931 Maple Ave"/>
    <x v="3"/>
    <x v="3"/>
    <n v="2"/>
    <n v="3091"/>
    <n v="139426"/>
    <n v="45.10708508573277"/>
  </r>
  <r>
    <x v="3470"/>
    <s v="Nov"/>
    <x v="3"/>
    <s v="863 Oak St"/>
    <x v="0"/>
    <x v="0"/>
    <n v="4"/>
    <n v="2122"/>
    <n v="493024"/>
    <n v="232.33930254476908"/>
  </r>
  <r>
    <x v="3471"/>
    <s v="Oct"/>
    <x v="15"/>
    <s v="800 Maple Ave"/>
    <x v="4"/>
    <x v="1"/>
    <n v="3"/>
    <n v="3339"/>
    <n v="196801"/>
    <n v="58.940101826894278"/>
  </r>
  <r>
    <x v="2237"/>
    <s v="Sep"/>
    <x v="9"/>
    <s v="160 Main St"/>
    <x v="2"/>
    <x v="3"/>
    <m/>
    <n v="1011"/>
    <n v="344711"/>
    <n v="340.96043521266074"/>
  </r>
  <r>
    <x v="2201"/>
    <s v="Jun"/>
    <x v="0"/>
    <s v="659 Oak St"/>
    <x v="4"/>
    <x v="1"/>
    <n v="5"/>
    <n v="2428"/>
    <n v="182591"/>
    <n v="75.202224052718293"/>
  </r>
  <r>
    <x v="3472"/>
    <s v="Oct"/>
    <x v="0"/>
    <s v="233 Main St"/>
    <x v="4"/>
    <x v="2"/>
    <n v="3"/>
    <n v="988"/>
    <n v="680734"/>
    <n v="689.00202429149795"/>
  </r>
  <r>
    <x v="1544"/>
    <s v="Aug"/>
    <x v="6"/>
    <s v="698 Pine Rd"/>
    <x v="5"/>
    <x v="2"/>
    <m/>
    <n v="1694"/>
    <n v="137741"/>
    <n v="81.311097992916174"/>
  </r>
  <r>
    <x v="3473"/>
    <s v="Aug"/>
    <x v="7"/>
    <s v="444 Main St"/>
    <x v="5"/>
    <x v="2"/>
    <m/>
    <n v="2841"/>
    <n v="115249"/>
    <n v="40.56634987680394"/>
  </r>
  <r>
    <x v="3474"/>
    <s v="Jan"/>
    <x v="12"/>
    <s v="976 Elm St"/>
    <x v="4"/>
    <x v="2"/>
    <m/>
    <n v="808"/>
    <n v="778916"/>
    <n v="964.00495049504946"/>
  </r>
  <r>
    <x v="3475"/>
    <s v="Mar"/>
    <x v="5"/>
    <s v="564 Pine Rd"/>
    <x v="6"/>
    <x v="1"/>
    <n v="5"/>
    <n v="2782"/>
    <n v="311094"/>
    <n v="111.82386772106398"/>
  </r>
  <r>
    <x v="1058"/>
    <s v="Sep"/>
    <x v="8"/>
    <s v="840 Maple Ave"/>
    <x v="1"/>
    <x v="3"/>
    <n v="5"/>
    <n v="2922"/>
    <n v="209826"/>
    <n v="71.809034907597535"/>
  </r>
  <r>
    <x v="3476"/>
    <s v="Feb"/>
    <x v="0"/>
    <s v="557 Elm St"/>
    <x v="1"/>
    <x v="0"/>
    <n v="3"/>
    <n v="1287"/>
    <n v="620365"/>
    <n v="482.02408702408701"/>
  </r>
  <r>
    <x v="3477"/>
    <s v="Aug"/>
    <x v="14"/>
    <s v="605 Elm St"/>
    <x v="6"/>
    <x v="3"/>
    <n v="5"/>
    <n v="1437"/>
    <n v="720502"/>
    <n v="501.39318023660405"/>
  </r>
  <r>
    <x v="1524"/>
    <s v="Mar"/>
    <x v="15"/>
    <s v="505 Maple Ave"/>
    <x v="3"/>
    <x v="2"/>
    <n v="4"/>
    <n v="2506"/>
    <n v="472424"/>
    <n v="188.51715881883479"/>
  </r>
  <r>
    <x v="3478"/>
    <s v="Feb"/>
    <x v="1"/>
    <s v="967 Oak St"/>
    <x v="3"/>
    <x v="0"/>
    <n v="2"/>
    <n v="1601"/>
    <n v="374635"/>
    <n v="234.000624609619"/>
  </r>
  <r>
    <x v="3479"/>
    <s v="Mar"/>
    <x v="2"/>
    <s v="404 Elm St"/>
    <x v="2"/>
    <x v="3"/>
    <n v="2"/>
    <n v="2074"/>
    <n v="889506"/>
    <n v="428.88428158148503"/>
  </r>
  <r>
    <x v="2935"/>
    <s v="Feb"/>
    <x v="5"/>
    <s v="946 Main St"/>
    <x v="2"/>
    <x v="2"/>
    <n v="4"/>
    <n v="2617"/>
    <n v="333375"/>
    <n v="127.38823079862438"/>
  </r>
  <r>
    <x v="3480"/>
    <s v="Sep"/>
    <x v="7"/>
    <s v="652 Oak St"/>
    <x v="2"/>
    <x v="1"/>
    <n v="5"/>
    <n v="1533"/>
    <n v="664769"/>
    <n v="433.63926940639271"/>
  </r>
  <r>
    <x v="3481"/>
    <s v="Aug"/>
    <x v="6"/>
    <s v="289 Pine Rd"/>
    <x v="1"/>
    <x v="3"/>
    <n v="5"/>
    <n v="1731"/>
    <n v="280540"/>
    <n v="162.06816868861929"/>
  </r>
  <r>
    <x v="3482"/>
    <s v="Oct"/>
    <x v="18"/>
    <s v="639 Elm St"/>
    <x v="6"/>
    <x v="3"/>
    <m/>
    <n v="2462"/>
    <n v="891247"/>
    <n v="362.00121852152722"/>
  </r>
  <r>
    <x v="3338"/>
    <s v="Jan"/>
    <x v="0"/>
    <s v="671 Maple Ave"/>
    <x v="6"/>
    <x v="1"/>
    <n v="2"/>
    <n v="1973"/>
    <n v="735924"/>
    <n v="372.99746578813989"/>
  </r>
  <r>
    <x v="1502"/>
    <s v="Sep"/>
    <x v="4"/>
    <s v="476 Maple Ave"/>
    <x v="5"/>
    <x v="2"/>
    <m/>
    <n v="2864"/>
    <n v="456202"/>
    <n v="159.28840782122904"/>
  </r>
  <r>
    <x v="3483"/>
    <s v="Feb"/>
    <x v="12"/>
    <s v="335 Pine Rd"/>
    <x v="0"/>
    <x v="2"/>
    <n v="4"/>
    <n v="2465"/>
    <n v="852436"/>
    <n v="345.81582150101423"/>
  </r>
  <r>
    <x v="3484"/>
    <s v="Apr"/>
    <x v="1"/>
    <s v="905 Elm St"/>
    <x v="5"/>
    <x v="0"/>
    <m/>
    <n v="3078"/>
    <n v="172433"/>
    <n v="56.02111760883691"/>
  </r>
  <r>
    <x v="3485"/>
    <s v="Jun"/>
    <x v="5"/>
    <s v="476 Maple Ave"/>
    <x v="6"/>
    <x v="0"/>
    <m/>
    <n v="2532"/>
    <n v="239645"/>
    <n v="94.646524486571877"/>
  </r>
  <r>
    <x v="3486"/>
    <s v="Sep"/>
    <x v="5"/>
    <s v="875 Main St"/>
    <x v="4"/>
    <x v="3"/>
    <n v="2"/>
    <n v="2421"/>
    <n v="195253"/>
    <n v="80.649731515902516"/>
  </r>
  <r>
    <x v="3487"/>
    <s v="Jul"/>
    <x v="19"/>
    <s v="266 Maple Ave"/>
    <x v="6"/>
    <x v="1"/>
    <n v="4"/>
    <n v="1826"/>
    <n v="782112"/>
    <n v="428.31982475355971"/>
  </r>
  <r>
    <x v="490"/>
    <s v="Apr"/>
    <x v="6"/>
    <s v="432 Main St"/>
    <x v="4"/>
    <x v="1"/>
    <n v="2"/>
    <n v="2187"/>
    <n v="109145"/>
    <n v="49.906264288980339"/>
  </r>
  <r>
    <x v="3488"/>
    <s v="Apr"/>
    <x v="7"/>
    <s v="512 Maple Ave"/>
    <x v="5"/>
    <x v="0"/>
    <m/>
    <n v="3244"/>
    <n v="627910"/>
    <n v="193.56041923551172"/>
  </r>
  <r>
    <x v="2238"/>
    <s v="Nov"/>
    <x v="6"/>
    <s v="535 Oak St"/>
    <x v="2"/>
    <x v="1"/>
    <m/>
    <n v="2632"/>
    <n v="278681"/>
    <n v="105.88183890577507"/>
  </r>
  <r>
    <x v="3489"/>
    <s v="Jan"/>
    <x v="14"/>
    <s v="455 Oak St"/>
    <x v="4"/>
    <x v="3"/>
    <m/>
    <n v="2514"/>
    <n v="112750"/>
    <n v="44.848846459824983"/>
  </r>
  <r>
    <x v="3490"/>
    <s v="Jun"/>
    <x v="17"/>
    <s v="766 Elm St"/>
    <x v="0"/>
    <x v="1"/>
    <m/>
    <n v="3384"/>
    <n v="736697"/>
    <n v="217.70005910165486"/>
  </r>
  <r>
    <x v="3491"/>
    <s v="Dec"/>
    <x v="13"/>
    <s v="144 Pine Rd"/>
    <x v="1"/>
    <x v="2"/>
    <n v="2"/>
    <n v="2800"/>
    <n v="612238"/>
    <n v="218.65642857142856"/>
  </r>
  <r>
    <x v="1066"/>
    <s v="Jun"/>
    <x v="4"/>
    <s v="228 Oak St"/>
    <x v="2"/>
    <x v="3"/>
    <n v="4"/>
    <n v="2966"/>
    <n v="330542"/>
    <n v="111.44369521240728"/>
  </r>
  <r>
    <x v="2731"/>
    <s v="Jul"/>
    <x v="13"/>
    <s v="200 Elm St"/>
    <x v="0"/>
    <x v="1"/>
    <n v="2"/>
    <n v="2236"/>
    <n v="290774"/>
    <n v="130.04203935599284"/>
  </r>
  <r>
    <x v="3492"/>
    <s v="Dec"/>
    <x v="14"/>
    <s v="262 Pine Rd"/>
    <x v="0"/>
    <x v="2"/>
    <n v="2"/>
    <n v="1232"/>
    <n v="720013"/>
    <n v="584.42613636363637"/>
  </r>
  <r>
    <x v="1019"/>
    <s v="May"/>
    <x v="4"/>
    <s v="662 Pine Rd"/>
    <x v="1"/>
    <x v="3"/>
    <m/>
    <n v="3148"/>
    <n v="114623"/>
    <n v="36.411372299872937"/>
  </r>
  <r>
    <x v="3493"/>
    <s v="Apr"/>
    <x v="6"/>
    <s v="622 Oak St"/>
    <x v="2"/>
    <x v="3"/>
    <m/>
    <n v="1284"/>
    <n v="741776"/>
    <n v="577.70716510903424"/>
  </r>
  <r>
    <x v="3494"/>
    <s v="Sep"/>
    <x v="4"/>
    <s v="274 Pine Rd"/>
    <x v="4"/>
    <x v="3"/>
    <n v="3"/>
    <n v="2405"/>
    <n v="889661"/>
    <n v="369.92141372141373"/>
  </r>
  <r>
    <x v="3495"/>
    <s v="Mar"/>
    <x v="5"/>
    <s v="814 Elm St"/>
    <x v="6"/>
    <x v="2"/>
    <n v="4"/>
    <n v="2438"/>
    <n v="122655"/>
    <n v="50.30968006562756"/>
  </r>
  <r>
    <x v="1084"/>
    <s v="Apr"/>
    <x v="15"/>
    <s v="927 Maple Ave"/>
    <x v="6"/>
    <x v="2"/>
    <n v="3"/>
    <n v="3267"/>
    <n v="730611"/>
    <n v="223.63360881542701"/>
  </r>
  <r>
    <x v="3496"/>
    <s v="Aug"/>
    <x v="4"/>
    <s v="636 Main St"/>
    <x v="2"/>
    <x v="3"/>
    <m/>
    <n v="2673"/>
    <n v="780001"/>
    <n v="291.80733258511037"/>
  </r>
  <r>
    <x v="3497"/>
    <s v="Sep"/>
    <x v="12"/>
    <s v="957 Oak St"/>
    <x v="3"/>
    <x v="0"/>
    <m/>
    <n v="2989"/>
    <n v="592822"/>
    <n v="198.3345600535296"/>
  </r>
  <r>
    <x v="576"/>
    <s v="Nov"/>
    <x v="12"/>
    <s v="439 Oak St"/>
    <x v="2"/>
    <x v="3"/>
    <n v="4"/>
    <n v="3235"/>
    <n v="560488"/>
    <n v="173.25749613601238"/>
  </r>
  <r>
    <x v="2251"/>
    <s v="Sep"/>
    <x v="8"/>
    <s v="735 Main St"/>
    <x v="0"/>
    <x v="3"/>
    <n v="2"/>
    <n v="983"/>
    <n v="582034"/>
    <n v="592.09969481180065"/>
  </r>
  <r>
    <x v="3498"/>
    <s v="Jan"/>
    <x v="3"/>
    <s v="511 Main St"/>
    <x v="3"/>
    <x v="2"/>
    <m/>
    <n v="1784"/>
    <n v="418700"/>
    <n v="234.69730941704037"/>
  </r>
  <r>
    <x v="1605"/>
    <s v="Sep"/>
    <x v="18"/>
    <s v="812 Main St"/>
    <x v="1"/>
    <x v="0"/>
    <n v="2"/>
    <n v="1098"/>
    <n v="684578"/>
    <n v="623.47723132969031"/>
  </r>
  <r>
    <x v="3499"/>
    <s v="May"/>
    <x v="1"/>
    <s v="374 Pine Rd"/>
    <x v="4"/>
    <x v="1"/>
    <n v="5"/>
    <n v="1598"/>
    <n v="797158"/>
    <n v="498.84730913642051"/>
  </r>
  <r>
    <x v="178"/>
    <s v="Jun"/>
    <x v="11"/>
    <s v="783 Main St"/>
    <x v="3"/>
    <x v="1"/>
    <n v="5"/>
    <n v="2441"/>
    <n v="205471"/>
    <n v="84.174928308070463"/>
  </r>
  <r>
    <x v="3500"/>
    <s v="Sep"/>
    <x v="14"/>
    <s v="819 Elm St"/>
    <x v="1"/>
    <x v="0"/>
    <m/>
    <n v="2670"/>
    <n v="828801"/>
    <n v="310.4123595505618"/>
  </r>
  <r>
    <x v="3501"/>
    <s v="Feb"/>
    <x v="6"/>
    <s v="142 Main St"/>
    <x v="6"/>
    <x v="2"/>
    <n v="5"/>
    <n v="1628"/>
    <n v="673879"/>
    <n v="413.93058968058966"/>
  </r>
  <r>
    <x v="3502"/>
    <s v="Jan"/>
    <x v="9"/>
    <s v="926 Maple Ave"/>
    <x v="6"/>
    <x v="0"/>
    <m/>
    <n v="2921"/>
    <n v="676643"/>
    <n v="231.64772338240329"/>
  </r>
  <r>
    <x v="3503"/>
    <s v="Dec"/>
    <x v="12"/>
    <s v="913 Oak St"/>
    <x v="5"/>
    <x v="0"/>
    <n v="2"/>
    <n v="3380"/>
    <n v="587797"/>
    <n v="173.90443786982249"/>
  </r>
  <r>
    <x v="752"/>
    <s v="Nov"/>
    <x v="14"/>
    <s v="519 Oak St"/>
    <x v="1"/>
    <x v="0"/>
    <n v="2"/>
    <n v="2924"/>
    <n v="552442"/>
    <n v="188.93365253077977"/>
  </r>
  <r>
    <x v="3026"/>
    <s v="Mar"/>
    <x v="19"/>
    <s v="335 Oak St"/>
    <x v="3"/>
    <x v="2"/>
    <n v="4"/>
    <n v="1995"/>
    <n v="699194"/>
    <n v="350.47318295739348"/>
  </r>
  <r>
    <x v="1474"/>
    <s v="Sep"/>
    <x v="5"/>
    <s v="260 Elm St"/>
    <x v="1"/>
    <x v="3"/>
    <n v="4"/>
    <n v="876"/>
    <n v="560993"/>
    <n v="640.40296803652973"/>
  </r>
  <r>
    <x v="2934"/>
    <s v="Aug"/>
    <x v="12"/>
    <s v="759 Elm St"/>
    <x v="6"/>
    <x v="3"/>
    <m/>
    <n v="1280"/>
    <n v="172920"/>
    <n v="135.09375"/>
  </r>
  <r>
    <x v="3504"/>
    <s v="Mar"/>
    <x v="16"/>
    <s v="677 Main St"/>
    <x v="0"/>
    <x v="0"/>
    <m/>
    <n v="2066"/>
    <n v="643981"/>
    <n v="311.70425943852854"/>
  </r>
  <r>
    <x v="3505"/>
    <s v="Feb"/>
    <x v="7"/>
    <s v="479 Elm St"/>
    <x v="2"/>
    <x v="0"/>
    <m/>
    <n v="2840"/>
    <n v="769357"/>
    <n v="270.90035211267605"/>
  </r>
  <r>
    <x v="2612"/>
    <s v="Oct"/>
    <x v="7"/>
    <s v="126 Oak St"/>
    <x v="0"/>
    <x v="0"/>
    <n v="4"/>
    <n v="862"/>
    <n v="339256"/>
    <n v="393.56844547563804"/>
  </r>
  <r>
    <x v="3475"/>
    <s v="Mar"/>
    <x v="5"/>
    <s v="732 Pine Rd"/>
    <x v="2"/>
    <x v="0"/>
    <m/>
    <n v="803"/>
    <n v="124320"/>
    <n v="154.81942714819428"/>
  </r>
  <r>
    <x v="464"/>
    <s v="Sep"/>
    <x v="17"/>
    <s v="701 Elm St"/>
    <x v="4"/>
    <x v="1"/>
    <n v="4"/>
    <n v="2085"/>
    <n v="604632"/>
    <n v="289.99136690647481"/>
  </r>
  <r>
    <x v="3506"/>
    <s v="Jul"/>
    <x v="4"/>
    <s v="628 Main St"/>
    <x v="6"/>
    <x v="1"/>
    <n v="2"/>
    <n v="1757"/>
    <n v="684384"/>
    <n v="389.51849743881615"/>
  </r>
  <r>
    <x v="2882"/>
    <s v="May"/>
    <x v="2"/>
    <s v="629 Maple Ave"/>
    <x v="0"/>
    <x v="3"/>
    <m/>
    <n v="2416"/>
    <n v="403537"/>
    <n v="167.02690397350995"/>
  </r>
  <r>
    <x v="1743"/>
    <s v="Oct"/>
    <x v="17"/>
    <s v="290 Maple Ave"/>
    <x v="0"/>
    <x v="2"/>
    <n v="5"/>
    <n v="3426"/>
    <n v="680750"/>
    <n v="198.70110916520724"/>
  </r>
  <r>
    <x v="364"/>
    <s v="Jul"/>
    <x v="6"/>
    <s v="247 Maple Ave"/>
    <x v="4"/>
    <x v="1"/>
    <n v="2"/>
    <n v="1015"/>
    <n v="634980"/>
    <n v="625.5960591133005"/>
  </r>
  <r>
    <x v="3507"/>
    <s v="Apr"/>
    <x v="1"/>
    <s v="158 Oak St"/>
    <x v="1"/>
    <x v="2"/>
    <m/>
    <n v="1875"/>
    <n v="317425"/>
    <n v="169.29333333333332"/>
  </r>
  <r>
    <x v="37"/>
    <s v="Jul"/>
    <x v="16"/>
    <s v="163 Maple Ave"/>
    <x v="3"/>
    <x v="0"/>
    <n v="4"/>
    <n v="1259"/>
    <n v="430753"/>
    <n v="342.13899920571885"/>
  </r>
  <r>
    <x v="3508"/>
    <s v="Aug"/>
    <x v="8"/>
    <s v="523 Elm St"/>
    <x v="6"/>
    <x v="0"/>
    <n v="2"/>
    <n v="2326"/>
    <n v="212346"/>
    <n v="91.292347377472055"/>
  </r>
  <r>
    <x v="3243"/>
    <s v="Sep"/>
    <x v="4"/>
    <s v="770 Main St"/>
    <x v="3"/>
    <x v="1"/>
    <n v="4"/>
    <n v="864"/>
    <n v="566485"/>
    <n v="655.65393518518522"/>
  </r>
  <r>
    <x v="3509"/>
    <s v="Jan"/>
    <x v="19"/>
    <s v="853 Main St"/>
    <x v="0"/>
    <x v="0"/>
    <m/>
    <n v="2063"/>
    <n v="451483"/>
    <n v="218.84779447406689"/>
  </r>
  <r>
    <x v="3510"/>
    <s v="Nov"/>
    <x v="19"/>
    <s v="527 Oak St"/>
    <x v="2"/>
    <x v="3"/>
    <n v="2"/>
    <n v="3406"/>
    <n v="577903"/>
    <n v="169.67204932472109"/>
  </r>
  <r>
    <x v="217"/>
    <s v="Jul"/>
    <x v="1"/>
    <s v="672 Main St"/>
    <x v="2"/>
    <x v="2"/>
    <n v="2"/>
    <n v="2136"/>
    <n v="826092"/>
    <n v="386.74719101123594"/>
  </r>
  <r>
    <x v="3511"/>
    <s v="Nov"/>
    <x v="18"/>
    <s v="308 Main St"/>
    <x v="2"/>
    <x v="2"/>
    <n v="4"/>
    <n v="2831"/>
    <n v="607237"/>
    <n v="214.49558459908161"/>
  </r>
  <r>
    <x v="1730"/>
    <s v="Jul"/>
    <x v="14"/>
    <s v="934 Maple Ave"/>
    <x v="0"/>
    <x v="0"/>
    <n v="2"/>
    <n v="1568"/>
    <n v="239490"/>
    <n v="152.73596938775509"/>
  </r>
  <r>
    <x v="3240"/>
    <s v="Oct"/>
    <x v="6"/>
    <s v="863 Oak St"/>
    <x v="0"/>
    <x v="3"/>
    <n v="3"/>
    <n v="2900"/>
    <n v="438719"/>
    <n v="151.28241379310344"/>
  </r>
  <r>
    <x v="1225"/>
    <s v="Sep"/>
    <x v="0"/>
    <s v="216 Maple Ave"/>
    <x v="3"/>
    <x v="2"/>
    <n v="5"/>
    <n v="2071"/>
    <n v="309442"/>
    <n v="149.41670690487686"/>
  </r>
  <r>
    <x v="3512"/>
    <s v="Nov"/>
    <x v="10"/>
    <s v="164 Pine Rd"/>
    <x v="6"/>
    <x v="2"/>
    <n v="2"/>
    <n v="1837"/>
    <n v="870212"/>
    <n v="473.71366358192705"/>
  </r>
  <r>
    <x v="3513"/>
    <s v="Dec"/>
    <x v="9"/>
    <s v="922 Pine Rd"/>
    <x v="0"/>
    <x v="1"/>
    <n v="3"/>
    <n v="2745"/>
    <n v="478303"/>
    <n v="174.24517304189436"/>
  </r>
  <r>
    <x v="3514"/>
    <s v="Jul"/>
    <x v="3"/>
    <s v="679 Maple Ave"/>
    <x v="0"/>
    <x v="2"/>
    <n v="3"/>
    <n v="1535"/>
    <n v="381003"/>
    <n v="248.21042345276874"/>
  </r>
  <r>
    <x v="3515"/>
    <s v="Feb"/>
    <x v="17"/>
    <s v="894 Oak St"/>
    <x v="0"/>
    <x v="0"/>
    <n v="3"/>
    <n v="975"/>
    <n v="654790"/>
    <n v="671.57948717948716"/>
  </r>
  <r>
    <x v="3516"/>
    <s v="Aug"/>
    <x v="11"/>
    <s v="495 Main St"/>
    <x v="4"/>
    <x v="1"/>
    <n v="5"/>
    <n v="1207"/>
    <n v="470700"/>
    <n v="389.97514498757249"/>
  </r>
  <r>
    <x v="708"/>
    <s v="Feb"/>
    <x v="1"/>
    <s v="943 Oak St"/>
    <x v="0"/>
    <x v="3"/>
    <n v="3"/>
    <n v="1671"/>
    <n v="599604"/>
    <n v="358.8294434470377"/>
  </r>
  <r>
    <x v="3517"/>
    <s v="Feb"/>
    <x v="10"/>
    <s v="963 Pine Rd"/>
    <x v="0"/>
    <x v="1"/>
    <n v="5"/>
    <n v="2339"/>
    <n v="386399"/>
    <n v="165.19837537409148"/>
  </r>
  <r>
    <x v="3213"/>
    <s v="Aug"/>
    <x v="13"/>
    <s v="965 Main St"/>
    <x v="4"/>
    <x v="3"/>
    <n v="4"/>
    <n v="2072"/>
    <n v="671812"/>
    <n v="324.23359073359075"/>
  </r>
  <r>
    <x v="3518"/>
    <s v="May"/>
    <x v="16"/>
    <s v="633 Pine Rd"/>
    <x v="1"/>
    <x v="3"/>
    <n v="2"/>
    <n v="1474"/>
    <n v="198378"/>
    <n v="134.58480325644504"/>
  </r>
  <r>
    <x v="3248"/>
    <s v="Apr"/>
    <x v="13"/>
    <s v="680 Main St"/>
    <x v="0"/>
    <x v="3"/>
    <n v="4"/>
    <n v="903"/>
    <n v="329121"/>
    <n v="364.47508305647841"/>
  </r>
  <r>
    <x v="415"/>
    <s v="Sep"/>
    <x v="10"/>
    <s v="982 Main St"/>
    <x v="5"/>
    <x v="3"/>
    <n v="3"/>
    <n v="819"/>
    <n v="343069"/>
    <n v="418.88766788766787"/>
  </r>
  <r>
    <x v="3519"/>
    <s v="May"/>
    <x v="11"/>
    <s v="514 Maple Ave"/>
    <x v="3"/>
    <x v="2"/>
    <n v="5"/>
    <n v="1653"/>
    <n v="890338"/>
    <n v="538.61947973381734"/>
  </r>
  <r>
    <x v="371"/>
    <s v="Aug"/>
    <x v="1"/>
    <s v="416 Main St"/>
    <x v="4"/>
    <x v="2"/>
    <n v="5"/>
    <n v="3192"/>
    <n v="351365"/>
    <n v="110.07675438596492"/>
  </r>
  <r>
    <x v="3520"/>
    <s v="Jun"/>
    <x v="3"/>
    <s v="162 Oak St"/>
    <x v="0"/>
    <x v="3"/>
    <n v="4"/>
    <n v="3493"/>
    <n v="120670"/>
    <n v="34.546235327798456"/>
  </r>
  <r>
    <x v="3521"/>
    <s v="Mar"/>
    <x v="4"/>
    <s v="293 Maple Ave"/>
    <x v="2"/>
    <x v="3"/>
    <m/>
    <n v="2651"/>
    <n v="603105"/>
    <n v="227.50094304036213"/>
  </r>
  <r>
    <x v="3227"/>
    <s v="Jul"/>
    <x v="7"/>
    <s v="702 Pine Rd"/>
    <x v="5"/>
    <x v="2"/>
    <n v="4"/>
    <n v="1020"/>
    <n v="548230"/>
    <n v="537.48039215686276"/>
  </r>
  <r>
    <x v="415"/>
    <s v="Sep"/>
    <x v="10"/>
    <s v="468 Oak St"/>
    <x v="2"/>
    <x v="2"/>
    <m/>
    <n v="1871"/>
    <n v="616550"/>
    <n v="329.52966328166758"/>
  </r>
  <r>
    <x v="3026"/>
    <s v="Mar"/>
    <x v="19"/>
    <s v="991 Main St"/>
    <x v="5"/>
    <x v="1"/>
    <n v="5"/>
    <n v="1123"/>
    <n v="862380"/>
    <n v="767.92520035618872"/>
  </r>
  <r>
    <x v="2271"/>
    <s v="Apr"/>
    <x v="5"/>
    <s v="415 Main St"/>
    <x v="5"/>
    <x v="2"/>
    <n v="3"/>
    <n v="2914"/>
    <n v="640136"/>
    <n v="219.67604667124229"/>
  </r>
  <r>
    <x v="1677"/>
    <s v="Oct"/>
    <x v="16"/>
    <s v="829 Maple Ave"/>
    <x v="6"/>
    <x v="2"/>
    <m/>
    <n v="1644"/>
    <n v="561140"/>
    <n v="341.32603406326035"/>
  </r>
  <r>
    <x v="640"/>
    <s v="Nov"/>
    <x v="13"/>
    <s v="296 Pine Rd"/>
    <x v="1"/>
    <x v="3"/>
    <n v="3"/>
    <n v="1162"/>
    <n v="275674"/>
    <n v="237.24096385542168"/>
  </r>
  <r>
    <x v="545"/>
    <s v="Oct"/>
    <x v="0"/>
    <s v="864 Oak St"/>
    <x v="3"/>
    <x v="0"/>
    <m/>
    <n v="2758"/>
    <n v="111136"/>
    <n v="40.295866569978244"/>
  </r>
  <r>
    <x v="3522"/>
    <s v="Jan"/>
    <x v="14"/>
    <s v="517 Main St"/>
    <x v="4"/>
    <x v="2"/>
    <n v="5"/>
    <n v="3169"/>
    <n v="783332"/>
    <n v="247.18586304828023"/>
  </r>
  <r>
    <x v="3523"/>
    <s v="Jan"/>
    <x v="3"/>
    <s v="886 Elm St"/>
    <x v="1"/>
    <x v="2"/>
    <n v="5"/>
    <n v="2337"/>
    <n v="707785"/>
    <n v="302.86050492083871"/>
  </r>
  <r>
    <x v="2977"/>
    <s v="Aug"/>
    <x v="5"/>
    <s v="543 Oak St"/>
    <x v="2"/>
    <x v="0"/>
    <m/>
    <n v="1082"/>
    <n v="443391"/>
    <n v="409.78835489833642"/>
  </r>
  <r>
    <x v="3524"/>
    <s v="Dec"/>
    <x v="10"/>
    <s v="106 Oak St"/>
    <x v="0"/>
    <x v="0"/>
    <n v="3"/>
    <n v="1699"/>
    <n v="139925"/>
    <n v="82.357268981753975"/>
  </r>
  <r>
    <x v="3525"/>
    <s v="Jul"/>
    <x v="5"/>
    <s v="767 Pine Rd"/>
    <x v="5"/>
    <x v="2"/>
    <n v="5"/>
    <n v="3006"/>
    <n v="733848"/>
    <n v="244.12774451097803"/>
  </r>
  <r>
    <x v="3526"/>
    <s v="Mar"/>
    <x v="19"/>
    <s v="175 Elm St"/>
    <x v="5"/>
    <x v="3"/>
    <m/>
    <n v="2190"/>
    <n v="832883"/>
    <n v="380.31187214611873"/>
  </r>
  <r>
    <x v="1020"/>
    <s v="Mar"/>
    <x v="10"/>
    <s v="518 Elm St"/>
    <x v="0"/>
    <x v="1"/>
    <m/>
    <n v="1715"/>
    <n v="192313"/>
    <n v="112.13586005830904"/>
  </r>
  <r>
    <x v="3527"/>
    <s v="Dec"/>
    <x v="3"/>
    <s v="203 Elm St"/>
    <x v="0"/>
    <x v="1"/>
    <n v="2"/>
    <n v="911"/>
    <n v="682803"/>
    <n v="749.50933040614711"/>
  </r>
  <r>
    <x v="821"/>
    <s v="Jan"/>
    <x v="4"/>
    <s v="277 Pine Rd"/>
    <x v="2"/>
    <x v="1"/>
    <n v="5"/>
    <n v="1540"/>
    <n v="183158"/>
    <n v="118.93376623376624"/>
  </r>
  <r>
    <x v="3528"/>
    <s v="Jun"/>
    <x v="7"/>
    <s v="197 Pine Rd"/>
    <x v="1"/>
    <x v="2"/>
    <n v="4"/>
    <n v="1494"/>
    <n v="141788"/>
    <n v="94.904953145917005"/>
  </r>
  <r>
    <x v="3529"/>
    <s v="Jun"/>
    <x v="19"/>
    <s v="552 Pine Rd"/>
    <x v="4"/>
    <x v="3"/>
    <n v="5"/>
    <n v="1610"/>
    <n v="535942"/>
    <n v="332.88322981366457"/>
  </r>
  <r>
    <x v="721"/>
    <s v="Aug"/>
    <x v="19"/>
    <s v="983 Oak St"/>
    <x v="5"/>
    <x v="1"/>
    <n v="2"/>
    <n v="3277"/>
    <n v="712915"/>
    <n v="217.55111382361918"/>
  </r>
  <r>
    <x v="3530"/>
    <s v="May"/>
    <x v="3"/>
    <s v="660 Pine Rd"/>
    <x v="6"/>
    <x v="0"/>
    <n v="2"/>
    <n v="3470"/>
    <n v="552093"/>
    <n v="159.10461095100865"/>
  </r>
  <r>
    <x v="3531"/>
    <s v="Jan"/>
    <x v="5"/>
    <s v="617 Pine Rd"/>
    <x v="6"/>
    <x v="2"/>
    <m/>
    <n v="2960"/>
    <n v="193875"/>
    <n v="65.498310810810807"/>
  </r>
  <r>
    <x v="3532"/>
    <s v="Jun"/>
    <x v="5"/>
    <s v="922 Maple Ave"/>
    <x v="4"/>
    <x v="3"/>
    <n v="3"/>
    <n v="3327"/>
    <n v="602733"/>
    <n v="181.16411181244365"/>
  </r>
  <r>
    <x v="2189"/>
    <s v="Aug"/>
    <x v="19"/>
    <s v="854 Oak St"/>
    <x v="0"/>
    <x v="2"/>
    <n v="3"/>
    <n v="1097"/>
    <n v="259707"/>
    <n v="236.74293527803098"/>
  </r>
  <r>
    <x v="468"/>
    <s v="Apr"/>
    <x v="1"/>
    <s v="173 Oak St"/>
    <x v="6"/>
    <x v="1"/>
    <n v="5"/>
    <n v="1322"/>
    <n v="665594"/>
    <n v="503.4750378214826"/>
  </r>
  <r>
    <x v="3533"/>
    <s v="May"/>
    <x v="8"/>
    <s v="247 Elm St"/>
    <x v="3"/>
    <x v="3"/>
    <m/>
    <n v="2540"/>
    <m/>
    <n v="0"/>
  </r>
  <r>
    <x v="3534"/>
    <s v="Mar"/>
    <x v="18"/>
    <s v="333 Main St"/>
    <x v="6"/>
    <x v="0"/>
    <n v="4"/>
    <n v="2267"/>
    <n v="649400"/>
    <n v="286.45787384208205"/>
  </r>
  <r>
    <x v="936"/>
    <s v="Aug"/>
    <x v="16"/>
    <s v="409 Main St"/>
    <x v="6"/>
    <x v="3"/>
    <n v="5"/>
    <n v="1673"/>
    <n v="550113"/>
    <n v="328.81829049611474"/>
  </r>
  <r>
    <x v="31"/>
    <s v="Dec"/>
    <x v="7"/>
    <s v="651 Oak St"/>
    <x v="5"/>
    <x v="1"/>
    <m/>
    <n v="3268"/>
    <n v="834622"/>
    <n v="255.39228886168911"/>
  </r>
  <r>
    <x v="3535"/>
    <s v="Aug"/>
    <x v="10"/>
    <s v="517 Elm St"/>
    <x v="4"/>
    <x v="2"/>
    <n v="2"/>
    <n v="1943"/>
    <n v="364736"/>
    <n v="187.71796191456511"/>
  </r>
  <r>
    <x v="1878"/>
    <s v="Nov"/>
    <x v="16"/>
    <s v="497 Oak St"/>
    <x v="4"/>
    <x v="1"/>
    <n v="4"/>
    <n v="2588"/>
    <n v="588605"/>
    <n v="227.43624420401855"/>
  </r>
  <r>
    <x v="3536"/>
    <s v="Oct"/>
    <x v="13"/>
    <s v="508 Oak St"/>
    <x v="5"/>
    <x v="3"/>
    <m/>
    <n v="3323"/>
    <n v="454759"/>
    <n v="136.85194101715317"/>
  </r>
  <r>
    <x v="1649"/>
    <s v="Jun"/>
    <x v="13"/>
    <s v="839 Elm St"/>
    <x v="0"/>
    <x v="3"/>
    <m/>
    <n v="959"/>
    <n v="774347"/>
    <n v="807.45255474452551"/>
  </r>
  <r>
    <x v="3537"/>
    <s v="May"/>
    <x v="7"/>
    <s v="127 Maple Ave"/>
    <x v="4"/>
    <x v="2"/>
    <m/>
    <n v="3387"/>
    <n v="458666"/>
    <n v="135.41954532034248"/>
  </r>
  <r>
    <x v="1284"/>
    <s v="Feb"/>
    <x v="3"/>
    <s v="588 Main St"/>
    <x v="6"/>
    <x v="3"/>
    <n v="4"/>
    <n v="1625"/>
    <n v="757013"/>
    <n v="465.85415384615385"/>
  </r>
  <r>
    <x v="3538"/>
    <s v="Dec"/>
    <x v="9"/>
    <s v="886 Main St"/>
    <x v="4"/>
    <x v="0"/>
    <m/>
    <n v="2402"/>
    <n v="635234"/>
    <n v="264.46044962531226"/>
  </r>
  <r>
    <x v="3539"/>
    <s v="May"/>
    <x v="9"/>
    <s v="315 Oak St"/>
    <x v="4"/>
    <x v="2"/>
    <n v="5"/>
    <n v="2128"/>
    <n v="159596"/>
    <n v="74.998120300751879"/>
  </r>
  <r>
    <x v="3540"/>
    <s v="Apr"/>
    <x v="17"/>
    <s v="171 Maple Ave"/>
    <x v="0"/>
    <x v="1"/>
    <n v="4"/>
    <n v="2940"/>
    <n v="288025"/>
    <n v="97.967687074829925"/>
  </r>
  <r>
    <x v="1958"/>
    <s v="Jan"/>
    <x v="4"/>
    <s v="496 Pine Rd"/>
    <x v="1"/>
    <x v="3"/>
    <n v="4"/>
    <n v="837"/>
    <n v="143059"/>
    <n v="170.91875746714456"/>
  </r>
  <r>
    <x v="3541"/>
    <s v="Oct"/>
    <x v="1"/>
    <s v="636 Maple Ave"/>
    <x v="6"/>
    <x v="2"/>
    <m/>
    <n v="1168"/>
    <n v="229300"/>
    <n v="196.31849315068493"/>
  </r>
  <r>
    <x v="121"/>
    <s v="Apr"/>
    <x v="17"/>
    <s v="649 Pine Rd"/>
    <x v="6"/>
    <x v="0"/>
    <m/>
    <n v="808"/>
    <n v="585235"/>
    <n v="724.30074257425747"/>
  </r>
  <r>
    <x v="737"/>
    <s v="Mar"/>
    <x v="17"/>
    <s v="211 Elm St"/>
    <x v="5"/>
    <x v="2"/>
    <n v="2"/>
    <n v="3144"/>
    <n v="745801"/>
    <n v="237.21405852417303"/>
  </r>
  <r>
    <x v="958"/>
    <s v="Nov"/>
    <x v="8"/>
    <s v="910 Elm St"/>
    <x v="0"/>
    <x v="1"/>
    <n v="4"/>
    <n v="2689"/>
    <n v="885152"/>
    <n v="329.17515805132018"/>
  </r>
  <r>
    <x v="3542"/>
    <s v="Aug"/>
    <x v="15"/>
    <s v="577 Pine Rd"/>
    <x v="5"/>
    <x v="3"/>
    <n v="3"/>
    <n v="818"/>
    <n v="189844"/>
    <n v="232.08312958435206"/>
  </r>
  <r>
    <x v="2420"/>
    <s v="May"/>
    <x v="14"/>
    <s v="243 Elm St"/>
    <x v="6"/>
    <x v="3"/>
    <n v="5"/>
    <n v="1502"/>
    <n v="458991"/>
    <n v="305.58655126498002"/>
  </r>
  <r>
    <x v="3543"/>
    <s v="Jul"/>
    <x v="9"/>
    <s v="664 Pine Rd"/>
    <x v="3"/>
    <x v="0"/>
    <n v="3"/>
    <n v="1147"/>
    <n v="243102"/>
    <n v="211.94594594594594"/>
  </r>
  <r>
    <x v="3544"/>
    <s v="Aug"/>
    <x v="12"/>
    <s v="690 Oak St"/>
    <x v="6"/>
    <x v="0"/>
    <n v="2"/>
    <n v="2700"/>
    <n v="881299"/>
    <n v="326.40703703703701"/>
  </r>
  <r>
    <x v="2318"/>
    <s v="Sep"/>
    <x v="7"/>
    <s v="159 Pine Rd"/>
    <x v="5"/>
    <x v="1"/>
    <n v="2"/>
    <n v="2606"/>
    <n v="497708"/>
    <n v="190.98541826554106"/>
  </r>
  <r>
    <x v="3545"/>
    <s v="May"/>
    <x v="13"/>
    <s v="751 Pine Rd"/>
    <x v="4"/>
    <x v="1"/>
    <n v="3"/>
    <n v="846"/>
    <n v="642654"/>
    <n v="759.63829787234044"/>
  </r>
  <r>
    <x v="204"/>
    <s v="Oct"/>
    <x v="13"/>
    <s v="824 Main St"/>
    <x v="2"/>
    <x v="1"/>
    <n v="3"/>
    <n v="1835"/>
    <n v="713943"/>
    <n v="389.06975476839239"/>
  </r>
  <r>
    <x v="3546"/>
    <s v="Nov"/>
    <x v="1"/>
    <s v="280 Pine Rd"/>
    <x v="1"/>
    <x v="0"/>
    <n v="4"/>
    <n v="3219"/>
    <n v="210141"/>
    <n v="65.281453867660758"/>
  </r>
  <r>
    <x v="3547"/>
    <s v="Nov"/>
    <x v="0"/>
    <s v="301 Pine Rd"/>
    <x v="2"/>
    <x v="0"/>
    <n v="2"/>
    <n v="3263"/>
    <n v="690383"/>
    <n v="211.57922157523751"/>
  </r>
  <r>
    <x v="1338"/>
    <s v="Sep"/>
    <x v="14"/>
    <s v="811 Elm St"/>
    <x v="1"/>
    <x v="1"/>
    <n v="5"/>
    <n v="2456"/>
    <n v="784569"/>
    <n v="319.44991856677524"/>
  </r>
  <r>
    <x v="3548"/>
    <s v="May"/>
    <x v="13"/>
    <s v="313 Pine Rd"/>
    <x v="2"/>
    <x v="0"/>
    <n v="5"/>
    <n v="1036"/>
    <n v="277302"/>
    <n v="267.66602316602319"/>
  </r>
  <r>
    <x v="1367"/>
    <s v="May"/>
    <x v="12"/>
    <s v="785 Pine Rd"/>
    <x v="4"/>
    <x v="2"/>
    <n v="5"/>
    <n v="1058"/>
    <n v="249336"/>
    <n v="235.66729678638941"/>
  </r>
  <r>
    <x v="3549"/>
    <s v="Dec"/>
    <x v="11"/>
    <s v="793 Elm St"/>
    <x v="5"/>
    <x v="3"/>
    <n v="5"/>
    <n v="3136"/>
    <n v="705946"/>
    <n v="225.11033163265307"/>
  </r>
  <r>
    <x v="3550"/>
    <s v="May"/>
    <x v="18"/>
    <s v="314 Maple Ave"/>
    <x v="6"/>
    <x v="3"/>
    <n v="4"/>
    <n v="1464"/>
    <n v="829858"/>
    <n v="566.84289617486343"/>
  </r>
  <r>
    <x v="3140"/>
    <s v="Apr"/>
    <x v="16"/>
    <s v="844 Maple Ave"/>
    <x v="4"/>
    <x v="2"/>
    <m/>
    <n v="1320"/>
    <n v="469962"/>
    <n v="356.03181818181821"/>
  </r>
  <r>
    <x v="1622"/>
    <s v="Feb"/>
    <x v="2"/>
    <s v="446 Elm St"/>
    <x v="5"/>
    <x v="0"/>
    <m/>
    <n v="1227"/>
    <n v="461327"/>
    <n v="375.97962510187449"/>
  </r>
  <r>
    <x v="3535"/>
    <s v="Aug"/>
    <x v="10"/>
    <s v="857 Oak St"/>
    <x v="0"/>
    <x v="0"/>
    <n v="5"/>
    <n v="2080"/>
    <n v="213120"/>
    <n v="102.46153846153847"/>
  </r>
  <r>
    <x v="3551"/>
    <s v="Jun"/>
    <x v="2"/>
    <s v="625 Oak St"/>
    <x v="6"/>
    <x v="3"/>
    <n v="3"/>
    <n v="1267"/>
    <n v="271328"/>
    <n v="214.14996053670086"/>
  </r>
  <r>
    <x v="3552"/>
    <s v="Sep"/>
    <x v="5"/>
    <s v="914 Elm St"/>
    <x v="3"/>
    <x v="2"/>
    <n v="5"/>
    <n v="1508"/>
    <n v="687699"/>
    <n v="456.03381962864722"/>
  </r>
  <r>
    <x v="2611"/>
    <s v="Nov"/>
    <x v="17"/>
    <s v="781 Pine Rd"/>
    <x v="0"/>
    <x v="2"/>
    <m/>
    <n v="1513"/>
    <n v="702880"/>
    <n v="464.56047587574358"/>
  </r>
  <r>
    <x v="3553"/>
    <s v="Nov"/>
    <x v="19"/>
    <s v="183 Elm St"/>
    <x v="6"/>
    <x v="3"/>
    <n v="5"/>
    <n v="2140"/>
    <n v="520838"/>
    <n v="243.38224299065422"/>
  </r>
  <r>
    <x v="3554"/>
    <s v="Jun"/>
    <x v="2"/>
    <s v="744 Main St"/>
    <x v="4"/>
    <x v="1"/>
    <n v="2"/>
    <n v="1380"/>
    <n v="610106"/>
    <n v="442.1057971014493"/>
  </r>
  <r>
    <x v="1639"/>
    <s v="May"/>
    <x v="14"/>
    <s v="481 Elm St"/>
    <x v="4"/>
    <x v="1"/>
    <n v="4"/>
    <n v="1921"/>
    <n v="731704"/>
    <n v="380.89744924518482"/>
  </r>
  <r>
    <x v="3555"/>
    <s v="Sep"/>
    <x v="10"/>
    <s v="391 Pine Rd"/>
    <x v="0"/>
    <x v="0"/>
    <n v="4"/>
    <n v="2717"/>
    <n v="709773"/>
    <n v="261.23408170776594"/>
  </r>
  <r>
    <x v="3556"/>
    <s v="Dec"/>
    <x v="18"/>
    <s v="848 Oak St"/>
    <x v="0"/>
    <x v="1"/>
    <m/>
    <n v="3279"/>
    <n v="122272"/>
    <n v="37.289417505336992"/>
  </r>
  <r>
    <x v="526"/>
    <s v="Feb"/>
    <x v="15"/>
    <s v="677 Oak St"/>
    <x v="6"/>
    <x v="2"/>
    <n v="5"/>
    <n v="1372"/>
    <n v="158206"/>
    <n v="115.31049562682216"/>
  </r>
  <r>
    <x v="3557"/>
    <s v="Jul"/>
    <x v="3"/>
    <s v="468 Maple Ave"/>
    <x v="2"/>
    <x v="1"/>
    <m/>
    <n v="1067"/>
    <n v="790796"/>
    <n v="741.13964386129339"/>
  </r>
  <r>
    <x v="330"/>
    <s v="May"/>
    <x v="1"/>
    <s v="746 Main St"/>
    <x v="1"/>
    <x v="0"/>
    <n v="3"/>
    <n v="1037"/>
    <n v="448395"/>
    <n v="432.3963355834137"/>
  </r>
  <r>
    <x v="3558"/>
    <s v="Jul"/>
    <x v="6"/>
    <s v="452 Pine Rd"/>
    <x v="5"/>
    <x v="1"/>
    <n v="3"/>
    <n v="3077"/>
    <n v="859235"/>
    <n v="279.24439389015276"/>
  </r>
  <r>
    <x v="2236"/>
    <s v="Oct"/>
    <x v="3"/>
    <s v="501 Pine Rd"/>
    <x v="6"/>
    <x v="0"/>
    <m/>
    <n v="3235"/>
    <n v="884712"/>
    <n v="273.48129829984543"/>
  </r>
  <r>
    <x v="2182"/>
    <s v="Jun"/>
    <x v="12"/>
    <s v="542 Maple Ave"/>
    <x v="2"/>
    <x v="0"/>
    <m/>
    <n v="2764"/>
    <n v="160512"/>
    <n v="58.072358900144721"/>
  </r>
  <r>
    <x v="1935"/>
    <s v="Nov"/>
    <x v="7"/>
    <s v="275 Main St"/>
    <x v="4"/>
    <x v="1"/>
    <n v="2"/>
    <n v="2134"/>
    <n v="457849"/>
    <n v="214.54967197750702"/>
  </r>
  <r>
    <x v="3559"/>
    <s v="Jul"/>
    <x v="13"/>
    <s v="596 Pine Rd"/>
    <x v="5"/>
    <x v="2"/>
    <n v="3"/>
    <n v="1851"/>
    <n v="868213"/>
    <n v="469.05078336034575"/>
  </r>
  <r>
    <x v="23"/>
    <s v="Aug"/>
    <x v="12"/>
    <s v="713 Pine Rd"/>
    <x v="2"/>
    <x v="3"/>
    <m/>
    <n v="3140"/>
    <n v="334126"/>
    <n v="106.40955414012738"/>
  </r>
  <r>
    <x v="1502"/>
    <s v="Sep"/>
    <x v="4"/>
    <s v="764 Main St"/>
    <x v="4"/>
    <x v="1"/>
    <n v="2"/>
    <n v="956"/>
    <n v="466471"/>
    <n v="487.94037656903765"/>
  </r>
  <r>
    <x v="3560"/>
    <s v="Feb"/>
    <x v="19"/>
    <s v="370 Oak St"/>
    <x v="2"/>
    <x v="3"/>
    <m/>
    <n v="1512"/>
    <n v="218975"/>
    <n v="144.82473544973544"/>
  </r>
  <r>
    <x v="3561"/>
    <s v="Nov"/>
    <x v="6"/>
    <s v="411 Oak St"/>
    <x v="3"/>
    <x v="1"/>
    <n v="5"/>
    <n v="893"/>
    <n v="539427"/>
    <n v="604.0615901455767"/>
  </r>
  <r>
    <x v="2621"/>
    <s v="Oct"/>
    <x v="1"/>
    <s v="831 Elm St"/>
    <x v="0"/>
    <x v="3"/>
    <m/>
    <n v="1925"/>
    <n v="328876"/>
    <n v="170.84467532467534"/>
  </r>
  <r>
    <x v="3562"/>
    <s v="May"/>
    <x v="0"/>
    <s v="361 Pine Rd"/>
    <x v="3"/>
    <x v="3"/>
    <m/>
    <n v="2975"/>
    <n v="122544"/>
    <n v="41.191260504201679"/>
  </r>
  <r>
    <x v="3563"/>
    <s v="Aug"/>
    <x v="5"/>
    <s v="681 Oak St"/>
    <x v="6"/>
    <x v="0"/>
    <n v="4"/>
    <n v="1349"/>
    <n v="102126"/>
    <n v="75.704966641957"/>
  </r>
  <r>
    <x v="603"/>
    <s v="Jul"/>
    <x v="14"/>
    <s v="325 Main St"/>
    <x v="3"/>
    <x v="1"/>
    <n v="4"/>
    <n v="1199"/>
    <n v="786987"/>
    <n v="656.36947456213511"/>
  </r>
  <r>
    <x v="3564"/>
    <s v="Mar"/>
    <x v="14"/>
    <s v="367 Maple Ave"/>
    <x v="1"/>
    <x v="0"/>
    <n v="3"/>
    <n v="2074"/>
    <n v="312547"/>
    <n v="150.6976856316297"/>
  </r>
  <r>
    <x v="1795"/>
    <s v="Dec"/>
    <x v="14"/>
    <s v="893 Pine Rd"/>
    <x v="6"/>
    <x v="1"/>
    <m/>
    <n v="2091"/>
    <n v="407503"/>
    <n v="194.88426590148254"/>
  </r>
  <r>
    <x v="1660"/>
    <s v="Jan"/>
    <x v="1"/>
    <s v="422 Pine Rd"/>
    <x v="2"/>
    <x v="1"/>
    <n v="4"/>
    <n v="2090"/>
    <n v="437860"/>
    <n v="209.50239234449759"/>
  </r>
  <r>
    <x v="3565"/>
    <s v="Aug"/>
    <x v="17"/>
    <s v="988 Oak St"/>
    <x v="0"/>
    <x v="2"/>
    <m/>
    <n v="1132"/>
    <n v="289618"/>
    <n v="255.84628975265016"/>
  </r>
  <r>
    <x v="1820"/>
    <s v="Dec"/>
    <x v="4"/>
    <s v="486 Main St"/>
    <x v="1"/>
    <x v="1"/>
    <m/>
    <n v="1247"/>
    <n v="622648"/>
    <n v="499.31676022453888"/>
  </r>
  <r>
    <x v="917"/>
    <s v="Jun"/>
    <x v="19"/>
    <s v="600 Maple Ave"/>
    <x v="6"/>
    <x v="3"/>
    <m/>
    <n v="1817"/>
    <n v="303951"/>
    <n v="167.28178315905339"/>
  </r>
  <r>
    <x v="1978"/>
    <s v="Feb"/>
    <x v="9"/>
    <s v="415 Maple Ave"/>
    <x v="4"/>
    <x v="3"/>
    <n v="5"/>
    <n v="2464"/>
    <n v="818259"/>
    <n v="332.08563311688312"/>
  </r>
  <r>
    <x v="1329"/>
    <s v="Aug"/>
    <x v="13"/>
    <s v="236 Main St"/>
    <x v="4"/>
    <x v="3"/>
    <n v="3"/>
    <n v="2296"/>
    <n v="311588"/>
    <n v="135.70905923344947"/>
  </r>
  <r>
    <x v="573"/>
    <s v="Dec"/>
    <x v="5"/>
    <s v="235 Main St"/>
    <x v="5"/>
    <x v="2"/>
    <n v="4"/>
    <n v="3448"/>
    <n v="614437"/>
    <n v="178.2009860788863"/>
  </r>
  <r>
    <x v="3566"/>
    <s v="Dec"/>
    <x v="5"/>
    <s v="584 Pine Rd"/>
    <x v="2"/>
    <x v="3"/>
    <m/>
    <n v="2414"/>
    <n v="183585"/>
    <n v="76.050124275062132"/>
  </r>
  <r>
    <x v="3567"/>
    <s v="Oct"/>
    <x v="7"/>
    <s v="219 Maple Ave"/>
    <x v="4"/>
    <x v="3"/>
    <m/>
    <n v="3002"/>
    <n v="668854"/>
    <n v="222.80279813457696"/>
  </r>
  <r>
    <x v="1073"/>
    <s v="Jul"/>
    <x v="7"/>
    <s v="857 Maple Ave"/>
    <x v="4"/>
    <x v="0"/>
    <m/>
    <n v="3212"/>
    <n v="869518"/>
    <n v="270.70921544209216"/>
  </r>
  <r>
    <x v="1245"/>
    <s v="Jul"/>
    <x v="13"/>
    <s v="909 Oak St"/>
    <x v="4"/>
    <x v="3"/>
    <n v="5"/>
    <n v="1619"/>
    <n v="805938"/>
    <n v="497.79987646695491"/>
  </r>
  <r>
    <x v="3568"/>
    <s v="Apr"/>
    <x v="7"/>
    <s v="587 Pine Rd"/>
    <x v="0"/>
    <x v="1"/>
    <m/>
    <n v="2389"/>
    <n v="516396"/>
    <n v="216.15571368773544"/>
  </r>
  <r>
    <x v="910"/>
    <s v="Jul"/>
    <x v="17"/>
    <s v="152 Pine Rd"/>
    <x v="3"/>
    <x v="1"/>
    <n v="4"/>
    <n v="3494"/>
    <n v="242344"/>
    <n v="69.360045792787631"/>
  </r>
  <r>
    <x v="3164"/>
    <s v="Sep"/>
    <x v="6"/>
    <s v="179 Maple Ave"/>
    <x v="3"/>
    <x v="0"/>
    <n v="3"/>
    <n v="2370"/>
    <n v="867849"/>
    <n v="366.18101265822787"/>
  </r>
  <r>
    <x v="1597"/>
    <s v="Jul"/>
    <x v="3"/>
    <s v="916 Maple Ave"/>
    <x v="5"/>
    <x v="2"/>
    <n v="5"/>
    <n v="1897"/>
    <n v="884425"/>
    <n v="466.222983658408"/>
  </r>
  <r>
    <x v="2839"/>
    <s v="Feb"/>
    <x v="3"/>
    <s v="639 Elm St"/>
    <x v="1"/>
    <x v="0"/>
    <m/>
    <n v="2736"/>
    <n v="767017"/>
    <n v="280.34247076023394"/>
  </r>
  <r>
    <x v="3569"/>
    <s v="Oct"/>
    <x v="10"/>
    <s v="476 Elm St"/>
    <x v="0"/>
    <x v="0"/>
    <n v="5"/>
    <n v="3204"/>
    <n v="690973"/>
    <n v="215.65948813982521"/>
  </r>
  <r>
    <x v="122"/>
    <s v="Dec"/>
    <x v="3"/>
    <s v="367 Pine Rd"/>
    <x v="0"/>
    <x v="0"/>
    <n v="4"/>
    <n v="2229"/>
    <n v="358646"/>
    <n v="160.89995513683266"/>
  </r>
  <r>
    <x v="3570"/>
    <s v="May"/>
    <x v="5"/>
    <s v="158 Elm St"/>
    <x v="0"/>
    <x v="3"/>
    <n v="4"/>
    <n v="2308"/>
    <n v="885235"/>
    <n v="383.55069324090124"/>
  </r>
  <r>
    <x v="639"/>
    <s v="Apr"/>
    <x v="13"/>
    <s v="875 Maple Ave"/>
    <x v="6"/>
    <x v="3"/>
    <n v="4"/>
    <n v="2125"/>
    <n v="668854"/>
    <n v="314.75482352941174"/>
  </r>
  <r>
    <x v="3571"/>
    <s v="Jun"/>
    <x v="9"/>
    <s v="841 Elm St"/>
    <x v="6"/>
    <x v="1"/>
    <n v="5"/>
    <n v="1514"/>
    <n v="144126"/>
    <n v="95.195508586525762"/>
  </r>
  <r>
    <x v="3572"/>
    <s v="Feb"/>
    <x v="4"/>
    <s v="800 Elm St"/>
    <x v="0"/>
    <x v="2"/>
    <m/>
    <n v="2243"/>
    <m/>
    <n v="0"/>
  </r>
  <r>
    <x v="3573"/>
    <s v="Jun"/>
    <x v="10"/>
    <s v="289 Oak St"/>
    <x v="4"/>
    <x v="2"/>
    <n v="5"/>
    <n v="1858"/>
    <n v="799352"/>
    <n v="430.22174381054896"/>
  </r>
  <r>
    <x v="2324"/>
    <s v="Mar"/>
    <x v="12"/>
    <s v="475 Elm St"/>
    <x v="4"/>
    <x v="0"/>
    <n v="4"/>
    <n v="3261"/>
    <n v="218444"/>
    <n v="66.986813860778909"/>
  </r>
  <r>
    <x v="2119"/>
    <s v="Jun"/>
    <x v="8"/>
    <s v="400 Pine Rd"/>
    <x v="4"/>
    <x v="1"/>
    <n v="2"/>
    <n v="851"/>
    <n v="584299"/>
    <n v="686.6028202115159"/>
  </r>
  <r>
    <x v="3574"/>
    <s v="Jun"/>
    <x v="5"/>
    <s v="490 Oak St"/>
    <x v="2"/>
    <x v="1"/>
    <m/>
    <n v="871"/>
    <n v="875527"/>
    <n v="1005.1974741676235"/>
  </r>
  <r>
    <x v="3575"/>
    <s v="May"/>
    <x v="2"/>
    <s v="235 Elm St"/>
    <x v="0"/>
    <x v="3"/>
    <n v="4"/>
    <n v="1868"/>
    <n v="444961"/>
    <n v="238.20182012847965"/>
  </r>
  <r>
    <x v="1469"/>
    <s v="Jan"/>
    <x v="8"/>
    <s v="618 Pine Rd"/>
    <x v="6"/>
    <x v="1"/>
    <n v="2"/>
    <n v="1052"/>
    <n v="630005"/>
    <n v="598.86406844106466"/>
  </r>
  <r>
    <x v="3515"/>
    <s v="Feb"/>
    <x v="17"/>
    <s v="156 Oak St"/>
    <x v="1"/>
    <x v="1"/>
    <n v="5"/>
    <n v="3279"/>
    <n v="289313"/>
    <n v="88.232082952119555"/>
  </r>
  <r>
    <x v="3576"/>
    <s v="Aug"/>
    <x v="5"/>
    <s v="159 Pine Rd"/>
    <x v="4"/>
    <x v="1"/>
    <m/>
    <n v="2707"/>
    <n v="692430"/>
    <n v="255.79239009974143"/>
  </r>
  <r>
    <x v="1314"/>
    <s v="Jan"/>
    <x v="9"/>
    <s v="438 Main St"/>
    <x v="3"/>
    <x v="2"/>
    <m/>
    <n v="977"/>
    <n v="248524"/>
    <n v="254.37461617195495"/>
  </r>
  <r>
    <x v="3552"/>
    <s v="Sep"/>
    <x v="5"/>
    <s v="152 Pine Rd"/>
    <x v="2"/>
    <x v="0"/>
    <m/>
    <n v="3429"/>
    <n v="434407"/>
    <n v="126.6862058909303"/>
  </r>
  <r>
    <x v="3194"/>
    <s v="Dec"/>
    <x v="16"/>
    <s v="914 Pine Rd"/>
    <x v="4"/>
    <x v="2"/>
    <m/>
    <n v="1521"/>
    <m/>
    <n v="0"/>
  </r>
  <r>
    <x v="3577"/>
    <s v="Sep"/>
    <x v="4"/>
    <s v="318 Elm St"/>
    <x v="1"/>
    <x v="2"/>
    <n v="3"/>
    <n v="3495"/>
    <n v="332829"/>
    <n v="95.230042918454942"/>
  </r>
  <r>
    <x v="3578"/>
    <s v="Jan"/>
    <x v="19"/>
    <s v="889 Elm St"/>
    <x v="3"/>
    <x v="2"/>
    <n v="3"/>
    <n v="1252"/>
    <n v="585483"/>
    <n v="467.63817891373805"/>
  </r>
  <r>
    <x v="159"/>
    <s v="Nov"/>
    <x v="8"/>
    <s v="817 Oak St"/>
    <x v="3"/>
    <x v="2"/>
    <n v="4"/>
    <n v="1460"/>
    <n v="883311"/>
    <n v="605.00753424657535"/>
  </r>
  <r>
    <x v="2025"/>
    <s v="Mar"/>
    <x v="7"/>
    <s v="687 Oak St"/>
    <x v="1"/>
    <x v="1"/>
    <n v="2"/>
    <n v="1507"/>
    <n v="182083"/>
    <n v="120.82481751824818"/>
  </r>
  <r>
    <x v="3579"/>
    <s v="Feb"/>
    <x v="19"/>
    <s v="606 Pine Rd"/>
    <x v="4"/>
    <x v="0"/>
    <m/>
    <n v="3358"/>
    <n v="143593"/>
    <n v="42.761465157832042"/>
  </r>
  <r>
    <x v="1273"/>
    <s v="May"/>
    <x v="19"/>
    <s v="468 Pine Rd"/>
    <x v="3"/>
    <x v="3"/>
    <n v="5"/>
    <n v="878"/>
    <n v="233166"/>
    <n v="265.56492027334849"/>
  </r>
  <r>
    <x v="3580"/>
    <s v="Oct"/>
    <x v="7"/>
    <s v="921 Oak St"/>
    <x v="6"/>
    <x v="0"/>
    <m/>
    <n v="814"/>
    <n v="232777"/>
    <n v="285.96683046683046"/>
  </r>
  <r>
    <x v="3581"/>
    <s v="Jun"/>
    <x v="9"/>
    <s v="315 Elm St"/>
    <x v="3"/>
    <x v="2"/>
    <n v="4"/>
    <n v="2835"/>
    <n v="809284"/>
    <n v="285.46172839506175"/>
  </r>
  <r>
    <x v="1701"/>
    <s v="Nov"/>
    <x v="8"/>
    <s v="650 Pine Rd"/>
    <x v="0"/>
    <x v="3"/>
    <n v="2"/>
    <n v="2231"/>
    <n v="484720"/>
    <n v="217.26580008964589"/>
  </r>
  <r>
    <x v="3582"/>
    <s v="Jun"/>
    <x v="11"/>
    <s v="335 Maple Ave"/>
    <x v="5"/>
    <x v="3"/>
    <m/>
    <n v="1061"/>
    <n v="626239"/>
    <n v="590.23468426013198"/>
  </r>
  <r>
    <x v="3583"/>
    <s v="Dec"/>
    <x v="17"/>
    <s v="797 Oak St"/>
    <x v="6"/>
    <x v="2"/>
    <n v="5"/>
    <n v="3279"/>
    <n v="572465"/>
    <n v="174.58523940225678"/>
  </r>
  <r>
    <x v="3584"/>
    <s v="Sep"/>
    <x v="6"/>
    <s v="229 Oak St"/>
    <x v="4"/>
    <x v="2"/>
    <n v="4"/>
    <n v="2363"/>
    <n v="257318"/>
    <n v="108.89462547608971"/>
  </r>
  <r>
    <x v="3585"/>
    <s v="Mar"/>
    <x v="10"/>
    <s v="218 Elm St"/>
    <x v="5"/>
    <x v="1"/>
    <n v="4"/>
    <n v="2638"/>
    <n v="822187"/>
    <n v="311.67058377558755"/>
  </r>
  <r>
    <x v="1395"/>
    <s v="Sep"/>
    <x v="10"/>
    <s v="609 Elm St"/>
    <x v="4"/>
    <x v="2"/>
    <m/>
    <n v="873"/>
    <n v="552483"/>
    <n v="632.85567010309273"/>
  </r>
  <r>
    <x v="2160"/>
    <s v="Feb"/>
    <x v="13"/>
    <s v="170 Elm St"/>
    <x v="0"/>
    <x v="3"/>
    <m/>
    <n v="2958"/>
    <n v="281582"/>
    <n v="95.193373901284659"/>
  </r>
  <r>
    <x v="3002"/>
    <s v="Jul"/>
    <x v="9"/>
    <s v="208 Maple Ave"/>
    <x v="3"/>
    <x v="1"/>
    <n v="4"/>
    <n v="2435"/>
    <n v="314870"/>
    <n v="129.3100616016427"/>
  </r>
  <r>
    <x v="3586"/>
    <s v="Mar"/>
    <x v="15"/>
    <s v="501 Pine Rd"/>
    <x v="1"/>
    <x v="2"/>
    <m/>
    <n v="1683"/>
    <n v="514683"/>
    <n v="305.81283422459893"/>
  </r>
  <r>
    <x v="3587"/>
    <s v="Dec"/>
    <x v="9"/>
    <s v="430 Maple Ave"/>
    <x v="1"/>
    <x v="3"/>
    <n v="5"/>
    <n v="1225"/>
    <n v="133422"/>
    <n v="108.91591836734693"/>
  </r>
  <r>
    <x v="924"/>
    <s v="Oct"/>
    <x v="5"/>
    <s v="463 Oak St"/>
    <x v="6"/>
    <x v="3"/>
    <m/>
    <n v="3097"/>
    <n v="237811"/>
    <n v="76.787536325476268"/>
  </r>
  <r>
    <x v="3588"/>
    <s v="Feb"/>
    <x v="6"/>
    <s v="410 Oak St"/>
    <x v="6"/>
    <x v="0"/>
    <n v="4"/>
    <n v="1108"/>
    <n v="467714"/>
    <n v="422.12454873646209"/>
  </r>
  <r>
    <x v="3108"/>
    <s v="Jan"/>
    <x v="2"/>
    <s v="509 Maple Ave"/>
    <x v="4"/>
    <x v="2"/>
    <m/>
    <n v="1918"/>
    <n v="646650"/>
    <n v="337.14807090719501"/>
  </r>
  <r>
    <x v="3589"/>
    <s v="Jan"/>
    <x v="7"/>
    <s v="113 Pine Rd"/>
    <x v="5"/>
    <x v="3"/>
    <m/>
    <n v="2933"/>
    <n v="791603"/>
    <n v="269.89532901466077"/>
  </r>
  <r>
    <x v="3590"/>
    <s v="May"/>
    <x v="19"/>
    <s v="895 Elm St"/>
    <x v="0"/>
    <x v="3"/>
    <n v="3"/>
    <n v="1586"/>
    <n v="249065"/>
    <n v="157.03972257250945"/>
  </r>
  <r>
    <x v="3591"/>
    <s v="Apr"/>
    <x v="10"/>
    <s v="462 Elm St"/>
    <x v="5"/>
    <x v="0"/>
    <m/>
    <n v="2720"/>
    <n v="692332"/>
    <n v="254.53382352941176"/>
  </r>
  <r>
    <x v="3592"/>
    <s v="Aug"/>
    <x v="7"/>
    <s v="854 Maple Ave"/>
    <x v="5"/>
    <x v="3"/>
    <n v="4"/>
    <n v="2770"/>
    <n v="688667"/>
    <n v="248.61624548736461"/>
  </r>
  <r>
    <x v="259"/>
    <s v="May"/>
    <x v="19"/>
    <s v="187 Elm St"/>
    <x v="3"/>
    <x v="1"/>
    <m/>
    <n v="3475"/>
    <n v="790191"/>
    <n v="227.39309352517986"/>
  </r>
  <r>
    <x v="3593"/>
    <s v="Dec"/>
    <x v="8"/>
    <s v="182 Pine Rd"/>
    <x v="2"/>
    <x v="0"/>
    <m/>
    <n v="1775"/>
    <n v="647815"/>
    <n v="364.96619718309859"/>
  </r>
  <r>
    <x v="3594"/>
    <s v="Jan"/>
    <x v="19"/>
    <s v="710 Maple Ave"/>
    <x v="1"/>
    <x v="1"/>
    <n v="5"/>
    <n v="1053"/>
    <n v="722594"/>
    <n v="686.224121557454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E866E-B4C0-4A7F-890B-0B63EE25B3E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49:B57" firstHeaderRow="1" firstDataRow="1" firstDataCol="1"/>
  <pivotFields count="12">
    <pivotField numFmtId="14" showAll="0">
      <items count="3596">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 t="default"/>
      </items>
    </pivotField>
    <pivotField showAll="0"/>
    <pivotField showAll="0"/>
    <pivotField showAll="0"/>
    <pivotField axis="axisRow" showAll="0" sortType="descending">
      <items count="8">
        <item x="1"/>
        <item x="2"/>
        <item x="3"/>
        <item x="0"/>
        <item x="6"/>
        <item x="5"/>
        <item x="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numFmtId="164"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s>
  <rowFields count="1">
    <field x="4"/>
  </rowFields>
  <rowItems count="8">
    <i>
      <x v="3"/>
    </i>
    <i>
      <x v="4"/>
    </i>
    <i>
      <x v="6"/>
    </i>
    <i>
      <x v="1"/>
    </i>
    <i>
      <x v="5"/>
    </i>
    <i>
      <x/>
    </i>
    <i>
      <x v="2"/>
    </i>
    <i t="grand">
      <x/>
    </i>
  </rowItems>
  <colItems count="1">
    <i/>
  </colItems>
  <dataFields count="1">
    <dataField name="Count of Sale_Price" fld="8" subtotal="count" baseField="4" baseItem="4"/>
  </dataFields>
  <chartFormats count="3">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14C9DD-AB8B-401E-8069-EDE381121B4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33:B41" firstHeaderRow="1" firstDataRow="1" firstDataCol="1"/>
  <pivotFields count="12">
    <pivotField numFmtId="14" showAll="0" defaultSubtotal="0">
      <items count="3595">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s>
    </pivotField>
    <pivotField showAll="0" defaultSubtotal="0"/>
    <pivotField showAll="0" sortType="ascending" defaultSubtotal="0">
      <items count="20">
        <item x="12"/>
        <item x="17"/>
        <item x="16"/>
        <item x="10"/>
        <item x="8"/>
        <item x="18"/>
        <item x="1"/>
        <item x="15"/>
        <item x="4"/>
        <item x="3"/>
        <item x="13"/>
        <item x="6"/>
        <item x="7"/>
        <item x="5"/>
        <item x="11"/>
        <item x="9"/>
        <item x="2"/>
        <item x="14"/>
        <item x="0"/>
        <item x="19"/>
      </items>
    </pivotField>
    <pivotField showAll="0" defaultSubtotal="0"/>
    <pivotField axis="axisRow" subtotalTop="0" showAll="0" sortType="descending" defaultSubtotal="0">
      <items count="7">
        <item x="4"/>
        <item x="5"/>
        <item x="6"/>
        <item x="0"/>
        <item x="3"/>
        <item x="2"/>
        <item x="1"/>
      </items>
      <autoSortScope>
        <pivotArea dataOnly="0" outline="0" fieldPosition="0">
          <references count="1">
            <reference field="4294967294" count="1" selected="0">
              <x v="0"/>
            </reference>
          </references>
        </pivotArea>
      </autoSortScope>
    </pivotField>
    <pivotField showAll="0" sortType="descending" defaultSubtotal="0">
      <items count="4">
        <item x="2"/>
        <item x="0"/>
        <item x="1"/>
        <item x="3"/>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showAll="0" defaultSubtotal="0"/>
    <pivotField numFmtId="164"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s>
    </pivotField>
  </pivotFields>
  <rowFields count="1">
    <field x="4"/>
  </rowFields>
  <rowItems count="8">
    <i>
      <x v="4"/>
    </i>
    <i>
      <x v="5"/>
    </i>
    <i>
      <x v="1"/>
    </i>
    <i>
      <x v="6"/>
    </i>
    <i>
      <x v="2"/>
    </i>
    <i>
      <x/>
    </i>
    <i>
      <x v="3"/>
    </i>
    <i t="grand">
      <x/>
    </i>
  </rowItems>
  <colItems count="1">
    <i/>
  </colItems>
  <dataFields count="1">
    <dataField name="Average of Sale_Price" fld="8" subtotal="average" baseField="2" baseItem="0" numFmtId="164"/>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917EF0-EB90-452C-9C97-6D1E16F899A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6:B24" firstHeaderRow="1" firstDataRow="1" firstDataCol="1"/>
  <pivotFields count="12">
    <pivotField numFmtId="14" showAll="0">
      <items count="3596">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 t="default"/>
      </items>
    </pivotField>
    <pivotField showAll="0"/>
    <pivotField showAll="0"/>
    <pivotField showAll="0"/>
    <pivotField axis="axisRow" showAll="0" sortType="descending">
      <items count="8">
        <item x="1"/>
        <item x="2"/>
        <item x="3"/>
        <item x="0"/>
        <item x="6"/>
        <item x="5"/>
        <item x="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numFmtId="164"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s>
  <rowFields count="1">
    <field x="4"/>
  </rowFields>
  <rowItems count="8">
    <i>
      <x v="1"/>
    </i>
    <i>
      <x v="2"/>
    </i>
    <i>
      <x v="4"/>
    </i>
    <i>
      <x/>
    </i>
    <i>
      <x v="6"/>
    </i>
    <i>
      <x v="5"/>
    </i>
    <i>
      <x v="3"/>
    </i>
    <i t="grand">
      <x/>
    </i>
  </rowItems>
  <colItems count="1">
    <i/>
  </colItems>
  <dataFields count="1">
    <dataField name="Average of Price Per Sq Ft" fld="9" subtotal="average" baseField="0" baseItem="0" numFmtId="2"/>
  </dataFields>
  <formats count="3">
    <format dxfId="216">
      <pivotArea collapsedLevelsAreSubtotals="1" fieldPosition="0">
        <references count="1">
          <reference field="4" count="1">
            <x v="4"/>
          </reference>
        </references>
      </pivotArea>
    </format>
    <format dxfId="217">
      <pivotArea outline="0" collapsedLevelsAreSubtotals="1" fieldPosition="0"/>
    </format>
    <format dxfId="2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1A68FB-6A18-4EB6-A61B-142C79B58D3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8:A9" firstHeaderRow="1" firstDataRow="1" firstDataCol="0"/>
  <pivotFields count="12">
    <pivotField numFmtId="14" showAll="0">
      <items count="3596">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 t="default"/>
      </items>
    </pivotField>
    <pivotField showAll="0"/>
    <pivotField showAll="0"/>
    <pivotField showAll="0"/>
    <pivotField showAll="0" sortType="ascending">
      <items count="8">
        <item x="1"/>
        <item x="2"/>
        <item x="3"/>
        <item x="0"/>
        <item x="6"/>
        <item x="5"/>
        <item x="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numFmtId="164"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s>
  <rowItems count="1">
    <i/>
  </rowItems>
  <colItems count="1">
    <i/>
  </colItems>
  <dataFields count="1">
    <dataField name="Count of Sale_Price" fld="8" subtotal="count" baseField="4" baseItem="4" numFmtId="3"/>
  </dataFields>
  <formats count="1">
    <format dxfId="219">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C0AE89-7027-4BD2-B58D-C20D07BD705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1:A2" firstHeaderRow="1" firstDataRow="1" firstDataCol="0"/>
  <pivotFields count="12">
    <pivotField numFmtId="14" showAll="0" defaultSubtotal="0">
      <items count="3595">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s>
    </pivotField>
    <pivotField showAll="0" defaultSubtotal="0"/>
    <pivotField showAll="0" sortType="ascending" defaultSubtotal="0">
      <items count="20">
        <item x="12"/>
        <item x="17"/>
        <item x="16"/>
        <item x="10"/>
        <item x="8"/>
        <item x="18"/>
        <item x="1"/>
        <item x="15"/>
        <item x="4"/>
        <item x="3"/>
        <item x="13"/>
        <item x="6"/>
        <item x="7"/>
        <item x="5"/>
        <item x="11"/>
        <item x="9"/>
        <item x="2"/>
        <item x="14"/>
        <item x="0"/>
        <item x="19"/>
      </items>
    </pivotField>
    <pivotField showAll="0" defaultSubtotal="0"/>
    <pivotField subtotalTop="0" showAll="0" defaultSubtotal="0">
      <items count="7">
        <item x="4"/>
        <item x="5"/>
        <item x="6"/>
        <item x="0"/>
        <item x="3"/>
        <item x="2"/>
        <item x="1"/>
      </items>
    </pivotField>
    <pivotField showAll="0" sortType="descending" defaultSubtotal="0">
      <items count="4">
        <item x="2"/>
        <item x="0"/>
        <item x="1"/>
        <item x="3"/>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showAll="0" defaultSubtotal="0"/>
    <pivotField numFmtId="164"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s>
    </pivotField>
  </pivotFields>
  <rowItems count="1">
    <i/>
  </rowItems>
  <colItems count="1">
    <i/>
  </colItems>
  <dataFields count="1">
    <dataField name="Average of Sale_Price" fld="8" subtotal="average" baseField="2" baseItem="0" numFmtId="164"/>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2A6EF4-AB98-4809-B959-B7348E444E8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3:B24" firstHeaderRow="1" firstDataRow="1" firstDataCol="1"/>
  <pivotFields count="12">
    <pivotField numFmtId="14" showAll="0" defaultSubtotal="0">
      <items count="3595">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s>
    </pivotField>
    <pivotField showAll="0" defaultSubtotal="0"/>
    <pivotField axis="axisRow" showAll="0" sortType="ascending" defaultSubtotal="0">
      <items count="20">
        <item x="12"/>
        <item x="17"/>
        <item x="16"/>
        <item x="10"/>
        <item x="8"/>
        <item x="18"/>
        <item x="1"/>
        <item x="15"/>
        <item x="4"/>
        <item x="3"/>
        <item x="13"/>
        <item x="6"/>
        <item x="7"/>
        <item x="5"/>
        <item x="11"/>
        <item x="9"/>
        <item x="2"/>
        <item x="14"/>
        <item x="0"/>
        <item x="19"/>
      </items>
    </pivotField>
    <pivotField showAll="0" defaultSubtotal="0"/>
    <pivotField subtotalTop="0" showAll="0" defaultSubtotal="0">
      <items count="7">
        <item x="4"/>
        <item x="5"/>
        <item x="6"/>
        <item x="0"/>
        <item x="3"/>
        <item x="2"/>
        <item x="1"/>
      </items>
    </pivotField>
    <pivotField showAll="0" sortType="descending" defaultSubtotal="0">
      <items count="4">
        <item x="2"/>
        <item x="0"/>
        <item x="1"/>
        <item x="3"/>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showAll="0" defaultSubtotal="0"/>
    <pivotField numFmtId="164"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Sale_Price" fld="8" subtotal="average" baseField="2" baseItem="0" numFmtId="164"/>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1A5D11-87E0-4F69-B7B2-A42765EDF3C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24" firstHeaderRow="1" firstDataRow="1" firstDataCol="1"/>
  <pivotFields count="12">
    <pivotField numFmtId="14" showAll="0">
      <items count="3596">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 t="default"/>
      </items>
    </pivotField>
    <pivotField showAll="0"/>
    <pivotField axis="axisRow" showAll="0" sortType="descending">
      <items count="21">
        <item x="19"/>
        <item x="0"/>
        <item x="14"/>
        <item x="2"/>
        <item x="9"/>
        <item x="11"/>
        <item x="5"/>
        <item x="7"/>
        <item x="6"/>
        <item x="13"/>
        <item x="3"/>
        <item x="4"/>
        <item x="15"/>
        <item x="1"/>
        <item x="18"/>
        <item x="8"/>
        <item x="10"/>
        <item x="16"/>
        <item x="17"/>
        <item x="12"/>
        <item t="default"/>
      </items>
      <autoSortScope>
        <pivotArea dataOnly="0" outline="0" fieldPosition="0">
          <references count="1">
            <reference field="4294967294" count="1" selected="0">
              <x v="0"/>
            </reference>
          </references>
        </pivotArea>
      </autoSortScope>
    </pivotField>
    <pivotField showAll="0"/>
    <pivotField showAll="0">
      <items count="8">
        <item x="4"/>
        <item x="5"/>
        <item x="6"/>
        <item x="0"/>
        <item x="3"/>
        <item x="2"/>
        <item x="1"/>
        <item t="default"/>
      </items>
    </pivotField>
    <pivotField showAll="0">
      <items count="5">
        <item x="2"/>
        <item x="0"/>
        <item x="1"/>
        <item x="3"/>
        <item t="default"/>
      </items>
    </pivotField>
    <pivotField showAll="0"/>
    <pivotField showAll="0"/>
    <pivotField dataField="1" showAll="0"/>
    <pivotField numFmtId="164"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s>
  <rowFields count="1">
    <field x="2"/>
  </rowFields>
  <rowItems count="21">
    <i>
      <x v="16"/>
    </i>
    <i>
      <x v="11"/>
    </i>
    <i>
      <x v="15"/>
    </i>
    <i>
      <x v="14"/>
    </i>
    <i>
      <x v="2"/>
    </i>
    <i>
      <x v="7"/>
    </i>
    <i>
      <x v="9"/>
    </i>
    <i>
      <x v="1"/>
    </i>
    <i>
      <x v="4"/>
    </i>
    <i>
      <x/>
    </i>
    <i>
      <x v="19"/>
    </i>
    <i>
      <x v="13"/>
    </i>
    <i>
      <x v="8"/>
    </i>
    <i>
      <x v="17"/>
    </i>
    <i>
      <x v="3"/>
    </i>
    <i>
      <x v="6"/>
    </i>
    <i>
      <x v="10"/>
    </i>
    <i>
      <x v="18"/>
    </i>
    <i>
      <x v="12"/>
    </i>
    <i>
      <x v="5"/>
    </i>
    <i t="grand">
      <x/>
    </i>
  </rowItems>
  <colItems count="1">
    <i/>
  </colItems>
  <dataFields count="1">
    <dataField name="Count of Sale_Price" fld="8" subtotal="count" baseField="2"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DB19D2-249A-42A5-9227-BB6B42A995D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11" firstHeaderRow="1" firstDataRow="1" firstDataCol="1"/>
  <pivotFields count="12">
    <pivotField numFmtId="14" showAll="0">
      <items count="3596">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 t="default"/>
      </items>
    </pivotField>
    <pivotField showAll="0"/>
    <pivotField showAll="0"/>
    <pivotField showAll="0"/>
    <pivotField axis="axisRow" showAll="0" sortType="ascending">
      <items count="8">
        <item x="1"/>
        <item x="2"/>
        <item x="3"/>
        <item x="0"/>
        <item x="6"/>
        <item x="5"/>
        <item x="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numFmtId="164"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s>
  <rowFields count="1">
    <field x="4"/>
  </rowFields>
  <rowItems count="8">
    <i>
      <x v="2"/>
    </i>
    <i>
      <x/>
    </i>
    <i>
      <x v="5"/>
    </i>
    <i>
      <x v="1"/>
    </i>
    <i>
      <x v="6"/>
    </i>
    <i>
      <x v="4"/>
    </i>
    <i>
      <x v="3"/>
    </i>
    <i t="grand">
      <x/>
    </i>
  </rowItems>
  <colItems count="1">
    <i/>
  </colItems>
  <dataFields count="1">
    <dataField name="Count of Sale_Price" fld="8" subtotal="count" baseField="4" baseItem="4"/>
  </dataFields>
  <chartFormats count="3">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DFAB1B-8438-441B-8781-472A4628226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11" firstHeaderRow="1" firstDataRow="1" firstDataCol="1"/>
  <pivotFields count="12">
    <pivotField numFmtId="14" showAll="0">
      <items count="3596">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 t="default"/>
      </items>
    </pivotField>
    <pivotField showAll="0"/>
    <pivotField showAll="0"/>
    <pivotField showAll="0"/>
    <pivotField axis="axisRow" showAll="0" sortType="ascending">
      <items count="8">
        <item x="1"/>
        <item x="2"/>
        <item x="3"/>
        <item x="0"/>
        <item x="6"/>
        <item x="5"/>
        <item x="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numFmtId="164" showAl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s>
  <rowFields count="1">
    <field x="4"/>
  </rowFields>
  <rowItems count="8">
    <i>
      <x v="3"/>
    </i>
    <i>
      <x v="6"/>
    </i>
    <i>
      <x v="4"/>
    </i>
    <i>
      <x/>
    </i>
    <i>
      <x v="5"/>
    </i>
    <i>
      <x v="1"/>
    </i>
    <i>
      <x v="2"/>
    </i>
    <i t="grand">
      <x/>
    </i>
  </rowItems>
  <colItems count="1">
    <i/>
  </colItems>
  <dataFields count="1">
    <dataField name="Average of Sale_Price" fld="8" subtotal="average" baseField="4" baseItem="6" numFmtId="16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155138-0944-48AE-ACDA-8016A8E2AFD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A3:B11" firstHeaderRow="1" firstDataRow="1" firstDataCol="1"/>
  <pivotFields count="12">
    <pivotField numFmtId="14" showAll="0" defaultSubtotal="0">
      <items count="3595">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s>
    </pivotField>
    <pivotField showAll="0" defaultSubtotal="0"/>
    <pivotField showAll="0" sortType="ascending" defaultSubtotal="0">
      <items count="20">
        <item x="12"/>
        <item x="17"/>
        <item x="16"/>
        <item x="10"/>
        <item x="8"/>
        <item x="18"/>
        <item x="1"/>
        <item x="15"/>
        <item x="4"/>
        <item x="3"/>
        <item x="13"/>
        <item x="6"/>
        <item x="7"/>
        <item x="5"/>
        <item x="11"/>
        <item x="9"/>
        <item x="2"/>
        <item x="14"/>
        <item x="0"/>
        <item x="19"/>
      </items>
    </pivotField>
    <pivotField showAll="0" defaultSubtotal="0"/>
    <pivotField axis="axisRow" subtotalTop="0" showAll="0" sortType="ascending" defaultSubtotal="0">
      <items count="7">
        <item x="4"/>
        <item x="5"/>
        <item x="6"/>
        <item x="0"/>
        <item x="3"/>
        <item x="2"/>
        <item x="1"/>
      </items>
      <autoSortScope>
        <pivotArea dataOnly="0" outline="0" fieldPosition="0">
          <references count="1">
            <reference field="4294967294" count="1" selected="0">
              <x v="0"/>
            </reference>
          </references>
        </pivotArea>
      </autoSortScope>
    </pivotField>
    <pivotField showAll="0" defaultSubtotal="0">
      <items count="4">
        <item x="2"/>
        <item x="0"/>
        <item x="1"/>
        <item x="3"/>
      </items>
    </pivotField>
    <pivotField showAll="0" defaultSubtotal="0"/>
    <pivotField showAll="0" defaultSubtotal="0"/>
    <pivotField showAll="0" defaultSubtotal="0"/>
    <pivotField dataField="1" numFmtId="164"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s>
    </pivotField>
  </pivotFields>
  <rowFields count="1">
    <field x="4"/>
  </rowFields>
  <rowItems count="8">
    <i>
      <x v="3"/>
    </i>
    <i>
      <x v="1"/>
    </i>
    <i>
      <x/>
    </i>
    <i>
      <x v="6"/>
    </i>
    <i>
      <x v="2"/>
    </i>
    <i>
      <x v="4"/>
    </i>
    <i>
      <x v="5"/>
    </i>
    <i t="grand">
      <x/>
    </i>
  </rowItems>
  <colItems count="1">
    <i/>
  </colItems>
  <dataFields count="1">
    <dataField name="Average of Price Per Sq Ft" fld="9" subtotal="average" baseField="4" baseItem="0" numFmtId="164"/>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FD2FEE-6580-45B3-B90F-1708347829C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8" firstHeaderRow="1" firstDataRow="1" firstDataCol="1"/>
  <pivotFields count="12">
    <pivotField numFmtId="14" showAll="0">
      <items count="3596">
        <item x="2248"/>
        <item x="2845"/>
        <item x="492"/>
        <item x="1839"/>
        <item x="2116"/>
        <item x="3085"/>
        <item x="2537"/>
        <item x="2569"/>
        <item x="1041"/>
        <item x="2220"/>
        <item x="864"/>
        <item x="346"/>
        <item x="242"/>
        <item x="3474"/>
        <item x="233"/>
        <item x="1932"/>
        <item x="2294"/>
        <item x="3461"/>
        <item x="3099"/>
        <item x="1200"/>
        <item x="914"/>
        <item x="1993"/>
        <item x="842"/>
        <item x="1634"/>
        <item x="3483"/>
        <item x="179"/>
        <item x="1714"/>
        <item x="1257"/>
        <item x="1871"/>
        <item x="3010"/>
        <item x="1824"/>
        <item x="717"/>
        <item x="612"/>
        <item x="1508"/>
        <item x="599"/>
        <item x="3455"/>
        <item x="2816"/>
        <item x="171"/>
        <item x="1325"/>
        <item x="3104"/>
        <item x="2021"/>
        <item x="2324"/>
        <item x="1401"/>
        <item x="158"/>
        <item x="3182"/>
        <item x="2002"/>
        <item x="879"/>
        <item x="1967"/>
        <item x="129"/>
        <item x="1412"/>
        <item x="451"/>
        <item x="3443"/>
        <item x="361"/>
        <item x="3305"/>
        <item x="1536"/>
        <item x="2873"/>
        <item x="413"/>
        <item x="851"/>
        <item x="978"/>
        <item x="2319"/>
        <item x="1631"/>
        <item x="2760"/>
        <item x="1414"/>
        <item x="2122"/>
        <item x="1367"/>
        <item x="907"/>
        <item x="1523"/>
        <item x="3163"/>
        <item x="853"/>
        <item x="35"/>
        <item x="2137"/>
        <item x="2332"/>
        <item x="2812"/>
        <item x="222"/>
        <item x="1466"/>
        <item x="69"/>
        <item x="3059"/>
        <item x="2525"/>
        <item x="1363"/>
        <item x="2547"/>
        <item x="1566"/>
        <item x="3052"/>
        <item x="3257"/>
        <item x="2366"/>
        <item x="2926"/>
        <item x="2182"/>
        <item x="1210"/>
        <item x="1433"/>
        <item x="1319"/>
        <item x="1919"/>
        <item x="3423"/>
        <item x="375"/>
        <item x="854"/>
        <item x="1369"/>
        <item x="135"/>
        <item x="2407"/>
        <item x="1219"/>
        <item x="765"/>
        <item x="2142"/>
        <item x="238"/>
        <item x="3274"/>
        <item x="1852"/>
        <item x="2301"/>
        <item x="1817"/>
        <item x="3143"/>
        <item x="1555"/>
        <item x="581"/>
        <item x="23"/>
        <item x="3366"/>
        <item x="1372"/>
        <item x="2018"/>
        <item x="3440"/>
        <item x="747"/>
        <item x="681"/>
        <item x="3030"/>
        <item x="1337"/>
        <item x="2667"/>
        <item x="3544"/>
        <item x="1757"/>
        <item x="1235"/>
        <item x="2934"/>
        <item x="667"/>
        <item x="1154"/>
        <item x="786"/>
        <item x="2832"/>
        <item x="2700"/>
        <item x="970"/>
        <item x="503"/>
        <item x="2555"/>
        <item x="1147"/>
        <item x="3497"/>
        <item x="994"/>
        <item x="1346"/>
        <item x="2606"/>
        <item x="1105"/>
        <item x="2553"/>
        <item x="2224"/>
        <item x="2939"/>
        <item x="2556"/>
        <item x="3230"/>
        <item x="1519"/>
        <item x="558"/>
        <item x="444"/>
        <item x="2889"/>
        <item x="1051"/>
        <item x="276"/>
        <item x="3056"/>
        <item x="3281"/>
        <item x="811"/>
        <item x="58"/>
        <item x="2912"/>
        <item x="174"/>
        <item x="3353"/>
        <item x="50"/>
        <item x="2976"/>
        <item x="808"/>
        <item x="1724"/>
        <item x="459"/>
        <item x="3458"/>
        <item x="948"/>
        <item x="344"/>
        <item x="2230"/>
        <item x="3186"/>
        <item x="576"/>
        <item x="74"/>
        <item x="2642"/>
        <item x="1250"/>
        <item x="3503"/>
        <item x="257"/>
        <item x="1166"/>
        <item x="1342"/>
        <item x="2721"/>
        <item x="267"/>
        <item x="794"/>
        <item x="2550"/>
        <item x="980"/>
        <item x="494"/>
        <item x="2648"/>
        <item x="389"/>
        <item x="2493"/>
        <item x="3035"/>
        <item x="1665"/>
        <item x="462"/>
        <item x="3349"/>
        <item x="2970"/>
        <item x="2617"/>
        <item x="1282"/>
        <item x="977"/>
        <item x="3015"/>
        <item x="3469"/>
        <item x="711"/>
        <item x="395"/>
        <item x="773"/>
        <item x="1975"/>
        <item x="2920"/>
        <item x="2185"/>
        <item x="2258"/>
        <item x="1756"/>
        <item x="1489"/>
        <item x="758"/>
        <item x="3515"/>
        <item x="2800"/>
        <item x="956"/>
        <item x="3365"/>
        <item x="737"/>
        <item x="1080"/>
        <item x="2598"/>
        <item x="2410"/>
        <item x="2242"/>
        <item x="1120"/>
        <item x="725"/>
        <item x="664"/>
        <item x="1309"/>
        <item x="3144"/>
        <item x="2394"/>
        <item x="1011"/>
        <item x="834"/>
        <item x="1694"/>
        <item x="2431"/>
        <item x="3540"/>
        <item x="2483"/>
        <item x="3241"/>
        <item x="947"/>
        <item x="2843"/>
        <item x="121"/>
        <item x="2007"/>
        <item x="56"/>
        <item x="1772"/>
        <item x="3021"/>
        <item x="1916"/>
        <item x="824"/>
        <item x="1782"/>
        <item x="2079"/>
        <item x="690"/>
        <item x="700"/>
        <item x="1896"/>
        <item x="1280"/>
        <item x="172"/>
        <item x="2118"/>
        <item x="2580"/>
        <item x="3033"/>
        <item x="868"/>
        <item x="822"/>
        <item x="2735"/>
        <item x="2377"/>
        <item x="318"/>
        <item x="704"/>
        <item x="3157"/>
        <item x="1259"/>
        <item x="1116"/>
        <item x="966"/>
        <item x="3233"/>
        <item x="2779"/>
        <item x="1979"/>
        <item x="351"/>
        <item x="3490"/>
        <item x="1779"/>
        <item x="2373"/>
        <item x="2176"/>
        <item x="1098"/>
        <item x="2354"/>
        <item x="1460"/>
        <item x="1194"/>
        <item x="1986"/>
        <item x="1517"/>
        <item x="3369"/>
        <item x="1521"/>
        <item x="1995"/>
        <item x="2597"/>
        <item x="1607"/>
        <item x="910"/>
        <item x="518"/>
        <item x="1778"/>
        <item x="1678"/>
        <item x="3466"/>
        <item x="3023"/>
        <item x="447"/>
        <item x="1920"/>
        <item x="3565"/>
        <item x="300"/>
        <item x="883"/>
        <item x="825"/>
        <item x="1934"/>
        <item x="1409"/>
        <item x="2285"/>
        <item x="1545"/>
        <item x="355"/>
        <item x="2947"/>
        <item x="2640"/>
        <item x="3337"/>
        <item x="1562"/>
        <item x="464"/>
        <item x="3168"/>
        <item x="2971"/>
        <item x="1686"/>
        <item x="1434"/>
        <item x="918"/>
        <item x="235"/>
        <item x="863"/>
        <item x="968"/>
        <item x="2040"/>
        <item x="1470"/>
        <item x="368"/>
        <item x="3019"/>
        <item x="3438"/>
        <item x="1848"/>
        <item x="1509"/>
        <item x="2439"/>
        <item x="1873"/>
        <item x="104"/>
        <item x="1743"/>
        <item x="3367"/>
        <item x="2921"/>
        <item x="2190"/>
        <item x="127"/>
        <item x="463"/>
        <item x="381"/>
        <item x="2707"/>
        <item x="2905"/>
        <item x="2370"/>
        <item x="989"/>
        <item x="167"/>
        <item x="2145"/>
        <item x="2108"/>
        <item x="2169"/>
        <item x="2611"/>
        <item x="2663"/>
        <item x="3312"/>
        <item x="992"/>
        <item x="757"/>
        <item x="1419"/>
        <item x="2804"/>
        <item x="2769"/>
        <item x="64"/>
        <item x="701"/>
        <item x="400"/>
        <item x="2071"/>
        <item x="3177"/>
        <item x="2574"/>
        <item x="38"/>
        <item x="475"/>
        <item x="3278"/>
        <item x="2334"/>
        <item x="2211"/>
        <item x="2188"/>
        <item x="1055"/>
        <item x="3583"/>
        <item x="2603"/>
        <item x="1495"/>
        <item x="1559"/>
        <item x="3112"/>
        <item x="826"/>
        <item x="1601"/>
        <item x="2199"/>
        <item x="2551"/>
        <item x="2543"/>
        <item x="1203"/>
        <item x="2894"/>
        <item x="2622"/>
        <item x="1610"/>
        <item x="2482"/>
        <item x="2094"/>
        <item x="273"/>
        <item x="858"/>
        <item x="549"/>
        <item x="290"/>
        <item x="1341"/>
        <item x="356"/>
        <item x="624"/>
        <item x="2674"/>
        <item x="1695"/>
        <item x="452"/>
        <item x="208"/>
        <item x="169"/>
        <item x="321"/>
        <item x="1880"/>
        <item x="592"/>
        <item x="1611"/>
        <item x="798"/>
        <item x="801"/>
        <item x="1752"/>
        <item x="2081"/>
        <item x="850"/>
        <item x="2510"/>
        <item x="190"/>
        <item x="1128"/>
        <item x="2807"/>
        <item x="1764"/>
        <item x="2948"/>
        <item x="1691"/>
        <item x="3504"/>
        <item x="2054"/>
        <item x="1599"/>
        <item x="1297"/>
        <item x="2857"/>
        <item x="804"/>
        <item x="2317"/>
        <item x="2003"/>
        <item x="2978"/>
        <item x="2508"/>
        <item x="2335"/>
        <item x="2651"/>
        <item x="1308"/>
        <item x="3140"/>
        <item x="3005"/>
        <item x="3417"/>
        <item x="3518"/>
        <item x="2257"/>
        <item x="2168"/>
        <item x="656"/>
        <item x="196"/>
        <item x="3009"/>
        <item x="1595"/>
        <item x="441"/>
        <item x="2383"/>
        <item x="2058"/>
        <item x="1022"/>
        <item x="237"/>
        <item x="185"/>
        <item x="2747"/>
        <item x="940"/>
        <item x="3316"/>
        <item x="3237"/>
        <item x="1142"/>
        <item x="1627"/>
        <item x="642"/>
        <item x="164"/>
        <item x="895"/>
        <item x="3448"/>
        <item x="1894"/>
        <item x="1768"/>
        <item x="2206"/>
        <item x="2085"/>
        <item x="2158"/>
        <item x="2846"/>
        <item x="919"/>
        <item x="2856"/>
        <item x="284"/>
        <item x="570"/>
        <item x="37"/>
        <item x="2591"/>
        <item x="2484"/>
        <item x="339"/>
        <item x="1336"/>
        <item x="1182"/>
        <item x="3393"/>
        <item x="2316"/>
        <item x="308"/>
        <item x="688"/>
        <item x="360"/>
        <item x="547"/>
        <item x="405"/>
        <item x="1481"/>
        <item x="2326"/>
        <item x="3390"/>
        <item x="3376"/>
        <item x="936"/>
        <item x="2384"/>
        <item x="2872"/>
        <item x="3178"/>
        <item x="1032"/>
        <item x="556"/>
        <item x="1647"/>
        <item x="2605"/>
        <item x="511"/>
        <item x="3204"/>
        <item x="1877"/>
        <item x="1012"/>
        <item x="367"/>
        <item x="2877"/>
        <item x="695"/>
        <item x="3138"/>
        <item x="3054"/>
        <item x="2841"/>
        <item x="2708"/>
        <item x="1177"/>
        <item x="1450"/>
        <item x="2008"/>
        <item x="2665"/>
        <item x="1075"/>
        <item x="2560"/>
        <item x="374"/>
        <item x="382"/>
        <item x="2430"/>
        <item x="2544"/>
        <item x="1765"/>
        <item x="3328"/>
        <item x="1677"/>
        <item x="2123"/>
        <item x="2307"/>
        <item x="2243"/>
        <item x="471"/>
        <item x="1382"/>
        <item x="470"/>
        <item x="289"/>
        <item x="1067"/>
        <item x="1878"/>
        <item x="1594"/>
        <item x="1969"/>
        <item x="984"/>
        <item x="1968"/>
        <item x="796"/>
        <item x="686"/>
        <item x="3199"/>
        <item x="1655"/>
        <item x="1083"/>
        <item x="2514"/>
        <item x="1801"/>
        <item x="2161"/>
        <item x="897"/>
        <item x="3116"/>
        <item x="1992"/>
        <item x="1361"/>
        <item x="1706"/>
        <item x="3194"/>
        <item x="2579"/>
        <item x="2989"/>
        <item x="1034"/>
        <item x="388"/>
        <item x="616"/>
        <item x="2851"/>
        <item x="991"/>
        <item x="90"/>
        <item x="1776"/>
        <item x="959"/>
        <item x="644"/>
        <item x="3051"/>
        <item x="2244"/>
        <item x="1991"/>
        <item x="85"/>
        <item x="1549"/>
        <item x="2231"/>
        <item x="3115"/>
        <item x="1289"/>
        <item x="2709"/>
        <item x="2114"/>
        <item x="3036"/>
        <item x="2308"/>
        <item x="3315"/>
        <item x="2791"/>
        <item x="168"/>
        <item x="1737"/>
        <item x="2500"/>
        <item x="1261"/>
        <item x="3517"/>
        <item x="3402"/>
        <item x="1755"/>
        <item x="1392"/>
        <item x="1053"/>
        <item x="655"/>
        <item x="887"/>
        <item x="3291"/>
        <item x="94"/>
        <item x="1274"/>
        <item x="2184"/>
        <item x="1020"/>
        <item x="255"/>
        <item x="2136"/>
        <item x="2016"/>
        <item x="2050"/>
        <item x="3585"/>
        <item x="398"/>
        <item x="2466"/>
        <item x="1104"/>
        <item x="89"/>
        <item x="3225"/>
        <item x="2328"/>
        <item x="2129"/>
        <item x="2737"/>
        <item x="1809"/>
        <item x="2133"/>
        <item x="1178"/>
        <item x="21"/>
        <item x="220"/>
        <item x="732"/>
        <item x="2974"/>
        <item x="1163"/>
        <item x="2440"/>
        <item x="762"/>
        <item x="1608"/>
        <item x="714"/>
        <item x="1227"/>
        <item x="3018"/>
        <item x="3591"/>
        <item x="3078"/>
        <item x="2554"/>
        <item x="1106"/>
        <item x="2588"/>
        <item x="929"/>
        <item x="481"/>
        <item x="3092"/>
        <item x="1317"/>
        <item x="987"/>
        <item x="245"/>
        <item x="736"/>
        <item x="3422"/>
        <item x="1636"/>
        <item x="2659"/>
        <item x="1964"/>
        <item x="2745"/>
        <item x="3459"/>
        <item x="2033"/>
        <item x="3573"/>
        <item x="2595"/>
        <item x="2506"/>
        <item x="3093"/>
        <item x="3148"/>
        <item x="3077"/>
        <item x="460"/>
        <item x="1449"/>
        <item x="579"/>
        <item x="2680"/>
        <item x="3407"/>
        <item x="1189"/>
        <item x="359"/>
        <item x="2386"/>
        <item x="2558"/>
        <item x="2994"/>
        <item x="696"/>
        <item x="3277"/>
        <item x="2504"/>
        <item x="43"/>
        <item x="3262"/>
        <item x="1479"/>
        <item x="1759"/>
        <item x="2415"/>
        <item x="600"/>
        <item x="2583"/>
        <item x="1741"/>
        <item x="1891"/>
        <item x="3437"/>
        <item x="3209"/>
        <item x="1370"/>
        <item x="2962"/>
        <item x="313"/>
        <item x="2408"/>
        <item x="2104"/>
        <item x="1616"/>
        <item x="3535"/>
        <item x="1249"/>
        <item x="2062"/>
        <item x="964"/>
        <item x="18"/>
        <item x="3382"/>
        <item x="2995"/>
        <item x="1876"/>
        <item x="3317"/>
        <item x="1000"/>
        <item x="1118"/>
        <item x="2850"/>
        <item x="712"/>
        <item x="1842"/>
        <item x="2625"/>
        <item x="166"/>
        <item x="2498"/>
        <item x="2478"/>
        <item x="534"/>
        <item x="3555"/>
        <item x="2494"/>
        <item x="2883"/>
        <item x="1299"/>
        <item x="415"/>
        <item x="3201"/>
        <item x="604"/>
        <item x="1395"/>
        <item x="2718"/>
        <item x="815"/>
        <item x="1100"/>
        <item x="210"/>
        <item x="583"/>
        <item x="3089"/>
        <item x="3569"/>
        <item x="3285"/>
        <item x="77"/>
        <item x="1208"/>
        <item x="1567"/>
        <item x="1195"/>
        <item x="440"/>
        <item x="3043"/>
        <item x="2288"/>
        <item x="1783"/>
        <item x="1982"/>
        <item x="2323"/>
        <item x="2080"/>
        <item x="855"/>
        <item x="3100"/>
        <item x="326"/>
        <item x="487"/>
        <item x="845"/>
        <item x="3340"/>
        <item x="1675"/>
        <item x="3008"/>
        <item x="2751"/>
        <item x="3512"/>
        <item x="2787"/>
        <item x="2706"/>
        <item x="726"/>
        <item x="1122"/>
        <item x="2863"/>
        <item x="1564"/>
        <item x="1632"/>
        <item x="2047"/>
        <item x="1212"/>
        <item x="2575"/>
        <item x="1223"/>
        <item x="2618"/>
        <item x="2427"/>
        <item x="3396"/>
        <item x="646"/>
        <item x="3524"/>
        <item x="2473"/>
        <item x="650"/>
        <item x="1276"/>
        <item x="1321"/>
        <item x="1728"/>
        <item x="3401"/>
        <item x="3205"/>
        <item x="2020"/>
        <item x="3196"/>
        <item x="2932"/>
        <item x="2400"/>
        <item x="87"/>
        <item x="1863"/>
        <item x="608"/>
        <item x="1663"/>
        <item x="2852"/>
        <item x="3192"/>
        <item x="3434"/>
        <item x="1469"/>
        <item x="2479"/>
        <item x="2529"/>
        <item x="136"/>
        <item x="2723"/>
        <item x="1661"/>
        <item x="873"/>
        <item x="1628"/>
        <item x="840"/>
        <item x="753"/>
        <item x="2922"/>
        <item x="2531"/>
        <item x="3254"/>
        <item x="81"/>
        <item x="1498"/>
        <item x="1028"/>
        <item x="2339"/>
        <item x="1805"/>
        <item x="871"/>
        <item x="900"/>
        <item x="555"/>
        <item x="3119"/>
        <item x="2880"/>
        <item x="1134"/>
        <item x="3260"/>
        <item x="1784"/>
        <item x="3253"/>
        <item x="541"/>
        <item x="654"/>
        <item x="1036"/>
        <item x="742"/>
        <item x="1427"/>
        <item x="2689"/>
        <item x="317"/>
        <item x="406"/>
        <item x="1387"/>
        <item x="598"/>
        <item x="78"/>
        <item x="3344"/>
        <item x="2038"/>
        <item x="1008"/>
        <item x="2549"/>
        <item x="1738"/>
        <item x="862"/>
        <item x="2516"/>
        <item x="674"/>
        <item x="1140"/>
        <item x="1590"/>
        <item x="20"/>
        <item x="3347"/>
        <item x="3039"/>
        <item x="1514"/>
        <item x="1604"/>
        <item x="1161"/>
        <item x="2645"/>
        <item x="1542"/>
        <item x="906"/>
        <item x="199"/>
        <item x="2380"/>
        <item x="3533"/>
        <item x="3028"/>
        <item x="1160"/>
        <item x="2942"/>
        <item x="1635"/>
        <item x="3357"/>
        <item x="2615"/>
        <item x="2972"/>
        <item x="1923"/>
        <item x="738"/>
        <item x="3146"/>
        <item x="1939"/>
        <item x="831"/>
        <item x="2119"/>
        <item x="296"/>
        <item x="2585"/>
        <item x="2649"/>
        <item x="683"/>
        <item x="2306"/>
        <item x="3017"/>
        <item x="2097"/>
        <item x="3333"/>
        <item x="2943"/>
        <item x="643"/>
        <item x="2688"/>
        <item x="1483"/>
        <item x="2277"/>
        <item x="1727"/>
        <item x="443"/>
        <item x="678"/>
        <item x="3167"/>
        <item x="1563"/>
        <item x="1990"/>
        <item x="1126"/>
        <item x="342"/>
        <item x="1708"/>
        <item x="2958"/>
        <item x="3508"/>
        <item x="1290"/>
        <item x="1908"/>
        <item x="193"/>
        <item x="1528"/>
        <item x="1380"/>
        <item x="3174"/>
        <item x="228"/>
        <item x="1109"/>
        <item x="577"/>
        <item x="1058"/>
        <item x="154"/>
        <item x="1183"/>
        <item x="1808"/>
        <item x="253"/>
        <item x="1580"/>
        <item x="2251"/>
        <item x="3309"/>
        <item x="453"/>
        <item x="3014"/>
        <item x="1883"/>
        <item x="3123"/>
        <item x="3190"/>
        <item x="482"/>
        <item x="254"/>
        <item x="25"/>
        <item x="1040"/>
        <item x="2993"/>
        <item x="131"/>
        <item x="3374"/>
        <item x="1760"/>
        <item x="2799"/>
        <item x="776"/>
        <item x="1331"/>
        <item x="1844"/>
        <item x="67"/>
        <item x="2869"/>
        <item x="3264"/>
        <item x="2917"/>
        <item x="3283"/>
        <item x="2840"/>
        <item x="816"/>
        <item x="57"/>
        <item x="2087"/>
        <item x="1701"/>
        <item x="3066"/>
        <item x="2262"/>
        <item x="159"/>
        <item x="958"/>
        <item x="1851"/>
        <item x="112"/>
        <item x="2916"/>
        <item x="1553"/>
        <item x="1612"/>
        <item x="1277"/>
        <item x="1233"/>
        <item x="3195"/>
        <item x="672"/>
        <item x="3208"/>
        <item x="3593"/>
        <item x="2095"/>
        <item x="2825"/>
        <item x="625"/>
        <item x="11"/>
        <item x="1799"/>
        <item x="2434"/>
        <item x="2517"/>
        <item x="2860"/>
        <item x="353"/>
        <item x="3171"/>
        <item x="2411"/>
        <item x="3296"/>
        <item x="48"/>
        <item x="2703"/>
        <item x="2914"/>
        <item x="1662"/>
        <item x="3444"/>
        <item x="1420"/>
        <item x="2428"/>
        <item x="2953"/>
        <item x="1158"/>
        <item x="467"/>
        <item x="3301"/>
        <item x="1446"/>
        <item x="878"/>
        <item x="1281"/>
        <item x="2740"/>
        <item x="1750"/>
        <item x="1534"/>
        <item x="1296"/>
        <item x="2546"/>
        <item x="2144"/>
        <item x="1350"/>
        <item x="985"/>
        <item x="2253"/>
        <item x="292"/>
        <item x="271"/>
        <item x="2147"/>
        <item x="1099"/>
        <item x="2150"/>
        <item x="2711"/>
        <item x="2065"/>
        <item x="979"/>
        <item x="2630"/>
        <item x="1679"/>
        <item x="1234"/>
        <item x="2893"/>
        <item x="2521"/>
        <item x="767"/>
        <item x="934"/>
        <item x="1209"/>
        <item x="1672"/>
        <item x="3534"/>
        <item x="1910"/>
        <item x="107"/>
        <item x="2613"/>
        <item x="1941"/>
        <item x="207"/>
        <item x="1458"/>
        <item x="1745"/>
        <item x="749"/>
        <item x="1955"/>
        <item x="2788"/>
        <item x="2353"/>
        <item x="1476"/>
        <item x="274"/>
        <item x="2741"/>
        <item x="1739"/>
        <item x="1734"/>
        <item x="2163"/>
        <item x="636"/>
        <item x="2564"/>
        <item x="272"/>
        <item x="661"/>
        <item x="3079"/>
        <item x="866"/>
        <item x="566"/>
        <item x="2600"/>
        <item x="1263"/>
        <item x="1740"/>
        <item x="72"/>
        <item x="2480"/>
        <item x="1630"/>
        <item x="3550"/>
        <item x="1989"/>
        <item x="1868"/>
        <item x="584"/>
        <item x="3129"/>
        <item x="1044"/>
        <item x="3155"/>
        <item x="539"/>
        <item x="1050"/>
        <item x="2299"/>
        <item x="1472"/>
        <item x="2041"/>
        <item x="1787"/>
        <item x="2135"/>
        <item x="1766"/>
        <item x="1511"/>
        <item x="1102"/>
        <item x="1162"/>
        <item x="2973"/>
        <item x="572"/>
        <item x="2604"/>
        <item x="323"/>
        <item x="2884"/>
        <item x="3427"/>
        <item x="2902"/>
        <item x="1767"/>
        <item x="1451"/>
        <item x="195"/>
        <item x="1689"/>
        <item x="3125"/>
        <item x="3286"/>
        <item x="2001"/>
        <item x="2627"/>
        <item x="1965"/>
        <item x="2486"/>
        <item x="791"/>
        <item x="3275"/>
        <item x="1499"/>
        <item x="2120"/>
        <item x="590"/>
        <item x="3203"/>
        <item x="800"/>
        <item x="2683"/>
        <item x="2218"/>
        <item x="2463"/>
        <item x="729"/>
        <item x="1906"/>
        <item x="466"/>
        <item x="2338"/>
        <item x="1320"/>
        <item x="2151"/>
        <item x="1002"/>
        <item x="3383"/>
        <item x="1541"/>
        <item x="3218"/>
        <item x="2376"/>
        <item x="194"/>
        <item x="2956"/>
        <item x="1618"/>
        <item x="2009"/>
        <item x="3038"/>
        <item x="264"/>
        <item x="251"/>
        <item x="809"/>
        <item x="1139"/>
        <item x="1605"/>
        <item x="1593"/>
        <item x="198"/>
        <item x="899"/>
        <item x="3451"/>
        <item x="403"/>
        <item x="2442"/>
        <item x="1729"/>
        <item x="1792"/>
        <item x="1846"/>
        <item x="875"/>
        <item x="458"/>
        <item x="3049"/>
        <item x="324"/>
        <item x="1169"/>
        <item x="2031"/>
        <item x="2767"/>
        <item x="61"/>
        <item x="2314"/>
        <item x="3482"/>
        <item x="1082"/>
        <item x="817"/>
        <item x="3511"/>
        <item x="2091"/>
        <item x="2111"/>
        <item x="627"/>
        <item x="2793"/>
        <item x="1557"/>
        <item x="1056"/>
        <item x="2986"/>
        <item x="2702"/>
        <item x="3128"/>
        <item x="1304"/>
        <item x="2043"/>
        <item x="2608"/>
        <item x="2086"/>
        <item x="2757"/>
        <item x="3105"/>
        <item x="2264"/>
        <item x="1802"/>
        <item x="2341"/>
        <item x="1858"/>
        <item x="477"/>
        <item x="3468"/>
        <item x="3556"/>
        <item x="595"/>
        <item x="2205"/>
        <item x="1676"/>
        <item x="2742"/>
        <item x="2347"/>
        <item x="777"/>
        <item x="1421"/>
        <item x="1892"/>
        <item x="83"/>
        <item x="3197"/>
        <item x="2348"/>
        <item x="1831"/>
        <item x="2361"/>
        <item x="1963"/>
        <item x="1394"/>
        <item x="1307"/>
        <item x="2382"/>
        <item x="1660"/>
        <item x="2657"/>
        <item x="3465"/>
        <item x="886"/>
        <item x="1014"/>
        <item x="2838"/>
        <item x="2322"/>
        <item x="2269"/>
        <item x="981"/>
        <item x="100"/>
        <item x="860"/>
        <item x="2646"/>
        <item x="3478"/>
        <item x="1456"/>
        <item x="1912"/>
        <item x="105"/>
        <item x="1432"/>
        <item x="3150"/>
        <item x="2060"/>
        <item x="3184"/>
        <item x="708"/>
        <item x="1206"/>
        <item x="3332"/>
        <item x="2820"/>
        <item x="1133"/>
        <item x="2457"/>
        <item x="2225"/>
        <item x="1428"/>
        <item x="2035"/>
        <item x="3048"/>
        <item x="2754"/>
        <item x="3061"/>
        <item x="790"/>
        <item x="2282"/>
        <item x="1052"/>
        <item x="3375"/>
        <item x="913"/>
        <item x="3387"/>
        <item x="1769"/>
        <item x="912"/>
        <item x="468"/>
        <item x="1086"/>
        <item x="3280"/>
        <item x="2098"/>
        <item x="896"/>
        <item x="2110"/>
        <item x="3484"/>
        <item x="2589"/>
        <item x="622"/>
        <item x="610"/>
        <item x="3507"/>
        <item x="882"/>
        <item x="3234"/>
        <item x="671"/>
        <item x="330"/>
        <item x="2053"/>
        <item x="2208"/>
        <item x="3272"/>
        <item x="3499"/>
        <item x="423"/>
        <item x="557"/>
        <item x="2004"/>
        <item x="1188"/>
        <item x="3363"/>
        <item x="1462"/>
        <item x="1504"/>
        <item x="635"/>
        <item x="1021"/>
        <item x="741"/>
        <item x="3113"/>
        <item x="232"/>
        <item x="234"/>
        <item x="1944"/>
        <item x="2072"/>
        <item x="2781"/>
        <item x="1699"/>
        <item x="246"/>
        <item x="2289"/>
        <item x="1796"/>
        <item x="535"/>
        <item x="95"/>
        <item x="3452"/>
        <item x="144"/>
        <item x="1001"/>
        <item x="2413"/>
        <item x="1763"/>
        <item x="3094"/>
        <item x="1680"/>
        <item x="3214"/>
        <item x="2417"/>
        <item x="1101"/>
        <item x="563"/>
        <item x="217"/>
        <item x="922"/>
        <item x="1484"/>
        <item x="2776"/>
        <item x="802"/>
        <item x="439"/>
        <item x="1"/>
        <item x="371"/>
        <item x="2166"/>
        <item x="2919"/>
        <item x="17"/>
        <item x="2898"/>
        <item x="746"/>
        <item x="1023"/>
        <item x="2542"/>
        <item x="2099"/>
        <item x="1145"/>
        <item x="2491"/>
        <item x="2522"/>
        <item x="288"/>
        <item x="1658"/>
        <item x="1830"/>
        <item x="2661"/>
        <item x="52"/>
        <item x="1890"/>
        <item x="2907"/>
        <item x="2450"/>
        <item x="2331"/>
        <item x="1352"/>
        <item x="1255"/>
        <item x="2209"/>
        <item x="885"/>
        <item x="134"/>
        <item x="1512"/>
        <item x="652"/>
        <item x="2424"/>
        <item x="3541"/>
        <item x="184"/>
        <item x="1570"/>
        <item x="2621"/>
        <item x="2292"/>
        <item x="111"/>
        <item x="2221"/>
        <item x="909"/>
        <item x="810"/>
        <item x="1344"/>
        <item x="1113"/>
        <item x="22"/>
        <item x="2476"/>
        <item x="15"/>
        <item x="2228"/>
        <item x="3087"/>
        <item x="151"/>
        <item x="3546"/>
        <item x="3341"/>
        <item x="3212"/>
        <item x="97"/>
        <item x="1354"/>
        <item x="2868"/>
        <item x="697"/>
        <item x="2897"/>
        <item x="2998"/>
        <item x="1579"/>
        <item x="2226"/>
        <item x="1211"/>
        <item x="1798"/>
        <item x="2181"/>
        <item x="1473"/>
        <item x="685"/>
        <item x="316"/>
        <item x="373"/>
        <item x="2586"/>
        <item x="1303"/>
        <item x="1506"/>
        <item x="1202"/>
        <item x="92"/>
        <item x="3216"/>
        <item x="2256"/>
        <item x="1383"/>
        <item x="1644"/>
        <item x="3068"/>
        <item x="2497"/>
        <item x="2626"/>
        <item x="2671"/>
        <item x="1685"/>
        <item x="1294"/>
        <item x="631"/>
        <item x="2340"/>
        <item x="687"/>
        <item x="188"/>
        <item x="1797"/>
        <item x="2174"/>
        <item x="1247"/>
        <item x="1837"/>
        <item x="2180"/>
        <item x="526"/>
        <item x="2950"/>
        <item x="1914"/>
        <item x="628"/>
        <item x="2064"/>
        <item x="3339"/>
        <item x="1144"/>
        <item x="299"/>
        <item x="2068"/>
        <item x="2379"/>
        <item x="2117"/>
        <item x="319"/>
        <item x="3586"/>
        <item x="2505"/>
        <item x="3252"/>
        <item x="3147"/>
        <item x="1524"/>
        <item x="334"/>
        <item x="1956"/>
        <item x="163"/>
        <item x="3381"/>
        <item x="1785"/>
        <item x="287"/>
        <item x="2795"/>
        <item x="544"/>
        <item x="1084"/>
        <item x="1793"/>
        <item x="1231"/>
        <item x="3175"/>
        <item x="601"/>
        <item x="807"/>
        <item x="2964"/>
        <item x="2540"/>
        <item x="2432"/>
        <item x="1904"/>
        <item x="905"/>
        <item x="33"/>
        <item x="1302"/>
        <item x="1190"/>
        <item x="2854"/>
        <item x="449"/>
        <item x="408"/>
        <item x="258"/>
        <item x="500"/>
        <item x="3410"/>
        <item x="201"/>
        <item x="1425"/>
        <item x="2191"/>
        <item x="1874"/>
        <item x="2691"/>
        <item x="2758"/>
        <item x="1804"/>
        <item x="2712"/>
        <item x="1810"/>
        <item x="187"/>
        <item x="2511"/>
        <item x="2720"/>
        <item x="3221"/>
        <item x="2913"/>
        <item x="1213"/>
        <item x="1596"/>
        <item x="2106"/>
        <item x="677"/>
        <item x="957"/>
        <item x="393"/>
        <item x="3042"/>
        <item x="1410"/>
        <item x="1049"/>
        <item x="755"/>
        <item x="2637"/>
        <item x="3361"/>
        <item x="366"/>
        <item x="720"/>
        <item x="2631"/>
        <item x="2454"/>
        <item x="2705"/>
        <item x="2797"/>
        <item x="2638"/>
        <item x="1540"/>
        <item x="2929"/>
        <item x="1619"/>
        <item x="3149"/>
        <item x="3542"/>
        <item x="2743"/>
        <item x="3088"/>
        <item x="1693"/>
        <item x="507"/>
        <item x="3412"/>
        <item x="1143"/>
        <item x="3310"/>
        <item x="1447"/>
        <item x="2782"/>
        <item x="2443"/>
        <item x="1930"/>
        <item x="2296"/>
        <item x="1976"/>
        <item x="197"/>
        <item x="2203"/>
        <item x="2798"/>
        <item x="1899"/>
        <item x="3141"/>
        <item x="1048"/>
        <item x="949"/>
        <item x="108"/>
        <item x="3060"/>
        <item x="2714"/>
        <item x="2980"/>
        <item x="833"/>
        <item x="1468"/>
        <item x="1207"/>
        <item x="1077"/>
        <item x="2861"/>
        <item x="1683"/>
        <item x="552"/>
        <item x="1887"/>
        <item x="1407"/>
        <item x="3471"/>
        <item x="2398"/>
        <item x="901"/>
        <item x="2925"/>
        <item x="409"/>
        <item x="3037"/>
        <item x="911"/>
        <item x="2632"/>
        <item x="2581"/>
        <item x="2177"/>
        <item x="2941"/>
        <item x="1615"/>
        <item x="2302"/>
        <item x="2278"/>
        <item x="669"/>
        <item x="2342"/>
        <item x="2263"/>
        <item x="2272"/>
        <item x="1582"/>
        <item x="1653"/>
        <item x="663"/>
        <item x="1592"/>
        <item x="1794"/>
        <item x="99"/>
        <item x="2592"/>
        <item x="304"/>
        <item x="53"/>
        <item x="3297"/>
        <item x="1243"/>
        <item x="564"/>
        <item x="2395"/>
        <item x="436"/>
        <item x="336"/>
        <item x="3261"/>
        <item x="2103"/>
        <item x="3246"/>
        <item x="821"/>
        <item x="377"/>
        <item x="1117"/>
        <item x="155"/>
        <item x="2489"/>
        <item x="2975"/>
        <item x="1958"/>
        <item x="379"/>
        <item x="2345"/>
        <item x="96"/>
        <item x="1486"/>
        <item x="2834"/>
        <item x="3188"/>
        <item x="3572"/>
        <item x="2829"/>
        <item x="1226"/>
        <item x="838"/>
        <item x="727"/>
        <item x="1688"/>
        <item x="602"/>
        <item x="1879"/>
        <item x="565"/>
        <item x="149"/>
        <item x="1467"/>
        <item x="1423"/>
        <item x="1773"/>
        <item x="2255"/>
        <item x="2734"/>
        <item x="2548"/>
        <item x="1953"/>
        <item x="2436"/>
        <item x="3180"/>
        <item x="1193"/>
        <item x="2634"/>
        <item x="3521"/>
        <item x="2194"/>
        <item x="3082"/>
        <item x="1465"/>
        <item x="2470"/>
        <item x="2193"/>
        <item x="469"/>
        <item x="2557"/>
        <item x="2467"/>
        <item x="298"/>
        <item x="2352"/>
        <item x="2879"/>
        <item x="1316"/>
        <item x="1377"/>
        <item x="2048"/>
        <item x="394"/>
        <item x="3145"/>
        <item x="2153"/>
        <item x="2726"/>
        <item x="3107"/>
        <item x="433"/>
        <item x="2451"/>
        <item x="996"/>
        <item x="2809"/>
        <item x="1221"/>
        <item x="1016"/>
        <item x="2536"/>
        <item x="1019"/>
        <item x="1985"/>
        <item x="240"/>
        <item x="1214"/>
        <item x="3259"/>
        <item x="416"/>
        <item x="1826"/>
        <item x="1560"/>
        <item x="497"/>
        <item x="743"/>
        <item x="2070"/>
        <item x="763"/>
        <item x="2503"/>
        <item x="869"/>
        <item x="619"/>
        <item x="1426"/>
        <item x="2039"/>
        <item x="2082"/>
        <item x="783"/>
        <item x="1617"/>
        <item x="1066"/>
        <item x="890"/>
        <item x="2446"/>
        <item x="3463"/>
        <item x="2801"/>
        <item x="923"/>
        <item x="629"/>
        <item x="1652"/>
        <item x="1185"/>
        <item x="3389"/>
        <item x="1174"/>
        <item x="1872"/>
        <item x="2125"/>
        <item x="2518"/>
        <item x="1531"/>
        <item x="230"/>
        <item x="3154"/>
        <item x="1656"/>
        <item x="4"/>
        <item x="2312"/>
        <item x="3506"/>
        <item x="2675"/>
        <item x="893"/>
        <item x="2011"/>
        <item x="2677"/>
        <item x="2350"/>
        <item x="1744"/>
        <item x="1376"/>
        <item x="1988"/>
        <item x="3050"/>
        <item x="2056"/>
        <item x="932"/>
        <item x="1775"/>
        <item x="2268"/>
        <item x="2298"/>
        <item x="2309"/>
        <item x="2310"/>
        <item x="3496"/>
        <item x="261"/>
        <item x="813"/>
        <item x="1996"/>
        <item x="352"/>
        <item x="1502"/>
        <item x="3577"/>
        <item x="2441"/>
        <item x="537"/>
        <item x="473"/>
        <item x="1713"/>
        <item x="3416"/>
        <item x="3494"/>
        <item x="3243"/>
        <item x="1271"/>
        <item x="7"/>
        <item x="2911"/>
        <item x="431"/>
        <item x="1626"/>
        <item x="1530"/>
        <item x="2381"/>
        <item x="543"/>
        <item x="2999"/>
        <item x="2710"/>
        <item x="483"/>
        <item x="510"/>
        <item x="2416"/>
        <item x="505"/>
        <item x="1232"/>
        <item x="2175"/>
        <item x="2899"/>
        <item x="1356"/>
        <item x="1252"/>
        <item x="2570"/>
        <item x="1497"/>
        <item x="2985"/>
        <item x="691"/>
        <item x="3293"/>
        <item x="2810"/>
        <item x="2139"/>
        <item x="40"/>
        <item x="337"/>
        <item x="3120"/>
        <item x="1192"/>
        <item x="1043"/>
        <item x="982"/>
        <item x="3179"/>
        <item x="2336"/>
        <item x="2359"/>
        <item x="3232"/>
        <item x="1588"/>
        <item x="279"/>
        <item x="986"/>
        <item x="391"/>
        <item x="1771"/>
        <item x="390"/>
        <item x="1820"/>
        <item x="1961"/>
        <item x="3224"/>
        <item x="3391"/>
        <item x="529"/>
        <item x="2520"/>
        <item x="1153"/>
        <item x="3498"/>
        <item x="160"/>
        <item x="1875"/>
        <item x="2179"/>
        <item x="3058"/>
        <item x="216"/>
        <item x="1408"/>
        <item x="488"/>
        <item x="1024"/>
        <item x="546"/>
        <item x="3323"/>
        <item x="3523"/>
        <item x="730"/>
        <item x="2388"/>
        <item x="1285"/>
        <item x="2291"/>
        <item x="1888"/>
        <item x="945"/>
        <item x="3176"/>
        <item x="2927"/>
        <item x="1598"/>
        <item x="756"/>
        <item x="2839"/>
        <item x="1284"/>
        <item x="1411"/>
        <item x="3467"/>
        <item x="2865"/>
        <item x="3072"/>
        <item x="1124"/>
        <item x="2013"/>
        <item x="138"/>
        <item x="1569"/>
        <item x="2811"/>
        <item x="2049"/>
        <item x="2813"/>
        <item x="396"/>
        <item x="953"/>
        <item x="3334"/>
        <item x="2778"/>
        <item x="3279"/>
        <item x="6"/>
        <item x="2131"/>
        <item x="1984"/>
        <item x="3331"/>
        <item x="2590"/>
        <item x="1957"/>
        <item x="1602"/>
        <item x="965"/>
        <item x="1443"/>
        <item x="1439"/>
        <item x="1378"/>
        <item x="1087"/>
        <item x="2765"/>
        <item x="1270"/>
        <item x="1027"/>
        <item x="946"/>
        <item x="2763"/>
        <item x="363"/>
        <item x="3380"/>
        <item x="1847"/>
        <item x="2643"/>
        <item x="3530"/>
        <item x="2210"/>
        <item x="1854"/>
        <item x="1732"/>
        <item x="1359"/>
        <item x="1503"/>
        <item x="2559"/>
        <item x="568"/>
        <item x="450"/>
        <item x="2584"/>
        <item x="937"/>
        <item x="2968"/>
        <item x="1348"/>
        <item x="2794"/>
        <item x="1751"/>
        <item x="1788"/>
        <item x="2792"/>
        <item x="2823"/>
        <item x="3520"/>
        <item x="1865"/>
        <item x="1152"/>
        <item x="653"/>
        <item x="384"/>
        <item x="1625"/>
        <item x="427"/>
        <item x="1537"/>
        <item x="823"/>
        <item x="119"/>
        <item x="1038"/>
        <item x="782"/>
        <item x="2102"/>
        <item x="3065"/>
        <item x="212"/>
        <item x="3514"/>
        <item x="1597"/>
        <item x="2837"/>
        <item x="3557"/>
        <item x="2192"/>
        <item x="1072"/>
        <item x="567"/>
        <item x="718"/>
        <item x="2295"/>
        <item x="82"/>
        <item x="338"/>
        <item x="1256"/>
        <item x="32"/>
        <item x="2682"/>
        <item x="9"/>
        <item x="2887"/>
        <item x="793"/>
        <item x="1835"/>
        <item x="2992"/>
        <item x="647"/>
        <item x="1777"/>
        <item x="2650"/>
        <item x="1786"/>
        <item x="181"/>
        <item x="2614"/>
        <item x="846"/>
        <item x="2727"/>
        <item x="2891"/>
        <item x="2669"/>
        <item x="2183"/>
        <item x="2405"/>
        <item x="2437"/>
        <item x="1085"/>
        <item x="2768"/>
        <item x="44"/>
        <item x="3131"/>
        <item x="1424"/>
        <item x="2235"/>
        <item x="2755"/>
        <item x="239"/>
        <item x="3200"/>
        <item x="219"/>
        <item x="2796"/>
        <item x="2481"/>
        <item x="1115"/>
        <item x="3029"/>
        <item x="435"/>
        <item x="3408"/>
        <item x="3441"/>
        <item x="1813"/>
        <item x="2236"/>
        <item x="1175"/>
        <item x="426"/>
        <item x="3470"/>
        <item x="2207"/>
        <item x="841"/>
        <item x="2761"/>
        <item x="594"/>
        <item x="2023"/>
        <item x="928"/>
        <item x="286"/>
        <item x="1937"/>
        <item x="1404"/>
        <item x="759"/>
        <item x="2987"/>
        <item x="2610"/>
        <item x="3034"/>
        <item x="3"/>
        <item x="2465"/>
        <item x="2562"/>
        <item x="1747"/>
        <item x="542"/>
        <item x="2171"/>
        <item x="1165"/>
        <item x="891"/>
        <item x="347"/>
        <item x="122"/>
        <item x="1641"/>
        <item x="3527"/>
        <item x="2828"/>
        <item x="116"/>
        <item x="1603"/>
        <item x="1396"/>
        <item x="1327"/>
        <item x="781"/>
        <item x="3156"/>
        <item x="2724"/>
        <item x="1881"/>
        <item x="2910"/>
        <item x="311"/>
        <item x="1836"/>
        <item x="3080"/>
        <item x="24"/>
        <item x="1674"/>
        <item x="528"/>
        <item x="2513"/>
        <item x="641"/>
        <item x="2343"/>
        <item x="2160"/>
        <item x="561"/>
        <item x="2874"/>
        <item x="512"/>
        <item x="1893"/>
        <item x="263"/>
        <item x="1828"/>
        <item x="3231"/>
        <item x="2012"/>
        <item x="1948"/>
        <item x="1723"/>
        <item x="1216"/>
        <item x="3415"/>
        <item x="3130"/>
        <item x="2928"/>
        <item x="517"/>
        <item x="532"/>
        <item x="2530"/>
        <item x="2818"/>
        <item x="3428"/>
        <item x="1150"/>
        <item x="2957"/>
        <item x="2915"/>
        <item x="884"/>
        <item x="1431"/>
        <item x="2805"/>
        <item x="2204"/>
        <item x="3299"/>
        <item x="848"/>
        <item x="54"/>
        <item x="2534"/>
        <item x="3248"/>
        <item x="2736"/>
        <item x="2945"/>
        <item x="2923"/>
        <item x="2346"/>
        <item x="1097"/>
        <item x="639"/>
        <item x="283"/>
        <item x="3548"/>
        <item x="2438"/>
        <item x="3545"/>
        <item x="2672"/>
        <item x="3426"/>
        <item x="1749"/>
        <item x="2128"/>
        <item x="247"/>
        <item x="2833"/>
        <item x="27"/>
        <item x="2414"/>
        <item x="2496"/>
        <item x="2515"/>
        <item x="1585"/>
        <item x="2695"/>
        <item x="2219"/>
        <item x="2685"/>
        <item x="2576"/>
        <item x="657"/>
        <item x="2229"/>
        <item x="1388"/>
        <item x="865"/>
        <item x="1375"/>
        <item x="1649"/>
        <item x="485"/>
        <item x="3268"/>
        <item x="684"/>
        <item x="1283"/>
        <item x="748"/>
        <item x="420"/>
        <item x="1245"/>
        <item x="474"/>
        <item x="3559"/>
        <item x="3255"/>
        <item x="1547"/>
        <item x="2731"/>
        <item x="1681"/>
        <item x="3359"/>
        <item x="1700"/>
        <item x="1478"/>
        <item x="1265"/>
        <item x="2831"/>
        <item x="310"/>
        <item x="3379"/>
        <item x="1886"/>
        <item x="2538"/>
        <item x="1107"/>
        <item x="106"/>
        <item x="1125"/>
        <item x="925"/>
        <item x="540"/>
        <item x="553"/>
        <item x="880"/>
        <item x="495"/>
        <item x="2368"/>
        <item x="2601"/>
        <item x="3213"/>
        <item x="3321"/>
        <item x="1329"/>
        <item x="3421"/>
        <item x="1267"/>
        <item x="2533"/>
        <item x="921"/>
        <item x="1620"/>
        <item x="1970"/>
        <item x="764"/>
        <item x="916"/>
        <item x="1393"/>
        <item x="227"/>
        <item x="1950"/>
        <item x="1731"/>
        <item x="2784"/>
        <item x="2512"/>
        <item x="1614"/>
        <item x="1079"/>
        <item x="551"/>
        <item x="2859"/>
        <item x="719"/>
        <item x="1324"/>
        <item x="1010"/>
        <item x="277"/>
        <item x="3536"/>
        <item x="79"/>
        <item x="461"/>
        <item x="3169"/>
        <item x="3244"/>
        <item x="1853"/>
        <item x="421"/>
        <item x="204"/>
        <item x="927"/>
        <item x="1262"/>
        <item x="3352"/>
        <item x="3013"/>
        <item x="2664"/>
        <item x="2803"/>
        <item x="1063"/>
        <item x="2532"/>
        <item x="1455"/>
        <item x="640"/>
        <item x="2545"/>
        <item x="3325"/>
        <item x="146"/>
        <item x="2475"/>
        <item x="429"/>
        <item x="2066"/>
        <item x="88"/>
        <item x="689"/>
        <item x="1657"/>
        <item x="141"/>
        <item x="1215"/>
        <item x="3491"/>
        <item x="870"/>
        <item x="2620"/>
        <item x="480"/>
        <item x="3211"/>
        <item x="1006"/>
        <item x="904"/>
        <item x="516"/>
        <item x="1039"/>
        <item x="955"/>
        <item x="1242"/>
        <item x="806"/>
        <item x="1345"/>
        <item x="2565"/>
        <item x="8"/>
        <item x="1438"/>
        <item x="1310"/>
        <item x="2412"/>
        <item x="1334"/>
        <item x="1204"/>
        <item x="1340"/>
        <item x="1246"/>
        <item x="766"/>
        <item x="3501"/>
        <item x="2046"/>
        <item x="2178"/>
        <item x="2629"/>
        <item x="3292"/>
        <item x="2418"/>
        <item x="2051"/>
        <item x="2790"/>
        <item x="348"/>
        <item x="499"/>
        <item x="125"/>
        <item x="3354"/>
        <item x="3588"/>
        <item x="320"/>
        <item x="2842"/>
        <item x="999"/>
        <item x="591"/>
        <item x="3007"/>
        <item x="3358"/>
        <item x="2246"/>
        <item x="1736"/>
        <item x="266"/>
        <item x="291"/>
        <item x="2759"/>
        <item x="161"/>
        <item x="249"/>
        <item x="3139"/>
        <item x="1127"/>
        <item x="2681"/>
        <item x="983"/>
        <item x="1800"/>
        <item x="538"/>
        <item x="3493"/>
        <item x="2639"/>
        <item x="1228"/>
        <item x="630"/>
        <item x="2112"/>
        <item x="490"/>
        <item x="2032"/>
        <item x="2391"/>
        <item x="465"/>
        <item x="3222"/>
        <item x="2983"/>
        <item x="857"/>
        <item x="1558"/>
        <item x="1651"/>
        <item x="1918"/>
        <item x="745"/>
        <item x="2502"/>
        <item x="1869"/>
        <item x="1366"/>
        <item x="774"/>
        <item x="80"/>
        <item x="86"/>
        <item x="13"/>
        <item x="1575"/>
        <item x="1578"/>
        <item x="2227"/>
        <item x="3435"/>
        <item x="2360"/>
        <item x="3360"/>
        <item x="3084"/>
        <item x="2679"/>
        <item x="3242"/>
        <item x="1790"/>
        <item x="3083"/>
        <item x="3086"/>
        <item x="2609"/>
        <item x="2895"/>
        <item x="383"/>
        <item x="2369"/>
        <item x="2900"/>
        <item x="93"/>
        <item x="3270"/>
        <item x="3044"/>
        <item x="1494"/>
        <item x="988"/>
        <item x="2673"/>
        <item x="3558"/>
        <item x="358"/>
        <item x="1464"/>
        <item x="1286"/>
        <item x="3098"/>
        <item x="2286"/>
        <item x="307"/>
        <item x="386"/>
        <item x="3445"/>
        <item x="3238"/>
        <item x="2692"/>
        <item x="364"/>
        <item x="434"/>
        <item x="3481"/>
        <item x="784"/>
        <item x="634"/>
        <item x="1544"/>
        <item x="59"/>
        <item x="876"/>
        <item x="2026"/>
        <item x="484"/>
        <item x="455"/>
        <item x="3436"/>
        <item x="874"/>
        <item x="1987"/>
        <item x="2195"/>
        <item x="1758"/>
        <item x="1300"/>
        <item x="36"/>
        <item x="2303"/>
        <item x="832"/>
        <item x="180"/>
        <item x="2401"/>
        <item x="173"/>
        <item x="715"/>
        <item x="3584"/>
        <item x="1156"/>
        <item x="275"/>
        <item x="820"/>
        <item x="340"/>
        <item x="3164"/>
        <item x="2433"/>
        <item x="1922"/>
        <item x="3067"/>
        <item x="995"/>
        <item x="3432"/>
        <item x="2337"/>
        <item x="3240"/>
        <item x="3235"/>
        <item x="62"/>
        <item x="1199"/>
        <item x="2423"/>
        <item x="785"/>
        <item x="3456"/>
        <item x="2238"/>
        <item x="3442"/>
        <item x="280"/>
        <item x="223"/>
        <item x="621"/>
        <item x="370"/>
        <item x="49"/>
        <item x="3561"/>
        <item x="1704"/>
        <item x="942"/>
        <item x="3206"/>
        <item x="1076"/>
        <item x="1671"/>
        <item x="2429"/>
        <item x="2676"/>
        <item x="2509"/>
        <item x="3395"/>
        <item x="1664"/>
        <item x="2239"/>
        <item x="506"/>
        <item x="522"/>
        <item x="2594"/>
        <item x="1803"/>
        <item x="1089"/>
        <item x="1573"/>
        <item x="3404"/>
        <item x="770"/>
        <item x="1196"/>
        <item x="2783"/>
        <item x="562"/>
        <item x="1074"/>
        <item x="787"/>
        <item x="1230"/>
        <item x="1806"/>
        <item x="3329"/>
        <item x="3589"/>
        <item x="1357"/>
        <item x="2329"/>
        <item x="1692"/>
        <item x="51"/>
        <item x="1405"/>
        <item x="2527"/>
        <item x="1690"/>
        <item x="660"/>
        <item x="2010"/>
        <item x="1966"/>
        <item x="585"/>
        <item x="1860"/>
        <item x="1060"/>
        <item x="515"/>
        <item x="2981"/>
        <item x="369"/>
        <item x="2241"/>
        <item x="1532"/>
        <item x="3505"/>
        <item x="1272"/>
        <item x="2320"/>
        <item x="586"/>
        <item x="2602"/>
        <item x="675"/>
        <item x="1181"/>
        <item x="2670"/>
        <item x="3031"/>
        <item x="1440"/>
        <item x="609"/>
        <item x="2487"/>
        <item x="1360"/>
        <item x="1926"/>
        <item x="2167"/>
        <item x="1030"/>
        <item x="651"/>
        <item x="2017"/>
        <item x="3294"/>
        <item x="3202"/>
        <item x="2127"/>
        <item x="2025"/>
        <item x="3185"/>
        <item x="723"/>
        <item x="2275"/>
        <item x="3488"/>
        <item x="2365"/>
        <item x="305"/>
        <item x="1819"/>
        <item x="2067"/>
        <item x="2456"/>
        <item x="1838"/>
        <item x="1742"/>
        <item x="3568"/>
        <item x="588"/>
        <item x="327"/>
        <item x="3160"/>
        <item x="236"/>
        <item x="1005"/>
        <item x="2057"/>
        <item x="867"/>
        <item x="1864"/>
        <item x="2944"/>
        <item x="3431"/>
        <item x="750"/>
        <item x="30"/>
        <item x="1385"/>
        <item x="1291"/>
        <item x="2539"/>
        <item x="502"/>
        <item x="1355"/>
        <item x="478"/>
        <item x="941"/>
        <item x="3537"/>
        <item x="1591"/>
        <item x="162"/>
        <item x="301"/>
        <item x="2678"/>
        <item x="1947"/>
        <item x="3528"/>
        <item x="2293"/>
        <item x="3429"/>
        <item x="410"/>
        <item x="1073"/>
        <item x="1554"/>
        <item x="293"/>
        <item x="2903"/>
        <item x="1516"/>
        <item x="1332"/>
        <item x="1062"/>
        <item x="47"/>
        <item x="3227"/>
        <item x="1924"/>
        <item x="2460"/>
        <item x="3399"/>
        <item x="98"/>
        <item x="118"/>
        <item x="1482"/>
        <item x="805"/>
        <item x="42"/>
        <item x="1112"/>
        <item x="2371"/>
        <item x="1306"/>
        <item x="1870"/>
        <item x="1543"/>
        <item x="626"/>
        <item x="3592"/>
        <item x="523"/>
        <item x="2876"/>
        <item x="3473"/>
        <item x="760"/>
        <item x="3000"/>
        <item x="2738"/>
        <item x="14"/>
        <item x="3480"/>
        <item x="2901"/>
        <item x="10"/>
        <item x="2959"/>
        <item x="2318"/>
        <item x="1240"/>
        <item x="768"/>
        <item x="1251"/>
        <item x="1609"/>
        <item x="3303"/>
        <item x="961"/>
        <item x="2612"/>
        <item x="1167"/>
        <item x="1568"/>
        <item x="3110"/>
        <item x="1670"/>
        <item x="3024"/>
        <item x="2566"/>
        <item x="3004"/>
        <item x="3447"/>
        <item x="903"/>
        <item x="1151"/>
        <item x="1164"/>
        <item x="1343"/>
        <item x="2641"/>
        <item x="3152"/>
        <item x="2355"/>
        <item x="3580"/>
        <item x="3424"/>
        <item x="3081"/>
        <item x="314"/>
        <item x="2474"/>
        <item x="3567"/>
        <item x="3397"/>
        <item x="2186"/>
        <item x="3295"/>
        <item x="713"/>
        <item x="827"/>
        <item x="1719"/>
        <item x="1155"/>
        <item x="2421"/>
        <item x="799"/>
        <item x="1935"/>
        <item x="1293"/>
        <item x="3322"/>
        <item x="2349"/>
        <item x="1374"/>
        <item x="2607"/>
        <item x="739"/>
        <item x="1186"/>
        <item x="2217"/>
        <item x="2954"/>
        <item x="3420"/>
        <item x="633"/>
        <item x="3398"/>
        <item x="31"/>
        <item x="2014"/>
        <item x="3288"/>
        <item x="852"/>
        <item x="132"/>
        <item x="387"/>
        <item x="3137"/>
        <item x="404"/>
        <item x="60"/>
        <item x="1391"/>
        <item x="1862"/>
        <item x="1940"/>
        <item x="2101"/>
        <item x="1722"/>
        <item x="2766"/>
        <item x="454"/>
        <item x="1638"/>
        <item x="3531"/>
        <item x="2124"/>
        <item x="1999"/>
        <item x="3003"/>
        <item x="2568"/>
        <item x="1198"/>
        <item x="2573"/>
        <item x="3106"/>
        <item x="1902"/>
        <item x="2477"/>
        <item x="1917"/>
        <item x="213"/>
        <item x="3405"/>
        <item x="1453"/>
        <item x="3449"/>
        <item x="3373"/>
        <item x="1136"/>
        <item x="779"/>
        <item x="1717"/>
        <item x="2259"/>
        <item x="3118"/>
        <item x="973"/>
        <item x="3433"/>
        <item x="2719"/>
        <item x="2935"/>
        <item x="1015"/>
        <item x="1313"/>
        <item x="2425"/>
        <item x="1645"/>
        <item x="1191"/>
        <item x="226"/>
        <item x="1857"/>
        <item x="1436"/>
        <item x="2578"/>
        <item x="3475"/>
        <item x="1260"/>
        <item x="2772"/>
        <item x="2756"/>
        <item x="1090"/>
        <item x="3495"/>
        <item x="2775"/>
        <item x="1913"/>
        <item x="3276"/>
        <item x="3350"/>
        <item x="260"/>
        <item x="2273"/>
        <item x="3462"/>
        <item x="2655"/>
        <item x="2045"/>
        <item x="3159"/>
        <item x="2660"/>
        <item x="587"/>
        <item x="2187"/>
        <item x="649"/>
        <item x="2599"/>
        <item x="3045"/>
        <item x="963"/>
        <item x="2271"/>
        <item x="2524"/>
        <item x="527"/>
        <item x="1266"/>
        <item x="2849"/>
        <item x="554"/>
        <item x="3069"/>
        <item x="1132"/>
        <item x="2990"/>
        <item x="3012"/>
        <item x="1170"/>
        <item x="3570"/>
        <item x="140"/>
        <item x="2074"/>
        <item x="428"/>
        <item x="597"/>
        <item x="1029"/>
        <item x="1952"/>
        <item x="1550"/>
        <item x="2698"/>
        <item x="3574"/>
        <item x="1351"/>
        <item x="3532"/>
        <item x="412"/>
        <item x="1866"/>
        <item x="5"/>
        <item x="1009"/>
        <item x="3409"/>
        <item x="3485"/>
        <item x="3239"/>
        <item x="329"/>
        <item x="2130"/>
        <item x="2389"/>
        <item x="2684"/>
        <item x="1581"/>
        <item x="1254"/>
        <item x="1054"/>
        <item x="2746"/>
        <item x="778"/>
        <item x="1496"/>
        <item x="699"/>
        <item x="3351"/>
        <item x="3525"/>
        <item x="1042"/>
        <item x="372"/>
        <item x="835"/>
        <item x="1556"/>
        <item x="1471"/>
        <item x="3563"/>
        <item x="606"/>
        <item x="3001"/>
        <item x="2036"/>
        <item x="1096"/>
        <item x="2089"/>
        <item x="2378"/>
        <item x="2892"/>
        <item x="3576"/>
        <item x="3460"/>
        <item x="3219"/>
        <item x="2977"/>
        <item x="183"/>
        <item x="3552"/>
        <item x="578"/>
        <item x="2729"/>
        <item x="493"/>
        <item x="1518"/>
        <item x="376"/>
        <item x="2896"/>
        <item x="3226"/>
        <item x="812"/>
        <item x="2063"/>
        <item x="1137"/>
        <item x="2283"/>
        <item x="2715"/>
        <item x="2000"/>
        <item x="1318"/>
        <item x="1474"/>
        <item x="3486"/>
        <item x="332"/>
        <item x="924"/>
        <item x="1994"/>
        <item x="65"/>
        <item x="312"/>
        <item x="2770"/>
        <item x="693"/>
        <item x="1094"/>
        <item x="520"/>
        <item x="1640"/>
        <item x="354"/>
        <item x="182"/>
        <item x="109"/>
        <item x="2148"/>
        <item x="2393"/>
        <item x="3132"/>
        <item x="302"/>
        <item x="1709"/>
        <item x="496"/>
        <item x="2814"/>
        <item x="137"/>
        <item x="2780"/>
        <item x="849"/>
        <item x="282"/>
        <item x="165"/>
        <item x="414"/>
        <item x="829"/>
        <item x="1492"/>
        <item x="881"/>
        <item x="325"/>
        <item x="2254"/>
        <item x="2261"/>
        <item x="573"/>
        <item x="2304"/>
        <item x="2858"/>
        <item x="709"/>
        <item x="46"/>
        <item x="430"/>
        <item x="1507"/>
        <item x="702"/>
        <item x="3566"/>
        <item x="2113"/>
        <item x="2052"/>
        <item x="309"/>
        <item x="2290"/>
        <item x="124"/>
        <item x="2159"/>
        <item x="1349"/>
        <item x="613"/>
        <item x="2633"/>
        <item x="2156"/>
        <item x="448"/>
        <item x="859"/>
        <item x="818"/>
        <item x="658"/>
        <item x="445"/>
        <item x="1584"/>
        <item x="559"/>
        <item x="944"/>
        <item x="1091"/>
        <item x="2890"/>
        <item x="345"/>
        <item x="2419"/>
        <item x="2233"/>
        <item x="1748"/>
        <item x="3287"/>
        <item x="2582"/>
        <item x="728"/>
        <item x="2499"/>
        <item x="1159"/>
        <item x="1379"/>
        <item x="1386"/>
        <item x="2951"/>
        <item x="1093"/>
        <item x="2287"/>
        <item x="1239"/>
        <item x="1398"/>
        <item x="1061"/>
        <item x="550"/>
        <item x="1861"/>
        <item x="1037"/>
        <item x="1368"/>
        <item x="2059"/>
        <item x="34"/>
        <item x="3370"/>
        <item x="2276"/>
        <item x="3245"/>
        <item x="2100"/>
        <item x="1905"/>
        <item x="114"/>
        <item x="19"/>
        <item x="2196"/>
        <item x="1176"/>
        <item x="3053"/>
        <item x="343"/>
        <item x="548"/>
        <item x="2444"/>
        <item x="1180"/>
        <item x="365"/>
        <item x="1130"/>
        <item x="1822"/>
        <item x="1696"/>
        <item x="1539"/>
        <item x="3114"/>
        <item x="3519"/>
        <item x="3403"/>
        <item x="1108"/>
        <item x="1448"/>
        <item x="178"/>
        <item x="1328"/>
        <item x="1525"/>
        <item x="2252"/>
        <item x="861"/>
        <item x="1925"/>
        <item x="2819"/>
        <item x="582"/>
        <item x="828"/>
        <item x="2281"/>
        <item x="3273"/>
        <item x="3172"/>
        <item x="1081"/>
        <item x="2577"/>
        <item x="533"/>
        <item x="3090"/>
        <item x="2806"/>
        <item x="3582"/>
        <item x="3016"/>
        <item x="1849"/>
        <item x="931"/>
        <item x="519"/>
        <item x="3133"/>
        <item x="2215"/>
        <item x="3117"/>
        <item x="2619"/>
        <item x="1429"/>
        <item x="315"/>
        <item x="126"/>
        <item x="417"/>
        <item x="2069"/>
        <item x="2435"/>
        <item x="2265"/>
        <item x="2866"/>
        <item x="229"/>
        <item x="2028"/>
        <item x="1417"/>
        <item x="2403"/>
        <item x="1033"/>
        <item x="1697"/>
        <item x="2387"/>
        <item x="214"/>
        <item x="2501"/>
        <item x="3516"/>
        <item x="2937"/>
        <item x="2749"/>
        <item x="1025"/>
        <item x="1972"/>
        <item x="1269"/>
        <item x="3103"/>
        <item x="2827"/>
        <item x="2961"/>
        <item x="2694"/>
        <item x="322"/>
        <item x="1962"/>
        <item x="504"/>
        <item x="1389"/>
        <item x="623"/>
        <item x="525"/>
        <item x="2507"/>
        <item x="2464"/>
        <item x="3158"/>
        <item x="780"/>
        <item x="2372"/>
        <item x="2969"/>
        <item x="1026"/>
        <item x="1103"/>
        <item x="2034"/>
        <item x="2266"/>
        <item x="3419"/>
        <item x="2214"/>
        <item x="775"/>
        <item x="1480"/>
        <item x="1422"/>
        <item x="2374"/>
        <item x="84"/>
        <item x="1364"/>
        <item x="531"/>
        <item x="1526"/>
        <item x="1707"/>
        <item x="3076"/>
        <item x="2864"/>
        <item x="2198"/>
        <item x="1823"/>
        <item x="1577"/>
        <item x="1381"/>
        <item x="1371"/>
        <item x="1589"/>
        <item x="2596"/>
        <item x="335"/>
        <item x="425"/>
        <item x="1171"/>
        <item x="1013"/>
        <item x="1669"/>
        <item x="2232"/>
        <item x="2870"/>
        <item x="670"/>
        <item x="3549"/>
        <item x="3207"/>
        <item x="295"/>
        <item x="1070"/>
        <item x="117"/>
        <item x="66"/>
        <item x="3256"/>
        <item x="12"/>
        <item x="2362"/>
        <item x="1295"/>
        <item x="892"/>
        <item x="224"/>
        <item x="1314"/>
        <item x="2073"/>
        <item x="1035"/>
        <item x="2212"/>
        <item x="580"/>
        <item x="3095"/>
        <item x="3502"/>
        <item x="1867"/>
        <item x="2908"/>
        <item x="3046"/>
        <item x="2385"/>
        <item x="479"/>
        <item x="2088"/>
        <item x="3047"/>
        <item x="3040"/>
        <item x="2006"/>
        <item x="3400"/>
        <item x="2654"/>
        <item x="3418"/>
        <item x="1978"/>
        <item x="262"/>
        <item x="575"/>
        <item x="617"/>
        <item x="1702"/>
        <item x="2121"/>
        <item x="1146"/>
        <item x="3267"/>
        <item x="3414"/>
        <item x="3057"/>
        <item x="3102"/>
        <item x="1253"/>
        <item x="1942"/>
        <item x="3364"/>
        <item x="3377"/>
        <item x="856"/>
        <item x="3135"/>
        <item x="769"/>
        <item x="1946"/>
        <item x="1960"/>
        <item x="1399"/>
        <item x="1445"/>
        <item x="3006"/>
        <item x="3064"/>
        <item x="3302"/>
        <item x="1335"/>
        <item x="3025"/>
        <item x="1856"/>
        <item x="2662"/>
        <item x="1459"/>
        <item x="3539"/>
        <item x="1353"/>
        <item x="1222"/>
        <item x="1928"/>
        <item x="1069"/>
        <item x="3191"/>
        <item x="2713"/>
        <item x="3355"/>
        <item x="432"/>
        <item x="2528"/>
        <item x="2966"/>
        <item x="1500"/>
        <item x="1746"/>
        <item x="3220"/>
        <item x="843"/>
        <item x="1007"/>
        <item x="113"/>
        <item x="2462"/>
        <item x="1761"/>
        <item x="2351"/>
        <item x="3378"/>
        <item x="1825"/>
        <item x="3571"/>
        <item x="1059"/>
        <item x="3581"/>
        <item x="1998"/>
        <item x="1754"/>
        <item x="2949"/>
        <item x="2107"/>
        <item x="888"/>
        <item x="2019"/>
        <item x="3002"/>
        <item x="2847"/>
        <item x="3181"/>
        <item x="1179"/>
        <item x="3289"/>
        <item x="1157"/>
        <item x="1538"/>
        <item x="3142"/>
        <item x="1441"/>
        <item x="3385"/>
        <item x="3543"/>
        <item x="472"/>
        <item x="457"/>
        <item x="1933"/>
        <item x="1668"/>
        <item x="1949"/>
        <item x="2541"/>
        <item x="705"/>
        <item x="401"/>
        <item x="489"/>
        <item x="397"/>
        <item x="2321"/>
        <item x="2356"/>
        <item x="2786"/>
        <item x="1487"/>
        <item x="2853"/>
        <item x="694"/>
        <item x="1110"/>
        <item x="133"/>
        <item x="3071"/>
        <item x="665"/>
        <item x="2739"/>
        <item x="2015"/>
        <item x="2867"/>
        <item x="2888"/>
        <item x="3446"/>
        <item x="1244"/>
        <item x="1895"/>
        <item x="2955"/>
        <item x="3454"/>
        <item x="148"/>
        <item x="1477"/>
        <item x="3450"/>
        <item x="2687"/>
        <item x="2936"/>
        <item x="1621"/>
        <item x="722"/>
        <item x="2237"/>
        <item x="3097"/>
        <item x="2862"/>
        <item x="2279"/>
        <item x="2938"/>
        <item x="1821"/>
        <item x="2422"/>
        <item x="1983"/>
        <item x="967"/>
        <item x="1205"/>
        <item x="297"/>
        <item x="2140"/>
        <item x="2523"/>
        <item x="2392"/>
        <item x="2963"/>
        <item x="3372"/>
        <item x="2490"/>
        <item x="2668"/>
        <item x="2728"/>
        <item x="792"/>
        <item x="103"/>
        <item x="75"/>
        <item x="560"/>
        <item x="2699"/>
        <item x="3187"/>
        <item x="662"/>
        <item x="2030"/>
        <item x="3394"/>
        <item x="1818"/>
        <item x="969"/>
        <item x="3348"/>
        <item x="2878"/>
        <item x="2748"/>
        <item x="2216"/>
        <item x="3134"/>
        <item x="2762"/>
        <item x="2821"/>
        <item x="2817"/>
        <item x="1574"/>
        <item x="2115"/>
        <item x="3335"/>
        <item x="3538"/>
        <item x="3587"/>
        <item x="1840"/>
        <item x="1642"/>
        <item x="1882"/>
        <item x="1974"/>
        <item x="571"/>
        <item x="2848"/>
        <item x="1687"/>
        <item x="1637"/>
        <item x="3513"/>
        <item x="3425"/>
        <item x="1068"/>
        <item x="2093"/>
        <item x="751"/>
        <item x="3183"/>
        <item x="772"/>
        <item x="39"/>
        <item x="2881"/>
        <item x="1884"/>
        <item x="2461"/>
        <item x="270"/>
        <item x="1071"/>
        <item x="2988"/>
        <item x="2753"/>
        <item x="3108"/>
        <item x="2149"/>
        <item x="1339"/>
        <item x="1047"/>
        <item x="2449"/>
        <item x="1648"/>
        <item x="2022"/>
        <item x="998"/>
        <item x="248"/>
        <item x="3096"/>
        <item x="673"/>
        <item x="1224"/>
        <item x="200"/>
        <item x="908"/>
        <item x="1622"/>
        <item x="1816"/>
        <item x="1551"/>
        <item x="3304"/>
        <item x="2399"/>
        <item x="3479"/>
        <item x="2313"/>
        <item x="830"/>
        <item x="2155"/>
        <item x="16"/>
        <item x="637"/>
        <item x="175"/>
        <item x="508"/>
        <item x="521"/>
        <item x="418"/>
        <item x="2458"/>
        <item x="285"/>
        <item x="1673"/>
        <item x="1057"/>
        <item x="3126"/>
        <item x="962"/>
        <item x="939"/>
        <item x="1123"/>
        <item x="1936"/>
        <item x="1951"/>
        <item x="437"/>
        <item x="1571"/>
        <item x="1505"/>
        <item x="256"/>
        <item x="1897"/>
        <item x="589"/>
        <item x="2909"/>
        <item x="2979"/>
        <item x="1586"/>
        <item x="2571"/>
        <item x="3575"/>
        <item x="1217"/>
        <item x="3464"/>
        <item x="668"/>
        <item x="2333"/>
        <item x="2363"/>
        <item x="3063"/>
        <item x="1275"/>
        <item x="795"/>
        <item x="3229"/>
        <item x="2836"/>
        <item x="3210"/>
        <item x="1921"/>
        <item x="2882"/>
        <item x="659"/>
        <item x="3554"/>
        <item x="2701"/>
        <item x="2311"/>
        <item x="2402"/>
        <item x="3551"/>
        <item x="143"/>
        <item x="3189"/>
        <item x="476"/>
        <item x="265"/>
        <item x="2730"/>
        <item x="1018"/>
        <item x="3161"/>
        <item x="814"/>
        <item x="1149"/>
        <item x="1845"/>
        <item x="2652"/>
        <item x="1859"/>
        <item x="3319"/>
        <item x="3327"/>
        <item x="1572"/>
        <item x="2666"/>
        <item x="1650"/>
        <item x="1287"/>
        <item x="250"/>
        <item x="191"/>
        <item x="2997"/>
        <item x="101"/>
        <item x="514"/>
        <item x="102"/>
        <item x="2946"/>
        <item x="2447"/>
        <item x="3384"/>
        <item x="2044"/>
        <item x="1725"/>
        <item x="2636"/>
        <item x="3282"/>
        <item x="706"/>
        <item x="3011"/>
        <item x="2165"/>
        <item x="3027"/>
        <item x="1452"/>
        <item x="2084"/>
        <item x="2202"/>
        <item x="1172"/>
        <item x="3101"/>
        <item x="1173"/>
        <item x="1900"/>
        <item x="1065"/>
        <item x="2693"/>
        <item x="1762"/>
        <item x="1718"/>
        <item x="1312"/>
        <item x="761"/>
        <item x="202"/>
        <item x="2563"/>
        <item x="2197"/>
        <item x="3228"/>
        <item x="938"/>
        <item x="596"/>
        <item x="1565"/>
        <item x="915"/>
        <item x="206"/>
        <item x="1135"/>
        <item x="1705"/>
        <item x="456"/>
        <item x="3453"/>
        <item x="3406"/>
        <item x="2141"/>
        <item x="2"/>
        <item x="1258"/>
        <item x="152"/>
        <item x="3251"/>
        <item x="698"/>
        <item x="1520"/>
        <item x="3122"/>
        <item x="1829"/>
        <item x="1017"/>
        <item x="1576"/>
        <item x="446"/>
        <item x="1606"/>
        <item x="1373"/>
        <item x="2567"/>
        <item x="1457"/>
        <item x="3265"/>
        <item x="2061"/>
        <item x="1442"/>
        <item x="1330"/>
        <item x="1981"/>
        <item x="3151"/>
        <item x="1365"/>
        <item x="1629"/>
        <item x="1667"/>
        <item x="45"/>
        <item x="1546"/>
        <item x="1682"/>
        <item x="569"/>
        <item x="281"/>
        <item x="2984"/>
        <item x="70"/>
        <item x="2223"/>
        <item x="2164"/>
        <item x="1522"/>
        <item x="2170"/>
        <item x="1358"/>
        <item x="2716"/>
        <item x="2005"/>
        <item x="1397"/>
        <item x="1435"/>
        <item x="3522"/>
        <item x="55"/>
        <item x="2722"/>
        <item x="1527"/>
        <item x="218"/>
        <item x="1929"/>
        <item x="3489"/>
        <item x="2777"/>
        <item x="221"/>
        <item x="1726"/>
        <item x="231"/>
        <item x="392"/>
        <item x="1633"/>
        <item x="1288"/>
        <item x="153"/>
        <item x="2126"/>
        <item x="419"/>
        <item x="2284"/>
        <item x="803"/>
        <item x="2143"/>
        <item x="1535"/>
        <item x="2297"/>
        <item x="2931"/>
        <item x="605"/>
        <item x="192"/>
        <item x="2572"/>
        <item x="3311"/>
        <item x="638"/>
        <item x="3564"/>
        <item x="707"/>
        <item x="1362"/>
        <item x="2771"/>
        <item x="735"/>
        <item x="211"/>
        <item x="972"/>
        <item x="1814"/>
        <item x="3162"/>
        <item x="1587"/>
        <item x="142"/>
        <item x="303"/>
        <item x="1815"/>
        <item x="1218"/>
        <item x="2844"/>
        <item x="1292"/>
        <item x="1774"/>
        <item x="3223"/>
        <item x="1721"/>
        <item x="91"/>
        <item x="2267"/>
        <item x="2157"/>
        <item x="1403"/>
        <item x="2280"/>
        <item x="1639"/>
        <item x="1973"/>
        <item x="1909"/>
        <item x="724"/>
        <item x="2886"/>
        <item x="2420"/>
        <item x="3439"/>
        <item x="176"/>
        <item x="3411"/>
        <item x="2146"/>
        <item x="3290"/>
        <item x="1903"/>
        <item x="692"/>
        <item x="333"/>
        <item x="1488"/>
        <item x="1413"/>
        <item x="1111"/>
        <item x="3215"/>
        <item x="268"/>
        <item x="1305"/>
        <item x="1454"/>
        <item x="2658"/>
        <item x="1943"/>
        <item x="2704"/>
        <item x="2222"/>
        <item x="1220"/>
        <item x="530"/>
        <item x="3336"/>
        <item x="2822"/>
        <item x="269"/>
        <item x="2773"/>
        <item x="1931"/>
        <item x="2774"/>
        <item x="603"/>
        <item x="1510"/>
        <item x="63"/>
        <item x="147"/>
        <item x="2029"/>
        <item x="2247"/>
        <item x="1600"/>
        <item x="954"/>
        <item x="902"/>
        <item x="771"/>
        <item x="130"/>
        <item x="1148"/>
        <item x="278"/>
        <item x="350"/>
        <item x="1730"/>
        <item x="744"/>
        <item x="1184"/>
        <item x="2647"/>
        <item x="2835"/>
        <item x="1201"/>
        <item x="2653"/>
        <item x="486"/>
        <item x="2696"/>
        <item x="2138"/>
        <item x="3343"/>
        <item x="680"/>
        <item x="1735"/>
        <item x="1945"/>
        <item x="1298"/>
        <item x="2200"/>
        <item x="877"/>
        <item x="3477"/>
        <item x="205"/>
        <item x="3062"/>
        <item x="3263"/>
        <item x="1684"/>
        <item x="3388"/>
        <item x="2471"/>
        <item x="2375"/>
        <item x="1338"/>
        <item x="2924"/>
        <item x="1907"/>
        <item x="3500"/>
        <item x="1552"/>
        <item x="26"/>
        <item x="3247"/>
        <item x="1791"/>
        <item x="294"/>
        <item x="2871"/>
        <item x="186"/>
        <item x="1315"/>
        <item x="2453"/>
        <item x="1418"/>
        <item x="933"/>
        <item x="3136"/>
        <item x="1623"/>
        <item x="974"/>
        <item x="150"/>
        <item x="1812"/>
        <item x="29"/>
        <item x="1004"/>
        <item x="2092"/>
        <item x="1264"/>
        <item x="2270"/>
        <item x="3324"/>
        <item x="3346"/>
        <item x="1463"/>
        <item x="3124"/>
        <item x="1415"/>
        <item x="3032"/>
        <item x="1121"/>
        <item x="894"/>
        <item x="1236"/>
        <item x="1131"/>
        <item x="752"/>
        <item x="2330"/>
        <item x="1795"/>
        <item x="3250"/>
        <item x="1493"/>
        <item x="2965"/>
        <item x="926"/>
        <item x="2448"/>
        <item x="2815"/>
        <item x="241"/>
        <item x="2426"/>
        <item x="607"/>
        <item x="3492"/>
        <item x="1515"/>
        <item x="1716"/>
        <item x="513"/>
        <item x="1997"/>
        <item x="789"/>
        <item x="1229"/>
        <item x="3338"/>
        <item x="788"/>
        <item x="1347"/>
        <item x="1333"/>
        <item x="306"/>
        <item x="1711"/>
        <item x="950"/>
        <item x="618"/>
        <item x="1402"/>
        <item x="3298"/>
        <item x="1789"/>
        <item x="2904"/>
        <item x="2725"/>
        <item x="357"/>
        <item x="1323"/>
        <item x="2213"/>
        <item x="1248"/>
        <item x="3476"/>
        <item x="2930"/>
        <item x="1832"/>
        <item x="2024"/>
        <item x="3269"/>
        <item x="1855"/>
        <item x="328"/>
        <item x="1237"/>
        <item x="115"/>
        <item x="509"/>
        <item x="1301"/>
        <item x="2469"/>
        <item x="2396"/>
        <item x="2234"/>
        <item x="1834"/>
        <item x="645"/>
        <item x="2364"/>
        <item x="975"/>
        <item x="2105"/>
        <item x="1712"/>
        <item x="1311"/>
        <item x="1390"/>
        <item x="1715"/>
        <item x="2697"/>
        <item x="1501"/>
        <item x="2744"/>
        <item x="28"/>
        <item x="3368"/>
        <item x="2519"/>
        <item x="819"/>
        <item x="2492"/>
        <item x="971"/>
        <item x="1561"/>
        <item x="3308"/>
        <item x="2390"/>
        <item x="2245"/>
        <item x="3236"/>
        <item x="1710"/>
        <item x="2459"/>
        <item x="2495"/>
        <item x="139"/>
        <item x="1092"/>
        <item x="2785"/>
        <item x="3562"/>
        <item x="1491"/>
        <item x="73"/>
        <item x="3271"/>
        <item x="3371"/>
        <item x="422"/>
        <item x="3300"/>
        <item x="898"/>
        <item x="679"/>
        <item x="2802"/>
        <item x="1850"/>
        <item x="2488"/>
        <item x="2173"/>
        <item x="2162"/>
        <item x="2940"/>
        <item x="3356"/>
        <item x="1513"/>
        <item x="2083"/>
        <item x="3413"/>
        <item x="1885"/>
        <item x="740"/>
        <item x="331"/>
        <item x="2260"/>
        <item x="2358"/>
        <item x="2201"/>
        <item x="3326"/>
        <item x="2717"/>
        <item x="2077"/>
        <item x="3457"/>
        <item x="1901"/>
        <item x="407"/>
        <item x="1141"/>
        <item x="3075"/>
        <item x="243"/>
        <item x="3307"/>
        <item x="2096"/>
        <item x="889"/>
        <item x="2344"/>
        <item x="836"/>
        <item x="2764"/>
        <item x="1720"/>
        <item x="123"/>
        <item x="1646"/>
        <item x="2090"/>
        <item x="2075"/>
        <item x="1168"/>
        <item x="1548"/>
        <item x="3217"/>
        <item x="2472"/>
        <item x="3345"/>
        <item x="1444"/>
        <item x="1064"/>
        <item x="536"/>
        <item x="1643"/>
        <item x="3070"/>
        <item x="76"/>
        <item x="1045"/>
        <item x="1461"/>
        <item x="3111"/>
        <item x="1938"/>
        <item x="1583"/>
        <item x="1475"/>
        <item x="990"/>
        <item x="3362"/>
        <item x="341"/>
        <item x="1959"/>
        <item x="1915"/>
        <item x="2109"/>
        <item x="145"/>
        <item x="976"/>
        <item x="3127"/>
        <item x="1225"/>
        <item x="2037"/>
        <item x="3306"/>
        <item x="2967"/>
        <item x="2808"/>
        <item x="41"/>
        <item x="545"/>
        <item x="2076"/>
        <item x="2027"/>
        <item x="3109"/>
        <item x="960"/>
        <item x="252"/>
        <item x="1490"/>
        <item x="1980"/>
        <item x="349"/>
        <item x="3472"/>
        <item x="2078"/>
        <item x="2535"/>
        <item x="2250"/>
        <item x="156"/>
        <item x="128"/>
        <item x="3547"/>
        <item x="3041"/>
        <item x="3258"/>
        <item x="847"/>
        <item x="411"/>
        <item x="0"/>
        <item x="1187"/>
        <item x="2404"/>
        <item x="614"/>
        <item x="110"/>
        <item x="170"/>
        <item x="2325"/>
        <item x="2452"/>
        <item x="2300"/>
        <item x="3313"/>
        <item x="1977"/>
        <item x="215"/>
        <item x="1279"/>
        <item x="676"/>
        <item x="1268"/>
        <item x="2656"/>
        <item x="611"/>
        <item x="1971"/>
        <item x="951"/>
        <item x="993"/>
        <item x="3074"/>
        <item x="1241"/>
        <item x="1529"/>
        <item x="3430"/>
        <item x="2468"/>
        <item x="2918"/>
        <item x="189"/>
        <item x="2733"/>
        <item x="1095"/>
        <item x="1322"/>
        <item x="2132"/>
        <item x="3153"/>
        <item x="3509"/>
        <item x="716"/>
        <item x="3578"/>
        <item x="2960"/>
        <item x="920"/>
        <item x="797"/>
        <item x="378"/>
        <item x="1954"/>
        <item x="2623"/>
        <item x="1733"/>
        <item x="3594"/>
        <item x="1119"/>
        <item x="2152"/>
        <item x="2826"/>
        <item x="1841"/>
        <item x="1898"/>
        <item x="120"/>
        <item x="2249"/>
        <item x="1003"/>
        <item x="3249"/>
        <item x="1666"/>
        <item x="3560"/>
        <item x="1430"/>
        <item x="2455"/>
        <item x="872"/>
        <item x="844"/>
        <item x="3170"/>
        <item x="2315"/>
        <item x="3579"/>
        <item x="71"/>
        <item x="399"/>
        <item x="1753"/>
        <item x="380"/>
        <item x="1659"/>
        <item x="3026"/>
        <item x="2855"/>
        <item x="491"/>
        <item x="1843"/>
        <item x="3055"/>
        <item x="839"/>
        <item x="1485"/>
        <item x="2644"/>
        <item x="1238"/>
        <item x="3526"/>
        <item x="2445"/>
        <item x="574"/>
        <item x="424"/>
        <item x="498"/>
        <item x="2624"/>
        <item x="2996"/>
        <item x="1031"/>
        <item x="2042"/>
        <item x="632"/>
        <item x="1278"/>
        <item x="2240"/>
        <item x="1326"/>
        <item x="703"/>
        <item x="1654"/>
        <item x="2526"/>
        <item x="593"/>
        <item x="1911"/>
        <item x="930"/>
        <item x="225"/>
        <item x="2628"/>
        <item x="1406"/>
        <item x="3165"/>
        <item x="1273"/>
        <item x="1889"/>
        <item x="259"/>
        <item x="2686"/>
        <item x="2752"/>
        <item x="3590"/>
        <item x="2305"/>
        <item x="2406"/>
        <item x="1833"/>
        <item x="2991"/>
        <item x="3529"/>
        <item x="2982"/>
        <item x="501"/>
        <item x="2906"/>
        <item x="943"/>
        <item x="3320"/>
        <item x="2274"/>
        <item x="917"/>
        <item x="3198"/>
        <item x="3166"/>
        <item x="2055"/>
        <item x="1400"/>
        <item x="2830"/>
        <item x="1770"/>
        <item x="615"/>
        <item x="209"/>
        <item x="733"/>
        <item x="3342"/>
        <item x="402"/>
        <item x="1698"/>
        <item x="1781"/>
        <item x="2552"/>
        <item x="2933"/>
        <item x="3121"/>
        <item x="1437"/>
        <item x="2732"/>
        <item x="1078"/>
        <item x="1129"/>
        <item x="3392"/>
        <item x="3487"/>
        <item x="3193"/>
        <item x="3284"/>
        <item x="1416"/>
        <item x="1197"/>
        <item x="2397"/>
        <item x="2485"/>
        <item x="997"/>
        <item x="1046"/>
        <item x="620"/>
        <item x="3386"/>
        <item x="2189"/>
        <item x="2885"/>
        <item x="1088"/>
        <item x="3330"/>
        <item x="2409"/>
        <item x="362"/>
        <item x="1827"/>
        <item x="721"/>
        <item x="1807"/>
        <item x="442"/>
        <item x="2561"/>
        <item x="2875"/>
        <item x="2134"/>
        <item x="2952"/>
        <item x="2690"/>
        <item x="2172"/>
        <item x="3091"/>
        <item x="3020"/>
        <item x="2367"/>
        <item x="935"/>
        <item x="734"/>
        <item x="385"/>
        <item x="1703"/>
        <item x="157"/>
        <item x="177"/>
        <item x="666"/>
        <item x="203"/>
        <item x="1811"/>
        <item x="1613"/>
        <item x="1624"/>
        <item x="648"/>
        <item x="438"/>
        <item x="1384"/>
        <item x="2750"/>
        <item x="2327"/>
        <item x="952"/>
        <item x="68"/>
        <item x="1533"/>
        <item x="2357"/>
        <item x="2824"/>
        <item x="2789"/>
        <item x="2616"/>
        <item x="3553"/>
        <item x="682"/>
        <item x="2154"/>
        <item x="3266"/>
        <item x="837"/>
        <item x="3510"/>
        <item x="2593"/>
        <item x="1114"/>
        <item x="3318"/>
        <item x="3022"/>
        <item x="1138"/>
        <item x="2635"/>
        <item x="1927"/>
        <item x="1780"/>
        <item x="2587"/>
        <item x="244"/>
        <item x="710"/>
        <item x="3173"/>
        <item x="731"/>
        <item x="3314"/>
        <item x="524"/>
        <item x="3073"/>
        <item x="754"/>
        <item t="default"/>
      </items>
    </pivotField>
    <pivotField showAll="0"/>
    <pivotField showAll="0"/>
    <pivotField showAll="0"/>
    <pivotField showAll="0">
      <items count="8">
        <item x="4"/>
        <item x="5"/>
        <item x="6"/>
        <item x="0"/>
        <item x="3"/>
        <item x="2"/>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s>
    </pivotField>
  </pivotFields>
  <rowFields count="1">
    <field x="5"/>
  </rowFields>
  <rowItems count="5">
    <i>
      <x v="2"/>
    </i>
    <i>
      <x v="1"/>
    </i>
    <i>
      <x/>
    </i>
    <i>
      <x v="3"/>
    </i>
    <i t="grand">
      <x/>
    </i>
  </rowItems>
  <colItems count="1">
    <i/>
  </colItems>
  <dataFields count="1">
    <dataField name="Count of Sale_Price" fld="8" subtotal="count" baseField="5" baseItem="3"/>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wn" xr10:uid="{C8B818C0-2DED-4439-92DD-C16FF1CF6941}" sourceName="Town">
  <pivotTables>
    <pivotTable tabId="5" name="PivotTable2"/>
    <pivotTable tabId="2" name="PivotTable1"/>
    <pivotTable tabId="6" name="PivotTable3"/>
    <pivotTable tabId="4" name="PivotTable1"/>
    <pivotTable tabId="19" name="PivotTable1"/>
    <pivotTable tabId="23" name="PivotTable2"/>
    <pivotTable tabId="35" name="PivotTable1"/>
    <pivotTable tabId="35" name="PivotTable2"/>
    <pivotTable tabId="35" name="PivotTable3"/>
    <pivotTable tabId="35" name="PivotTable4"/>
    <pivotTable tabId="35" name="PivotTable5"/>
  </pivotTables>
  <data>
    <tabular pivotCacheId="1008325982">
      <items count="7">
        <i x="4" s="1"/>
        <i x="5" s="1"/>
        <i x="6"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A5F8F9F3-DBD3-4B28-986C-A9B7E84E0AEC}" sourceName="Property_Type">
  <pivotTables>
    <pivotTable tabId="6" name="PivotTable3"/>
    <pivotTable tabId="2" name="PivotTable1"/>
    <pivotTable tabId="5" name="PivotTable2"/>
    <pivotTable tabId="4" name="PivotTable1"/>
    <pivotTable tabId="19" name="PivotTable1"/>
    <pivotTable tabId="23" name="PivotTable2"/>
    <pivotTable tabId="35" name="PivotTable1"/>
    <pivotTable tabId="35" name="PivotTable2"/>
    <pivotTable tabId="35" name="PivotTable3"/>
    <pivotTable tabId="35" name="PivotTable4"/>
    <pivotTable tabId="35" name="PivotTable5"/>
  </pivotTables>
  <data>
    <tabular pivotCacheId="100832598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wn" xr10:uid="{0C1FDA9A-9BF4-4450-B517-40DD6499405B}" cache="Slicer_Town" caption="Town" columnCount="3" rowHeight="234950"/>
  <slicer name="Property_Type" xr10:uid="{0C2DB0C9-31A6-459B-97D8-BEA10E7F5689}" cache="Slicer_Property_Type" caption="Property_Typ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B0DA19-8ED9-4423-A354-2D0BF8B865E4}" name="Table3" displayName="Table3" ref="A1:J5001" totalsRowShown="0" headerRowDxfId="232" dataDxfId="231" tableBorderDxfId="230">
  <autoFilter ref="A1:J5001" xr:uid="{53B0DA19-8ED9-4423-A354-2D0BF8B865E4}"/>
  <tableColumns count="10">
    <tableColumn id="1" xr3:uid="{DB0D01C7-A02A-4B71-8D5B-FFA65EA55207}" name="Sale_Date" dataDxfId="229"/>
    <tableColumn id="2" xr3:uid="{BF0B8696-8D01-4274-8EF7-9031C99DDAF3}" name="Month" dataDxfId="228">
      <calculatedColumnFormula>TEXT(Raw_Data!$A2, "MMM")</calculatedColumnFormula>
    </tableColumn>
    <tableColumn id="3" xr3:uid="{AE9A0C43-8673-4CA1-97FE-39230743B1EB}" name="Year" dataDxfId="227">
      <calculatedColumnFormula>YEAR(Raw_Data!$A2)</calculatedColumnFormula>
    </tableColumn>
    <tableColumn id="4" xr3:uid="{EBC94CF2-0039-4117-BD2B-E1A6DC38DF43}" name="Address" dataDxfId="226"/>
    <tableColumn id="5" xr3:uid="{4A2B0581-E48E-4D00-BE91-CEE3C89A2D8F}" name="Town" dataDxfId="225"/>
    <tableColumn id="6" xr3:uid="{7B885915-0DC4-444E-AB37-135201584E00}" name="Property_Type" dataDxfId="224"/>
    <tableColumn id="7" xr3:uid="{0E2537FB-3EE1-49CC-85A3-51166E4409C1}" name="Bedrooms" dataDxfId="223"/>
    <tableColumn id="8" xr3:uid="{4B6A7E5C-DF04-4532-978E-E84BC117E573}" name="Square_Feet" dataDxfId="222"/>
    <tableColumn id="9" xr3:uid="{B90FB6F2-4C52-4443-9C19-E23AF3940CDC}" name="Sale_Price" dataDxfId="221"/>
    <tableColumn id="10" xr3:uid="{9591D7B0-46E7-4D9A-BC51-0A69121045C4}" name="Price Per Sq Ft" dataDxfId="220">
      <calculatedColumnFormula>Raw_Data!$I2/Raw_Data!$H2</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CCAF0D-7EAE-4842-AA6E-7DF2B00F8D7E}" name="Table6" displayName="Table6" ref="A1:E27" totalsRowShown="0">
  <autoFilter ref="A1:E27" xr:uid="{F7CCAF0D-7EAE-4842-AA6E-7DF2B00F8D7E}"/>
  <tableColumns count="5">
    <tableColumn id="1" xr3:uid="{E61F539B-2FC3-42A5-AD41-C48A39A15773}" name="Row Labels"/>
    <tableColumn id="2" xr3:uid="{B5060569-346A-4360-BDF9-211668BFAF43}" name="Average of Sale_Price"/>
    <tableColumn id="3" xr3:uid="{F7DEA673-9122-48B3-B344-696BDA90ACA4}" name="Forecast(Average of Sale_Price)" dataDxfId="235">
      <calculatedColumnFormula>_xlfn.FORECAST.ETS(A2,$B$2:$B$21,$A$2:$A$21,1,1)</calculatedColumnFormula>
    </tableColumn>
    <tableColumn id="4" xr3:uid="{C9C23A90-4065-4EB9-B809-B5DF11A9A47A}" name="Lower Confidence Bound(Average of Sale_Price)" dataDxfId="234">
      <calculatedColumnFormula>C2-_xlfn.FORECAST.ETS.CONFINT(A2,$B$2:$B$21,$A$2:$A$21,0.95,1,1)</calculatedColumnFormula>
    </tableColumn>
    <tableColumn id="5" xr3:uid="{CF89E4A9-B108-4B11-B69E-EE6F26C323D9}" name="Upper Confidence Bound(Average of Sale_Price)" dataDxfId="233">
      <calculatedColumnFormula>C2+_xlfn.FORECAST.ETS.CONFINT(A2,$B$2:$B$21,$A$2:$A$21,0.95,1,1)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4A33F485-EE7C-4C72-A9A1-489F536C7E44}" sourceName="Sale_Date">
  <pivotTables>
    <pivotTable tabId="2" name="PivotTable1"/>
    <pivotTable tabId="5" name="PivotTable2"/>
    <pivotTable tabId="6" name="PivotTable3"/>
    <pivotTable tabId="4" name="PivotTable1"/>
    <pivotTable tabId="19" name="PivotTable1"/>
    <pivotTable tabId="23" name="PivotTable2"/>
    <pivotTable tabId="35" name="PivotTable1"/>
    <pivotTable tabId="35" name="PivotTable2"/>
    <pivotTable tabId="35" name="PivotTable3"/>
    <pivotTable tabId="35" name="PivotTable4"/>
    <pivotTable tabId="35" name="PivotTable5"/>
  </pivotTables>
  <state minimalRefreshVersion="6" lastRefreshVersion="6" pivotCacheId="1008325982" filterType="unknown">
    <bounds startDate="2001-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2FC68FC6-1CB4-4F78-B319-24E5F9420C8D}" cache="NativeTimeline_Sale_Date" caption="Sale_Date" level="2" selectionLevel="2" scrollPosition="2001-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97C9-5A30-4F7E-83B9-27BD2D80F5C9}">
  <sheetPr>
    <pageSetUpPr autoPageBreaks="0"/>
  </sheetPr>
  <dimension ref="A1"/>
  <sheetViews>
    <sheetView showGridLines="0" tabSelected="1" zoomScale="70" zoomScaleNormal="70" zoomScaleSheetLayoutView="70" workbookViewId="0">
      <selection activeCell="AN61" sqref="AN61"/>
    </sheetView>
  </sheetViews>
  <sheetFormatPr defaultRowHeight="14.4" x14ac:dyDescent="0.3"/>
  <cols>
    <col min="1" max="1" width="1.33203125" customWidth="1"/>
    <col min="4" max="8" width="8.88671875" customWidth="1"/>
  </cols>
  <sheetData>
    <row r="1" ht="4.2" customHeight="1" x14ac:dyDescent="0.3"/>
  </sheetData>
  <pageMargins left="0.7" right="0.7" top="0.75" bottom="0.75" header="0.3" footer="0.3"/>
  <pageSetup paperSize="9" orientation="portrait" horizontalDpi="200" verticalDpi="200" copies="0" r:id="rId1"/>
  <colBreaks count="1" manualBreakCount="1">
    <brk id="19" max="52" man="1"/>
  </colBreaks>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D154-3C67-41A4-BCF4-D03EE6C0CE8B}">
  <dimension ref="A1:B57"/>
  <sheetViews>
    <sheetView topLeftCell="A16" workbookViewId="0">
      <selection activeCell="F52" sqref="F52"/>
    </sheetView>
  </sheetViews>
  <sheetFormatPr defaultRowHeight="14.4" x14ac:dyDescent="0.3"/>
  <cols>
    <col min="1" max="1" width="12.5546875" bestFit="1" customWidth="1"/>
    <col min="2" max="2" width="17.5546875" bestFit="1" customWidth="1"/>
    <col min="6" max="6" width="19.109375" customWidth="1"/>
  </cols>
  <sheetData>
    <row r="1" spans="1:2" x14ac:dyDescent="0.3">
      <c r="A1" t="s">
        <v>3024</v>
      </c>
    </row>
    <row r="2" spans="1:2" x14ac:dyDescent="0.3">
      <c r="A2" s="1">
        <v>500619.26912874926</v>
      </c>
    </row>
    <row r="8" spans="1:2" x14ac:dyDescent="0.3">
      <c r="A8" t="s">
        <v>3025</v>
      </c>
    </row>
    <row r="9" spans="1:2" x14ac:dyDescent="0.3">
      <c r="A9" s="15">
        <v>4901</v>
      </c>
    </row>
    <row r="16" spans="1:2" x14ac:dyDescent="0.3">
      <c r="A16" s="3" t="s">
        <v>3022</v>
      </c>
      <c r="B16" s="14" t="s">
        <v>3030</v>
      </c>
    </row>
    <row r="17" spans="1:2" x14ac:dyDescent="0.3">
      <c r="A17" s="4" t="s">
        <v>21</v>
      </c>
      <c r="B17" s="14">
        <v>276.91919817333803</v>
      </c>
    </row>
    <row r="18" spans="1:2" x14ac:dyDescent="0.3">
      <c r="A18" s="4" t="s">
        <v>23</v>
      </c>
      <c r="B18" s="14">
        <v>275.75740508256149</v>
      </c>
    </row>
    <row r="19" spans="1:2" x14ac:dyDescent="0.3">
      <c r="A19" s="4" t="s">
        <v>32</v>
      </c>
      <c r="B19" s="14">
        <v>269.80365215130814</v>
      </c>
    </row>
    <row r="20" spans="1:2" x14ac:dyDescent="0.3">
      <c r="A20" s="4" t="s">
        <v>13</v>
      </c>
      <c r="B20" s="14">
        <v>266.13523489788321</v>
      </c>
    </row>
    <row r="21" spans="1:2" x14ac:dyDescent="0.3">
      <c r="A21" s="4" t="s">
        <v>25</v>
      </c>
      <c r="B21" s="14">
        <v>260.55320245308434</v>
      </c>
    </row>
    <row r="22" spans="1:2" x14ac:dyDescent="0.3">
      <c r="A22" s="4" t="s">
        <v>29</v>
      </c>
      <c r="B22" s="14">
        <v>259.09382021680364</v>
      </c>
    </row>
    <row r="23" spans="1:2" x14ac:dyDescent="0.3">
      <c r="A23" s="4" t="s">
        <v>15</v>
      </c>
      <c r="B23" s="14">
        <v>259.04309416595157</v>
      </c>
    </row>
    <row r="24" spans="1:2" x14ac:dyDescent="0.3">
      <c r="A24" s="4" t="s">
        <v>3023</v>
      </c>
      <c r="B24" s="14">
        <v>265.67952008559013</v>
      </c>
    </row>
    <row r="33" spans="1:2" x14ac:dyDescent="0.3">
      <c r="A33" s="3" t="s">
        <v>3022</v>
      </c>
      <c r="B33" t="s">
        <v>3024</v>
      </c>
    </row>
    <row r="34" spans="1:2" x14ac:dyDescent="0.3">
      <c r="A34" s="4" t="s">
        <v>23</v>
      </c>
      <c r="B34" s="1">
        <v>519384.56681034481</v>
      </c>
    </row>
    <row r="35" spans="1:2" x14ac:dyDescent="0.3">
      <c r="A35" s="4" t="s">
        <v>21</v>
      </c>
      <c r="B35" s="1">
        <v>508894.34689922479</v>
      </c>
    </row>
    <row r="36" spans="1:2" x14ac:dyDescent="0.3">
      <c r="A36" s="4" t="s">
        <v>29</v>
      </c>
      <c r="B36" s="1">
        <v>505984.5653923541</v>
      </c>
    </row>
    <row r="37" spans="1:2" x14ac:dyDescent="0.3">
      <c r="A37" s="4" t="s">
        <v>13</v>
      </c>
      <c r="B37" s="1">
        <v>503075.79466119094</v>
      </c>
    </row>
    <row r="38" spans="1:2" x14ac:dyDescent="0.3">
      <c r="A38" s="4" t="s">
        <v>32</v>
      </c>
      <c r="B38" s="1">
        <v>501577.1843971631</v>
      </c>
    </row>
    <row r="39" spans="1:2" x14ac:dyDescent="0.3">
      <c r="A39" s="4" t="s">
        <v>25</v>
      </c>
      <c r="B39" s="1">
        <v>493043.44012605044</v>
      </c>
    </row>
    <row r="40" spans="1:2" x14ac:dyDescent="0.3">
      <c r="A40" s="4" t="s">
        <v>15</v>
      </c>
      <c r="B40" s="1">
        <v>490024.88877755508</v>
      </c>
    </row>
    <row r="41" spans="1:2" x14ac:dyDescent="0.3">
      <c r="A41" s="4" t="s">
        <v>3023</v>
      </c>
      <c r="B41" s="1">
        <v>500619.26912874926</v>
      </c>
    </row>
    <row r="49" spans="1:2" x14ac:dyDescent="0.3">
      <c r="A49" s="3" t="s">
        <v>3022</v>
      </c>
      <c r="B49" t="s">
        <v>3025</v>
      </c>
    </row>
    <row r="50" spans="1:2" x14ac:dyDescent="0.3">
      <c r="A50" s="4" t="s">
        <v>15</v>
      </c>
      <c r="B50" s="16">
        <v>998</v>
      </c>
    </row>
    <row r="51" spans="1:2" x14ac:dyDescent="0.3">
      <c r="A51" s="4" t="s">
        <v>32</v>
      </c>
      <c r="B51" s="16">
        <v>987</v>
      </c>
    </row>
    <row r="52" spans="1:2" x14ac:dyDescent="0.3">
      <c r="A52" s="4" t="s">
        <v>25</v>
      </c>
      <c r="B52" s="16">
        <v>952</v>
      </c>
    </row>
    <row r="53" spans="1:2" x14ac:dyDescent="0.3">
      <c r="A53" s="4" t="s">
        <v>21</v>
      </c>
      <c r="B53" s="16">
        <v>516</v>
      </c>
    </row>
    <row r="54" spans="1:2" x14ac:dyDescent="0.3">
      <c r="A54" s="4" t="s">
        <v>29</v>
      </c>
      <c r="B54" s="16">
        <v>497</v>
      </c>
    </row>
    <row r="55" spans="1:2" x14ac:dyDescent="0.3">
      <c r="A55" s="4" t="s">
        <v>13</v>
      </c>
      <c r="B55" s="16">
        <v>487</v>
      </c>
    </row>
    <row r="56" spans="1:2" x14ac:dyDescent="0.3">
      <c r="A56" s="4" t="s">
        <v>23</v>
      </c>
      <c r="B56" s="16">
        <v>464</v>
      </c>
    </row>
    <row r="57" spans="1:2" x14ac:dyDescent="0.3">
      <c r="A57" s="4" t="s">
        <v>3023</v>
      </c>
      <c r="B57" s="16">
        <v>4901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BD2B1-44CA-4154-B472-6F864ED077C0}">
  <dimension ref="A1:J5001"/>
  <sheetViews>
    <sheetView workbookViewId="0">
      <pane ySplit="1" topLeftCell="A3" activePane="bottomLeft" state="frozen"/>
      <selection pane="bottomLeft" activeCell="R35" sqref="R35"/>
    </sheetView>
  </sheetViews>
  <sheetFormatPr defaultRowHeight="14.4" x14ac:dyDescent="0.3"/>
  <cols>
    <col min="1" max="1" width="19.21875" customWidth="1"/>
    <col min="2" max="2" width="10.33203125" customWidth="1"/>
    <col min="4" max="4" width="20.33203125" customWidth="1"/>
    <col min="5" max="5" width="15.6640625" customWidth="1"/>
    <col min="6" max="6" width="15.33203125" customWidth="1"/>
    <col min="7" max="7" width="11.44140625" customWidth="1"/>
    <col min="8" max="8" width="13.33203125" customWidth="1"/>
    <col min="9" max="9" width="17.88671875" customWidth="1"/>
    <col min="10" max="10" width="16.88671875" customWidth="1"/>
  </cols>
  <sheetData>
    <row r="1" spans="1:10" x14ac:dyDescent="0.3">
      <c r="A1" s="11" t="s">
        <v>0</v>
      </c>
      <c r="B1" s="12" t="s">
        <v>1</v>
      </c>
      <c r="C1" s="12" t="s">
        <v>2</v>
      </c>
      <c r="D1" s="12" t="s">
        <v>3</v>
      </c>
      <c r="E1" s="12" t="s">
        <v>4</v>
      </c>
      <c r="F1" s="12" t="s">
        <v>5</v>
      </c>
      <c r="G1" s="12" t="s">
        <v>6</v>
      </c>
      <c r="H1" s="12" t="s">
        <v>7</v>
      </c>
      <c r="I1" s="13" t="s">
        <v>8</v>
      </c>
      <c r="J1" s="12" t="s">
        <v>9</v>
      </c>
    </row>
    <row r="2" spans="1:10" x14ac:dyDescent="0.3">
      <c r="A2" s="5">
        <v>43780</v>
      </c>
      <c r="B2" s="6" t="str">
        <f>TEXT(Raw_Data!$A2, "MMM")</f>
        <v>Nov</v>
      </c>
      <c r="C2" s="6">
        <f>YEAR(Raw_Data!$A2)</f>
        <v>2019</v>
      </c>
      <c r="D2" s="6" t="s">
        <v>10</v>
      </c>
      <c r="E2" s="6" t="s">
        <v>15</v>
      </c>
      <c r="F2" s="6" t="s">
        <v>11</v>
      </c>
      <c r="G2" s="6">
        <v>3</v>
      </c>
      <c r="H2" s="6">
        <v>1978</v>
      </c>
      <c r="I2" s="7">
        <v>521480</v>
      </c>
      <c r="J2" s="7">
        <f>Raw_Data!$I2/Raw_Data!$H2</f>
        <v>263.64004044489383</v>
      </c>
    </row>
    <row r="3" spans="1:10" x14ac:dyDescent="0.3">
      <c r="A3" s="8">
        <v>39293</v>
      </c>
      <c r="B3" t="str">
        <f>TEXT(Raw_Data!$A3, "MMM")</f>
        <v>Jul</v>
      </c>
      <c r="C3">
        <f>YEAR(Raw_Data!$A3)</f>
        <v>2007</v>
      </c>
      <c r="D3" t="s">
        <v>12</v>
      </c>
      <c r="E3" t="s">
        <v>13</v>
      </c>
      <c r="F3" t="s">
        <v>11</v>
      </c>
      <c r="G3">
        <v>4</v>
      </c>
      <c r="H3">
        <v>1223</v>
      </c>
      <c r="I3" s="1">
        <v>705776</v>
      </c>
      <c r="J3" s="1">
        <f>Raw_Data!$I3/Raw_Data!$H3</f>
        <v>577.08585445625511</v>
      </c>
    </row>
    <row r="4" spans="1:10" x14ac:dyDescent="0.3">
      <c r="A4" s="9">
        <v>43021</v>
      </c>
      <c r="B4" s="2" t="str">
        <f>TEXT(Raw_Data!$A4, "MMM")</f>
        <v>Oct</v>
      </c>
      <c r="C4" s="2">
        <f>YEAR(Raw_Data!$A4)</f>
        <v>2017</v>
      </c>
      <c r="D4" s="2" t="s">
        <v>14</v>
      </c>
      <c r="E4" s="2" t="s">
        <v>15</v>
      </c>
      <c r="F4" s="2" t="s">
        <v>16</v>
      </c>
      <c r="G4" s="2">
        <v>3</v>
      </c>
      <c r="H4" s="2">
        <v>2611</v>
      </c>
      <c r="I4" s="10">
        <v>226876</v>
      </c>
      <c r="J4" s="10">
        <f>Raw_Data!$I4/Raw_Data!$H4</f>
        <v>86.892378399080812</v>
      </c>
    </row>
    <row r="5" spans="1:10" x14ac:dyDescent="0.3">
      <c r="A5" s="8">
        <v>40510</v>
      </c>
      <c r="B5" t="str">
        <f>TEXT(Raw_Data!$A5, "MMM")</f>
        <v>Nov</v>
      </c>
      <c r="C5">
        <f>YEAR(Raw_Data!$A5)</f>
        <v>2010</v>
      </c>
      <c r="D5" t="s">
        <v>17</v>
      </c>
      <c r="E5" t="s">
        <v>13</v>
      </c>
      <c r="F5" t="s">
        <v>18</v>
      </c>
      <c r="G5">
        <v>4</v>
      </c>
      <c r="H5">
        <v>3316</v>
      </c>
      <c r="I5" s="1">
        <v>674883</v>
      </c>
      <c r="J5" s="1">
        <f>Raw_Data!$I5/Raw_Data!$H5</f>
        <v>203.52322074788901</v>
      </c>
    </row>
    <row r="6" spans="1:10" x14ac:dyDescent="0.3">
      <c r="A6" s="9">
        <v>40017</v>
      </c>
      <c r="B6" s="2" t="str">
        <f>TEXT(Raw_Data!$A6, "MMM")</f>
        <v>Jul</v>
      </c>
      <c r="C6" s="2">
        <f>YEAR(Raw_Data!$A6)</f>
        <v>2009</v>
      </c>
      <c r="D6" s="2" t="s">
        <v>19</v>
      </c>
      <c r="E6" s="2" t="s">
        <v>15</v>
      </c>
      <c r="F6" s="2" t="s">
        <v>16</v>
      </c>
      <c r="G6" s="2">
        <v>4</v>
      </c>
      <c r="H6" s="2">
        <v>883</v>
      </c>
      <c r="I6" s="10">
        <v>355887</v>
      </c>
      <c r="J6" s="10">
        <f>Raw_Data!$I6/Raw_Data!$H6</f>
        <v>403.04303510758774</v>
      </c>
    </row>
    <row r="7" spans="1:10" x14ac:dyDescent="0.3">
      <c r="A7" s="8">
        <v>41807</v>
      </c>
      <c r="B7" t="str">
        <f>TEXT(Raw_Data!$A7, "MMM")</f>
        <v>Jun</v>
      </c>
      <c r="C7">
        <f>YEAR(Raw_Data!$A7)</f>
        <v>2014</v>
      </c>
      <c r="D7" t="s">
        <v>20</v>
      </c>
      <c r="E7" t="s">
        <v>21</v>
      </c>
      <c r="F7" t="s">
        <v>11</v>
      </c>
      <c r="G7">
        <v>3</v>
      </c>
      <c r="H7">
        <v>3305</v>
      </c>
      <c r="I7" s="1">
        <v>849855</v>
      </c>
      <c r="J7" s="1">
        <f>Raw_Data!$I7/Raw_Data!$H7</f>
        <v>257.14220877458399</v>
      </c>
    </row>
    <row r="8" spans="1:10" x14ac:dyDescent="0.3">
      <c r="A8" s="9">
        <v>40268</v>
      </c>
      <c r="B8" s="2" t="str">
        <f>TEXT(Raw_Data!$A8, "MMM")</f>
        <v>Mar</v>
      </c>
      <c r="C8" s="2">
        <f>YEAR(Raw_Data!$A8)</f>
        <v>2010</v>
      </c>
      <c r="D8" s="2" t="s">
        <v>22</v>
      </c>
      <c r="E8" s="2" t="s">
        <v>23</v>
      </c>
      <c r="F8" s="2" t="s">
        <v>11</v>
      </c>
      <c r="G8" s="2">
        <v>3</v>
      </c>
      <c r="H8" s="2">
        <v>2376</v>
      </c>
      <c r="I8" s="10">
        <v>661446</v>
      </c>
      <c r="J8" s="10">
        <f>Raw_Data!$I8/Raw_Data!$H8</f>
        <v>278.38636363636363</v>
      </c>
    </row>
    <row r="9" spans="1:10" x14ac:dyDescent="0.3">
      <c r="A9" s="8">
        <v>40085</v>
      </c>
      <c r="B9" t="str">
        <f>TEXT(Raw_Data!$A9, "MMM")</f>
        <v>Sep</v>
      </c>
      <c r="C9">
        <f>YEAR(Raw_Data!$A9)</f>
        <v>2009</v>
      </c>
      <c r="D9" t="s">
        <v>24</v>
      </c>
      <c r="E9" t="s">
        <v>25</v>
      </c>
      <c r="F9" t="s">
        <v>18</v>
      </c>
      <c r="G9">
        <v>3</v>
      </c>
      <c r="H9">
        <v>2765</v>
      </c>
      <c r="I9" s="1">
        <v>479403</v>
      </c>
      <c r="J9" s="1">
        <f>Raw_Data!$I9/Raw_Data!$H9</f>
        <v>173.38264014466546</v>
      </c>
    </row>
    <row r="10" spans="1:10" x14ac:dyDescent="0.3">
      <c r="A10" s="9">
        <v>40929</v>
      </c>
      <c r="B10" s="2" t="str">
        <f>TEXT(Raw_Data!$A10, "MMM")</f>
        <v>Jan</v>
      </c>
      <c r="C10" s="2">
        <f>YEAR(Raw_Data!$A10)</f>
        <v>2012</v>
      </c>
      <c r="D10" s="2" t="s">
        <v>26</v>
      </c>
      <c r="E10" s="2" t="s">
        <v>21</v>
      </c>
      <c r="F10" s="2" t="s">
        <v>27</v>
      </c>
      <c r="G10" s="2">
        <v>5</v>
      </c>
      <c r="H10" s="2">
        <v>2051</v>
      </c>
      <c r="I10" s="10">
        <v>291284</v>
      </c>
      <c r="J10" s="10">
        <f>Raw_Data!$I10/Raw_Data!$H10</f>
        <v>142.02047781569965</v>
      </c>
    </row>
    <row r="11" spans="1:10" x14ac:dyDescent="0.3">
      <c r="A11" s="8">
        <v>40416</v>
      </c>
      <c r="B11" t="str">
        <f>TEXT(Raw_Data!$A11, "MMM")</f>
        <v>Aug</v>
      </c>
      <c r="C11">
        <f>YEAR(Raw_Data!$A11)</f>
        <v>2010</v>
      </c>
      <c r="D11" t="s">
        <v>28</v>
      </c>
      <c r="E11" t="s">
        <v>29</v>
      </c>
      <c r="F11" t="s">
        <v>11</v>
      </c>
      <c r="H11">
        <v>1354</v>
      </c>
      <c r="I11" s="1">
        <v>835777</v>
      </c>
      <c r="J11" s="1">
        <f>Raw_Data!$I11/Raw_Data!$H11</f>
        <v>617.26514032496311</v>
      </c>
    </row>
    <row r="12" spans="1:10" x14ac:dyDescent="0.3">
      <c r="A12" s="9">
        <v>41530</v>
      </c>
      <c r="B12" s="2" t="str">
        <f>TEXT(Raw_Data!$A12, "MMM")</f>
        <v>Sep</v>
      </c>
      <c r="C12" s="2">
        <f>YEAR(Raw_Data!$A12)</f>
        <v>2013</v>
      </c>
      <c r="D12" s="2" t="s">
        <v>30</v>
      </c>
      <c r="E12" s="2" t="s">
        <v>13</v>
      </c>
      <c r="F12" s="2" t="s">
        <v>27</v>
      </c>
      <c r="G12" s="2">
        <v>2</v>
      </c>
      <c r="H12" s="2">
        <v>1033</v>
      </c>
      <c r="I12" s="10">
        <v>687709</v>
      </c>
      <c r="J12" s="10">
        <f>Raw_Data!$I12/Raw_Data!$H12</f>
        <v>665.73959341723139</v>
      </c>
    </row>
    <row r="13" spans="1:10" x14ac:dyDescent="0.3">
      <c r="A13" s="8">
        <v>38705</v>
      </c>
      <c r="B13" t="str">
        <f>TEXT(Raw_Data!$A13, "MMM")</f>
        <v>Dec</v>
      </c>
      <c r="C13">
        <f>YEAR(Raw_Data!$A13)</f>
        <v>2005</v>
      </c>
      <c r="D13" t="s">
        <v>31</v>
      </c>
      <c r="E13" t="s">
        <v>32</v>
      </c>
      <c r="F13" t="s">
        <v>11</v>
      </c>
      <c r="H13">
        <v>3210</v>
      </c>
      <c r="I13" s="1">
        <v>771659</v>
      </c>
      <c r="J13" s="1">
        <f>Raw_Data!$I13/Raw_Data!$H13</f>
        <v>240.39221183800623</v>
      </c>
    </row>
    <row r="14" spans="1:10" x14ac:dyDescent="0.3">
      <c r="A14" s="9">
        <v>42375</v>
      </c>
      <c r="B14" s="2" t="str">
        <f>TEXT(Raw_Data!$A14, "MMM")</f>
        <v>Jan</v>
      </c>
      <c r="C14" s="2">
        <f>YEAR(Raw_Data!$A14)</f>
        <v>2016</v>
      </c>
      <c r="D14" s="2" t="s">
        <v>33</v>
      </c>
      <c r="E14" s="2" t="s">
        <v>25</v>
      </c>
      <c r="F14" s="2" t="s">
        <v>18</v>
      </c>
      <c r="G14" s="2">
        <v>5</v>
      </c>
      <c r="H14" s="2">
        <v>3160</v>
      </c>
      <c r="I14" s="10">
        <v>835846</v>
      </c>
      <c r="J14" s="10">
        <f>Raw_Data!$I14/Raw_Data!$H14</f>
        <v>264.50822784810128</v>
      </c>
    </row>
    <row r="15" spans="1:10" x14ac:dyDescent="0.3">
      <c r="A15" s="8">
        <v>41055</v>
      </c>
      <c r="B15" t="str">
        <f>TEXT(Raw_Data!$A15, "MMM")</f>
        <v>May</v>
      </c>
      <c r="C15">
        <f>YEAR(Raw_Data!$A15)</f>
        <v>2012</v>
      </c>
      <c r="D15" t="s">
        <v>34</v>
      </c>
      <c r="E15" t="s">
        <v>32</v>
      </c>
      <c r="F15" t="s">
        <v>27</v>
      </c>
      <c r="H15">
        <v>1423</v>
      </c>
      <c r="I15" s="1">
        <v>131127</v>
      </c>
      <c r="J15" s="1">
        <f>Raw_Data!$I15/Raw_Data!$H15</f>
        <v>92.148278285312713</v>
      </c>
    </row>
    <row r="16" spans="1:10" x14ac:dyDescent="0.3">
      <c r="A16" s="9">
        <v>41520</v>
      </c>
      <c r="B16" s="2" t="str">
        <f>TEXT(Raw_Data!$A16, "MMM")</f>
        <v>Sep</v>
      </c>
      <c r="C16" s="2">
        <f>YEAR(Raw_Data!$A16)</f>
        <v>2013</v>
      </c>
      <c r="D16" s="2" t="s">
        <v>35</v>
      </c>
      <c r="E16" s="2" t="s">
        <v>29</v>
      </c>
      <c r="F16" s="2" t="s">
        <v>27</v>
      </c>
      <c r="G16" s="2">
        <v>5</v>
      </c>
      <c r="H16" s="2">
        <v>1958</v>
      </c>
      <c r="I16" s="10">
        <v>892241</v>
      </c>
      <c r="J16" s="10">
        <f>Raw_Data!$I16/Raw_Data!$H16</f>
        <v>455.68998978549541</v>
      </c>
    </row>
    <row r="17" spans="1:10" x14ac:dyDescent="0.3">
      <c r="A17" s="8">
        <v>39396</v>
      </c>
      <c r="B17" t="str">
        <f>TEXT(Raw_Data!$A17, "MMM")</f>
        <v>Nov</v>
      </c>
      <c r="C17">
        <f>YEAR(Raw_Data!$A17)</f>
        <v>2007</v>
      </c>
      <c r="D17" t="s">
        <v>36</v>
      </c>
      <c r="E17" t="s">
        <v>25</v>
      </c>
      <c r="F17" t="s">
        <v>18</v>
      </c>
      <c r="G17">
        <v>4</v>
      </c>
      <c r="H17">
        <v>3240</v>
      </c>
      <c r="I17" s="1">
        <v>119911</v>
      </c>
      <c r="J17" s="1">
        <f>Raw_Data!$I17/Raw_Data!$H17</f>
        <v>37.009567901234568</v>
      </c>
    </row>
    <row r="18" spans="1:10" x14ac:dyDescent="0.3">
      <c r="A18" s="9">
        <v>42810</v>
      </c>
      <c r="B18" s="2" t="str">
        <f>TEXT(Raw_Data!$A18, "MMM")</f>
        <v>Mar</v>
      </c>
      <c r="C18" s="2">
        <f>YEAR(Raw_Data!$A18)</f>
        <v>2017</v>
      </c>
      <c r="D18" s="2" t="s">
        <v>37</v>
      </c>
      <c r="E18" s="2" t="s">
        <v>29</v>
      </c>
      <c r="F18" s="2" t="s">
        <v>27</v>
      </c>
      <c r="G18" s="2">
        <v>4</v>
      </c>
      <c r="H18" s="2">
        <v>1356</v>
      </c>
      <c r="I18" s="10">
        <v>813626</v>
      </c>
      <c r="J18" s="10">
        <f>Raw_Data!$I18/Raw_Data!$H18</f>
        <v>600.0191740412979</v>
      </c>
    </row>
    <row r="19" spans="1:10" x14ac:dyDescent="0.3">
      <c r="A19" s="8">
        <v>39305</v>
      </c>
      <c r="B19" t="str">
        <f>TEXT(Raw_Data!$A19, "MMM")</f>
        <v>Aug</v>
      </c>
      <c r="C19">
        <f>YEAR(Raw_Data!$A19)</f>
        <v>2007</v>
      </c>
      <c r="D19" t="s">
        <v>38</v>
      </c>
      <c r="E19" t="s">
        <v>13</v>
      </c>
      <c r="F19" t="s">
        <v>16</v>
      </c>
      <c r="H19">
        <v>2101</v>
      </c>
      <c r="I19" s="1">
        <v>180289</v>
      </c>
      <c r="J19" s="1">
        <f>Raw_Data!$I19/Raw_Data!$H19</f>
        <v>85.811042360780576</v>
      </c>
    </row>
    <row r="20" spans="1:10" x14ac:dyDescent="0.3">
      <c r="A20" s="9">
        <v>38221</v>
      </c>
      <c r="B20" s="2" t="str">
        <f>TEXT(Raw_Data!$A20, "MMM")</f>
        <v>Aug</v>
      </c>
      <c r="C20" s="2">
        <f>YEAR(Raw_Data!$A20)</f>
        <v>2004</v>
      </c>
      <c r="D20" s="2" t="s">
        <v>39</v>
      </c>
      <c r="E20" s="2" t="s">
        <v>25</v>
      </c>
      <c r="F20" s="2" t="s">
        <v>18</v>
      </c>
      <c r="G20" s="2">
        <v>3</v>
      </c>
      <c r="H20" s="2">
        <v>1602</v>
      </c>
      <c r="I20" s="10">
        <v>239725</v>
      </c>
      <c r="J20" s="10">
        <f>Raw_Data!$I20/Raw_Data!$H20</f>
        <v>149.64107365792759</v>
      </c>
    </row>
    <row r="21" spans="1:10" x14ac:dyDescent="0.3">
      <c r="A21" s="8">
        <v>42103</v>
      </c>
      <c r="B21" t="str">
        <f>TEXT(Raw_Data!$A21, "MMM")</f>
        <v>Apr</v>
      </c>
      <c r="C21">
        <f>YEAR(Raw_Data!$A21)</f>
        <v>2015</v>
      </c>
      <c r="D21" t="s">
        <v>40</v>
      </c>
      <c r="E21" t="s">
        <v>32</v>
      </c>
      <c r="F21" t="s">
        <v>18</v>
      </c>
      <c r="H21">
        <v>2286</v>
      </c>
      <c r="I21" s="1">
        <v>462030</v>
      </c>
      <c r="J21" s="1">
        <f>Raw_Data!$I21/Raw_Data!$H21</f>
        <v>202.11286089238845</v>
      </c>
    </row>
    <row r="22" spans="1:10" x14ac:dyDescent="0.3">
      <c r="A22" s="9">
        <v>38467</v>
      </c>
      <c r="B22" s="2" t="str">
        <f>TEXT(Raw_Data!$A22, "MMM")</f>
        <v>Apr</v>
      </c>
      <c r="C22" s="2">
        <f>YEAR(Raw_Data!$A22)</f>
        <v>2005</v>
      </c>
      <c r="D22" s="2" t="s">
        <v>41</v>
      </c>
      <c r="E22" s="2" t="s">
        <v>25</v>
      </c>
      <c r="F22" s="2" t="s">
        <v>18</v>
      </c>
      <c r="G22" s="2"/>
      <c r="H22" s="2">
        <v>1822</v>
      </c>
      <c r="I22" s="10">
        <v>286247</v>
      </c>
      <c r="J22" s="10">
        <f>Raw_Data!$I22/Raw_Data!$H22</f>
        <v>157.10592755214051</v>
      </c>
    </row>
    <row r="23" spans="1:10" x14ac:dyDescent="0.3">
      <c r="A23" s="8">
        <v>38090</v>
      </c>
      <c r="B23" t="str">
        <f>TEXT(Raw_Data!$A23, "MMM")</f>
        <v>Apr</v>
      </c>
      <c r="C23">
        <f>YEAR(Raw_Data!$A23)</f>
        <v>2004</v>
      </c>
      <c r="D23" t="s">
        <v>42</v>
      </c>
      <c r="E23" t="s">
        <v>23</v>
      </c>
      <c r="F23" t="s">
        <v>27</v>
      </c>
      <c r="G23">
        <v>3</v>
      </c>
      <c r="H23">
        <v>1269</v>
      </c>
      <c r="I23" s="1">
        <v>597788</v>
      </c>
      <c r="J23" s="1">
        <f>Raw_Data!$I23/Raw_Data!$H23</f>
        <v>471.070133963751</v>
      </c>
    </row>
    <row r="24" spans="1:10" x14ac:dyDescent="0.3">
      <c r="A24" s="9">
        <v>39387</v>
      </c>
      <c r="B24" s="2" t="str">
        <f>TEXT(Raw_Data!$A24, "MMM")</f>
        <v>Nov</v>
      </c>
      <c r="C24" s="2">
        <f>YEAR(Raw_Data!$A24)</f>
        <v>2007</v>
      </c>
      <c r="D24" s="2" t="s">
        <v>43</v>
      </c>
      <c r="E24" s="2" t="s">
        <v>15</v>
      </c>
      <c r="F24" s="2" t="s">
        <v>11</v>
      </c>
      <c r="G24" s="2">
        <v>3</v>
      </c>
      <c r="H24" s="2">
        <v>1012</v>
      </c>
      <c r="I24" s="10">
        <v>313143</v>
      </c>
      <c r="J24" s="10">
        <f>Raw_Data!$I24/Raw_Data!$H24</f>
        <v>309.42984189723319</v>
      </c>
    </row>
    <row r="25" spans="1:10" x14ac:dyDescent="0.3">
      <c r="A25" s="8">
        <v>37104</v>
      </c>
      <c r="B25" t="str">
        <f>TEXT(Raw_Data!$A25, "MMM")</f>
        <v>Aug</v>
      </c>
      <c r="C25">
        <f>YEAR(Raw_Data!$A25)</f>
        <v>2001</v>
      </c>
      <c r="D25" t="s">
        <v>44</v>
      </c>
      <c r="E25" t="s">
        <v>15</v>
      </c>
      <c r="F25" t="s">
        <v>11</v>
      </c>
      <c r="G25">
        <v>2</v>
      </c>
      <c r="H25">
        <v>3391</v>
      </c>
      <c r="I25" s="1">
        <v>378029</v>
      </c>
      <c r="J25" s="1">
        <f>Raw_Data!$I25/Raw_Data!$H25</f>
        <v>111.48009436744323</v>
      </c>
    </row>
    <row r="26" spans="1:10" x14ac:dyDescent="0.3">
      <c r="A26" s="9">
        <v>40576</v>
      </c>
      <c r="B26" s="2" t="str">
        <f>TEXT(Raw_Data!$A26, "MMM")</f>
        <v>Feb</v>
      </c>
      <c r="C26" s="2">
        <f>YEAR(Raw_Data!$A26)</f>
        <v>2011</v>
      </c>
      <c r="D26" s="2" t="s">
        <v>45</v>
      </c>
      <c r="E26" s="2" t="s">
        <v>29</v>
      </c>
      <c r="F26" s="2" t="s">
        <v>16</v>
      </c>
      <c r="G26" s="2">
        <v>2</v>
      </c>
      <c r="H26" s="2">
        <v>2229</v>
      </c>
      <c r="I26" s="10">
        <v>513043</v>
      </c>
      <c r="J26" s="10">
        <f>Raw_Data!$I26/Raw_Data!$H26</f>
        <v>230.16733961417677</v>
      </c>
    </row>
    <row r="27" spans="1:10" x14ac:dyDescent="0.3">
      <c r="A27" s="8">
        <v>38636</v>
      </c>
      <c r="B27" t="str">
        <f>TEXT(Raw_Data!$A27, "MMM")</f>
        <v>Oct</v>
      </c>
      <c r="C27">
        <f>YEAR(Raw_Data!$A27)</f>
        <v>2005</v>
      </c>
      <c r="D27" t="s">
        <v>46</v>
      </c>
      <c r="E27" t="s">
        <v>23</v>
      </c>
      <c r="F27" t="s">
        <v>16</v>
      </c>
      <c r="G27">
        <v>3</v>
      </c>
      <c r="H27">
        <v>1485</v>
      </c>
      <c r="I27" s="1">
        <v>737040</v>
      </c>
      <c r="J27" s="1">
        <f>Raw_Data!$I27/Raw_Data!$H27</f>
        <v>496.32323232323233</v>
      </c>
    </row>
    <row r="28" spans="1:10" x14ac:dyDescent="0.3">
      <c r="A28" s="9">
        <v>43362</v>
      </c>
      <c r="B28" s="2" t="str">
        <f>TEXT(Raw_Data!$A28, "MMM")</f>
        <v>Sep</v>
      </c>
      <c r="C28" s="2">
        <f>YEAR(Raw_Data!$A28)</f>
        <v>2018</v>
      </c>
      <c r="D28" s="2" t="s">
        <v>47</v>
      </c>
      <c r="E28" s="2" t="s">
        <v>25</v>
      </c>
      <c r="F28" s="2" t="s">
        <v>18</v>
      </c>
      <c r="G28" s="2">
        <v>3</v>
      </c>
      <c r="H28" s="2">
        <v>1628</v>
      </c>
      <c r="I28" s="10">
        <v>762843</v>
      </c>
      <c r="J28" s="10">
        <f>Raw_Data!$I28/Raw_Data!$H28</f>
        <v>468.57678132678132</v>
      </c>
    </row>
    <row r="29" spans="1:10" x14ac:dyDescent="0.3">
      <c r="A29" s="8">
        <v>40681</v>
      </c>
      <c r="B29" t="str">
        <f>TEXT(Raw_Data!$A29, "MMM")</f>
        <v>May</v>
      </c>
      <c r="C29">
        <f>YEAR(Raw_Data!$A29)</f>
        <v>2011</v>
      </c>
      <c r="D29" t="s">
        <v>48</v>
      </c>
      <c r="E29" t="s">
        <v>15</v>
      </c>
      <c r="F29" t="s">
        <v>11</v>
      </c>
      <c r="H29">
        <v>1225</v>
      </c>
      <c r="I29" s="1">
        <v>268402</v>
      </c>
      <c r="J29" s="1">
        <f>Raw_Data!$I29/Raw_Data!$H29</f>
        <v>219.10367346938776</v>
      </c>
    </row>
    <row r="30" spans="1:10" x14ac:dyDescent="0.3">
      <c r="A30" s="9">
        <v>43557</v>
      </c>
      <c r="B30" s="2" t="str">
        <f>TEXT(Raw_Data!$A30, "MMM")</f>
        <v>Apr</v>
      </c>
      <c r="C30" s="2">
        <f>YEAR(Raw_Data!$A30)</f>
        <v>2019</v>
      </c>
      <c r="D30" s="2" t="s">
        <v>49</v>
      </c>
      <c r="E30" s="2" t="s">
        <v>23</v>
      </c>
      <c r="F30" s="2" t="s">
        <v>18</v>
      </c>
      <c r="G30" s="2"/>
      <c r="H30" s="2">
        <v>1940</v>
      </c>
      <c r="I30" s="10">
        <v>601174</v>
      </c>
      <c r="J30" s="10">
        <f>Raw_Data!$I30/Raw_Data!$H30</f>
        <v>309.88350515463918</v>
      </c>
    </row>
    <row r="31" spans="1:10" x14ac:dyDescent="0.3">
      <c r="A31" s="8">
        <v>43404</v>
      </c>
      <c r="B31" t="str">
        <f>TEXT(Raw_Data!$A31, "MMM")</f>
        <v>Oct</v>
      </c>
      <c r="C31">
        <f>YEAR(Raw_Data!$A31)</f>
        <v>2018</v>
      </c>
      <c r="D31" t="s">
        <v>50</v>
      </c>
      <c r="E31" t="s">
        <v>32</v>
      </c>
      <c r="F31" t="s">
        <v>11</v>
      </c>
      <c r="G31">
        <v>4</v>
      </c>
      <c r="H31">
        <v>2647</v>
      </c>
      <c r="I31" s="1">
        <v>561582</v>
      </c>
      <c r="J31" s="1">
        <f>Raw_Data!$I31/Raw_Data!$H31</f>
        <v>212.1579146203249</v>
      </c>
    </row>
    <row r="32" spans="1:10" x14ac:dyDescent="0.3">
      <c r="A32" s="9">
        <v>41412</v>
      </c>
      <c r="B32" s="2" t="str">
        <f>TEXT(Raw_Data!$A32, "MMM")</f>
        <v>May</v>
      </c>
      <c r="C32" s="2">
        <f>YEAR(Raw_Data!$A32)</f>
        <v>2013</v>
      </c>
      <c r="D32" s="2" t="s">
        <v>51</v>
      </c>
      <c r="E32" s="2" t="s">
        <v>15</v>
      </c>
      <c r="F32" s="2" t="s">
        <v>27</v>
      </c>
      <c r="G32" s="2">
        <v>2</v>
      </c>
      <c r="H32" s="2">
        <v>2622</v>
      </c>
      <c r="I32" s="10">
        <v>727671</v>
      </c>
      <c r="J32" s="10">
        <f>Raw_Data!$I32/Raw_Data!$H32</f>
        <v>277.52517162471395</v>
      </c>
    </row>
    <row r="33" spans="1:10" x14ac:dyDescent="0.3">
      <c r="A33" s="8">
        <v>41612</v>
      </c>
      <c r="B33" t="str">
        <f>TEXT(Raw_Data!$A33, "MMM")</f>
        <v>Dec</v>
      </c>
      <c r="C33">
        <f>YEAR(Raw_Data!$A33)</f>
        <v>2013</v>
      </c>
      <c r="D33" t="s">
        <v>52</v>
      </c>
      <c r="E33" t="s">
        <v>15</v>
      </c>
      <c r="F33" t="s">
        <v>18</v>
      </c>
      <c r="G33">
        <v>4</v>
      </c>
      <c r="H33">
        <v>3151</v>
      </c>
      <c r="I33" s="1">
        <v>757685</v>
      </c>
      <c r="J33" s="1">
        <f>Raw_Data!$I33/Raw_Data!$H33</f>
        <v>240.45858457632497</v>
      </c>
    </row>
    <row r="34" spans="1:10" x14ac:dyDescent="0.3">
      <c r="A34" s="9">
        <v>40413</v>
      </c>
      <c r="B34" s="2" t="str">
        <f>TEXT(Raw_Data!$A34, "MMM")</f>
        <v>Aug</v>
      </c>
      <c r="C34" s="2">
        <f>YEAR(Raw_Data!$A34)</f>
        <v>2010</v>
      </c>
      <c r="D34" s="2" t="s">
        <v>53</v>
      </c>
      <c r="E34" s="2" t="s">
        <v>23</v>
      </c>
      <c r="F34" s="2" t="s">
        <v>27</v>
      </c>
      <c r="G34" s="2"/>
      <c r="H34" s="2">
        <v>2141</v>
      </c>
      <c r="I34" s="10">
        <v>897938</v>
      </c>
      <c r="J34" s="10">
        <f>Raw_Data!$I34/Raw_Data!$H34</f>
        <v>419.40121438580104</v>
      </c>
    </row>
    <row r="35" spans="1:10" x14ac:dyDescent="0.3">
      <c r="A35" s="8">
        <v>39571</v>
      </c>
      <c r="B35" t="str">
        <f>TEXT(Raw_Data!$A35, "MMM")</f>
        <v>May</v>
      </c>
      <c r="C35">
        <f>YEAR(Raw_Data!$A35)</f>
        <v>2008</v>
      </c>
      <c r="D35" t="s">
        <v>54</v>
      </c>
      <c r="E35" t="s">
        <v>21</v>
      </c>
      <c r="F35" t="s">
        <v>18</v>
      </c>
      <c r="H35">
        <v>1044</v>
      </c>
      <c r="I35" s="1">
        <v>297981</v>
      </c>
      <c r="J35" s="1">
        <f>Raw_Data!$I35/Raw_Data!$H35</f>
        <v>285.42241379310343</v>
      </c>
    </row>
    <row r="36" spans="1:10" x14ac:dyDescent="0.3">
      <c r="A36" s="9">
        <v>42087</v>
      </c>
      <c r="B36" s="2" t="str">
        <f>TEXT(Raw_Data!$A36, "MMM")</f>
        <v>Mar</v>
      </c>
      <c r="C36" s="2">
        <f>YEAR(Raw_Data!$A36)</f>
        <v>2015</v>
      </c>
      <c r="D36" s="2" t="s">
        <v>55</v>
      </c>
      <c r="E36" s="2" t="s">
        <v>32</v>
      </c>
      <c r="F36" s="2" t="s">
        <v>18</v>
      </c>
      <c r="G36" s="2">
        <v>2</v>
      </c>
      <c r="H36" s="2">
        <v>1525</v>
      </c>
      <c r="I36" s="10">
        <v>227723</v>
      </c>
      <c r="J36" s="10">
        <f>Raw_Data!$I36/Raw_Data!$H36</f>
        <v>149.32655737704917</v>
      </c>
    </row>
    <row r="37" spans="1:10" x14ac:dyDescent="0.3">
      <c r="A37" s="8">
        <v>37024</v>
      </c>
      <c r="B37" t="str">
        <f>TEXT(Raw_Data!$A37, "MMM")</f>
        <v>May</v>
      </c>
      <c r="C37">
        <f>YEAR(Raw_Data!$A37)</f>
        <v>2001</v>
      </c>
      <c r="D37" t="s">
        <v>56</v>
      </c>
      <c r="E37" t="s">
        <v>32</v>
      </c>
      <c r="F37" t="s">
        <v>11</v>
      </c>
      <c r="G37">
        <v>2</v>
      </c>
      <c r="H37">
        <v>945</v>
      </c>
      <c r="I37" s="1">
        <v>545376</v>
      </c>
      <c r="J37" s="1">
        <f>Raw_Data!$I37/Raw_Data!$H37</f>
        <v>577.11746031746031</v>
      </c>
    </row>
    <row r="38" spans="1:10" x14ac:dyDescent="0.3">
      <c r="A38" s="9">
        <v>41157</v>
      </c>
      <c r="B38" s="2" t="str">
        <f>TEXT(Raw_Data!$A38, "MMM")</f>
        <v>Sep</v>
      </c>
      <c r="C38" s="2">
        <f>YEAR(Raw_Data!$A38)</f>
        <v>2012</v>
      </c>
      <c r="D38" s="2" t="s">
        <v>57</v>
      </c>
      <c r="E38" s="2" t="s">
        <v>25</v>
      </c>
      <c r="F38" s="2" t="s">
        <v>11</v>
      </c>
      <c r="G38" s="2">
        <v>5</v>
      </c>
      <c r="H38" s="2">
        <v>2768</v>
      </c>
      <c r="I38" s="10">
        <v>224301</v>
      </c>
      <c r="J38" s="10">
        <f>Raw_Data!$I38/Raw_Data!$H38</f>
        <v>81.033598265895961</v>
      </c>
    </row>
    <row r="39" spans="1:10" x14ac:dyDescent="0.3">
      <c r="A39" s="8">
        <v>37810</v>
      </c>
      <c r="B39" t="str">
        <f>TEXT(Raw_Data!$A39, "MMM")</f>
        <v>Jul</v>
      </c>
      <c r="C39">
        <f>YEAR(Raw_Data!$A39)</f>
        <v>2003</v>
      </c>
      <c r="D39" t="s">
        <v>58</v>
      </c>
      <c r="E39" t="s">
        <v>25</v>
      </c>
      <c r="F39" t="s">
        <v>27</v>
      </c>
      <c r="G39">
        <v>3</v>
      </c>
      <c r="H39">
        <v>2863</v>
      </c>
      <c r="I39" s="1">
        <v>626032</v>
      </c>
      <c r="J39" s="1">
        <f>Raw_Data!$I39/Raw_Data!$H39</f>
        <v>218.66294097100942</v>
      </c>
    </row>
    <row r="40" spans="1:10" x14ac:dyDescent="0.3">
      <c r="A40" s="9">
        <v>37603</v>
      </c>
      <c r="B40" s="2" t="str">
        <f>TEXT(Raw_Data!$A40, "MMM")</f>
        <v>Dec</v>
      </c>
      <c r="C40" s="2">
        <f>YEAR(Raw_Data!$A40)</f>
        <v>2002</v>
      </c>
      <c r="D40" s="2" t="s">
        <v>59</v>
      </c>
      <c r="E40" s="2" t="s">
        <v>13</v>
      </c>
      <c r="F40" s="2" t="s">
        <v>27</v>
      </c>
      <c r="G40" s="2">
        <v>5</v>
      </c>
      <c r="H40" s="2">
        <v>819</v>
      </c>
      <c r="I40" s="10">
        <v>517460</v>
      </c>
      <c r="J40" s="10">
        <f>Raw_Data!$I40/Raw_Data!$H40</f>
        <v>631.81929181929183</v>
      </c>
    </row>
    <row r="41" spans="1:10" x14ac:dyDescent="0.3">
      <c r="A41" s="8">
        <v>42737</v>
      </c>
      <c r="B41" t="str">
        <f>TEXT(Raw_Data!$A41, "MMM")</f>
        <v>Jan</v>
      </c>
      <c r="C41">
        <f>YEAR(Raw_Data!$A41)</f>
        <v>2017</v>
      </c>
      <c r="D41" t="s">
        <v>60</v>
      </c>
      <c r="E41" t="s">
        <v>15</v>
      </c>
      <c r="F41" t="s">
        <v>18</v>
      </c>
      <c r="G41">
        <v>3</v>
      </c>
      <c r="H41">
        <v>1727</v>
      </c>
      <c r="I41" s="1">
        <v>716626</v>
      </c>
      <c r="J41" s="1">
        <f>Raw_Data!$I41/Raw_Data!$H41</f>
        <v>414.95425593514767</v>
      </c>
    </row>
    <row r="42" spans="1:10" x14ac:dyDescent="0.3">
      <c r="A42" s="9">
        <v>40145</v>
      </c>
      <c r="B42" s="2" t="str">
        <f>TEXT(Raw_Data!$A42, "MMM")</f>
        <v>Nov</v>
      </c>
      <c r="C42" s="2">
        <f>YEAR(Raw_Data!$A42)</f>
        <v>2009</v>
      </c>
      <c r="D42" s="2" t="s">
        <v>61</v>
      </c>
      <c r="E42" s="2" t="s">
        <v>32</v>
      </c>
      <c r="F42" s="2" t="s">
        <v>11</v>
      </c>
      <c r="G42" s="2">
        <v>2</v>
      </c>
      <c r="H42" s="2">
        <v>1406</v>
      </c>
      <c r="I42" s="10">
        <v>199637</v>
      </c>
      <c r="J42" s="10">
        <f>Raw_Data!$I42/Raw_Data!$H42</f>
        <v>141.98933143669987</v>
      </c>
    </row>
    <row r="43" spans="1:10" x14ac:dyDescent="0.3">
      <c r="A43" s="8">
        <v>43740</v>
      </c>
      <c r="B43" t="str">
        <f>TEXT(Raw_Data!$A43, "MMM")</f>
        <v>Oct</v>
      </c>
      <c r="C43">
        <f>YEAR(Raw_Data!$A43)</f>
        <v>2019</v>
      </c>
      <c r="D43" t="s">
        <v>62</v>
      </c>
      <c r="E43" t="s">
        <v>21</v>
      </c>
      <c r="F43" t="s">
        <v>11</v>
      </c>
      <c r="G43">
        <v>5</v>
      </c>
      <c r="H43">
        <v>2134</v>
      </c>
      <c r="I43" s="1">
        <v>673308</v>
      </c>
      <c r="J43" s="1">
        <f>Raw_Data!$I43/Raw_Data!$H43</f>
        <v>315.514526710403</v>
      </c>
    </row>
    <row r="44" spans="1:10" x14ac:dyDescent="0.3">
      <c r="A44" s="9">
        <v>41494</v>
      </c>
      <c r="B44" s="2" t="str">
        <f>TEXT(Raw_Data!$A44, "MMM")</f>
        <v>Aug</v>
      </c>
      <c r="C44" s="2">
        <f>YEAR(Raw_Data!$A44)</f>
        <v>2013</v>
      </c>
      <c r="D44" s="2" t="s">
        <v>63</v>
      </c>
      <c r="E44" s="2" t="s">
        <v>15</v>
      </c>
      <c r="F44" s="2" t="s">
        <v>11</v>
      </c>
      <c r="G44" s="2">
        <v>5</v>
      </c>
      <c r="H44" s="2">
        <v>3365</v>
      </c>
      <c r="I44" s="10">
        <v>846165</v>
      </c>
      <c r="J44" s="10">
        <f>Raw_Data!$I44/Raw_Data!$H44</f>
        <v>251.46062407132243</v>
      </c>
    </row>
    <row r="45" spans="1:10" x14ac:dyDescent="0.3">
      <c r="A45" s="8">
        <v>38185</v>
      </c>
      <c r="B45" t="str">
        <f>TEXT(Raw_Data!$A45, "MMM")</f>
        <v>Jul</v>
      </c>
      <c r="C45">
        <f>YEAR(Raw_Data!$A45)</f>
        <v>2004</v>
      </c>
      <c r="D45" t="s">
        <v>64</v>
      </c>
      <c r="E45" t="s">
        <v>29</v>
      </c>
      <c r="F45" t="s">
        <v>11</v>
      </c>
      <c r="G45">
        <v>5</v>
      </c>
      <c r="H45">
        <v>1503</v>
      </c>
      <c r="I45" s="1">
        <v>258341</v>
      </c>
      <c r="J45" s="1">
        <f>Raw_Data!$I45/Raw_Data!$H45</f>
        <v>171.88356620093148</v>
      </c>
    </row>
    <row r="46" spans="1:10" x14ac:dyDescent="0.3">
      <c r="A46" s="9">
        <v>40451</v>
      </c>
      <c r="B46" s="2" t="str">
        <f>TEXT(Raw_Data!$A46, "MMM")</f>
        <v>Sep</v>
      </c>
      <c r="C46" s="2">
        <f>YEAR(Raw_Data!$A46)</f>
        <v>2010</v>
      </c>
      <c r="D46" s="2" t="s">
        <v>65</v>
      </c>
      <c r="E46" s="2" t="s">
        <v>15</v>
      </c>
      <c r="F46" s="2" t="s">
        <v>18</v>
      </c>
      <c r="G46" s="2">
        <v>2</v>
      </c>
      <c r="H46" s="2">
        <v>863</v>
      </c>
      <c r="I46" s="10">
        <v>349039</v>
      </c>
      <c r="J46" s="10">
        <f>Raw_Data!$I46/Raw_Data!$H46</f>
        <v>404.44843568945538</v>
      </c>
    </row>
    <row r="47" spans="1:10" x14ac:dyDescent="0.3">
      <c r="A47" s="8">
        <v>43078</v>
      </c>
      <c r="B47" t="str">
        <f>TEXT(Raw_Data!$A47, "MMM")</f>
        <v>Dec</v>
      </c>
      <c r="C47">
        <f>YEAR(Raw_Data!$A47)</f>
        <v>2017</v>
      </c>
      <c r="D47" t="s">
        <v>66</v>
      </c>
      <c r="E47" t="s">
        <v>15</v>
      </c>
      <c r="F47" t="s">
        <v>16</v>
      </c>
      <c r="G47">
        <v>2</v>
      </c>
      <c r="H47">
        <v>2327</v>
      </c>
      <c r="I47" s="1">
        <v>780919</v>
      </c>
      <c r="J47" s="1">
        <f>Raw_Data!$I47/Raw_Data!$H47</f>
        <v>335.5904598195101</v>
      </c>
    </row>
    <row r="48" spans="1:10" x14ac:dyDescent="0.3">
      <c r="A48" s="9">
        <v>41985</v>
      </c>
      <c r="B48" s="2" t="str">
        <f>TEXT(Raw_Data!$A48, "MMM")</f>
        <v>Dec</v>
      </c>
      <c r="C48" s="2">
        <f>YEAR(Raw_Data!$A48)</f>
        <v>2014</v>
      </c>
      <c r="D48" s="2" t="s">
        <v>67</v>
      </c>
      <c r="E48" s="2" t="s">
        <v>32</v>
      </c>
      <c r="F48" s="2" t="s">
        <v>16</v>
      </c>
      <c r="G48" s="2">
        <v>5</v>
      </c>
      <c r="H48" s="2">
        <v>2774</v>
      </c>
      <c r="I48" s="10">
        <v>287883</v>
      </c>
      <c r="J48" s="10">
        <f>Raw_Data!$I48/Raw_Data!$H48</f>
        <v>103.77901946647441</v>
      </c>
    </row>
    <row r="49" spans="1:10" x14ac:dyDescent="0.3">
      <c r="A49" s="8">
        <v>41477</v>
      </c>
      <c r="B49" t="str">
        <f>TEXT(Raw_Data!$A49, "MMM")</f>
        <v>Jul</v>
      </c>
      <c r="C49">
        <f>YEAR(Raw_Data!$A49)</f>
        <v>2013</v>
      </c>
      <c r="D49" t="s">
        <v>68</v>
      </c>
      <c r="E49" t="s">
        <v>32</v>
      </c>
      <c r="F49" t="s">
        <v>27</v>
      </c>
      <c r="G49">
        <v>5</v>
      </c>
      <c r="H49">
        <v>2499</v>
      </c>
      <c r="I49" s="1">
        <v>105090</v>
      </c>
      <c r="J49" s="1">
        <f>Raw_Data!$I49/Raw_Data!$H49</f>
        <v>42.052821128451377</v>
      </c>
    </row>
    <row r="50" spans="1:10" x14ac:dyDescent="0.3">
      <c r="A50" s="9">
        <v>38721</v>
      </c>
      <c r="B50" s="2" t="str">
        <f>TEXT(Raw_Data!$A50, "MMM")</f>
        <v>Jan</v>
      </c>
      <c r="C50" s="2">
        <f>YEAR(Raw_Data!$A50)</f>
        <v>2006</v>
      </c>
      <c r="D50" s="2" t="s">
        <v>69</v>
      </c>
      <c r="E50" s="2" t="s">
        <v>13</v>
      </c>
      <c r="F50" s="2" t="s">
        <v>11</v>
      </c>
      <c r="G50" s="2"/>
      <c r="H50" s="2">
        <v>1399</v>
      </c>
      <c r="I50" s="10">
        <v>869448</v>
      </c>
      <c r="J50" s="10">
        <f>Raw_Data!$I50/Raw_Data!$H50</f>
        <v>621.47819871336674</v>
      </c>
    </row>
    <row r="51" spans="1:10" x14ac:dyDescent="0.3">
      <c r="A51" s="8">
        <v>41229</v>
      </c>
      <c r="B51" t="str">
        <f>TEXT(Raw_Data!$A51, "MMM")</f>
        <v>Nov</v>
      </c>
      <c r="C51">
        <f>YEAR(Raw_Data!$A51)</f>
        <v>2012</v>
      </c>
      <c r="D51" t="s">
        <v>70</v>
      </c>
      <c r="E51" t="s">
        <v>21</v>
      </c>
      <c r="F51" t="s">
        <v>11</v>
      </c>
      <c r="G51">
        <v>5</v>
      </c>
      <c r="H51">
        <v>2387</v>
      </c>
      <c r="I51" s="1">
        <v>131429</v>
      </c>
      <c r="J51" s="1">
        <f>Raw_Data!$I51/Raw_Data!$H51</f>
        <v>55.060326770004188</v>
      </c>
    </row>
    <row r="52" spans="1:10" x14ac:dyDescent="0.3">
      <c r="A52" s="9">
        <v>37196</v>
      </c>
      <c r="B52" s="2" t="str">
        <f>TEXT(Raw_Data!$A52, "MMM")</f>
        <v>Nov</v>
      </c>
      <c r="C52" s="2">
        <f>YEAR(Raw_Data!$A52)</f>
        <v>2001</v>
      </c>
      <c r="D52" s="2" t="s">
        <v>71</v>
      </c>
      <c r="E52" s="2" t="s">
        <v>29</v>
      </c>
      <c r="F52" s="2" t="s">
        <v>16</v>
      </c>
      <c r="G52" s="2"/>
      <c r="H52" s="2">
        <v>3334</v>
      </c>
      <c r="I52" s="10">
        <v>783804</v>
      </c>
      <c r="J52" s="10">
        <f>Raw_Data!$I52/Raw_Data!$H52</f>
        <v>235.09418116376725</v>
      </c>
    </row>
    <row r="53" spans="1:10" x14ac:dyDescent="0.3">
      <c r="A53" s="8">
        <v>41302</v>
      </c>
      <c r="B53" t="str">
        <f>TEXT(Raw_Data!$A53, "MMM")</f>
        <v>Jan</v>
      </c>
      <c r="C53">
        <f>YEAR(Raw_Data!$A53)</f>
        <v>2013</v>
      </c>
      <c r="D53" t="s">
        <v>72</v>
      </c>
      <c r="E53" t="s">
        <v>13</v>
      </c>
      <c r="F53" t="s">
        <v>11</v>
      </c>
      <c r="H53">
        <v>2519</v>
      </c>
      <c r="I53" s="1">
        <v>522655</v>
      </c>
      <c r="J53" s="1">
        <f>Raw_Data!$I53/Raw_Data!$H53</f>
        <v>207.48511314013498</v>
      </c>
    </row>
    <row r="54" spans="1:10" x14ac:dyDescent="0.3">
      <c r="A54" s="9">
        <v>39336</v>
      </c>
      <c r="B54" s="2" t="str">
        <f>TEXT(Raw_Data!$A54, "MMM")</f>
        <v>Sep</v>
      </c>
      <c r="C54" s="2">
        <f>YEAR(Raw_Data!$A54)</f>
        <v>2007</v>
      </c>
      <c r="D54" s="2" t="s">
        <v>73</v>
      </c>
      <c r="E54" s="2" t="s">
        <v>25</v>
      </c>
      <c r="F54" s="2" t="s">
        <v>18</v>
      </c>
      <c r="G54" s="2"/>
      <c r="H54" s="2">
        <v>2897</v>
      </c>
      <c r="I54" s="10">
        <v>799919</v>
      </c>
      <c r="J54" s="10">
        <f>Raw_Data!$I54/Raw_Data!$H54</f>
        <v>276.11977908180876</v>
      </c>
    </row>
    <row r="55" spans="1:10" x14ac:dyDescent="0.3">
      <c r="A55" s="8">
        <v>39795</v>
      </c>
      <c r="B55" t="str">
        <f>TEXT(Raw_Data!$A55, "MMM")</f>
        <v>Dec</v>
      </c>
      <c r="C55">
        <f>YEAR(Raw_Data!$A55)</f>
        <v>2008</v>
      </c>
      <c r="D55" t="s">
        <v>74</v>
      </c>
      <c r="E55" t="s">
        <v>13</v>
      </c>
      <c r="F55" t="s">
        <v>16</v>
      </c>
      <c r="G55">
        <v>2</v>
      </c>
      <c r="H55">
        <v>3243</v>
      </c>
      <c r="I55" s="1">
        <v>266365</v>
      </c>
      <c r="J55" s="1">
        <f>Raw_Data!$I55/Raw_Data!$H55</f>
        <v>82.135368485969778</v>
      </c>
    </row>
    <row r="56" spans="1:10" x14ac:dyDescent="0.3">
      <c r="A56" s="9">
        <v>40646</v>
      </c>
      <c r="B56" s="2" t="str">
        <f>TEXT(Raw_Data!$A56, "MMM")</f>
        <v>Apr</v>
      </c>
      <c r="C56" s="2">
        <f>YEAR(Raw_Data!$A56)</f>
        <v>2011</v>
      </c>
      <c r="D56" s="2" t="s">
        <v>75</v>
      </c>
      <c r="E56" s="2" t="s">
        <v>32</v>
      </c>
      <c r="F56" s="2" t="s">
        <v>16</v>
      </c>
      <c r="G56" s="2"/>
      <c r="H56" s="2">
        <v>3362</v>
      </c>
      <c r="I56" s="10">
        <v>280028</v>
      </c>
      <c r="J56" s="10">
        <f>Raw_Data!$I56/Raw_Data!$H56</f>
        <v>83.292088042831651</v>
      </c>
    </row>
    <row r="57" spans="1:10" x14ac:dyDescent="0.3">
      <c r="A57" s="8">
        <v>43115</v>
      </c>
      <c r="B57" t="str">
        <f>TEXT(Raw_Data!$A57, "MMM")</f>
        <v>Jan</v>
      </c>
      <c r="C57">
        <f>YEAR(Raw_Data!$A57)</f>
        <v>2018</v>
      </c>
      <c r="D57" t="s">
        <v>76</v>
      </c>
      <c r="E57" t="s">
        <v>29</v>
      </c>
      <c r="F57" t="s">
        <v>11</v>
      </c>
      <c r="G57">
        <v>4</v>
      </c>
      <c r="H57">
        <v>2141</v>
      </c>
      <c r="I57" s="1">
        <v>828236</v>
      </c>
      <c r="J57" s="1">
        <f>Raw_Data!$I57/Raw_Data!$H57</f>
        <v>386.84539934609995</v>
      </c>
    </row>
    <row r="58" spans="1:10" x14ac:dyDescent="0.3">
      <c r="A58" s="9">
        <v>37361</v>
      </c>
      <c r="B58" s="2" t="str">
        <f>TEXT(Raw_Data!$A58, "MMM")</f>
        <v>Apr</v>
      </c>
      <c r="C58" s="2">
        <f>YEAR(Raw_Data!$A58)</f>
        <v>2002</v>
      </c>
      <c r="D58" s="2" t="s">
        <v>77</v>
      </c>
      <c r="E58" s="2" t="s">
        <v>15</v>
      </c>
      <c r="F58" s="2" t="s">
        <v>16</v>
      </c>
      <c r="G58" s="2"/>
      <c r="H58" s="2">
        <v>1999</v>
      </c>
      <c r="I58" s="10">
        <v>246822</v>
      </c>
      <c r="J58" s="10">
        <f>Raw_Data!$I58/Raw_Data!$H58</f>
        <v>123.47273636818409</v>
      </c>
    </row>
    <row r="59" spans="1:10" x14ac:dyDescent="0.3">
      <c r="A59" s="8">
        <v>38668</v>
      </c>
      <c r="B59" t="str">
        <f>TEXT(Raw_Data!$A59, "MMM")</f>
        <v>Nov</v>
      </c>
      <c r="C59">
        <f>YEAR(Raw_Data!$A59)</f>
        <v>2005</v>
      </c>
      <c r="D59" t="s">
        <v>78</v>
      </c>
      <c r="E59" t="s">
        <v>29</v>
      </c>
      <c r="F59" t="s">
        <v>16</v>
      </c>
      <c r="H59">
        <v>2032</v>
      </c>
      <c r="I59" s="1">
        <v>539604</v>
      </c>
      <c r="J59" s="1">
        <f>Raw_Data!$I59/Raw_Data!$H59</f>
        <v>265.5531496062992</v>
      </c>
    </row>
    <row r="60" spans="1:10" x14ac:dyDescent="0.3">
      <c r="A60" s="9">
        <v>37188</v>
      </c>
      <c r="B60" s="2" t="str">
        <f>TEXT(Raw_Data!$A60, "MMM")</f>
        <v>Oct</v>
      </c>
      <c r="C60" s="2">
        <f>YEAR(Raw_Data!$A60)</f>
        <v>2001</v>
      </c>
      <c r="D60" s="2" t="s">
        <v>79</v>
      </c>
      <c r="E60" s="2" t="s">
        <v>32</v>
      </c>
      <c r="F60" s="2" t="s">
        <v>27</v>
      </c>
      <c r="G60" s="2"/>
      <c r="H60" s="2">
        <v>1604</v>
      </c>
      <c r="I60" s="10">
        <v>447795</v>
      </c>
      <c r="J60" s="10">
        <f>Raw_Data!$I60/Raw_Data!$H60</f>
        <v>279.17394014962593</v>
      </c>
    </row>
    <row r="61" spans="1:10" x14ac:dyDescent="0.3">
      <c r="A61" s="8">
        <v>41137</v>
      </c>
      <c r="B61" t="str">
        <f>TEXT(Raw_Data!$A61, "MMM")</f>
        <v>Aug</v>
      </c>
      <c r="C61">
        <f>YEAR(Raw_Data!$A61)</f>
        <v>2012</v>
      </c>
      <c r="D61" t="s">
        <v>80</v>
      </c>
      <c r="E61" t="s">
        <v>15</v>
      </c>
      <c r="F61" t="s">
        <v>11</v>
      </c>
      <c r="G61">
        <v>4</v>
      </c>
      <c r="H61">
        <v>1328</v>
      </c>
      <c r="I61" s="1">
        <v>363522</v>
      </c>
      <c r="J61" s="1">
        <f>Raw_Data!$I61/Raw_Data!$H61</f>
        <v>273.73644578313252</v>
      </c>
    </row>
    <row r="62" spans="1:10" x14ac:dyDescent="0.3">
      <c r="A62" s="9">
        <v>41628</v>
      </c>
      <c r="B62" s="2" t="str">
        <f>TEXT(Raw_Data!$A62, "MMM")</f>
        <v>Dec</v>
      </c>
      <c r="C62" s="2">
        <f>YEAR(Raw_Data!$A62)</f>
        <v>2013</v>
      </c>
      <c r="D62" s="2" t="s">
        <v>81</v>
      </c>
      <c r="E62" s="2" t="s">
        <v>32</v>
      </c>
      <c r="F62" s="2" t="s">
        <v>27</v>
      </c>
      <c r="G62" s="2"/>
      <c r="H62" s="2">
        <v>2531</v>
      </c>
      <c r="I62" s="10">
        <v>275522</v>
      </c>
      <c r="J62" s="10">
        <f>Raw_Data!$I62/Raw_Data!$H62</f>
        <v>108.85894903200317</v>
      </c>
    </row>
    <row r="63" spans="1:10" x14ac:dyDescent="0.3">
      <c r="A63" s="8">
        <v>39016</v>
      </c>
      <c r="B63" t="str">
        <f>TEXT(Raw_Data!$A63, "MMM")</f>
        <v>Oct</v>
      </c>
      <c r="C63">
        <f>YEAR(Raw_Data!$A63)</f>
        <v>2006</v>
      </c>
      <c r="D63" t="s">
        <v>82</v>
      </c>
      <c r="E63" t="s">
        <v>23</v>
      </c>
      <c r="F63" t="s">
        <v>11</v>
      </c>
      <c r="G63">
        <v>3</v>
      </c>
      <c r="H63">
        <v>3029</v>
      </c>
      <c r="I63" s="1"/>
      <c r="J63" s="1">
        <f>Raw_Data!$I63/Raw_Data!$H63</f>
        <v>0</v>
      </c>
    </row>
    <row r="64" spans="1:10" x14ac:dyDescent="0.3">
      <c r="A64" s="9">
        <v>41202</v>
      </c>
      <c r="B64" s="2" t="str">
        <f>TEXT(Raw_Data!$A64, "MMM")</f>
        <v>Oct</v>
      </c>
      <c r="C64" s="2">
        <f>YEAR(Raw_Data!$A64)</f>
        <v>2012</v>
      </c>
      <c r="D64" s="2" t="s">
        <v>83</v>
      </c>
      <c r="E64" s="2" t="s">
        <v>25</v>
      </c>
      <c r="F64" s="2" t="s">
        <v>16</v>
      </c>
      <c r="G64" s="2">
        <v>3</v>
      </c>
      <c r="H64" s="2">
        <v>3239</v>
      </c>
      <c r="I64" s="10">
        <v>703521</v>
      </c>
      <c r="J64" s="10">
        <f>Raw_Data!$I64/Raw_Data!$H64</f>
        <v>217.2031491200988</v>
      </c>
    </row>
    <row r="65" spans="1:10" x14ac:dyDescent="0.3">
      <c r="A65" s="8">
        <v>43284</v>
      </c>
      <c r="B65" t="str">
        <f>TEXT(Raw_Data!$A65, "MMM")</f>
        <v>Jul</v>
      </c>
      <c r="C65">
        <f>YEAR(Raw_Data!$A65)</f>
        <v>2018</v>
      </c>
      <c r="D65" t="s">
        <v>84</v>
      </c>
      <c r="E65" t="s">
        <v>23</v>
      </c>
      <c r="F65" t="s">
        <v>18</v>
      </c>
      <c r="G65">
        <v>5</v>
      </c>
      <c r="H65">
        <v>1679</v>
      </c>
      <c r="I65" s="1">
        <v>766245</v>
      </c>
      <c r="J65" s="1">
        <f>Raw_Data!$I65/Raw_Data!$H65</f>
        <v>456.36986301369865</v>
      </c>
    </row>
    <row r="66" spans="1:10" x14ac:dyDescent="0.3">
      <c r="A66" s="9">
        <v>37593</v>
      </c>
      <c r="B66" s="2" t="str">
        <f>TEXT(Raw_Data!$A66, "MMM")</f>
        <v>Dec</v>
      </c>
      <c r="C66" s="2">
        <f>YEAR(Raw_Data!$A66)</f>
        <v>2002</v>
      </c>
      <c r="D66" s="2" t="s">
        <v>85</v>
      </c>
      <c r="E66" s="2" t="s">
        <v>25</v>
      </c>
      <c r="F66" s="2" t="s">
        <v>27</v>
      </c>
      <c r="G66" s="2"/>
      <c r="H66" s="2">
        <v>1469</v>
      </c>
      <c r="I66" s="10">
        <v>599872</v>
      </c>
      <c r="J66" s="10">
        <f>Raw_Data!$I66/Raw_Data!$H66</f>
        <v>408.35398230088498</v>
      </c>
    </row>
    <row r="67" spans="1:10" x14ac:dyDescent="0.3">
      <c r="A67" s="8">
        <v>41922</v>
      </c>
      <c r="B67" t="str">
        <f>TEXT(Raw_Data!$A67, "MMM")</f>
        <v>Oct</v>
      </c>
      <c r="C67">
        <f>YEAR(Raw_Data!$A67)</f>
        <v>2014</v>
      </c>
      <c r="D67" t="s">
        <v>86</v>
      </c>
      <c r="E67" t="s">
        <v>32</v>
      </c>
      <c r="F67" t="s">
        <v>11</v>
      </c>
      <c r="G67">
        <v>4</v>
      </c>
      <c r="H67">
        <v>1011</v>
      </c>
      <c r="I67" s="1">
        <v>611089</v>
      </c>
      <c r="J67" s="1">
        <f>Raw_Data!$I67/Raw_Data!$H67</f>
        <v>604.44015825914937</v>
      </c>
    </row>
    <row r="68" spans="1:10" x14ac:dyDescent="0.3">
      <c r="A68" s="9">
        <v>42369</v>
      </c>
      <c r="B68" s="2" t="str">
        <f>TEXT(Raw_Data!$A68, "MMM")</f>
        <v>Dec</v>
      </c>
      <c r="C68" s="2">
        <f>YEAR(Raw_Data!$A68)</f>
        <v>2015</v>
      </c>
      <c r="D68" s="2" t="s">
        <v>87</v>
      </c>
      <c r="E68" s="2" t="s">
        <v>15</v>
      </c>
      <c r="F68" s="2" t="s">
        <v>11</v>
      </c>
      <c r="G68" s="2">
        <v>4</v>
      </c>
      <c r="H68" s="2">
        <v>1594</v>
      </c>
      <c r="I68" s="10">
        <v>312892</v>
      </c>
      <c r="J68" s="10">
        <f>Raw_Data!$I68/Raw_Data!$H68</f>
        <v>196.29360100376411</v>
      </c>
    </row>
    <row r="69" spans="1:10" x14ac:dyDescent="0.3">
      <c r="A69" s="8">
        <v>38653</v>
      </c>
      <c r="B69" t="str">
        <f>TEXT(Raw_Data!$A69, "MMM")</f>
        <v>Oct</v>
      </c>
      <c r="C69">
        <f>YEAR(Raw_Data!$A69)</f>
        <v>2005</v>
      </c>
      <c r="D69" t="s">
        <v>88</v>
      </c>
      <c r="E69" t="s">
        <v>15</v>
      </c>
      <c r="F69" t="s">
        <v>27</v>
      </c>
      <c r="G69">
        <v>4</v>
      </c>
      <c r="H69">
        <v>2853</v>
      </c>
      <c r="I69" s="1">
        <v>721322</v>
      </c>
      <c r="J69" s="1">
        <f>Raw_Data!$I69/Raw_Data!$H69</f>
        <v>252.82930248860848</v>
      </c>
    </row>
    <row r="70" spans="1:10" x14ac:dyDescent="0.3">
      <c r="A70" s="9">
        <v>44138</v>
      </c>
      <c r="B70" s="2" t="str">
        <f>TEXT(Raw_Data!$A70, "MMM")</f>
        <v>Nov</v>
      </c>
      <c r="C70" s="2">
        <f>YEAR(Raw_Data!$A70)</f>
        <v>2020</v>
      </c>
      <c r="D70" s="2" t="s">
        <v>89</v>
      </c>
      <c r="E70" s="2" t="s">
        <v>15</v>
      </c>
      <c r="F70" s="2" t="s">
        <v>16</v>
      </c>
      <c r="G70" s="2"/>
      <c r="H70" s="2">
        <v>2374</v>
      </c>
      <c r="I70" s="10">
        <v>839201</v>
      </c>
      <c r="J70" s="10">
        <f>Raw_Data!$I70/Raw_Data!$H70</f>
        <v>353.49663016006741</v>
      </c>
    </row>
    <row r="71" spans="1:10" x14ac:dyDescent="0.3">
      <c r="A71" s="8">
        <v>37033</v>
      </c>
      <c r="B71" t="str">
        <f>TEXT(Raw_Data!$A71, "MMM")</f>
        <v>May</v>
      </c>
      <c r="C71">
        <f>YEAR(Raw_Data!$A71)</f>
        <v>2001</v>
      </c>
      <c r="D71" t="s">
        <v>90</v>
      </c>
      <c r="E71" t="s">
        <v>32</v>
      </c>
      <c r="F71" t="s">
        <v>16</v>
      </c>
      <c r="G71">
        <v>2</v>
      </c>
      <c r="H71">
        <v>2316</v>
      </c>
      <c r="I71" s="1">
        <v>886897</v>
      </c>
      <c r="J71" s="1">
        <f>Raw_Data!$I71/Raw_Data!$H71</f>
        <v>382.94343696027636</v>
      </c>
    </row>
    <row r="72" spans="1:10" x14ac:dyDescent="0.3">
      <c r="A72" s="9">
        <v>43094</v>
      </c>
      <c r="B72" s="2" t="str">
        <f>TEXT(Raw_Data!$A72, "MMM")</f>
        <v>Dec</v>
      </c>
      <c r="C72" s="2">
        <f>YEAR(Raw_Data!$A72)</f>
        <v>2017</v>
      </c>
      <c r="D72" s="2" t="s">
        <v>91</v>
      </c>
      <c r="E72" s="2" t="s">
        <v>32</v>
      </c>
      <c r="F72" s="2" t="s">
        <v>11</v>
      </c>
      <c r="G72" s="2"/>
      <c r="H72" s="2">
        <v>3311</v>
      </c>
      <c r="I72" s="10">
        <v>247821</v>
      </c>
      <c r="J72" s="10">
        <f>Raw_Data!$I72/Raw_Data!$H72</f>
        <v>74.847780126849898</v>
      </c>
    </row>
    <row r="73" spans="1:10" x14ac:dyDescent="0.3">
      <c r="A73" s="8">
        <v>43890</v>
      </c>
      <c r="B73" t="str">
        <f>TEXT(Raw_Data!$A73, "MMM")</f>
        <v>Feb</v>
      </c>
      <c r="C73">
        <f>YEAR(Raw_Data!$A73)</f>
        <v>2020</v>
      </c>
      <c r="D73" t="s">
        <v>92</v>
      </c>
      <c r="E73" t="s">
        <v>32</v>
      </c>
      <c r="F73" t="s">
        <v>18</v>
      </c>
      <c r="H73">
        <v>2396</v>
      </c>
      <c r="I73" s="1">
        <v>286546</v>
      </c>
      <c r="J73" s="1">
        <f>Raw_Data!$I73/Raw_Data!$H73</f>
        <v>119.59348914858097</v>
      </c>
    </row>
    <row r="74" spans="1:10" x14ac:dyDescent="0.3">
      <c r="A74" s="9">
        <v>38851</v>
      </c>
      <c r="B74" s="2" t="str">
        <f>TEXT(Raw_Data!$A74, "MMM")</f>
        <v>May</v>
      </c>
      <c r="C74" s="2">
        <f>YEAR(Raw_Data!$A74)</f>
        <v>2006</v>
      </c>
      <c r="D74" s="2" t="s">
        <v>93</v>
      </c>
      <c r="E74" s="2" t="s">
        <v>13</v>
      </c>
      <c r="F74" s="2" t="s">
        <v>11</v>
      </c>
      <c r="G74" s="2"/>
      <c r="H74" s="2">
        <v>2011</v>
      </c>
      <c r="I74" s="10">
        <v>821202</v>
      </c>
      <c r="J74" s="10">
        <f>Raw_Data!$I74/Raw_Data!$H74</f>
        <v>408.35504724017903</v>
      </c>
    </row>
    <row r="75" spans="1:10" x14ac:dyDescent="0.3">
      <c r="A75" s="8">
        <v>43596</v>
      </c>
      <c r="B75" t="str">
        <f>TEXT(Raw_Data!$A75, "MMM")</f>
        <v>May</v>
      </c>
      <c r="C75">
        <f>YEAR(Raw_Data!$A75)</f>
        <v>2019</v>
      </c>
      <c r="D75" t="s">
        <v>94</v>
      </c>
      <c r="E75" t="s">
        <v>15</v>
      </c>
      <c r="F75" t="s">
        <v>11</v>
      </c>
      <c r="G75">
        <v>5</v>
      </c>
      <c r="H75">
        <v>2862</v>
      </c>
      <c r="I75" s="1">
        <v>210432</v>
      </c>
      <c r="J75" s="1">
        <f>Raw_Data!$I75/Raw_Data!$H75</f>
        <v>73.526205450733755</v>
      </c>
    </row>
    <row r="76" spans="1:10" x14ac:dyDescent="0.3">
      <c r="A76" s="9">
        <v>37223</v>
      </c>
      <c r="B76" s="2" t="str">
        <f>TEXT(Raw_Data!$A76, "MMM")</f>
        <v>Nov</v>
      </c>
      <c r="C76" s="2">
        <f>YEAR(Raw_Data!$A76)</f>
        <v>2001</v>
      </c>
      <c r="D76" s="2" t="s">
        <v>95</v>
      </c>
      <c r="E76" s="2" t="s">
        <v>32</v>
      </c>
      <c r="F76" s="2" t="s">
        <v>18</v>
      </c>
      <c r="G76" s="2">
        <v>5</v>
      </c>
      <c r="H76" s="2">
        <v>1750</v>
      </c>
      <c r="I76" s="10">
        <v>106017</v>
      </c>
      <c r="J76" s="10">
        <f>Raw_Data!$I76/Raw_Data!$H76</f>
        <v>60.581142857142858</v>
      </c>
    </row>
    <row r="77" spans="1:10" x14ac:dyDescent="0.3">
      <c r="A77" s="8">
        <v>42682</v>
      </c>
      <c r="B77" t="str">
        <f>TEXT(Raw_Data!$A77, "MMM")</f>
        <v>Nov</v>
      </c>
      <c r="C77">
        <f>YEAR(Raw_Data!$A77)</f>
        <v>2016</v>
      </c>
      <c r="D77" t="s">
        <v>96</v>
      </c>
      <c r="E77" t="s">
        <v>29</v>
      </c>
      <c r="F77" t="s">
        <v>16</v>
      </c>
      <c r="H77">
        <v>1647</v>
      </c>
      <c r="I77" s="1">
        <v>160498</v>
      </c>
      <c r="J77" s="1">
        <f>Raw_Data!$I77/Raw_Data!$H77</f>
        <v>97.448694596235583</v>
      </c>
    </row>
    <row r="78" spans="1:10" x14ac:dyDescent="0.3">
      <c r="A78" s="9">
        <v>43705</v>
      </c>
      <c r="B78" s="2" t="str">
        <f>TEXT(Raw_Data!$A78, "MMM")</f>
        <v>Aug</v>
      </c>
      <c r="C78" s="2">
        <f>YEAR(Raw_Data!$A78)</f>
        <v>2019</v>
      </c>
      <c r="D78" s="2" t="s">
        <v>97</v>
      </c>
      <c r="E78" s="2" t="s">
        <v>15</v>
      </c>
      <c r="F78" s="2" t="s">
        <v>18</v>
      </c>
      <c r="G78" s="2">
        <v>2</v>
      </c>
      <c r="H78" s="2">
        <v>1657</v>
      </c>
      <c r="I78" s="10">
        <v>116180</v>
      </c>
      <c r="J78" s="10">
        <f>Raw_Data!$I78/Raw_Data!$H78</f>
        <v>70.11466505733253</v>
      </c>
    </row>
    <row r="79" spans="1:10" x14ac:dyDescent="0.3">
      <c r="A79" s="8">
        <v>38271</v>
      </c>
      <c r="B79" t="str">
        <f>TEXT(Raw_Data!$A79, "MMM")</f>
        <v>Oct</v>
      </c>
      <c r="C79">
        <f>YEAR(Raw_Data!$A79)</f>
        <v>2004</v>
      </c>
      <c r="D79" t="s">
        <v>98</v>
      </c>
      <c r="E79" t="s">
        <v>32</v>
      </c>
      <c r="F79" t="s">
        <v>27</v>
      </c>
      <c r="G79">
        <v>2</v>
      </c>
      <c r="H79">
        <v>3421</v>
      </c>
      <c r="I79" s="1">
        <v>384687</v>
      </c>
      <c r="J79" s="1">
        <f>Raw_Data!$I79/Raw_Data!$H79</f>
        <v>112.44869921075708</v>
      </c>
    </row>
    <row r="80" spans="1:10" x14ac:dyDescent="0.3">
      <c r="A80" s="9">
        <v>38449</v>
      </c>
      <c r="B80" s="2" t="str">
        <f>TEXT(Raw_Data!$A80, "MMM")</f>
        <v>Apr</v>
      </c>
      <c r="C80" s="2">
        <f>YEAR(Raw_Data!$A80)</f>
        <v>2005</v>
      </c>
      <c r="D80" s="2" t="s">
        <v>99</v>
      </c>
      <c r="E80" s="2" t="s">
        <v>29</v>
      </c>
      <c r="F80" s="2" t="s">
        <v>18</v>
      </c>
      <c r="G80" s="2"/>
      <c r="H80" s="2">
        <v>2892</v>
      </c>
      <c r="I80" s="10">
        <v>221751</v>
      </c>
      <c r="J80" s="10">
        <f>Raw_Data!$I80/Raw_Data!$H80</f>
        <v>76.677385892116178</v>
      </c>
    </row>
    <row r="81" spans="1:10" x14ac:dyDescent="0.3">
      <c r="A81" s="8">
        <v>40828</v>
      </c>
      <c r="B81" t="str">
        <f>TEXT(Raw_Data!$A81, "MMM")</f>
        <v>Oct</v>
      </c>
      <c r="C81">
        <f>YEAR(Raw_Data!$A81)</f>
        <v>2011</v>
      </c>
      <c r="D81" t="s">
        <v>100</v>
      </c>
      <c r="E81" t="s">
        <v>15</v>
      </c>
      <c r="F81" t="s">
        <v>27</v>
      </c>
      <c r="G81">
        <v>5</v>
      </c>
      <c r="H81">
        <v>3008</v>
      </c>
      <c r="I81" s="1">
        <v>580922</v>
      </c>
      <c r="J81" s="1">
        <f>Raw_Data!$I81/Raw_Data!$H81</f>
        <v>193.12566489361703</v>
      </c>
    </row>
    <row r="82" spans="1:10" x14ac:dyDescent="0.3">
      <c r="A82" s="9">
        <v>41051</v>
      </c>
      <c r="B82" s="2" t="str">
        <f>TEXT(Raw_Data!$A82, "MMM")</f>
        <v>May</v>
      </c>
      <c r="C82" s="2">
        <f>YEAR(Raw_Data!$A82)</f>
        <v>2012</v>
      </c>
      <c r="D82" s="2" t="s">
        <v>101</v>
      </c>
      <c r="E82" s="2" t="s">
        <v>21</v>
      </c>
      <c r="F82" s="2" t="s">
        <v>11</v>
      </c>
      <c r="G82" s="2">
        <v>3</v>
      </c>
      <c r="H82" s="2">
        <v>2914</v>
      </c>
      <c r="I82" s="10">
        <v>851999</v>
      </c>
      <c r="J82" s="10">
        <f>Raw_Data!$I82/Raw_Data!$H82</f>
        <v>292.38126286890872</v>
      </c>
    </row>
    <row r="83" spans="1:10" x14ac:dyDescent="0.3">
      <c r="A83" s="8">
        <v>38392</v>
      </c>
      <c r="B83" t="str">
        <f>TEXT(Raw_Data!$A83, "MMM")</f>
        <v>Feb</v>
      </c>
      <c r="C83">
        <f>YEAR(Raw_Data!$A83)</f>
        <v>2005</v>
      </c>
      <c r="D83" t="s">
        <v>102</v>
      </c>
      <c r="E83" t="s">
        <v>23</v>
      </c>
      <c r="F83" t="s">
        <v>16</v>
      </c>
      <c r="H83">
        <v>2016</v>
      </c>
      <c r="I83" s="1">
        <v>442395</v>
      </c>
      <c r="J83" s="1">
        <f>Raw_Data!$I83/Raw_Data!$H83</f>
        <v>219.44196428571428</v>
      </c>
    </row>
    <row r="84" spans="1:10" x14ac:dyDescent="0.3">
      <c r="A84" s="9">
        <v>40399</v>
      </c>
      <c r="B84" s="2" t="str">
        <f>TEXT(Raw_Data!$A84, "MMM")</f>
        <v>Aug</v>
      </c>
      <c r="C84" s="2">
        <f>YEAR(Raw_Data!$A84)</f>
        <v>2010</v>
      </c>
      <c r="D84" s="2" t="s">
        <v>103</v>
      </c>
      <c r="E84" s="2" t="s">
        <v>29</v>
      </c>
      <c r="F84" s="2" t="s">
        <v>27</v>
      </c>
      <c r="G84" s="2"/>
      <c r="H84" s="2">
        <v>1653</v>
      </c>
      <c r="I84" s="10">
        <v>820295</v>
      </c>
      <c r="J84" s="10">
        <f>Raw_Data!$I84/Raw_Data!$H84</f>
        <v>496.24621899576528</v>
      </c>
    </row>
    <row r="85" spans="1:10" x14ac:dyDescent="0.3">
      <c r="A85" s="8">
        <v>39075</v>
      </c>
      <c r="B85" t="str">
        <f>TEXT(Raw_Data!$A85, "MMM")</f>
        <v>Dec</v>
      </c>
      <c r="C85">
        <f>YEAR(Raw_Data!$A85)</f>
        <v>2006</v>
      </c>
      <c r="D85" t="s">
        <v>104</v>
      </c>
      <c r="E85" t="s">
        <v>21</v>
      </c>
      <c r="F85" t="s">
        <v>11</v>
      </c>
      <c r="G85">
        <v>4</v>
      </c>
      <c r="H85">
        <v>2204</v>
      </c>
      <c r="I85" s="1">
        <v>631878</v>
      </c>
      <c r="J85" s="1">
        <f>Raw_Data!$I85/Raw_Data!$H85</f>
        <v>286.69600725952813</v>
      </c>
    </row>
    <row r="86" spans="1:10" x14ac:dyDescent="0.3">
      <c r="A86" s="9">
        <v>42310</v>
      </c>
      <c r="B86" s="2" t="str">
        <f>TEXT(Raw_Data!$A86, "MMM")</f>
        <v>Nov</v>
      </c>
      <c r="C86" s="2">
        <f>YEAR(Raw_Data!$A86)</f>
        <v>2015</v>
      </c>
      <c r="D86" s="2" t="s">
        <v>105</v>
      </c>
      <c r="E86" s="2" t="s">
        <v>15</v>
      </c>
      <c r="F86" s="2" t="s">
        <v>27</v>
      </c>
      <c r="G86" s="2">
        <v>5</v>
      </c>
      <c r="H86" s="2">
        <v>1144</v>
      </c>
      <c r="I86" s="10">
        <v>148913</v>
      </c>
      <c r="J86" s="10">
        <f>Raw_Data!$I86/Raw_Data!$H86</f>
        <v>130.16870629370629</v>
      </c>
    </row>
    <row r="87" spans="1:10" x14ac:dyDescent="0.3">
      <c r="A87" s="8">
        <v>38002</v>
      </c>
      <c r="B87" t="str">
        <f>TEXT(Raw_Data!$A87, "MMM")</f>
        <v>Jan</v>
      </c>
      <c r="C87">
        <f>YEAR(Raw_Data!$A87)</f>
        <v>2004</v>
      </c>
      <c r="D87" t="s">
        <v>106</v>
      </c>
      <c r="E87" t="s">
        <v>25</v>
      </c>
      <c r="F87" t="s">
        <v>18</v>
      </c>
      <c r="G87">
        <v>2</v>
      </c>
      <c r="H87">
        <v>1519</v>
      </c>
      <c r="I87" s="1">
        <v>727978</v>
      </c>
      <c r="J87" s="1">
        <f>Raw_Data!$I87/Raw_Data!$H87</f>
        <v>479.24818959842003</v>
      </c>
    </row>
    <row r="88" spans="1:10" x14ac:dyDescent="0.3">
      <c r="A88" s="9">
        <v>41054</v>
      </c>
      <c r="B88" s="2" t="str">
        <f>TEXT(Raw_Data!$A88, "MMM")</f>
        <v>May</v>
      </c>
      <c r="C88" s="2">
        <f>YEAR(Raw_Data!$A88)</f>
        <v>2012</v>
      </c>
      <c r="D88" s="2" t="s">
        <v>107</v>
      </c>
      <c r="E88" s="2" t="s">
        <v>15</v>
      </c>
      <c r="F88" s="2" t="s">
        <v>11</v>
      </c>
      <c r="G88" s="2">
        <v>5</v>
      </c>
      <c r="H88" s="2">
        <v>2904</v>
      </c>
      <c r="I88" s="10">
        <v>327564</v>
      </c>
      <c r="J88" s="10">
        <f>Raw_Data!$I88/Raw_Data!$H88</f>
        <v>112.79752066115702</v>
      </c>
    </row>
    <row r="89" spans="1:10" x14ac:dyDescent="0.3">
      <c r="A89" s="8">
        <v>38360</v>
      </c>
      <c r="B89" t="str">
        <f>TEXT(Raw_Data!$A89, "MMM")</f>
        <v>Jan</v>
      </c>
      <c r="C89">
        <f>YEAR(Raw_Data!$A89)</f>
        <v>2005</v>
      </c>
      <c r="D89" t="s">
        <v>108</v>
      </c>
      <c r="E89" t="s">
        <v>23</v>
      </c>
      <c r="F89" t="s">
        <v>11</v>
      </c>
      <c r="G89">
        <v>4</v>
      </c>
      <c r="H89">
        <v>2036</v>
      </c>
      <c r="I89" s="1"/>
      <c r="J89" s="1">
        <f>Raw_Data!$I89/Raw_Data!$H89</f>
        <v>0</v>
      </c>
    </row>
    <row r="90" spans="1:10" x14ac:dyDescent="0.3">
      <c r="A90" s="9">
        <v>40882</v>
      </c>
      <c r="B90" s="2" t="str">
        <f>TEXT(Raw_Data!$A90, "MMM")</f>
        <v>Dec</v>
      </c>
      <c r="C90" s="2">
        <f>YEAR(Raw_Data!$A90)</f>
        <v>2011</v>
      </c>
      <c r="D90" s="2" t="s">
        <v>109</v>
      </c>
      <c r="E90" s="2" t="s">
        <v>25</v>
      </c>
      <c r="F90" s="2" t="s">
        <v>16</v>
      </c>
      <c r="G90" s="2">
        <v>5</v>
      </c>
      <c r="H90" s="2">
        <v>1621</v>
      </c>
      <c r="I90" s="10">
        <v>763460</v>
      </c>
      <c r="J90" s="10">
        <f>Raw_Data!$I90/Raw_Data!$H90</f>
        <v>470.9808760024676</v>
      </c>
    </row>
    <row r="91" spans="1:10" x14ac:dyDescent="0.3">
      <c r="A91" s="8">
        <v>38071</v>
      </c>
      <c r="B91" t="str">
        <f>TEXT(Raw_Data!$A91, "MMM")</f>
        <v>Mar</v>
      </c>
      <c r="C91">
        <f>YEAR(Raw_Data!$A91)</f>
        <v>2004</v>
      </c>
      <c r="D91" t="s">
        <v>110</v>
      </c>
      <c r="E91" t="s">
        <v>13</v>
      </c>
      <c r="F91" t="s">
        <v>11</v>
      </c>
      <c r="G91">
        <v>5</v>
      </c>
      <c r="H91">
        <v>1875</v>
      </c>
      <c r="I91" s="1">
        <v>663124</v>
      </c>
      <c r="J91" s="1">
        <f>Raw_Data!$I91/Raw_Data!$H91</f>
        <v>353.66613333333333</v>
      </c>
    </row>
    <row r="92" spans="1:10" x14ac:dyDescent="0.3">
      <c r="A92" s="9">
        <v>37987</v>
      </c>
      <c r="B92" s="2" t="str">
        <f>TEXT(Raw_Data!$A92, "MMM")</f>
        <v>Jan</v>
      </c>
      <c r="C92" s="2">
        <f>YEAR(Raw_Data!$A92)</f>
        <v>2004</v>
      </c>
      <c r="D92" s="2" t="s">
        <v>111</v>
      </c>
      <c r="E92" s="2" t="s">
        <v>23</v>
      </c>
      <c r="F92" s="2" t="s">
        <v>18</v>
      </c>
      <c r="G92" s="2">
        <v>5</v>
      </c>
      <c r="H92" s="2">
        <v>1054</v>
      </c>
      <c r="I92" s="10">
        <v>895009</v>
      </c>
      <c r="J92" s="10">
        <f>Raw_Data!$I92/Raw_Data!$H92</f>
        <v>849.15464895635671</v>
      </c>
    </row>
    <row r="93" spans="1:10" x14ac:dyDescent="0.3">
      <c r="A93" s="8">
        <v>43216</v>
      </c>
      <c r="B93" t="str">
        <f>TEXT(Raw_Data!$A93, "MMM")</f>
        <v>Apr</v>
      </c>
      <c r="C93">
        <f>YEAR(Raw_Data!$A93)</f>
        <v>2018</v>
      </c>
      <c r="D93" t="s">
        <v>112</v>
      </c>
      <c r="E93" t="s">
        <v>23</v>
      </c>
      <c r="F93" t="s">
        <v>16</v>
      </c>
      <c r="G93">
        <v>4</v>
      </c>
      <c r="H93">
        <v>1891</v>
      </c>
      <c r="I93" s="1">
        <v>768907</v>
      </c>
      <c r="J93" s="1">
        <f>Raw_Data!$I93/Raw_Data!$H93</f>
        <v>406.61396086726597</v>
      </c>
    </row>
    <row r="94" spans="1:10" x14ac:dyDescent="0.3">
      <c r="A94" s="9">
        <v>39449</v>
      </c>
      <c r="B94" s="2" t="str">
        <f>TEXT(Raw_Data!$A94, "MMM")</f>
        <v>Jan</v>
      </c>
      <c r="C94" s="2">
        <f>YEAR(Raw_Data!$A94)</f>
        <v>2008</v>
      </c>
      <c r="D94" s="2" t="s">
        <v>113</v>
      </c>
      <c r="E94" s="2" t="s">
        <v>23</v>
      </c>
      <c r="F94" s="2" t="s">
        <v>18</v>
      </c>
      <c r="G94" s="2">
        <v>3</v>
      </c>
      <c r="H94" s="2">
        <v>3412</v>
      </c>
      <c r="I94" s="10">
        <v>775619</v>
      </c>
      <c r="J94" s="10">
        <f>Raw_Data!$I94/Raw_Data!$H94</f>
        <v>227.32092614302462</v>
      </c>
    </row>
    <row r="95" spans="1:10" x14ac:dyDescent="0.3">
      <c r="A95" s="8">
        <v>41095</v>
      </c>
      <c r="B95" t="str">
        <f>TEXT(Raw_Data!$A95, "MMM")</f>
        <v>Jul</v>
      </c>
      <c r="C95">
        <f>YEAR(Raw_Data!$A95)</f>
        <v>2012</v>
      </c>
      <c r="D95" t="s">
        <v>114</v>
      </c>
      <c r="E95" t="s">
        <v>32</v>
      </c>
      <c r="F95" t="s">
        <v>18</v>
      </c>
      <c r="G95">
        <v>3</v>
      </c>
      <c r="H95">
        <v>2501</v>
      </c>
      <c r="I95" s="1">
        <v>442404</v>
      </c>
      <c r="J95" s="1">
        <f>Raw_Data!$I95/Raw_Data!$H95</f>
        <v>176.89084366253499</v>
      </c>
    </row>
    <row r="96" spans="1:10" x14ac:dyDescent="0.3">
      <c r="A96" s="9">
        <v>38043</v>
      </c>
      <c r="B96" s="2" t="str">
        <f>TEXT(Raw_Data!$A96, "MMM")</f>
        <v>Feb</v>
      </c>
      <c r="C96" s="2">
        <f>YEAR(Raw_Data!$A96)</f>
        <v>2004</v>
      </c>
      <c r="D96" s="2" t="s">
        <v>115</v>
      </c>
      <c r="E96" s="2" t="s">
        <v>13</v>
      </c>
      <c r="F96" s="2" t="s">
        <v>11</v>
      </c>
      <c r="G96" s="2"/>
      <c r="H96" s="2">
        <v>2890</v>
      </c>
      <c r="I96" s="10">
        <v>307015</v>
      </c>
      <c r="J96" s="10">
        <f>Raw_Data!$I96/Raw_Data!$H96</f>
        <v>106.23356401384083</v>
      </c>
    </row>
    <row r="97" spans="1:10" x14ac:dyDescent="0.3">
      <c r="A97" s="8">
        <v>39261</v>
      </c>
      <c r="B97" t="str">
        <f>TEXT(Raw_Data!$A97, "MMM")</f>
        <v>Jun</v>
      </c>
      <c r="C97">
        <f>YEAR(Raw_Data!$A97)</f>
        <v>2007</v>
      </c>
      <c r="D97" t="s">
        <v>116</v>
      </c>
      <c r="E97" t="s">
        <v>23</v>
      </c>
      <c r="F97" t="s">
        <v>16</v>
      </c>
      <c r="G97">
        <v>2</v>
      </c>
      <c r="H97">
        <v>2621</v>
      </c>
      <c r="I97" s="1">
        <v>849180</v>
      </c>
      <c r="J97" s="1">
        <f>Raw_Data!$I97/Raw_Data!$H97</f>
        <v>323.9908431896223</v>
      </c>
    </row>
    <row r="98" spans="1:10" x14ac:dyDescent="0.3">
      <c r="A98" s="9">
        <v>39837</v>
      </c>
      <c r="B98" s="2" t="str">
        <f>TEXT(Raw_Data!$A98, "MMM")</f>
        <v>Jan</v>
      </c>
      <c r="C98" s="2">
        <f>YEAR(Raw_Data!$A98)</f>
        <v>2009</v>
      </c>
      <c r="D98" s="2" t="s">
        <v>117</v>
      </c>
      <c r="E98" s="2" t="s">
        <v>32</v>
      </c>
      <c r="F98" s="2" t="s">
        <v>18</v>
      </c>
      <c r="G98" s="2"/>
      <c r="H98" s="2">
        <v>1179</v>
      </c>
      <c r="I98" s="10">
        <v>610044</v>
      </c>
      <c r="J98" s="10">
        <f>Raw_Data!$I98/Raw_Data!$H98</f>
        <v>517.42493638676842</v>
      </c>
    </row>
    <row r="99" spans="1:10" x14ac:dyDescent="0.3">
      <c r="A99" s="8">
        <v>39407</v>
      </c>
      <c r="B99" t="str">
        <f>TEXT(Raw_Data!$A99, "MMM")</f>
        <v>Nov</v>
      </c>
      <c r="C99">
        <f>YEAR(Raw_Data!$A99)</f>
        <v>2007</v>
      </c>
      <c r="D99" t="s">
        <v>118</v>
      </c>
      <c r="E99" t="s">
        <v>15</v>
      </c>
      <c r="F99" t="s">
        <v>27</v>
      </c>
      <c r="G99">
        <v>2</v>
      </c>
      <c r="H99">
        <v>2362</v>
      </c>
      <c r="I99" s="1">
        <v>880760</v>
      </c>
      <c r="J99" s="1">
        <f>Raw_Data!$I99/Raw_Data!$H99</f>
        <v>372.88738357324303</v>
      </c>
    </row>
    <row r="100" spans="1:10" x14ac:dyDescent="0.3">
      <c r="A100" s="9">
        <v>41487</v>
      </c>
      <c r="B100" s="2" t="str">
        <f>TEXT(Raw_Data!$A100, "MMM")</f>
        <v>Aug</v>
      </c>
      <c r="C100" s="2">
        <f>YEAR(Raw_Data!$A100)</f>
        <v>2013</v>
      </c>
      <c r="D100" s="2" t="s">
        <v>119</v>
      </c>
      <c r="E100" s="2" t="s">
        <v>25</v>
      </c>
      <c r="F100" s="2" t="s">
        <v>16</v>
      </c>
      <c r="G100" s="2"/>
      <c r="H100" s="2">
        <v>3147</v>
      </c>
      <c r="I100" s="10">
        <v>802848</v>
      </c>
      <c r="J100" s="10">
        <f>Raw_Data!$I100/Raw_Data!$H100</f>
        <v>255.11534795042897</v>
      </c>
    </row>
    <row r="101" spans="1:10" x14ac:dyDescent="0.3">
      <c r="A101" s="8">
        <v>39791</v>
      </c>
      <c r="B101" t="str">
        <f>TEXT(Raw_Data!$A101, "MMM")</f>
        <v>Dec</v>
      </c>
      <c r="C101">
        <f>YEAR(Raw_Data!$A101)</f>
        <v>2008</v>
      </c>
      <c r="D101" t="s">
        <v>120</v>
      </c>
      <c r="E101" t="s">
        <v>32</v>
      </c>
      <c r="F101" t="s">
        <v>11</v>
      </c>
      <c r="G101">
        <v>2</v>
      </c>
      <c r="H101">
        <v>2294</v>
      </c>
      <c r="I101" s="1">
        <v>494381</v>
      </c>
      <c r="J101" s="1">
        <f>Raw_Data!$I101/Raw_Data!$H101</f>
        <v>215.51046207497819</v>
      </c>
    </row>
    <row r="102" spans="1:10" x14ac:dyDescent="0.3">
      <c r="A102" s="9">
        <v>39110</v>
      </c>
      <c r="B102" s="2" t="str">
        <f>TEXT(Raw_Data!$A102, "MMM")</f>
        <v>Jan</v>
      </c>
      <c r="C102" s="2">
        <f>YEAR(Raw_Data!$A102)</f>
        <v>2007</v>
      </c>
      <c r="D102" s="2" t="s">
        <v>121</v>
      </c>
      <c r="E102" s="2" t="s">
        <v>15</v>
      </c>
      <c r="F102" s="2" t="s">
        <v>27</v>
      </c>
      <c r="G102" s="2">
        <v>4</v>
      </c>
      <c r="H102" s="2">
        <v>2141</v>
      </c>
      <c r="I102" s="10">
        <v>183407</v>
      </c>
      <c r="J102" s="10">
        <f>Raw_Data!$I102/Raw_Data!$H102</f>
        <v>85.664175618869692</v>
      </c>
    </row>
    <row r="103" spans="1:10" x14ac:dyDescent="0.3">
      <c r="A103" s="8">
        <v>42935</v>
      </c>
      <c r="B103" t="str">
        <f>TEXT(Raw_Data!$A103, "MMM")</f>
        <v>Jul</v>
      </c>
      <c r="C103">
        <f>YEAR(Raw_Data!$A103)</f>
        <v>2017</v>
      </c>
      <c r="D103" t="s">
        <v>122</v>
      </c>
      <c r="E103" t="s">
        <v>32</v>
      </c>
      <c r="F103" t="s">
        <v>16</v>
      </c>
      <c r="H103">
        <v>988</v>
      </c>
      <c r="I103" s="1">
        <v>257902</v>
      </c>
      <c r="J103" s="1">
        <f>Raw_Data!$I103/Raw_Data!$H103</f>
        <v>261.0344129554656</v>
      </c>
    </row>
    <row r="104" spans="1:10" x14ac:dyDescent="0.3">
      <c r="A104" s="9">
        <v>42937</v>
      </c>
      <c r="B104" s="2" t="str">
        <f>TEXT(Raw_Data!$A104, "MMM")</f>
        <v>Jul</v>
      </c>
      <c r="C104" s="2">
        <f>YEAR(Raw_Data!$A104)</f>
        <v>2017</v>
      </c>
      <c r="D104" s="2" t="s">
        <v>123</v>
      </c>
      <c r="E104" s="2" t="s">
        <v>29</v>
      </c>
      <c r="F104" s="2" t="s">
        <v>16</v>
      </c>
      <c r="G104" s="2">
        <v>2</v>
      </c>
      <c r="H104" s="2">
        <v>2591</v>
      </c>
      <c r="I104" s="10">
        <v>876255</v>
      </c>
      <c r="J104" s="10">
        <f>Raw_Data!$I104/Raw_Data!$H104</f>
        <v>338.19181783095331</v>
      </c>
    </row>
    <row r="105" spans="1:10" x14ac:dyDescent="0.3">
      <c r="A105" s="8">
        <v>42680</v>
      </c>
      <c r="B105" t="str">
        <f>TEXT(Raw_Data!$A105, "MMM")</f>
        <v>Nov</v>
      </c>
      <c r="C105">
        <f>YEAR(Raw_Data!$A105)</f>
        <v>2016</v>
      </c>
      <c r="D105" t="s">
        <v>124</v>
      </c>
      <c r="E105" t="s">
        <v>25</v>
      </c>
      <c r="F105" t="s">
        <v>27</v>
      </c>
      <c r="G105">
        <v>4</v>
      </c>
      <c r="H105">
        <v>1681</v>
      </c>
      <c r="I105" s="1">
        <v>673743</v>
      </c>
      <c r="J105" s="1">
        <f>Raw_Data!$I105/Raw_Data!$H105</f>
        <v>400.79892920880428</v>
      </c>
    </row>
    <row r="106" spans="1:10" x14ac:dyDescent="0.3">
      <c r="A106" s="9">
        <v>37545</v>
      </c>
      <c r="B106" s="2" t="str">
        <f>TEXT(Raw_Data!$A106, "MMM")</f>
        <v>Oct</v>
      </c>
      <c r="C106" s="2">
        <f>YEAR(Raw_Data!$A106)</f>
        <v>2002</v>
      </c>
      <c r="D106" s="2" t="s">
        <v>125</v>
      </c>
      <c r="E106" s="2" t="s">
        <v>15</v>
      </c>
      <c r="F106" s="2" t="s">
        <v>16</v>
      </c>
      <c r="G106" s="2"/>
      <c r="H106" s="2">
        <v>1043</v>
      </c>
      <c r="I106" s="10">
        <v>235165</v>
      </c>
      <c r="J106" s="10">
        <f>Raw_Data!$I106/Raw_Data!$H106</f>
        <v>225.46979865771812</v>
      </c>
    </row>
    <row r="107" spans="1:10" x14ac:dyDescent="0.3">
      <c r="A107" s="8">
        <v>39120</v>
      </c>
      <c r="B107" t="str">
        <f>TEXT(Raw_Data!$A107, "MMM")</f>
        <v>Feb</v>
      </c>
      <c r="C107">
        <f>YEAR(Raw_Data!$A107)</f>
        <v>2007</v>
      </c>
      <c r="D107" t="s">
        <v>126</v>
      </c>
      <c r="E107" t="s">
        <v>21</v>
      </c>
      <c r="F107" t="s">
        <v>18</v>
      </c>
      <c r="H107">
        <v>1167</v>
      </c>
      <c r="I107" s="1">
        <v>342243</v>
      </c>
      <c r="J107" s="1">
        <f>Raw_Data!$I107/Raw_Data!$H107</f>
        <v>293.26735218508998</v>
      </c>
    </row>
    <row r="108" spans="1:10" x14ac:dyDescent="0.3">
      <c r="A108" s="9">
        <v>40762</v>
      </c>
      <c r="B108" s="2" t="str">
        <f>TEXT(Raw_Data!$A108, "MMM")</f>
        <v>Aug</v>
      </c>
      <c r="C108" s="2">
        <f>YEAR(Raw_Data!$A108)</f>
        <v>2011</v>
      </c>
      <c r="D108" s="2" t="s">
        <v>65</v>
      </c>
      <c r="E108" s="2" t="s">
        <v>25</v>
      </c>
      <c r="F108" s="2" t="s">
        <v>18</v>
      </c>
      <c r="G108" s="2"/>
      <c r="H108" s="2">
        <v>1219</v>
      </c>
      <c r="I108" s="10">
        <v>543668</v>
      </c>
      <c r="J108" s="10">
        <f>Raw_Data!$I108/Raw_Data!$H108</f>
        <v>445.99507793273176</v>
      </c>
    </row>
    <row r="109" spans="1:10" x14ac:dyDescent="0.3">
      <c r="A109" s="8">
        <v>38797</v>
      </c>
      <c r="B109" t="str">
        <f>TEXT(Raw_Data!$A109, "MMM")</f>
        <v>Mar</v>
      </c>
      <c r="C109">
        <f>YEAR(Raw_Data!$A109)</f>
        <v>2006</v>
      </c>
      <c r="D109" t="s">
        <v>127</v>
      </c>
      <c r="E109" t="s">
        <v>29</v>
      </c>
      <c r="F109" t="s">
        <v>27</v>
      </c>
      <c r="H109">
        <v>2877</v>
      </c>
      <c r="I109" s="1">
        <v>135927</v>
      </c>
      <c r="J109" s="1">
        <f>Raw_Data!$I109/Raw_Data!$H109</f>
        <v>47.246089676746614</v>
      </c>
    </row>
    <row r="110" spans="1:10" x14ac:dyDescent="0.3">
      <c r="A110" s="9">
        <v>39712</v>
      </c>
      <c r="B110" s="2" t="str">
        <f>TEXT(Raw_Data!$A110, "MMM")</f>
        <v>Sep</v>
      </c>
      <c r="C110" s="2">
        <f>YEAR(Raw_Data!$A110)</f>
        <v>2008</v>
      </c>
      <c r="D110" s="2" t="s">
        <v>128</v>
      </c>
      <c r="E110" s="2" t="s">
        <v>25</v>
      </c>
      <c r="F110" s="2" t="s">
        <v>18</v>
      </c>
      <c r="G110" s="2">
        <v>3</v>
      </c>
      <c r="H110" s="2">
        <v>2364</v>
      </c>
      <c r="I110" s="10">
        <v>192049</v>
      </c>
      <c r="J110" s="10">
        <f>Raw_Data!$I110/Raw_Data!$H110</f>
        <v>81.239001692047381</v>
      </c>
    </row>
    <row r="111" spans="1:10" x14ac:dyDescent="0.3">
      <c r="A111" s="8">
        <v>41938</v>
      </c>
      <c r="B111" t="str">
        <f>TEXT(Raw_Data!$A111, "MMM")</f>
        <v>Oct</v>
      </c>
      <c r="C111">
        <f>YEAR(Raw_Data!$A111)</f>
        <v>2014</v>
      </c>
      <c r="D111" t="s">
        <v>129</v>
      </c>
      <c r="E111" t="s">
        <v>32</v>
      </c>
      <c r="F111" t="s">
        <v>27</v>
      </c>
      <c r="G111">
        <v>2</v>
      </c>
      <c r="H111">
        <v>1766</v>
      </c>
      <c r="I111" s="1">
        <v>561209</v>
      </c>
      <c r="J111" s="1">
        <f>Raw_Data!$I111/Raw_Data!$H111</f>
        <v>317.78539071347677</v>
      </c>
    </row>
    <row r="112" spans="1:10" x14ac:dyDescent="0.3">
      <c r="A112" s="9">
        <v>43788</v>
      </c>
      <c r="B112" s="2" t="str">
        <f>TEXT(Raw_Data!$A112, "MMM")</f>
        <v>Nov</v>
      </c>
      <c r="C112" s="2">
        <f>YEAR(Raw_Data!$A112)</f>
        <v>2019</v>
      </c>
      <c r="D112" s="2" t="s">
        <v>130</v>
      </c>
      <c r="E112" s="2" t="s">
        <v>21</v>
      </c>
      <c r="F112" s="2" t="s">
        <v>18</v>
      </c>
      <c r="G112" s="2">
        <v>2</v>
      </c>
      <c r="H112" s="2">
        <v>1930</v>
      </c>
      <c r="I112" s="10">
        <v>771098</v>
      </c>
      <c r="J112" s="10">
        <f>Raw_Data!$I112/Raw_Data!$H112</f>
        <v>399.53264248704664</v>
      </c>
    </row>
    <row r="113" spans="1:10" x14ac:dyDescent="0.3">
      <c r="A113" s="8">
        <v>39373</v>
      </c>
      <c r="B113" t="str">
        <f>TEXT(Raw_Data!$A113, "MMM")</f>
        <v>Oct</v>
      </c>
      <c r="C113">
        <f>YEAR(Raw_Data!$A113)</f>
        <v>2007</v>
      </c>
      <c r="D113" t="s">
        <v>131</v>
      </c>
      <c r="E113" t="s">
        <v>32</v>
      </c>
      <c r="F113" t="s">
        <v>27</v>
      </c>
      <c r="H113">
        <v>875</v>
      </c>
      <c r="I113" s="1">
        <v>887812</v>
      </c>
      <c r="J113" s="1">
        <f>Raw_Data!$I113/Raw_Data!$H113</f>
        <v>1014.6422857142857</v>
      </c>
    </row>
    <row r="114" spans="1:10" x14ac:dyDescent="0.3">
      <c r="A114" s="9">
        <v>38681</v>
      </c>
      <c r="B114" s="2" t="str">
        <f>TEXT(Raw_Data!$A114, "MMM")</f>
        <v>Nov</v>
      </c>
      <c r="C114" s="2">
        <f>YEAR(Raw_Data!$A114)</f>
        <v>2005</v>
      </c>
      <c r="D114" s="2" t="s">
        <v>132</v>
      </c>
      <c r="E114" s="2" t="s">
        <v>25</v>
      </c>
      <c r="F114" s="2" t="s">
        <v>11</v>
      </c>
      <c r="G114" s="2">
        <v>3</v>
      </c>
      <c r="H114" s="2">
        <v>1931</v>
      </c>
      <c r="I114" s="10">
        <v>367949</v>
      </c>
      <c r="J114" s="10">
        <f>Raw_Data!$I114/Raw_Data!$H114</f>
        <v>190.54842050750906</v>
      </c>
    </row>
    <row r="115" spans="1:10" x14ac:dyDescent="0.3">
      <c r="A115" s="8">
        <v>42524</v>
      </c>
      <c r="B115" t="str">
        <f>TEXT(Raw_Data!$A115, "MMM")</f>
        <v>Jun</v>
      </c>
      <c r="C115">
        <f>YEAR(Raw_Data!$A115)</f>
        <v>2016</v>
      </c>
      <c r="D115" t="s">
        <v>133</v>
      </c>
      <c r="E115" t="s">
        <v>21</v>
      </c>
      <c r="F115" t="s">
        <v>11</v>
      </c>
      <c r="H115">
        <v>1615</v>
      </c>
      <c r="I115" s="1">
        <v>730436</v>
      </c>
      <c r="J115" s="1">
        <f>Raw_Data!$I115/Raw_Data!$H115</f>
        <v>452.2823529411765</v>
      </c>
    </row>
    <row r="116" spans="1:10" x14ac:dyDescent="0.3">
      <c r="A116" s="9">
        <v>42100</v>
      </c>
      <c r="B116" s="2" t="str">
        <f>TEXT(Raw_Data!$A116, "MMM")</f>
        <v>Apr</v>
      </c>
      <c r="C116" s="2">
        <f>YEAR(Raw_Data!$A116)</f>
        <v>2015</v>
      </c>
      <c r="D116" s="2" t="s">
        <v>134</v>
      </c>
      <c r="E116" s="2" t="s">
        <v>29</v>
      </c>
      <c r="F116" s="2" t="s">
        <v>11</v>
      </c>
      <c r="G116" s="2"/>
      <c r="H116" s="2">
        <v>1132</v>
      </c>
      <c r="I116" s="10">
        <v>517844</v>
      </c>
      <c r="J116" s="10">
        <f>Raw_Data!$I116/Raw_Data!$H116</f>
        <v>457.45936395759719</v>
      </c>
    </row>
    <row r="117" spans="1:10" x14ac:dyDescent="0.3">
      <c r="A117" s="8">
        <v>43524</v>
      </c>
      <c r="B117" t="str">
        <f>TEXT(Raw_Data!$A117, "MMM")</f>
        <v>Feb</v>
      </c>
      <c r="C117">
        <f>YEAR(Raw_Data!$A117)</f>
        <v>2019</v>
      </c>
      <c r="D117" t="s">
        <v>135</v>
      </c>
      <c r="E117" t="s">
        <v>13</v>
      </c>
      <c r="F117" t="s">
        <v>27</v>
      </c>
      <c r="H117">
        <v>3282</v>
      </c>
      <c r="I117" s="1">
        <v>175120</v>
      </c>
      <c r="J117" s="1">
        <f>Raw_Data!$I117/Raw_Data!$H117</f>
        <v>53.357708714198658</v>
      </c>
    </row>
    <row r="118" spans="1:10" x14ac:dyDescent="0.3">
      <c r="A118" s="9">
        <v>40544</v>
      </c>
      <c r="B118" s="2" t="str">
        <f>TEXT(Raw_Data!$A118, "MMM")</f>
        <v>Jan</v>
      </c>
      <c r="C118" s="2">
        <f>YEAR(Raw_Data!$A118)</f>
        <v>2011</v>
      </c>
      <c r="D118" s="2" t="s">
        <v>136</v>
      </c>
      <c r="E118" s="2" t="s">
        <v>21</v>
      </c>
      <c r="F118" s="2" t="s">
        <v>11</v>
      </c>
      <c r="G118" s="2"/>
      <c r="H118" s="2">
        <v>1780</v>
      </c>
      <c r="I118" s="10">
        <v>563761</v>
      </c>
      <c r="J118" s="10">
        <f>Raw_Data!$I118/Raw_Data!$H118</f>
        <v>316.71966292134829</v>
      </c>
    </row>
    <row r="119" spans="1:10" x14ac:dyDescent="0.3">
      <c r="A119" s="8">
        <v>42367</v>
      </c>
      <c r="B119" t="str">
        <f>TEXT(Raw_Data!$A119, "MMM")</f>
        <v>Dec</v>
      </c>
      <c r="C119">
        <f>YEAR(Raw_Data!$A119)</f>
        <v>2015</v>
      </c>
      <c r="D119" t="s">
        <v>39</v>
      </c>
      <c r="E119" t="s">
        <v>32</v>
      </c>
      <c r="F119" t="s">
        <v>16</v>
      </c>
      <c r="G119">
        <v>4</v>
      </c>
      <c r="H119">
        <v>828</v>
      </c>
      <c r="I119" s="1">
        <v>152102</v>
      </c>
      <c r="J119" s="1">
        <f>Raw_Data!$I119/Raw_Data!$H119</f>
        <v>183.69806763285024</v>
      </c>
    </row>
    <row r="120" spans="1:10" x14ac:dyDescent="0.3">
      <c r="A120" s="9">
        <v>41488</v>
      </c>
      <c r="B120" s="2" t="str">
        <f>TEXT(Raw_Data!$A120, "MMM")</f>
        <v>Aug</v>
      </c>
      <c r="C120" s="2">
        <f>YEAR(Raw_Data!$A120)</f>
        <v>2013</v>
      </c>
      <c r="D120" s="2" t="s">
        <v>137</v>
      </c>
      <c r="E120" s="2" t="s">
        <v>32</v>
      </c>
      <c r="F120" s="2" t="s">
        <v>18</v>
      </c>
      <c r="G120" s="2">
        <v>2</v>
      </c>
      <c r="H120" s="2">
        <v>3484</v>
      </c>
      <c r="I120" s="10">
        <v>782956</v>
      </c>
      <c r="J120" s="10">
        <f>Raw_Data!$I120/Raw_Data!$H120</f>
        <v>224.72904707233064</v>
      </c>
    </row>
    <row r="121" spans="1:10" x14ac:dyDescent="0.3">
      <c r="A121" s="8">
        <v>40362</v>
      </c>
      <c r="B121" t="str">
        <f>TEXT(Raw_Data!$A121, "MMM")</f>
        <v>Jul</v>
      </c>
      <c r="C121">
        <f>YEAR(Raw_Data!$A121)</f>
        <v>2010</v>
      </c>
      <c r="D121" t="s">
        <v>138</v>
      </c>
      <c r="E121" t="s">
        <v>13</v>
      </c>
      <c r="F121" t="s">
        <v>27</v>
      </c>
      <c r="H121">
        <v>969</v>
      </c>
      <c r="I121" s="1">
        <v>556782</v>
      </c>
      <c r="J121" s="1">
        <f>Raw_Data!$I121/Raw_Data!$H121</f>
        <v>574.59442724458199</v>
      </c>
    </row>
    <row r="122" spans="1:10" x14ac:dyDescent="0.3">
      <c r="A122" s="9">
        <v>43867</v>
      </c>
      <c r="B122" s="2" t="str">
        <f>TEXT(Raw_Data!$A122, "MMM")</f>
        <v>Feb</v>
      </c>
      <c r="C122" s="2">
        <f>YEAR(Raw_Data!$A122)</f>
        <v>2020</v>
      </c>
      <c r="D122" s="2" t="s">
        <v>139</v>
      </c>
      <c r="E122" s="2" t="s">
        <v>15</v>
      </c>
      <c r="F122" s="2" t="s">
        <v>18</v>
      </c>
      <c r="G122" s="2"/>
      <c r="H122" s="2">
        <v>2782</v>
      </c>
      <c r="I122" s="10">
        <v>200107</v>
      </c>
      <c r="J122" s="10">
        <f>Raw_Data!$I122/Raw_Data!$H122</f>
        <v>71.929187634795113</v>
      </c>
    </row>
    <row r="123" spans="1:10" x14ac:dyDescent="0.3">
      <c r="A123" s="8">
        <v>37356</v>
      </c>
      <c r="B123" t="str">
        <f>TEXT(Raw_Data!$A123, "MMM")</f>
        <v>Apr</v>
      </c>
      <c r="C123">
        <f>YEAR(Raw_Data!$A123)</f>
        <v>2002</v>
      </c>
      <c r="D123" t="s">
        <v>140</v>
      </c>
      <c r="E123" t="s">
        <v>15</v>
      </c>
      <c r="F123" t="s">
        <v>11</v>
      </c>
      <c r="H123">
        <v>2488</v>
      </c>
      <c r="I123" s="1">
        <v>732664</v>
      </c>
      <c r="J123" s="1">
        <f>Raw_Data!$I123/Raw_Data!$H123</f>
        <v>294.47909967845658</v>
      </c>
    </row>
    <row r="124" spans="1:10" x14ac:dyDescent="0.3">
      <c r="A124" s="9">
        <v>40539</v>
      </c>
      <c r="B124" s="2" t="str">
        <f>TEXT(Raw_Data!$A124, "MMM")</f>
        <v>Dec</v>
      </c>
      <c r="C124" s="2">
        <f>YEAR(Raw_Data!$A124)</f>
        <v>2010</v>
      </c>
      <c r="D124" s="2" t="s">
        <v>141</v>
      </c>
      <c r="E124" s="2" t="s">
        <v>15</v>
      </c>
      <c r="F124" s="2" t="s">
        <v>18</v>
      </c>
      <c r="G124" s="2"/>
      <c r="H124" s="2">
        <v>849</v>
      </c>
      <c r="I124" s="10">
        <v>475545</v>
      </c>
      <c r="J124" s="10">
        <f>Raw_Data!$I124/Raw_Data!$H124</f>
        <v>560.12367491166083</v>
      </c>
    </row>
    <row r="125" spans="1:10" x14ac:dyDescent="0.3">
      <c r="A125" s="8">
        <v>43672</v>
      </c>
      <c r="B125" t="str">
        <f>TEXT(Raw_Data!$A125, "MMM")</f>
        <v>Jul</v>
      </c>
      <c r="C125">
        <f>YEAR(Raw_Data!$A125)</f>
        <v>2019</v>
      </c>
      <c r="D125" t="s">
        <v>142</v>
      </c>
      <c r="E125" t="s">
        <v>32</v>
      </c>
      <c r="F125" t="s">
        <v>27</v>
      </c>
      <c r="H125">
        <v>1185</v>
      </c>
      <c r="I125" s="1">
        <v>247284</v>
      </c>
      <c r="J125" s="1">
        <f>Raw_Data!$I125/Raw_Data!$H125</f>
        <v>208.67848101265824</v>
      </c>
    </row>
    <row r="126" spans="1:10" x14ac:dyDescent="0.3">
      <c r="A126" s="9">
        <v>42005</v>
      </c>
      <c r="B126" s="2" t="str">
        <f>TEXT(Raw_Data!$A126, "MMM")</f>
        <v>Jan</v>
      </c>
      <c r="C126" s="2">
        <f>YEAR(Raw_Data!$A126)</f>
        <v>2015</v>
      </c>
      <c r="D126" s="2" t="s">
        <v>40</v>
      </c>
      <c r="E126" s="2" t="s">
        <v>15</v>
      </c>
      <c r="F126" s="2" t="s">
        <v>18</v>
      </c>
      <c r="G126" s="2">
        <v>5</v>
      </c>
      <c r="H126" s="2">
        <v>3372</v>
      </c>
      <c r="I126" s="10">
        <v>161897</v>
      </c>
      <c r="J126" s="10">
        <f>Raw_Data!$I126/Raw_Data!$H126</f>
        <v>48.012158956109133</v>
      </c>
    </row>
    <row r="127" spans="1:10" x14ac:dyDescent="0.3">
      <c r="A127" s="8">
        <v>40963</v>
      </c>
      <c r="B127" t="str">
        <f>TEXT(Raw_Data!$A127, "MMM")</f>
        <v>Feb</v>
      </c>
      <c r="C127">
        <f>YEAR(Raw_Data!$A127)</f>
        <v>2012</v>
      </c>
      <c r="D127" t="s">
        <v>143</v>
      </c>
      <c r="E127" t="s">
        <v>23</v>
      </c>
      <c r="F127" t="s">
        <v>16</v>
      </c>
      <c r="H127">
        <v>2609</v>
      </c>
      <c r="I127" s="1">
        <v>185169</v>
      </c>
      <c r="J127" s="1">
        <f>Raw_Data!$I127/Raw_Data!$H127</f>
        <v>70.973169796857036</v>
      </c>
    </row>
    <row r="128" spans="1:10" x14ac:dyDescent="0.3">
      <c r="A128" s="9">
        <v>42204</v>
      </c>
      <c r="B128" s="2" t="str">
        <f>TEXT(Raw_Data!$A128, "MMM")</f>
        <v>Jul</v>
      </c>
      <c r="C128" s="2">
        <f>YEAR(Raw_Data!$A128)</f>
        <v>2015</v>
      </c>
      <c r="D128" s="2" t="s">
        <v>144</v>
      </c>
      <c r="E128" s="2" t="s">
        <v>15</v>
      </c>
      <c r="F128" s="2" t="s">
        <v>18</v>
      </c>
      <c r="G128" s="2">
        <v>2</v>
      </c>
      <c r="H128" s="2">
        <v>1271</v>
      </c>
      <c r="I128" s="10"/>
      <c r="J128" s="10">
        <f>Raw_Data!$I128/Raw_Data!$H128</f>
        <v>0</v>
      </c>
    </row>
    <row r="129" spans="1:10" x14ac:dyDescent="0.3">
      <c r="A129" s="8">
        <v>37552</v>
      </c>
      <c r="B129" t="str">
        <f>TEXT(Raw_Data!$A129, "MMM")</f>
        <v>Oct</v>
      </c>
      <c r="C129">
        <f>YEAR(Raw_Data!$A129)</f>
        <v>2002</v>
      </c>
      <c r="D129" t="s">
        <v>145</v>
      </c>
      <c r="E129" t="s">
        <v>23</v>
      </c>
      <c r="F129" t="s">
        <v>16</v>
      </c>
      <c r="G129">
        <v>3</v>
      </c>
      <c r="H129">
        <v>2993</v>
      </c>
      <c r="I129" s="1">
        <v>760657</v>
      </c>
      <c r="J129" s="1">
        <f>Raw_Data!$I129/Raw_Data!$H129</f>
        <v>254.14533912462412</v>
      </c>
    </row>
    <row r="130" spans="1:10" x14ac:dyDescent="0.3">
      <c r="A130" s="9">
        <v>39837</v>
      </c>
      <c r="B130" s="2" t="str">
        <f>TEXT(Raw_Data!$A130, "MMM")</f>
        <v>Jan</v>
      </c>
      <c r="C130" s="2">
        <f>YEAR(Raw_Data!$A130)</f>
        <v>2009</v>
      </c>
      <c r="D130" s="2" t="s">
        <v>146</v>
      </c>
      <c r="E130" s="2" t="s">
        <v>29</v>
      </c>
      <c r="F130" s="2" t="s">
        <v>27</v>
      </c>
      <c r="G130" s="2"/>
      <c r="H130" s="2">
        <v>1175</v>
      </c>
      <c r="I130" s="10">
        <v>698291</v>
      </c>
      <c r="J130" s="10">
        <f>Raw_Data!$I130/Raw_Data!$H130</f>
        <v>594.29021276595745</v>
      </c>
    </row>
    <row r="131" spans="1:10" x14ac:dyDescent="0.3">
      <c r="A131" s="8">
        <v>43770</v>
      </c>
      <c r="B131" t="str">
        <f>TEXT(Raw_Data!$A131, "MMM")</f>
        <v>Nov</v>
      </c>
      <c r="C131">
        <f>YEAR(Raw_Data!$A131)</f>
        <v>2019</v>
      </c>
      <c r="D131" t="s">
        <v>147</v>
      </c>
      <c r="E131" t="s">
        <v>23</v>
      </c>
      <c r="F131" t="s">
        <v>16</v>
      </c>
      <c r="H131">
        <v>1565</v>
      </c>
      <c r="I131" s="1">
        <v>505482</v>
      </c>
      <c r="J131" s="1">
        <f>Raw_Data!$I131/Raw_Data!$H131</f>
        <v>322.99169329073482</v>
      </c>
    </row>
    <row r="132" spans="1:10" x14ac:dyDescent="0.3">
      <c r="A132" s="9">
        <v>36984</v>
      </c>
      <c r="B132" s="2" t="str">
        <f>TEXT(Raw_Data!$A132, "MMM")</f>
        <v>Apr</v>
      </c>
      <c r="C132" s="2">
        <f>YEAR(Raw_Data!$A132)</f>
        <v>2001</v>
      </c>
      <c r="D132" s="2" t="s">
        <v>148</v>
      </c>
      <c r="E132" s="2" t="s">
        <v>15</v>
      </c>
      <c r="F132" s="2" t="s">
        <v>16</v>
      </c>
      <c r="G132" s="2">
        <v>2</v>
      </c>
      <c r="H132" s="2">
        <v>1730</v>
      </c>
      <c r="I132" s="10">
        <v>741345</v>
      </c>
      <c r="J132" s="10">
        <f>Raw_Data!$I132/Raw_Data!$H132</f>
        <v>428.52312138728325</v>
      </c>
    </row>
    <row r="133" spans="1:10" x14ac:dyDescent="0.3">
      <c r="A133" s="8">
        <v>43299</v>
      </c>
      <c r="B133" t="str">
        <f>TEXT(Raw_Data!$A133, "MMM")</f>
        <v>Jul</v>
      </c>
      <c r="C133">
        <f>YEAR(Raw_Data!$A133)</f>
        <v>2018</v>
      </c>
      <c r="D133" t="s">
        <v>149</v>
      </c>
      <c r="E133" t="s">
        <v>25</v>
      </c>
      <c r="F133" t="s">
        <v>16</v>
      </c>
      <c r="H133">
        <v>1206</v>
      </c>
      <c r="I133" s="1">
        <v>699985</v>
      </c>
      <c r="J133" s="1">
        <f>Raw_Data!$I133/Raw_Data!$H133</f>
        <v>580.41873963515752</v>
      </c>
    </row>
    <row r="134" spans="1:10" x14ac:dyDescent="0.3">
      <c r="A134" s="9">
        <v>38641</v>
      </c>
      <c r="B134" s="2" t="str">
        <f>TEXT(Raw_Data!$A134, "MMM")</f>
        <v>Oct</v>
      </c>
      <c r="C134" s="2">
        <f>YEAR(Raw_Data!$A134)</f>
        <v>2005</v>
      </c>
      <c r="D134" s="2" t="s">
        <v>150</v>
      </c>
      <c r="E134" s="2" t="s">
        <v>15</v>
      </c>
      <c r="F134" s="2" t="s">
        <v>11</v>
      </c>
      <c r="G134" s="2">
        <v>5</v>
      </c>
      <c r="H134" s="2">
        <v>2254</v>
      </c>
      <c r="I134" s="10">
        <v>899085</v>
      </c>
      <c r="J134" s="10">
        <f>Raw_Data!$I134/Raw_Data!$H134</f>
        <v>398.88420585625556</v>
      </c>
    </row>
    <row r="135" spans="1:10" x14ac:dyDescent="0.3">
      <c r="A135" s="8">
        <v>41622</v>
      </c>
      <c r="B135" t="str">
        <f>TEXT(Raw_Data!$A135, "MMM")</f>
        <v>Dec</v>
      </c>
      <c r="C135">
        <f>YEAR(Raw_Data!$A135)</f>
        <v>2013</v>
      </c>
      <c r="D135" t="s">
        <v>151</v>
      </c>
      <c r="E135" t="s">
        <v>25</v>
      </c>
      <c r="F135" t="s">
        <v>18</v>
      </c>
      <c r="G135">
        <v>3</v>
      </c>
      <c r="H135">
        <v>915</v>
      </c>
      <c r="I135" s="1">
        <v>570654</v>
      </c>
      <c r="J135" s="1">
        <f>Raw_Data!$I135/Raw_Data!$H135</f>
        <v>623.66557377049185</v>
      </c>
    </row>
    <row r="136" spans="1:10" x14ac:dyDescent="0.3">
      <c r="A136" s="9">
        <v>42602</v>
      </c>
      <c r="B136" s="2" t="str">
        <f>TEXT(Raw_Data!$A136, "MMM")</f>
        <v>Aug</v>
      </c>
      <c r="C136" s="2">
        <f>YEAR(Raw_Data!$A136)</f>
        <v>2016</v>
      </c>
      <c r="D136" s="2" t="s">
        <v>152</v>
      </c>
      <c r="E136" s="2" t="s">
        <v>15</v>
      </c>
      <c r="F136" s="2" t="s">
        <v>27</v>
      </c>
      <c r="G136" s="2"/>
      <c r="H136" s="2">
        <v>3014</v>
      </c>
      <c r="I136" s="10">
        <v>764598</v>
      </c>
      <c r="J136" s="10">
        <f>Raw_Data!$I136/Raw_Data!$H136</f>
        <v>253.6821499668215</v>
      </c>
    </row>
    <row r="137" spans="1:10" x14ac:dyDescent="0.3">
      <c r="A137" s="8">
        <v>39355</v>
      </c>
      <c r="B137" t="str">
        <f>TEXT(Raw_Data!$A137, "MMM")</f>
        <v>Sep</v>
      </c>
      <c r="C137">
        <f>YEAR(Raw_Data!$A137)</f>
        <v>2007</v>
      </c>
      <c r="D137" t="s">
        <v>153</v>
      </c>
      <c r="E137" t="s">
        <v>15</v>
      </c>
      <c r="F137" t="s">
        <v>16</v>
      </c>
      <c r="G137">
        <v>3</v>
      </c>
      <c r="H137">
        <v>1203</v>
      </c>
      <c r="I137" s="1">
        <v>850909</v>
      </c>
      <c r="J137" s="1">
        <f>Raw_Data!$I137/Raw_Data!$H137</f>
        <v>707.32252701579387</v>
      </c>
    </row>
    <row r="138" spans="1:10" x14ac:dyDescent="0.3">
      <c r="A138" s="9">
        <v>37066</v>
      </c>
      <c r="B138" s="2" t="str">
        <f>TEXT(Raw_Data!$A138, "MMM")</f>
        <v>Jun</v>
      </c>
      <c r="C138" s="2">
        <f>YEAR(Raw_Data!$A138)</f>
        <v>2001</v>
      </c>
      <c r="D138" s="2" t="s">
        <v>154</v>
      </c>
      <c r="E138" s="2" t="s">
        <v>13</v>
      </c>
      <c r="F138" s="2" t="s">
        <v>16</v>
      </c>
      <c r="G138" s="2">
        <v>2</v>
      </c>
      <c r="H138" s="2">
        <v>2132</v>
      </c>
      <c r="I138" s="10">
        <v>253128</v>
      </c>
      <c r="J138" s="10">
        <f>Raw_Data!$I138/Raw_Data!$H138</f>
        <v>118.72795497185741</v>
      </c>
    </row>
    <row r="139" spans="1:10" x14ac:dyDescent="0.3">
      <c r="A139" s="8">
        <v>38377</v>
      </c>
      <c r="B139" t="str">
        <f>TEXT(Raw_Data!$A139, "MMM")</f>
        <v>Jan</v>
      </c>
      <c r="C139">
        <f>YEAR(Raw_Data!$A139)</f>
        <v>2005</v>
      </c>
      <c r="D139" t="s">
        <v>155</v>
      </c>
      <c r="E139" t="s">
        <v>25</v>
      </c>
      <c r="F139" t="s">
        <v>27</v>
      </c>
      <c r="H139">
        <v>3139</v>
      </c>
      <c r="I139" s="1">
        <v>712451</v>
      </c>
      <c r="J139" s="1">
        <f>Raw_Data!$I139/Raw_Data!$H139</f>
        <v>226.96750557502389</v>
      </c>
    </row>
    <row r="140" spans="1:10" x14ac:dyDescent="0.3">
      <c r="A140" s="9">
        <v>41953</v>
      </c>
      <c r="B140" s="2" t="str">
        <f>TEXT(Raw_Data!$A140, "MMM")</f>
        <v>Nov</v>
      </c>
      <c r="C140" s="2">
        <f>YEAR(Raw_Data!$A140)</f>
        <v>2014</v>
      </c>
      <c r="D140" s="2" t="s">
        <v>156</v>
      </c>
      <c r="E140" s="2" t="s">
        <v>29</v>
      </c>
      <c r="F140" s="2" t="s">
        <v>11</v>
      </c>
      <c r="G140" s="2">
        <v>4</v>
      </c>
      <c r="H140" s="2">
        <v>909</v>
      </c>
      <c r="I140" s="10"/>
      <c r="J140" s="10">
        <f>Raw_Data!$I140/Raw_Data!$H140</f>
        <v>0</v>
      </c>
    </row>
    <row r="141" spans="1:10" x14ac:dyDescent="0.3">
      <c r="A141" s="8">
        <v>40247</v>
      </c>
      <c r="B141" t="str">
        <f>TEXT(Raw_Data!$A141, "MMM")</f>
        <v>Mar</v>
      </c>
      <c r="C141">
        <f>YEAR(Raw_Data!$A141)</f>
        <v>2010</v>
      </c>
      <c r="D141" t="s">
        <v>157</v>
      </c>
      <c r="E141" t="s">
        <v>25</v>
      </c>
      <c r="F141" t="s">
        <v>16</v>
      </c>
      <c r="G141">
        <v>2</v>
      </c>
      <c r="H141">
        <v>2376</v>
      </c>
      <c r="I141" s="1">
        <v>345988</v>
      </c>
      <c r="J141" s="1">
        <f>Raw_Data!$I141/Raw_Data!$H141</f>
        <v>145.61784511784512</v>
      </c>
    </row>
    <row r="142" spans="1:10" x14ac:dyDescent="0.3">
      <c r="A142" s="9">
        <v>43587</v>
      </c>
      <c r="B142" s="2" t="str">
        <f>TEXT(Raw_Data!$A142, "MMM")</f>
        <v>May</v>
      </c>
      <c r="C142" s="2">
        <f>YEAR(Raw_Data!$A142)</f>
        <v>2019</v>
      </c>
      <c r="D142" s="2" t="s">
        <v>158</v>
      </c>
      <c r="E142" s="2" t="s">
        <v>13</v>
      </c>
      <c r="F142" s="2" t="s">
        <v>16</v>
      </c>
      <c r="G142" s="2">
        <v>2</v>
      </c>
      <c r="H142" s="2">
        <v>1796</v>
      </c>
      <c r="I142" s="10">
        <v>555298</v>
      </c>
      <c r="J142" s="10">
        <f>Raw_Data!$I142/Raw_Data!$H142</f>
        <v>309.18596881959911</v>
      </c>
    </row>
    <row r="143" spans="1:10" x14ac:dyDescent="0.3">
      <c r="A143" s="8">
        <v>41789</v>
      </c>
      <c r="B143" t="str">
        <f>TEXT(Raw_Data!$A143, "MMM")</f>
        <v>May</v>
      </c>
      <c r="C143">
        <f>YEAR(Raw_Data!$A143)</f>
        <v>2014</v>
      </c>
      <c r="D143" t="s">
        <v>159</v>
      </c>
      <c r="E143" t="s">
        <v>21</v>
      </c>
      <c r="F143" t="s">
        <v>16</v>
      </c>
      <c r="G143">
        <v>4</v>
      </c>
      <c r="H143">
        <v>1022</v>
      </c>
      <c r="I143" s="1">
        <v>570316</v>
      </c>
      <c r="J143" s="1">
        <f>Raw_Data!$I143/Raw_Data!$H143</f>
        <v>558.03913894324853</v>
      </c>
    </row>
    <row r="144" spans="1:10" x14ac:dyDescent="0.3">
      <c r="A144" s="9">
        <v>40887</v>
      </c>
      <c r="B144" s="2" t="str">
        <f>TEXT(Raw_Data!$A144, "MMM")</f>
        <v>Dec</v>
      </c>
      <c r="C144" s="2">
        <f>YEAR(Raw_Data!$A144)</f>
        <v>2011</v>
      </c>
      <c r="D144" s="2" t="s">
        <v>160</v>
      </c>
      <c r="E144" s="2" t="s">
        <v>25</v>
      </c>
      <c r="F144" s="2" t="s">
        <v>18</v>
      </c>
      <c r="G144" s="2">
        <v>3</v>
      </c>
      <c r="H144" s="2">
        <v>3212</v>
      </c>
      <c r="I144" s="10">
        <v>876114</v>
      </c>
      <c r="J144" s="10">
        <f>Raw_Data!$I144/Raw_Data!$H144</f>
        <v>272.76276463262764</v>
      </c>
    </row>
    <row r="145" spans="1:10" x14ac:dyDescent="0.3">
      <c r="A145" s="8">
        <v>43197</v>
      </c>
      <c r="B145" t="str">
        <f>TEXT(Raw_Data!$A145, "MMM")</f>
        <v>Apr</v>
      </c>
      <c r="C145">
        <f>YEAR(Raw_Data!$A145)</f>
        <v>2018</v>
      </c>
      <c r="D145" t="s">
        <v>161</v>
      </c>
      <c r="E145" t="s">
        <v>25</v>
      </c>
      <c r="F145" t="s">
        <v>27</v>
      </c>
      <c r="G145">
        <v>3</v>
      </c>
      <c r="H145">
        <v>1758</v>
      </c>
      <c r="I145" s="1">
        <v>229548</v>
      </c>
      <c r="J145" s="1">
        <f>Raw_Data!$I145/Raw_Data!$H145</f>
        <v>130.57337883959045</v>
      </c>
    </row>
    <row r="146" spans="1:10" x14ac:dyDescent="0.3">
      <c r="A146" s="9">
        <v>42900</v>
      </c>
      <c r="B146" s="2" t="str">
        <f>TEXT(Raw_Data!$A146, "MMM")</f>
        <v>Jun</v>
      </c>
      <c r="C146" s="2">
        <f>YEAR(Raw_Data!$A146)</f>
        <v>2017</v>
      </c>
      <c r="D146" s="2" t="s">
        <v>162</v>
      </c>
      <c r="E146" s="2" t="s">
        <v>15</v>
      </c>
      <c r="F146" s="2" t="s">
        <v>18</v>
      </c>
      <c r="G146" s="2"/>
      <c r="H146" s="2">
        <v>3339</v>
      </c>
      <c r="I146" s="10">
        <v>136481</v>
      </c>
      <c r="J146" s="10">
        <f>Raw_Data!$I146/Raw_Data!$H146</f>
        <v>40.874812818209044</v>
      </c>
    </row>
    <row r="147" spans="1:10" x14ac:dyDescent="0.3">
      <c r="A147" s="8">
        <v>39263</v>
      </c>
      <c r="B147" t="str">
        <f>TEXT(Raw_Data!$A147, "MMM")</f>
        <v>Jun</v>
      </c>
      <c r="C147">
        <f>YEAR(Raw_Data!$A147)</f>
        <v>2007</v>
      </c>
      <c r="D147" t="s">
        <v>163</v>
      </c>
      <c r="E147" t="s">
        <v>21</v>
      </c>
      <c r="F147" t="s">
        <v>16</v>
      </c>
      <c r="H147">
        <v>2967</v>
      </c>
      <c r="I147" s="1">
        <v>619807</v>
      </c>
      <c r="J147" s="1">
        <f>Raw_Data!$I147/Raw_Data!$H147</f>
        <v>208.90023592854735</v>
      </c>
    </row>
    <row r="148" spans="1:10" x14ac:dyDescent="0.3">
      <c r="A148" s="9">
        <v>43722</v>
      </c>
      <c r="B148" s="2" t="str">
        <f>TEXT(Raw_Data!$A148, "MMM")</f>
        <v>Sep</v>
      </c>
      <c r="C148" s="2">
        <f>YEAR(Raw_Data!$A148)</f>
        <v>2019</v>
      </c>
      <c r="D148" s="2" t="s">
        <v>164</v>
      </c>
      <c r="E148" s="2" t="s">
        <v>32</v>
      </c>
      <c r="F148" s="2" t="s">
        <v>27</v>
      </c>
      <c r="G148" s="2"/>
      <c r="H148" s="2">
        <v>1156</v>
      </c>
      <c r="I148" s="10">
        <v>400076</v>
      </c>
      <c r="J148" s="10">
        <f>Raw_Data!$I148/Raw_Data!$H148</f>
        <v>346.08650519031141</v>
      </c>
    </row>
    <row r="149" spans="1:10" x14ac:dyDescent="0.3">
      <c r="A149" s="8">
        <v>40869</v>
      </c>
      <c r="B149" t="str">
        <f>TEXT(Raw_Data!$A149, "MMM")</f>
        <v>Nov</v>
      </c>
      <c r="C149">
        <f>YEAR(Raw_Data!$A149)</f>
        <v>2011</v>
      </c>
      <c r="D149" t="s">
        <v>165</v>
      </c>
      <c r="E149" t="s">
        <v>32</v>
      </c>
      <c r="F149" t="s">
        <v>27</v>
      </c>
      <c r="G149">
        <v>2</v>
      </c>
      <c r="H149">
        <v>972</v>
      </c>
      <c r="I149" s="1">
        <v>856353</v>
      </c>
      <c r="J149" s="1">
        <f>Raw_Data!$I149/Raw_Data!$H149</f>
        <v>881.02160493827159</v>
      </c>
    </row>
    <row r="150" spans="1:10" x14ac:dyDescent="0.3">
      <c r="A150" s="9">
        <v>43287</v>
      </c>
      <c r="B150" s="2" t="str">
        <f>TEXT(Raw_Data!$A150, "MMM")</f>
        <v>Jul</v>
      </c>
      <c r="C150" s="2">
        <f>YEAR(Raw_Data!$A150)</f>
        <v>2018</v>
      </c>
      <c r="D150" s="2" t="s">
        <v>166</v>
      </c>
      <c r="E150" s="2" t="s">
        <v>32</v>
      </c>
      <c r="F150" s="2" t="s">
        <v>18</v>
      </c>
      <c r="G150" s="2"/>
      <c r="H150" s="2">
        <v>2242</v>
      </c>
      <c r="I150" s="10">
        <v>334789</v>
      </c>
      <c r="J150" s="10">
        <f>Raw_Data!$I150/Raw_Data!$H150</f>
        <v>149.32604817127566</v>
      </c>
    </row>
    <row r="151" spans="1:10" x14ac:dyDescent="0.3">
      <c r="A151" s="8">
        <v>42621</v>
      </c>
      <c r="B151" t="str">
        <f>TEXT(Raw_Data!$A151, "MMM")</f>
        <v>Sep</v>
      </c>
      <c r="C151">
        <f>YEAR(Raw_Data!$A151)</f>
        <v>2016</v>
      </c>
      <c r="D151" t="s">
        <v>167</v>
      </c>
      <c r="E151" t="s">
        <v>25</v>
      </c>
      <c r="F151" t="s">
        <v>18</v>
      </c>
      <c r="H151">
        <v>3215</v>
      </c>
      <c r="I151" s="1">
        <v>559356</v>
      </c>
      <c r="J151" s="1">
        <f>Raw_Data!$I151/Raw_Data!$H151</f>
        <v>173.98320373250388</v>
      </c>
    </row>
    <row r="152" spans="1:10" x14ac:dyDescent="0.3">
      <c r="A152" s="9">
        <v>39863</v>
      </c>
      <c r="B152" s="2" t="str">
        <f>TEXT(Raw_Data!$A152, "MMM")</f>
        <v>Feb</v>
      </c>
      <c r="C152" s="2">
        <f>YEAR(Raw_Data!$A152)</f>
        <v>2009</v>
      </c>
      <c r="D152" s="2" t="s">
        <v>168</v>
      </c>
      <c r="E152" s="2" t="s">
        <v>25</v>
      </c>
      <c r="F152" s="2" t="s">
        <v>18</v>
      </c>
      <c r="G152" s="2">
        <v>3</v>
      </c>
      <c r="H152" s="2">
        <v>2285</v>
      </c>
      <c r="I152" s="10">
        <v>379006</v>
      </c>
      <c r="J152" s="10">
        <f>Raw_Data!$I152/Raw_Data!$H152</f>
        <v>165.86695842450766</v>
      </c>
    </row>
    <row r="153" spans="1:10" x14ac:dyDescent="0.3">
      <c r="A153" s="8">
        <v>43400</v>
      </c>
      <c r="B153" t="str">
        <f>TEXT(Raw_Data!$A153, "MMM")</f>
        <v>Oct</v>
      </c>
      <c r="C153">
        <f>YEAR(Raw_Data!$A153)</f>
        <v>2018</v>
      </c>
      <c r="D153" t="s">
        <v>169</v>
      </c>
      <c r="E153" t="s">
        <v>25</v>
      </c>
      <c r="F153" t="s">
        <v>11</v>
      </c>
      <c r="G153">
        <v>5</v>
      </c>
      <c r="H153">
        <v>3270</v>
      </c>
      <c r="I153" s="1">
        <v>175410</v>
      </c>
      <c r="J153" s="1">
        <f>Raw_Data!$I153/Raw_Data!$H153</f>
        <v>53.642201834862384</v>
      </c>
    </row>
    <row r="154" spans="1:10" x14ac:dyDescent="0.3">
      <c r="A154" s="9">
        <v>39403</v>
      </c>
      <c r="B154" s="2" t="str">
        <f>TEXT(Raw_Data!$A154, "MMM")</f>
        <v>Nov</v>
      </c>
      <c r="C154" s="2">
        <f>YEAR(Raw_Data!$A154)</f>
        <v>2007</v>
      </c>
      <c r="D154" s="2" t="s">
        <v>170</v>
      </c>
      <c r="E154" s="2" t="s">
        <v>21</v>
      </c>
      <c r="F154" s="2" t="s">
        <v>11</v>
      </c>
      <c r="G154" s="2">
        <v>4</v>
      </c>
      <c r="H154" s="2">
        <v>2306</v>
      </c>
      <c r="I154" s="10">
        <v>729621</v>
      </c>
      <c r="J154" s="10">
        <f>Raw_Data!$I154/Raw_Data!$H154</f>
        <v>316.40112749349521</v>
      </c>
    </row>
    <row r="155" spans="1:10" x14ac:dyDescent="0.3">
      <c r="A155" s="8">
        <v>43027</v>
      </c>
      <c r="B155" t="str">
        <f>TEXT(Raw_Data!$A155, "MMM")</f>
        <v>Oct</v>
      </c>
      <c r="C155">
        <f>YEAR(Raw_Data!$A155)</f>
        <v>2017</v>
      </c>
      <c r="D155" t="s">
        <v>171</v>
      </c>
      <c r="E155" t="s">
        <v>15</v>
      </c>
      <c r="F155" t="s">
        <v>27</v>
      </c>
      <c r="G155">
        <v>5</v>
      </c>
      <c r="H155">
        <v>2096</v>
      </c>
      <c r="I155" s="1">
        <v>540542</v>
      </c>
      <c r="J155" s="1">
        <f>Raw_Data!$I155/Raw_Data!$H155</f>
        <v>257.89217557251908</v>
      </c>
    </row>
    <row r="156" spans="1:10" x14ac:dyDescent="0.3">
      <c r="A156" s="9">
        <v>43139</v>
      </c>
      <c r="B156" s="2" t="str">
        <f>TEXT(Raw_Data!$A156, "MMM")</f>
        <v>Feb</v>
      </c>
      <c r="C156" s="2">
        <f>YEAR(Raw_Data!$A156)</f>
        <v>2018</v>
      </c>
      <c r="D156" s="2" t="s">
        <v>55</v>
      </c>
      <c r="E156" s="2" t="s">
        <v>32</v>
      </c>
      <c r="F156" s="2" t="s">
        <v>27</v>
      </c>
      <c r="G156" s="2">
        <v>2</v>
      </c>
      <c r="H156" s="2">
        <v>1766</v>
      </c>
      <c r="I156" s="10">
        <v>824982</v>
      </c>
      <c r="J156" s="10">
        <f>Raw_Data!$I156/Raw_Data!$H156</f>
        <v>467.1472253680634</v>
      </c>
    </row>
    <row r="157" spans="1:10" x14ac:dyDescent="0.3">
      <c r="A157" s="8">
        <v>38608</v>
      </c>
      <c r="B157" t="str">
        <f>TEXT(Raw_Data!$A157, "MMM")</f>
        <v>Sep</v>
      </c>
      <c r="C157">
        <f>YEAR(Raw_Data!$A157)</f>
        <v>2005</v>
      </c>
      <c r="D157" t="s">
        <v>172</v>
      </c>
      <c r="E157" t="s">
        <v>25</v>
      </c>
      <c r="F157" t="s">
        <v>18</v>
      </c>
      <c r="G157">
        <v>5</v>
      </c>
      <c r="H157">
        <v>2325</v>
      </c>
      <c r="I157" s="1">
        <v>775061</v>
      </c>
      <c r="J157" s="1">
        <f>Raw_Data!$I157/Raw_Data!$H157</f>
        <v>333.35956989247313</v>
      </c>
    </row>
    <row r="158" spans="1:10" x14ac:dyDescent="0.3">
      <c r="A158" s="9">
        <v>39827</v>
      </c>
      <c r="B158" s="2" t="str">
        <f>TEXT(Raw_Data!$A158, "MMM")</f>
        <v>Jan</v>
      </c>
      <c r="C158" s="2">
        <f>YEAR(Raw_Data!$A158)</f>
        <v>2009</v>
      </c>
      <c r="D158" s="2" t="s">
        <v>173</v>
      </c>
      <c r="E158" s="2" t="s">
        <v>32</v>
      </c>
      <c r="F158" s="2" t="s">
        <v>27</v>
      </c>
      <c r="G158" s="2">
        <v>2</v>
      </c>
      <c r="H158" s="2">
        <v>874</v>
      </c>
      <c r="I158" s="10">
        <v>770467</v>
      </c>
      <c r="J158" s="10">
        <f>Raw_Data!$I158/Raw_Data!$H158</f>
        <v>881.54118993135012</v>
      </c>
    </row>
    <row r="159" spans="1:10" x14ac:dyDescent="0.3">
      <c r="A159" s="8">
        <v>43767</v>
      </c>
      <c r="B159" t="str">
        <f>TEXT(Raw_Data!$A159, "MMM")</f>
        <v>Oct</v>
      </c>
      <c r="C159">
        <f>YEAR(Raw_Data!$A159)</f>
        <v>2019</v>
      </c>
      <c r="D159" t="s">
        <v>174</v>
      </c>
      <c r="E159" t="s">
        <v>15</v>
      </c>
      <c r="F159" t="s">
        <v>11</v>
      </c>
      <c r="G159">
        <v>5</v>
      </c>
      <c r="H159">
        <v>2267</v>
      </c>
      <c r="I159" s="1">
        <v>135617</v>
      </c>
      <c r="J159" s="1">
        <f>Raw_Data!$I159/Raw_Data!$H159</f>
        <v>59.822232024702252</v>
      </c>
    </row>
    <row r="160" spans="1:10" x14ac:dyDescent="0.3">
      <c r="A160" s="9">
        <v>44115</v>
      </c>
      <c r="B160" s="2" t="str">
        <f>TEXT(Raw_Data!$A160, "MMM")</f>
        <v>Oct</v>
      </c>
      <c r="C160" s="2">
        <f>YEAR(Raw_Data!$A160)</f>
        <v>2020</v>
      </c>
      <c r="D160" s="2" t="s">
        <v>175</v>
      </c>
      <c r="E160" s="2" t="s">
        <v>29</v>
      </c>
      <c r="F160" s="2" t="s">
        <v>18</v>
      </c>
      <c r="G160" s="2"/>
      <c r="H160" s="2">
        <v>2419</v>
      </c>
      <c r="I160" s="10">
        <v>362996</v>
      </c>
      <c r="J160" s="10">
        <f>Raw_Data!$I160/Raw_Data!$H160</f>
        <v>150.06035551880942</v>
      </c>
    </row>
    <row r="161" spans="1:10" x14ac:dyDescent="0.3">
      <c r="A161" s="8">
        <v>36978</v>
      </c>
      <c r="B161" t="str">
        <f>TEXT(Raw_Data!$A161, "MMM")</f>
        <v>Mar</v>
      </c>
      <c r="C161">
        <f>YEAR(Raw_Data!$A161)</f>
        <v>2001</v>
      </c>
      <c r="D161" t="s">
        <v>176</v>
      </c>
      <c r="E161" t="s">
        <v>13</v>
      </c>
      <c r="F161" t="s">
        <v>18</v>
      </c>
      <c r="G161">
        <v>5</v>
      </c>
      <c r="H161">
        <v>2121</v>
      </c>
      <c r="I161" s="1">
        <v>827918</v>
      </c>
      <c r="J161" s="1">
        <f>Raw_Data!$I161/Raw_Data!$H161</f>
        <v>390.34323432343234</v>
      </c>
    </row>
    <row r="162" spans="1:10" x14ac:dyDescent="0.3">
      <c r="A162" s="9">
        <v>38676</v>
      </c>
      <c r="B162" s="2" t="str">
        <f>TEXT(Raw_Data!$A162, "MMM")</f>
        <v>Nov</v>
      </c>
      <c r="C162" s="2">
        <f>YEAR(Raw_Data!$A162)</f>
        <v>2005</v>
      </c>
      <c r="D162" s="2" t="s">
        <v>177</v>
      </c>
      <c r="E162" s="2" t="s">
        <v>15</v>
      </c>
      <c r="F162" s="2" t="s">
        <v>16</v>
      </c>
      <c r="G162" s="2">
        <v>5</v>
      </c>
      <c r="H162" s="2">
        <v>3478</v>
      </c>
      <c r="I162" s="10">
        <v>185791</v>
      </c>
      <c r="J162" s="10">
        <f>Raw_Data!$I162/Raw_Data!$H162</f>
        <v>53.418918918918919</v>
      </c>
    </row>
    <row r="163" spans="1:10" x14ac:dyDescent="0.3">
      <c r="A163" s="8">
        <v>40187</v>
      </c>
      <c r="B163" t="str">
        <f>TEXT(Raw_Data!$A163, "MMM")</f>
        <v>Jan</v>
      </c>
      <c r="C163">
        <f>YEAR(Raw_Data!$A163)</f>
        <v>2010</v>
      </c>
      <c r="D163" t="s">
        <v>178</v>
      </c>
      <c r="E163" t="s">
        <v>32</v>
      </c>
      <c r="F163" t="s">
        <v>18</v>
      </c>
      <c r="G163">
        <v>4</v>
      </c>
      <c r="H163">
        <v>2788</v>
      </c>
      <c r="I163" s="1">
        <v>524417</v>
      </c>
      <c r="J163" s="1">
        <f>Raw_Data!$I163/Raw_Data!$H163</f>
        <v>188.09791965566714</v>
      </c>
    </row>
    <row r="164" spans="1:10" x14ac:dyDescent="0.3">
      <c r="A164" s="9">
        <v>40997</v>
      </c>
      <c r="B164" s="2" t="str">
        <f>TEXT(Raw_Data!$A164, "MMM")</f>
        <v>Mar</v>
      </c>
      <c r="C164" s="2">
        <f>YEAR(Raw_Data!$A164)</f>
        <v>2012</v>
      </c>
      <c r="D164" s="2" t="s">
        <v>179</v>
      </c>
      <c r="E164" s="2" t="s">
        <v>21</v>
      </c>
      <c r="F164" s="2" t="s">
        <v>18</v>
      </c>
      <c r="G164" s="2">
        <v>4</v>
      </c>
      <c r="H164" s="2">
        <v>3110</v>
      </c>
      <c r="I164" s="10">
        <v>195432</v>
      </c>
      <c r="J164" s="10">
        <f>Raw_Data!$I164/Raw_Data!$H164</f>
        <v>62.839871382636659</v>
      </c>
    </row>
    <row r="165" spans="1:10" x14ac:dyDescent="0.3">
      <c r="A165" s="8">
        <v>41429</v>
      </c>
      <c r="B165" t="str">
        <f>TEXT(Raw_Data!$A165, "MMM")</f>
        <v>Jun</v>
      </c>
      <c r="C165">
        <f>YEAR(Raw_Data!$A165)</f>
        <v>2013</v>
      </c>
      <c r="D165" t="s">
        <v>180</v>
      </c>
      <c r="E165" t="s">
        <v>29</v>
      </c>
      <c r="F165" t="s">
        <v>16</v>
      </c>
      <c r="G165">
        <v>3</v>
      </c>
      <c r="H165">
        <v>3181</v>
      </c>
      <c r="I165" s="1">
        <v>867391</v>
      </c>
      <c r="J165" s="1">
        <f>Raw_Data!$I165/Raw_Data!$H165</f>
        <v>272.6787173844703</v>
      </c>
    </row>
    <row r="166" spans="1:10" x14ac:dyDescent="0.3">
      <c r="A166" s="9">
        <v>39529</v>
      </c>
      <c r="B166" s="2" t="str">
        <f>TEXT(Raw_Data!$A166, "MMM")</f>
        <v>Mar</v>
      </c>
      <c r="C166" s="2">
        <f>YEAR(Raw_Data!$A166)</f>
        <v>2008</v>
      </c>
      <c r="D166" s="2" t="s">
        <v>181</v>
      </c>
      <c r="E166" s="2" t="s">
        <v>29</v>
      </c>
      <c r="F166" s="2" t="s">
        <v>16</v>
      </c>
      <c r="G166" s="2"/>
      <c r="H166" s="2">
        <v>2735</v>
      </c>
      <c r="I166" s="10">
        <v>673009</v>
      </c>
      <c r="J166" s="10">
        <f>Raw_Data!$I166/Raw_Data!$H166</f>
        <v>246.07276051188299</v>
      </c>
    </row>
    <row r="167" spans="1:10" x14ac:dyDescent="0.3">
      <c r="A167" s="8">
        <v>37787</v>
      </c>
      <c r="B167" t="str">
        <f>TEXT(Raw_Data!$A167, "MMM")</f>
        <v>Jun</v>
      </c>
      <c r="C167">
        <f>YEAR(Raw_Data!$A167)</f>
        <v>2003</v>
      </c>
      <c r="D167" t="s">
        <v>182</v>
      </c>
      <c r="E167" t="s">
        <v>23</v>
      </c>
      <c r="F167" t="s">
        <v>11</v>
      </c>
      <c r="G167">
        <v>5</v>
      </c>
      <c r="H167">
        <v>3280</v>
      </c>
      <c r="I167" s="1">
        <v>611675</v>
      </c>
      <c r="J167" s="1">
        <f>Raw_Data!$I167/Raw_Data!$H167</f>
        <v>186.48628048780489</v>
      </c>
    </row>
    <row r="168" spans="1:10" x14ac:dyDescent="0.3">
      <c r="A168" s="9">
        <v>41958</v>
      </c>
      <c r="B168" s="2" t="str">
        <f>TEXT(Raw_Data!$A168, "MMM")</f>
        <v>Nov</v>
      </c>
      <c r="C168" s="2">
        <f>YEAR(Raw_Data!$A168)</f>
        <v>2014</v>
      </c>
      <c r="D168" s="2" t="s">
        <v>183</v>
      </c>
      <c r="E168" s="2" t="s">
        <v>23</v>
      </c>
      <c r="F168" s="2" t="s">
        <v>11</v>
      </c>
      <c r="G168" s="2">
        <v>3</v>
      </c>
      <c r="H168" s="2">
        <v>961</v>
      </c>
      <c r="I168" s="10">
        <v>676613</v>
      </c>
      <c r="J168" s="10">
        <f>Raw_Data!$I168/Raw_Data!$H168</f>
        <v>704.07180020811654</v>
      </c>
    </row>
    <row r="169" spans="1:10" x14ac:dyDescent="0.3">
      <c r="A169" s="8">
        <v>38236</v>
      </c>
      <c r="B169" t="str">
        <f>TEXT(Raw_Data!$A169, "MMM")</f>
        <v>Sep</v>
      </c>
      <c r="C169">
        <f>YEAR(Raw_Data!$A169)</f>
        <v>2004</v>
      </c>
      <c r="D169" t="s">
        <v>184</v>
      </c>
      <c r="E169" t="s">
        <v>23</v>
      </c>
      <c r="F169" t="s">
        <v>16</v>
      </c>
      <c r="G169">
        <v>2</v>
      </c>
      <c r="H169">
        <v>3152</v>
      </c>
      <c r="I169" s="1">
        <v>534700</v>
      </c>
      <c r="J169" s="1">
        <f>Raw_Data!$I169/Raw_Data!$H169</f>
        <v>169.63832487309645</v>
      </c>
    </row>
    <row r="170" spans="1:10" x14ac:dyDescent="0.3">
      <c r="A170" s="9">
        <v>37568</v>
      </c>
      <c r="B170" s="2" t="str">
        <f>TEXT(Raw_Data!$A170, "MMM")</f>
        <v>Nov</v>
      </c>
      <c r="C170" s="2">
        <f>YEAR(Raw_Data!$A170)</f>
        <v>2002</v>
      </c>
      <c r="D170" s="2" t="s">
        <v>185</v>
      </c>
      <c r="E170" s="2" t="s">
        <v>13</v>
      </c>
      <c r="F170" s="2" t="s">
        <v>16</v>
      </c>
      <c r="G170" s="2">
        <v>3</v>
      </c>
      <c r="H170" s="2">
        <v>972</v>
      </c>
      <c r="I170" s="10">
        <v>179505</v>
      </c>
      <c r="J170" s="10">
        <f>Raw_Data!$I170/Raw_Data!$H170</f>
        <v>184.67592592592592</v>
      </c>
    </row>
    <row r="171" spans="1:10" x14ac:dyDescent="0.3">
      <c r="A171" s="8">
        <v>38022</v>
      </c>
      <c r="B171" t="str">
        <f>TEXT(Raw_Data!$A171, "MMM")</f>
        <v>Feb</v>
      </c>
      <c r="C171">
        <f>YEAR(Raw_Data!$A171)</f>
        <v>2004</v>
      </c>
      <c r="D171" t="s">
        <v>186</v>
      </c>
      <c r="E171" t="s">
        <v>23</v>
      </c>
      <c r="F171" t="s">
        <v>16</v>
      </c>
      <c r="H171">
        <v>1610</v>
      </c>
      <c r="I171" s="1">
        <v>318832</v>
      </c>
      <c r="J171" s="1">
        <f>Raw_Data!$I171/Raw_Data!$H171</f>
        <v>198.03229813664595</v>
      </c>
    </row>
    <row r="172" spans="1:10" x14ac:dyDescent="0.3">
      <c r="A172" s="9">
        <v>37678</v>
      </c>
      <c r="B172" s="2" t="str">
        <f>TEXT(Raw_Data!$A172, "MMM")</f>
        <v>Feb</v>
      </c>
      <c r="C172" s="2">
        <f>YEAR(Raw_Data!$A172)</f>
        <v>2003</v>
      </c>
      <c r="D172" s="2" t="s">
        <v>187</v>
      </c>
      <c r="E172" s="2" t="s">
        <v>25</v>
      </c>
      <c r="F172" s="2" t="s">
        <v>11</v>
      </c>
      <c r="G172" s="2">
        <v>4</v>
      </c>
      <c r="H172" s="2">
        <v>3337</v>
      </c>
      <c r="I172" s="10">
        <v>522006</v>
      </c>
      <c r="J172" s="10">
        <f>Raw_Data!$I172/Raw_Data!$H172</f>
        <v>156.42972729997004</v>
      </c>
    </row>
    <row r="173" spans="1:10" x14ac:dyDescent="0.3">
      <c r="A173" s="8">
        <v>43791</v>
      </c>
      <c r="B173" t="str">
        <f>TEXT(Raw_Data!$A173, "MMM")</f>
        <v>Nov</v>
      </c>
      <c r="C173">
        <f>YEAR(Raw_Data!$A173)</f>
        <v>2019</v>
      </c>
      <c r="D173" t="s">
        <v>188</v>
      </c>
      <c r="E173" t="s">
        <v>15</v>
      </c>
      <c r="F173" t="s">
        <v>18</v>
      </c>
      <c r="G173">
        <v>2</v>
      </c>
      <c r="H173">
        <v>2849</v>
      </c>
      <c r="I173" s="1">
        <v>769603</v>
      </c>
      <c r="J173" s="1">
        <f>Raw_Data!$I173/Raw_Data!$H173</f>
        <v>270.13092313092312</v>
      </c>
    </row>
    <row r="174" spans="1:10" x14ac:dyDescent="0.3">
      <c r="A174" s="9">
        <v>36969</v>
      </c>
      <c r="B174" s="2" t="str">
        <f>TEXT(Raw_Data!$A174, "MMM")</f>
        <v>Mar</v>
      </c>
      <c r="C174" s="2">
        <f>YEAR(Raw_Data!$A174)</f>
        <v>2001</v>
      </c>
      <c r="D174" s="2" t="s">
        <v>189</v>
      </c>
      <c r="E174" s="2" t="s">
        <v>21</v>
      </c>
      <c r="F174" s="2" t="s">
        <v>16</v>
      </c>
      <c r="G174" s="2">
        <v>3</v>
      </c>
      <c r="H174" s="2">
        <v>1653</v>
      </c>
      <c r="I174" s="10">
        <v>291726</v>
      </c>
      <c r="J174" s="10">
        <f>Raw_Data!$I174/Raw_Data!$H174</f>
        <v>176.48275862068965</v>
      </c>
    </row>
    <row r="175" spans="1:10" x14ac:dyDescent="0.3">
      <c r="A175" s="8">
        <v>37386</v>
      </c>
      <c r="B175" t="str">
        <f>TEXT(Raw_Data!$A175, "MMM")</f>
        <v>May</v>
      </c>
      <c r="C175">
        <f>YEAR(Raw_Data!$A175)</f>
        <v>2002</v>
      </c>
      <c r="D175" t="s">
        <v>190</v>
      </c>
      <c r="E175" t="s">
        <v>29</v>
      </c>
      <c r="F175" t="s">
        <v>27</v>
      </c>
      <c r="G175">
        <v>5</v>
      </c>
      <c r="H175">
        <v>1761</v>
      </c>
      <c r="I175" s="1">
        <v>369338</v>
      </c>
      <c r="J175" s="1">
        <f>Raw_Data!$I175/Raw_Data!$H175</f>
        <v>209.73197047132311</v>
      </c>
    </row>
    <row r="176" spans="1:10" x14ac:dyDescent="0.3">
      <c r="A176" s="9">
        <v>41165</v>
      </c>
      <c r="B176" s="2" t="str">
        <f>TEXT(Raw_Data!$A176, "MMM")</f>
        <v>Sep</v>
      </c>
      <c r="C176" s="2">
        <f>YEAR(Raw_Data!$A176)</f>
        <v>2012</v>
      </c>
      <c r="D176" s="2" t="s">
        <v>191</v>
      </c>
      <c r="E176" s="2" t="s">
        <v>13</v>
      </c>
      <c r="F176" s="2" t="s">
        <v>27</v>
      </c>
      <c r="G176" s="2">
        <v>3</v>
      </c>
      <c r="H176" s="2">
        <v>817</v>
      </c>
      <c r="I176" s="10">
        <v>251381</v>
      </c>
      <c r="J176" s="10">
        <f>Raw_Data!$I176/Raw_Data!$H176</f>
        <v>307.68788249694001</v>
      </c>
    </row>
    <row r="177" spans="1:10" x14ac:dyDescent="0.3">
      <c r="A177" s="8">
        <v>37190</v>
      </c>
      <c r="B177" t="str">
        <f>TEXT(Raw_Data!$A177, "MMM")</f>
        <v>Oct</v>
      </c>
      <c r="C177">
        <f>YEAR(Raw_Data!$A177)</f>
        <v>2001</v>
      </c>
      <c r="D177" t="s">
        <v>192</v>
      </c>
      <c r="E177" t="s">
        <v>15</v>
      </c>
      <c r="F177" t="s">
        <v>11</v>
      </c>
      <c r="G177">
        <v>4</v>
      </c>
      <c r="H177">
        <v>2871</v>
      </c>
      <c r="I177" s="1">
        <v>385901</v>
      </c>
      <c r="J177" s="1">
        <f>Raw_Data!$I177/Raw_Data!$H177</f>
        <v>134.41344479275514</v>
      </c>
    </row>
    <row r="178" spans="1:10" x14ac:dyDescent="0.3">
      <c r="A178" s="9">
        <v>42812</v>
      </c>
      <c r="B178" s="2" t="str">
        <f>TEXT(Raw_Data!$A178, "MMM")</f>
        <v>Mar</v>
      </c>
      <c r="C178" s="2">
        <f>YEAR(Raw_Data!$A178)</f>
        <v>2017</v>
      </c>
      <c r="D178" s="2" t="s">
        <v>193</v>
      </c>
      <c r="E178" s="2" t="s">
        <v>25</v>
      </c>
      <c r="F178" s="2" t="s">
        <v>16</v>
      </c>
      <c r="G178" s="2">
        <v>2</v>
      </c>
      <c r="H178" s="2">
        <v>2777</v>
      </c>
      <c r="I178" s="10">
        <v>772949</v>
      </c>
      <c r="J178" s="10">
        <f>Raw_Data!$I178/Raw_Data!$H178</f>
        <v>278.3395750810227</v>
      </c>
    </row>
    <row r="179" spans="1:10" x14ac:dyDescent="0.3">
      <c r="A179" s="8">
        <v>43234</v>
      </c>
      <c r="B179" t="str">
        <f>TEXT(Raw_Data!$A179, "MMM")</f>
        <v>May</v>
      </c>
      <c r="C179">
        <f>YEAR(Raw_Data!$A179)</f>
        <v>2018</v>
      </c>
      <c r="D179" t="s">
        <v>194</v>
      </c>
      <c r="E179" t="s">
        <v>25</v>
      </c>
      <c r="F179" t="s">
        <v>27</v>
      </c>
      <c r="G179">
        <v>5</v>
      </c>
      <c r="H179">
        <v>1410</v>
      </c>
      <c r="I179" s="1">
        <v>500094</v>
      </c>
      <c r="J179" s="1">
        <f>Raw_Data!$I179/Raw_Data!$H179</f>
        <v>354.67659574468087</v>
      </c>
    </row>
    <row r="180" spans="1:10" x14ac:dyDescent="0.3">
      <c r="A180" s="9">
        <v>44116</v>
      </c>
      <c r="B180" s="2" t="str">
        <f>TEXT(Raw_Data!$A180, "MMM")</f>
        <v>Oct</v>
      </c>
      <c r="C180" s="2">
        <f>YEAR(Raw_Data!$A180)</f>
        <v>2020</v>
      </c>
      <c r="D180" s="2" t="s">
        <v>195</v>
      </c>
      <c r="E180" s="2" t="s">
        <v>32</v>
      </c>
      <c r="F180" s="2" t="s">
        <v>18</v>
      </c>
      <c r="G180" s="2">
        <v>4</v>
      </c>
      <c r="H180" s="2">
        <v>3494</v>
      </c>
      <c r="I180" s="10">
        <v>621080</v>
      </c>
      <c r="J180" s="10">
        <f>Raw_Data!$I180/Raw_Data!$H180</f>
        <v>177.75615340583857</v>
      </c>
    </row>
    <row r="181" spans="1:10" x14ac:dyDescent="0.3">
      <c r="A181" s="8">
        <v>42157</v>
      </c>
      <c r="B181" t="str">
        <f>TEXT(Raw_Data!$A181, "MMM")</f>
        <v>Jun</v>
      </c>
      <c r="C181">
        <f>YEAR(Raw_Data!$A181)</f>
        <v>2015</v>
      </c>
      <c r="D181" t="s">
        <v>196</v>
      </c>
      <c r="E181" t="s">
        <v>32</v>
      </c>
      <c r="F181" t="s">
        <v>11</v>
      </c>
      <c r="H181">
        <v>2257</v>
      </c>
      <c r="I181" s="1">
        <v>453423</v>
      </c>
      <c r="J181" s="1">
        <f>Raw_Data!$I181/Raw_Data!$H181</f>
        <v>200.89632255206027</v>
      </c>
    </row>
    <row r="182" spans="1:10" x14ac:dyDescent="0.3">
      <c r="A182" s="9">
        <v>36938</v>
      </c>
      <c r="B182" s="2" t="str">
        <f>TEXT(Raw_Data!$A182, "MMM")</f>
        <v>Feb</v>
      </c>
      <c r="C182" s="2">
        <f>YEAR(Raw_Data!$A182)</f>
        <v>2001</v>
      </c>
      <c r="D182" s="2" t="s">
        <v>197</v>
      </c>
      <c r="E182" s="2" t="s">
        <v>23</v>
      </c>
      <c r="F182" s="2" t="s">
        <v>16</v>
      </c>
      <c r="G182" s="2"/>
      <c r="H182" s="2">
        <v>3475</v>
      </c>
      <c r="I182" s="10">
        <v>744492</v>
      </c>
      <c r="J182" s="10">
        <f>Raw_Data!$I182/Raw_Data!$H182</f>
        <v>214.24230215827339</v>
      </c>
    </row>
    <row r="183" spans="1:10" x14ac:dyDescent="0.3">
      <c r="A183" s="8">
        <v>41161</v>
      </c>
      <c r="B183" t="str">
        <f>TEXT(Raw_Data!$A183, "MMM")</f>
        <v>Sep</v>
      </c>
      <c r="C183">
        <f>YEAR(Raw_Data!$A183)</f>
        <v>2012</v>
      </c>
      <c r="D183" t="s">
        <v>198</v>
      </c>
      <c r="E183" t="s">
        <v>29</v>
      </c>
      <c r="F183" t="s">
        <v>11</v>
      </c>
      <c r="G183">
        <v>4</v>
      </c>
      <c r="H183">
        <v>2698</v>
      </c>
      <c r="I183" s="1">
        <v>143534</v>
      </c>
      <c r="J183" s="1">
        <f>Raw_Data!$I183/Raw_Data!$H183</f>
        <v>53.200148257968863</v>
      </c>
    </row>
    <row r="184" spans="1:10" x14ac:dyDescent="0.3">
      <c r="A184" s="9">
        <v>40432</v>
      </c>
      <c r="B184" s="2" t="str">
        <f>TEXT(Raw_Data!$A184, "MMM")</f>
        <v>Sep</v>
      </c>
      <c r="C184" s="2">
        <f>YEAR(Raw_Data!$A184)</f>
        <v>2010</v>
      </c>
      <c r="D184" s="2" t="s">
        <v>199</v>
      </c>
      <c r="E184" s="2" t="s">
        <v>23</v>
      </c>
      <c r="F184" s="2" t="s">
        <v>18</v>
      </c>
      <c r="G184" s="2">
        <v>4</v>
      </c>
      <c r="H184" s="2">
        <v>1240</v>
      </c>
      <c r="I184" s="10">
        <v>830515</v>
      </c>
      <c r="J184" s="10">
        <f>Raw_Data!$I184/Raw_Data!$H184</f>
        <v>669.77016129032256</v>
      </c>
    </row>
    <row r="185" spans="1:10" x14ac:dyDescent="0.3">
      <c r="A185" s="8">
        <v>41937</v>
      </c>
      <c r="B185" t="str">
        <f>TEXT(Raw_Data!$A185, "MMM")</f>
        <v>Oct</v>
      </c>
      <c r="C185">
        <f>YEAR(Raw_Data!$A185)</f>
        <v>2014</v>
      </c>
      <c r="D185" t="s">
        <v>200</v>
      </c>
      <c r="E185" t="s">
        <v>25</v>
      </c>
      <c r="F185" t="s">
        <v>18</v>
      </c>
      <c r="H185">
        <v>1421</v>
      </c>
      <c r="I185" s="1">
        <v>247035</v>
      </c>
      <c r="J185" s="1">
        <f>Raw_Data!$I185/Raw_Data!$H185</f>
        <v>173.84588318085855</v>
      </c>
    </row>
    <row r="186" spans="1:10" x14ac:dyDescent="0.3">
      <c r="A186" s="9">
        <v>41883</v>
      </c>
      <c r="B186" s="2" t="str">
        <f>TEXT(Raw_Data!$A186, "MMM")</f>
        <v>Sep</v>
      </c>
      <c r="C186" s="2">
        <f>YEAR(Raw_Data!$A186)</f>
        <v>2014</v>
      </c>
      <c r="D186" s="2" t="s">
        <v>201</v>
      </c>
      <c r="E186" s="2" t="s">
        <v>25</v>
      </c>
      <c r="F186" s="2" t="s">
        <v>16</v>
      </c>
      <c r="G186" s="2">
        <v>3</v>
      </c>
      <c r="H186" s="2">
        <v>3328</v>
      </c>
      <c r="I186" s="10">
        <v>612557</v>
      </c>
      <c r="J186" s="10">
        <f>Raw_Data!$I186/Raw_Data!$H186</f>
        <v>184.06159855769232</v>
      </c>
    </row>
    <row r="187" spans="1:10" x14ac:dyDescent="0.3">
      <c r="A187" s="8">
        <v>39365</v>
      </c>
      <c r="B187" t="str">
        <f>TEXT(Raw_Data!$A187, "MMM")</f>
        <v>Oct</v>
      </c>
      <c r="C187">
        <f>YEAR(Raw_Data!$A187)</f>
        <v>2007</v>
      </c>
      <c r="D187" t="s">
        <v>202</v>
      </c>
      <c r="E187" t="s">
        <v>32</v>
      </c>
      <c r="F187" t="s">
        <v>11</v>
      </c>
      <c r="G187">
        <v>4</v>
      </c>
      <c r="H187">
        <v>3475</v>
      </c>
      <c r="I187" s="1">
        <v>254867</v>
      </c>
      <c r="J187" s="1">
        <f>Raw_Data!$I187/Raw_Data!$H187</f>
        <v>73.343021582733812</v>
      </c>
    </row>
    <row r="188" spans="1:10" x14ac:dyDescent="0.3">
      <c r="A188" s="9">
        <v>37774</v>
      </c>
      <c r="B188" s="2" t="str">
        <f>TEXT(Raw_Data!$A188, "MMM")</f>
        <v>Jun</v>
      </c>
      <c r="C188" s="2">
        <f>YEAR(Raw_Data!$A188)</f>
        <v>2003</v>
      </c>
      <c r="D188" s="2" t="s">
        <v>203</v>
      </c>
      <c r="E188" s="2" t="s">
        <v>25</v>
      </c>
      <c r="F188" s="2" t="s">
        <v>16</v>
      </c>
      <c r="G188" s="2">
        <v>4</v>
      </c>
      <c r="H188" s="2">
        <v>3039</v>
      </c>
      <c r="I188" s="10">
        <v>531812</v>
      </c>
      <c r="J188" s="10">
        <f>Raw_Data!$I188/Raw_Data!$H188</f>
        <v>174.99572227706483</v>
      </c>
    </row>
    <row r="189" spans="1:10" x14ac:dyDescent="0.3">
      <c r="A189" s="8">
        <v>43381</v>
      </c>
      <c r="B189" t="str">
        <f>TEXT(Raw_Data!$A189, "MMM")</f>
        <v>Oct</v>
      </c>
      <c r="C189">
        <f>YEAR(Raw_Data!$A189)</f>
        <v>2018</v>
      </c>
      <c r="D189" t="s">
        <v>204</v>
      </c>
      <c r="E189" t="s">
        <v>15</v>
      </c>
      <c r="F189" t="s">
        <v>16</v>
      </c>
      <c r="G189">
        <v>3</v>
      </c>
      <c r="H189">
        <v>1757</v>
      </c>
      <c r="I189" s="1">
        <v>112706</v>
      </c>
      <c r="J189" s="1">
        <f>Raw_Data!$I189/Raw_Data!$H189</f>
        <v>64.146841206602161</v>
      </c>
    </row>
    <row r="190" spans="1:10" x14ac:dyDescent="0.3">
      <c r="A190" s="9">
        <v>39616</v>
      </c>
      <c r="B190" s="2" t="str">
        <f>TEXT(Raw_Data!$A190, "MMM")</f>
        <v>Jun</v>
      </c>
      <c r="C190" s="2">
        <f>YEAR(Raw_Data!$A190)</f>
        <v>2008</v>
      </c>
      <c r="D190" s="2" t="s">
        <v>205</v>
      </c>
      <c r="E190" s="2" t="s">
        <v>32</v>
      </c>
      <c r="F190" s="2" t="s">
        <v>16</v>
      </c>
      <c r="G190" s="2">
        <v>5</v>
      </c>
      <c r="H190" s="2">
        <v>1677</v>
      </c>
      <c r="I190" s="10">
        <v>663775</v>
      </c>
      <c r="J190" s="10">
        <f>Raw_Data!$I190/Raw_Data!$H190</f>
        <v>395.81097197376266</v>
      </c>
    </row>
    <row r="191" spans="1:10" x14ac:dyDescent="0.3">
      <c r="A191" s="8">
        <v>39479</v>
      </c>
      <c r="B191" t="str">
        <f>TEXT(Raw_Data!$A191, "MMM")</f>
        <v>Feb</v>
      </c>
      <c r="C191">
        <f>YEAR(Raw_Data!$A191)</f>
        <v>2008</v>
      </c>
      <c r="D191" t="s">
        <v>206</v>
      </c>
      <c r="E191" t="s">
        <v>32</v>
      </c>
      <c r="F191" t="s">
        <v>11</v>
      </c>
      <c r="G191">
        <v>2</v>
      </c>
      <c r="H191">
        <v>819</v>
      </c>
      <c r="I191" s="1">
        <v>261146</v>
      </c>
      <c r="J191" s="1">
        <f>Raw_Data!$I191/Raw_Data!$H191</f>
        <v>318.85958485958486</v>
      </c>
    </row>
    <row r="192" spans="1:10" x14ac:dyDescent="0.3">
      <c r="A192" s="9">
        <v>43827</v>
      </c>
      <c r="B192" s="2" t="str">
        <f>TEXT(Raw_Data!$A192, "MMM")</f>
        <v>Dec</v>
      </c>
      <c r="C192" s="2">
        <f>YEAR(Raw_Data!$A192)</f>
        <v>2019</v>
      </c>
      <c r="D192" s="2" t="s">
        <v>207</v>
      </c>
      <c r="E192" s="2" t="s">
        <v>32</v>
      </c>
      <c r="F192" s="2" t="s">
        <v>16</v>
      </c>
      <c r="G192" s="2">
        <v>5</v>
      </c>
      <c r="H192" s="2">
        <v>3402</v>
      </c>
      <c r="I192" s="10">
        <v>810549</v>
      </c>
      <c r="J192" s="10">
        <f>Raw_Data!$I192/Raw_Data!$H192</f>
        <v>238.25661375661375</v>
      </c>
    </row>
    <row r="193" spans="1:10" x14ac:dyDescent="0.3">
      <c r="A193" s="8">
        <v>37699</v>
      </c>
      <c r="B193" t="str">
        <f>TEXT(Raw_Data!$A193, "MMM")</f>
        <v>Mar</v>
      </c>
      <c r="C193">
        <f>YEAR(Raw_Data!$A193)</f>
        <v>2003</v>
      </c>
      <c r="D193" t="s">
        <v>208</v>
      </c>
      <c r="E193" t="s">
        <v>15</v>
      </c>
      <c r="F193" t="s">
        <v>18</v>
      </c>
      <c r="G193">
        <v>2</v>
      </c>
      <c r="H193">
        <v>2933</v>
      </c>
      <c r="I193" s="1">
        <v>190685</v>
      </c>
      <c r="J193" s="1">
        <f>Raw_Data!$I193/Raw_Data!$H193</f>
        <v>65.013637913399251</v>
      </c>
    </row>
    <row r="194" spans="1:10" x14ac:dyDescent="0.3">
      <c r="A194" s="9">
        <v>42933</v>
      </c>
      <c r="B194" s="2" t="str">
        <f>TEXT(Raw_Data!$A194, "MMM")</f>
        <v>Jul</v>
      </c>
      <c r="C194" s="2">
        <f>YEAR(Raw_Data!$A194)</f>
        <v>2017</v>
      </c>
      <c r="D194" s="2" t="s">
        <v>209</v>
      </c>
      <c r="E194" s="2" t="s">
        <v>25</v>
      </c>
      <c r="F194" s="2" t="s">
        <v>16</v>
      </c>
      <c r="G194" s="2">
        <v>5</v>
      </c>
      <c r="H194" s="2">
        <v>1027</v>
      </c>
      <c r="I194" s="10">
        <v>559947</v>
      </c>
      <c r="J194" s="10">
        <f>Raw_Data!$I194/Raw_Data!$H194</f>
        <v>545.22590068159684</v>
      </c>
    </row>
    <row r="195" spans="1:10" x14ac:dyDescent="0.3">
      <c r="A195" s="8">
        <v>43162</v>
      </c>
      <c r="B195" t="str">
        <f>TEXT(Raw_Data!$A195, "MMM")</f>
        <v>Mar</v>
      </c>
      <c r="C195">
        <f>YEAR(Raw_Data!$A195)</f>
        <v>2018</v>
      </c>
      <c r="D195" t="s">
        <v>210</v>
      </c>
      <c r="E195" t="s">
        <v>29</v>
      </c>
      <c r="F195" t="s">
        <v>18</v>
      </c>
      <c r="G195">
        <v>4</v>
      </c>
      <c r="H195">
        <v>2429</v>
      </c>
      <c r="I195" s="1">
        <v>830813</v>
      </c>
      <c r="J195" s="1">
        <f>Raw_Data!$I195/Raw_Data!$H195</f>
        <v>342.03911074516265</v>
      </c>
    </row>
    <row r="196" spans="1:10" x14ac:dyDescent="0.3">
      <c r="A196" s="9">
        <v>38593</v>
      </c>
      <c r="B196" s="2" t="str">
        <f>TEXT(Raw_Data!$A196, "MMM")</f>
        <v>Aug</v>
      </c>
      <c r="C196" s="2">
        <f>YEAR(Raw_Data!$A196)</f>
        <v>2005</v>
      </c>
      <c r="D196" s="2" t="s">
        <v>211</v>
      </c>
      <c r="E196" s="2" t="s">
        <v>15</v>
      </c>
      <c r="F196" s="2" t="s">
        <v>11</v>
      </c>
      <c r="G196" s="2">
        <v>3</v>
      </c>
      <c r="H196" s="2">
        <v>1126</v>
      </c>
      <c r="I196" s="10">
        <v>138831</v>
      </c>
      <c r="J196" s="10">
        <f>Raw_Data!$I196/Raw_Data!$H196</f>
        <v>123.29573712255772</v>
      </c>
    </row>
    <row r="197" spans="1:10" x14ac:dyDescent="0.3">
      <c r="A197" s="8">
        <v>38968</v>
      </c>
      <c r="B197" t="str">
        <f>TEXT(Raw_Data!$A197, "MMM")</f>
        <v>Sep</v>
      </c>
      <c r="C197">
        <f>YEAR(Raw_Data!$A197)</f>
        <v>2006</v>
      </c>
      <c r="D197" t="s">
        <v>212</v>
      </c>
      <c r="E197" t="s">
        <v>13</v>
      </c>
      <c r="F197" t="s">
        <v>18</v>
      </c>
      <c r="H197">
        <v>2227</v>
      </c>
      <c r="I197" s="1">
        <v>151137</v>
      </c>
      <c r="J197" s="1">
        <f>Raw_Data!$I197/Raw_Data!$H197</f>
        <v>67.865738661876961</v>
      </c>
    </row>
    <row r="198" spans="1:10" x14ac:dyDescent="0.3">
      <c r="A198" s="9">
        <v>38917</v>
      </c>
      <c r="B198" s="2" t="str">
        <f>TEXT(Raw_Data!$A198, "MMM")</f>
        <v>Jul</v>
      </c>
      <c r="C198" s="2">
        <f>YEAR(Raw_Data!$A198)</f>
        <v>2006</v>
      </c>
      <c r="D198" s="2" t="s">
        <v>213</v>
      </c>
      <c r="E198" s="2" t="s">
        <v>25</v>
      </c>
      <c r="F198" s="2" t="s">
        <v>11</v>
      </c>
      <c r="G198" s="2">
        <v>3</v>
      </c>
      <c r="H198" s="2">
        <v>2756</v>
      </c>
      <c r="I198" s="10">
        <v>715328</v>
      </c>
      <c r="J198" s="10">
        <f>Raw_Data!$I198/Raw_Data!$H198</f>
        <v>259.55297532656022</v>
      </c>
    </row>
    <row r="199" spans="1:10" x14ac:dyDescent="0.3">
      <c r="A199" s="8">
        <v>37753</v>
      </c>
      <c r="B199" t="str">
        <f>TEXT(Raw_Data!$A199, "MMM")</f>
        <v>May</v>
      </c>
      <c r="C199">
        <f>YEAR(Raw_Data!$A199)</f>
        <v>2003</v>
      </c>
      <c r="D199" t="s">
        <v>214</v>
      </c>
      <c r="E199" t="s">
        <v>32</v>
      </c>
      <c r="F199" t="s">
        <v>11</v>
      </c>
      <c r="H199">
        <v>3246</v>
      </c>
      <c r="I199" s="1">
        <v>464799</v>
      </c>
      <c r="J199" s="1">
        <f>Raw_Data!$I199/Raw_Data!$H199</f>
        <v>143.19131238447321</v>
      </c>
    </row>
    <row r="200" spans="1:10" x14ac:dyDescent="0.3">
      <c r="A200" s="9">
        <v>39700</v>
      </c>
      <c r="B200" s="2" t="str">
        <f>TEXT(Raw_Data!$A200, "MMM")</f>
        <v>Sep</v>
      </c>
      <c r="C200" s="2">
        <f>YEAR(Raw_Data!$A200)</f>
        <v>2008</v>
      </c>
      <c r="D200" s="2" t="s">
        <v>215</v>
      </c>
      <c r="E200" s="2" t="s">
        <v>23</v>
      </c>
      <c r="F200" s="2" t="s">
        <v>27</v>
      </c>
      <c r="G200" s="2"/>
      <c r="H200" s="2">
        <v>1558</v>
      </c>
      <c r="I200" s="10">
        <v>577831</v>
      </c>
      <c r="J200" s="10">
        <f>Raw_Data!$I200/Raw_Data!$H200</f>
        <v>370.87997432605903</v>
      </c>
    </row>
    <row r="201" spans="1:10" x14ac:dyDescent="0.3">
      <c r="A201" s="8">
        <v>38987</v>
      </c>
      <c r="B201" t="str">
        <f>TEXT(Raw_Data!$A201, "MMM")</f>
        <v>Sep</v>
      </c>
      <c r="C201">
        <f>YEAR(Raw_Data!$A201)</f>
        <v>2006</v>
      </c>
      <c r="D201" t="s">
        <v>216</v>
      </c>
      <c r="E201" t="s">
        <v>15</v>
      </c>
      <c r="F201" t="s">
        <v>16</v>
      </c>
      <c r="G201">
        <v>4</v>
      </c>
      <c r="H201">
        <v>1939</v>
      </c>
      <c r="I201" s="1">
        <v>476242</v>
      </c>
      <c r="J201" s="1">
        <f>Raw_Data!$I201/Raw_Data!$H201</f>
        <v>245.61217122227953</v>
      </c>
    </row>
    <row r="202" spans="1:10" x14ac:dyDescent="0.3">
      <c r="A202" s="9">
        <v>38493</v>
      </c>
      <c r="B202" s="2" t="str">
        <f>TEXT(Raw_Data!$A202, "MMM")</f>
        <v>May</v>
      </c>
      <c r="C202" s="2">
        <f>YEAR(Raw_Data!$A202)</f>
        <v>2005</v>
      </c>
      <c r="D202" s="2" t="s">
        <v>217</v>
      </c>
      <c r="E202" s="2" t="s">
        <v>32</v>
      </c>
      <c r="F202" s="2" t="s">
        <v>18</v>
      </c>
      <c r="G202" s="2"/>
      <c r="H202" s="2">
        <v>949</v>
      </c>
      <c r="I202" s="10">
        <v>807838</v>
      </c>
      <c r="J202" s="10">
        <f>Raw_Data!$I202/Raw_Data!$H202</f>
        <v>851.25184404636457</v>
      </c>
    </row>
    <row r="203" spans="1:10" x14ac:dyDescent="0.3">
      <c r="A203" s="8">
        <v>42786</v>
      </c>
      <c r="B203" t="str">
        <f>TEXT(Raw_Data!$A203, "MMM")</f>
        <v>Feb</v>
      </c>
      <c r="C203">
        <f>YEAR(Raw_Data!$A203)</f>
        <v>2017</v>
      </c>
      <c r="D203" t="s">
        <v>218</v>
      </c>
      <c r="E203" t="s">
        <v>25</v>
      </c>
      <c r="F203" t="s">
        <v>18</v>
      </c>
      <c r="H203">
        <v>1082</v>
      </c>
      <c r="I203" s="1">
        <v>573567</v>
      </c>
      <c r="J203" s="1">
        <f>Raw_Data!$I203/Raw_Data!$H203</f>
        <v>530.09889094269874</v>
      </c>
    </row>
    <row r="204" spans="1:10" x14ac:dyDescent="0.3">
      <c r="A204" s="9">
        <v>39597</v>
      </c>
      <c r="B204" s="2" t="str">
        <f>TEXT(Raw_Data!$A204, "MMM")</f>
        <v>May</v>
      </c>
      <c r="C204" s="2">
        <f>YEAR(Raw_Data!$A204)</f>
        <v>2008</v>
      </c>
      <c r="D204" s="2" t="s">
        <v>219</v>
      </c>
      <c r="E204" s="2" t="s">
        <v>15</v>
      </c>
      <c r="F204" s="2" t="s">
        <v>27</v>
      </c>
      <c r="G204" s="2">
        <v>3</v>
      </c>
      <c r="H204" s="2">
        <v>1920</v>
      </c>
      <c r="I204" s="10">
        <v>627362</v>
      </c>
      <c r="J204" s="10">
        <f>Raw_Data!$I204/Raw_Data!$H204</f>
        <v>326.75104166666665</v>
      </c>
    </row>
    <row r="205" spans="1:10" x14ac:dyDescent="0.3">
      <c r="A205" s="8">
        <v>42993</v>
      </c>
      <c r="B205" t="str">
        <f>TEXT(Raw_Data!$A205, "MMM")</f>
        <v>Sep</v>
      </c>
      <c r="C205">
        <f>YEAR(Raw_Data!$A205)</f>
        <v>2017</v>
      </c>
      <c r="D205" t="s">
        <v>220</v>
      </c>
      <c r="E205" t="s">
        <v>23</v>
      </c>
      <c r="F205" t="s">
        <v>27</v>
      </c>
      <c r="G205">
        <v>2</v>
      </c>
      <c r="H205">
        <v>1366</v>
      </c>
      <c r="I205" s="1">
        <v>487517</v>
      </c>
      <c r="J205" s="1">
        <f>Raw_Data!$I205/Raw_Data!$H205</f>
        <v>356.89385065885796</v>
      </c>
    </row>
    <row r="206" spans="1:10" x14ac:dyDescent="0.3">
      <c r="A206" s="9">
        <v>44119</v>
      </c>
      <c r="B206" s="2" t="str">
        <f>TEXT(Raw_Data!$A206, "MMM")</f>
        <v>Oct</v>
      </c>
      <c r="C206" s="2">
        <f>YEAR(Raw_Data!$A206)</f>
        <v>2020</v>
      </c>
      <c r="D206" s="2" t="s">
        <v>221</v>
      </c>
      <c r="E206" s="2" t="s">
        <v>23</v>
      </c>
      <c r="F206" s="2" t="s">
        <v>27</v>
      </c>
      <c r="G206" s="2">
        <v>3</v>
      </c>
      <c r="H206" s="2">
        <v>3146</v>
      </c>
      <c r="I206" s="10">
        <v>400094</v>
      </c>
      <c r="J206" s="10">
        <f>Raw_Data!$I206/Raw_Data!$H206</f>
        <v>127.17546090273363</v>
      </c>
    </row>
    <row r="207" spans="1:10" x14ac:dyDescent="0.3">
      <c r="A207" s="8">
        <v>40839</v>
      </c>
      <c r="B207" t="str">
        <f>TEXT(Raw_Data!$A207, "MMM")</f>
        <v>Oct</v>
      </c>
      <c r="C207">
        <f>YEAR(Raw_Data!$A207)</f>
        <v>2011</v>
      </c>
      <c r="D207" t="s">
        <v>222</v>
      </c>
      <c r="E207" t="s">
        <v>25</v>
      </c>
      <c r="F207" t="s">
        <v>27</v>
      </c>
      <c r="G207">
        <v>2</v>
      </c>
      <c r="H207">
        <v>902</v>
      </c>
      <c r="I207" s="1">
        <v>737951</v>
      </c>
      <c r="J207" s="1">
        <f>Raw_Data!$I207/Raw_Data!$H207</f>
        <v>818.12749445676275</v>
      </c>
    </row>
    <row r="208" spans="1:10" x14ac:dyDescent="0.3">
      <c r="A208" s="9">
        <v>43341</v>
      </c>
      <c r="B208" s="2" t="str">
        <f>TEXT(Raw_Data!$A208, "MMM")</f>
        <v>Aug</v>
      </c>
      <c r="C208" s="2">
        <f>YEAR(Raw_Data!$A208)</f>
        <v>2018</v>
      </c>
      <c r="D208" s="2" t="s">
        <v>223</v>
      </c>
      <c r="E208" s="2" t="s">
        <v>13</v>
      </c>
      <c r="F208" s="2" t="s">
        <v>11</v>
      </c>
      <c r="G208" s="2"/>
      <c r="H208" s="2">
        <v>1309</v>
      </c>
      <c r="I208" s="10">
        <v>120982</v>
      </c>
      <c r="J208" s="10">
        <f>Raw_Data!$I208/Raw_Data!$H208</f>
        <v>92.423223834988548</v>
      </c>
    </row>
    <row r="209" spans="1:10" x14ac:dyDescent="0.3">
      <c r="A209" s="8">
        <v>43008</v>
      </c>
      <c r="B209" t="str">
        <f>TEXT(Raw_Data!$A209, "MMM")</f>
        <v>Sep</v>
      </c>
      <c r="C209">
        <f>YEAR(Raw_Data!$A209)</f>
        <v>2017</v>
      </c>
      <c r="D209" t="s">
        <v>224</v>
      </c>
      <c r="E209" t="s">
        <v>13</v>
      </c>
      <c r="F209" t="s">
        <v>16</v>
      </c>
      <c r="G209">
        <v>3</v>
      </c>
      <c r="H209">
        <v>3459</v>
      </c>
      <c r="I209" s="1">
        <v>249364</v>
      </c>
      <c r="J209" s="1">
        <f>Raw_Data!$I209/Raw_Data!$H209</f>
        <v>72.091355883203235</v>
      </c>
    </row>
    <row r="210" spans="1:10" x14ac:dyDescent="0.3">
      <c r="A210" s="9">
        <v>38805</v>
      </c>
      <c r="B210" s="2" t="str">
        <f>TEXT(Raw_Data!$A210, "MMM")</f>
        <v>Mar</v>
      </c>
      <c r="C210" s="2">
        <f>YEAR(Raw_Data!$A210)</f>
        <v>2006</v>
      </c>
      <c r="D210" s="2" t="s">
        <v>225</v>
      </c>
      <c r="E210" s="2" t="s">
        <v>15</v>
      </c>
      <c r="F210" s="2" t="s">
        <v>27</v>
      </c>
      <c r="G210" s="2">
        <v>5</v>
      </c>
      <c r="H210" s="2">
        <v>1596</v>
      </c>
      <c r="I210" s="10">
        <v>883093</v>
      </c>
      <c r="J210" s="10">
        <f>Raw_Data!$I210/Raw_Data!$H210</f>
        <v>553.31641604010031</v>
      </c>
    </row>
    <row r="211" spans="1:10" x14ac:dyDescent="0.3">
      <c r="A211" s="8">
        <v>37676</v>
      </c>
      <c r="B211" t="str">
        <f>TEXT(Raw_Data!$A211, "MMM")</f>
        <v>Feb</v>
      </c>
      <c r="C211">
        <f>YEAR(Raw_Data!$A211)</f>
        <v>2003</v>
      </c>
      <c r="D211" t="s">
        <v>226</v>
      </c>
      <c r="E211" t="s">
        <v>29</v>
      </c>
      <c r="F211" t="s">
        <v>16</v>
      </c>
      <c r="G211">
        <v>2</v>
      </c>
      <c r="H211">
        <v>2780</v>
      </c>
      <c r="I211" s="1">
        <v>319715</v>
      </c>
      <c r="J211" s="1">
        <f>Raw_Data!$I211/Raw_Data!$H211</f>
        <v>115.00539568345324</v>
      </c>
    </row>
    <row r="212" spans="1:10" x14ac:dyDescent="0.3">
      <c r="A212" s="9">
        <v>44010</v>
      </c>
      <c r="B212" s="2" t="str">
        <f>TEXT(Raw_Data!$A212, "MMM")</f>
        <v>Jun</v>
      </c>
      <c r="C212" s="2">
        <f>YEAR(Raw_Data!$A212)</f>
        <v>2020</v>
      </c>
      <c r="D212" s="2" t="s">
        <v>227</v>
      </c>
      <c r="E212" s="2" t="s">
        <v>25</v>
      </c>
      <c r="F212" s="2" t="s">
        <v>18</v>
      </c>
      <c r="G212" s="2">
        <v>2</v>
      </c>
      <c r="H212" s="2">
        <v>2376</v>
      </c>
      <c r="I212" s="10">
        <v>413076</v>
      </c>
      <c r="J212" s="10">
        <f>Raw_Data!$I212/Raw_Data!$H212</f>
        <v>173.85353535353536</v>
      </c>
    </row>
    <row r="213" spans="1:10" x14ac:dyDescent="0.3">
      <c r="A213" s="8">
        <v>38265</v>
      </c>
      <c r="B213" t="str">
        <f>TEXT(Raw_Data!$A213, "MMM")</f>
        <v>Oct</v>
      </c>
      <c r="C213">
        <f>YEAR(Raw_Data!$A213)</f>
        <v>2004</v>
      </c>
      <c r="D213" t="s">
        <v>228</v>
      </c>
      <c r="E213" t="s">
        <v>29</v>
      </c>
      <c r="F213" t="s">
        <v>16</v>
      </c>
      <c r="G213">
        <v>5</v>
      </c>
      <c r="H213">
        <v>3362</v>
      </c>
      <c r="I213" s="1">
        <v>477134</v>
      </c>
      <c r="J213" s="1">
        <f>Raw_Data!$I213/Raw_Data!$H213</f>
        <v>141.91969066032124</v>
      </c>
    </row>
    <row r="214" spans="1:10" x14ac:dyDescent="0.3">
      <c r="A214" s="9">
        <v>43186</v>
      </c>
      <c r="B214" s="2" t="str">
        <f>TEXT(Raw_Data!$A214, "MMM")</f>
        <v>Mar</v>
      </c>
      <c r="C214" s="2">
        <f>YEAR(Raw_Data!$A214)</f>
        <v>2018</v>
      </c>
      <c r="D214" s="2" t="s">
        <v>229</v>
      </c>
      <c r="E214" s="2" t="s">
        <v>13</v>
      </c>
      <c r="F214" s="2" t="s">
        <v>18</v>
      </c>
      <c r="G214" s="2">
        <v>3</v>
      </c>
      <c r="H214" s="2">
        <v>3186</v>
      </c>
      <c r="I214" s="10">
        <v>541301</v>
      </c>
      <c r="J214" s="10">
        <f>Raw_Data!$I214/Raw_Data!$H214</f>
        <v>169.89987445072191</v>
      </c>
    </row>
    <row r="215" spans="1:10" x14ac:dyDescent="0.3">
      <c r="A215" s="8">
        <v>40372</v>
      </c>
      <c r="B215" t="str">
        <f>TEXT(Raw_Data!$A215, "MMM")</f>
        <v>Jul</v>
      </c>
      <c r="C215">
        <f>YEAR(Raw_Data!$A215)</f>
        <v>2010</v>
      </c>
      <c r="D215" t="s">
        <v>230</v>
      </c>
      <c r="E215" t="s">
        <v>25</v>
      </c>
      <c r="F215" t="s">
        <v>16</v>
      </c>
      <c r="H215">
        <v>2535</v>
      </c>
      <c r="I215" s="1">
        <v>137035</v>
      </c>
      <c r="J215" s="1">
        <f>Raw_Data!$I215/Raw_Data!$H215</f>
        <v>54.057199211045365</v>
      </c>
    </row>
    <row r="216" spans="1:10" x14ac:dyDescent="0.3">
      <c r="A216" s="9">
        <v>41661</v>
      </c>
      <c r="B216" s="2" t="str">
        <f>TEXT(Raw_Data!$A216, "MMM")</f>
        <v>Jan</v>
      </c>
      <c r="C216" s="2">
        <f>YEAR(Raw_Data!$A216)</f>
        <v>2014</v>
      </c>
      <c r="D216" s="2" t="s">
        <v>94</v>
      </c>
      <c r="E216" s="2" t="s">
        <v>21</v>
      </c>
      <c r="F216" s="2" t="s">
        <v>18</v>
      </c>
      <c r="G216" s="2">
        <v>5</v>
      </c>
      <c r="H216" s="2">
        <v>1065</v>
      </c>
      <c r="I216" s="10">
        <v>683483</v>
      </c>
      <c r="J216" s="10">
        <f>Raw_Data!$I216/Raw_Data!$H216</f>
        <v>641.76807511737093</v>
      </c>
    </row>
    <row r="217" spans="1:10" x14ac:dyDescent="0.3">
      <c r="A217" s="8">
        <v>42237</v>
      </c>
      <c r="B217" t="str">
        <f>TEXT(Raw_Data!$A217, "MMM")</f>
        <v>Aug</v>
      </c>
      <c r="C217">
        <f>YEAR(Raw_Data!$A217)</f>
        <v>2015</v>
      </c>
      <c r="D217" t="s">
        <v>231</v>
      </c>
      <c r="E217" t="s">
        <v>13</v>
      </c>
      <c r="F217" t="s">
        <v>11</v>
      </c>
      <c r="G217">
        <v>3</v>
      </c>
      <c r="H217">
        <v>2953</v>
      </c>
      <c r="I217" s="1">
        <v>834665</v>
      </c>
      <c r="J217" s="1">
        <f>Raw_Data!$I217/Raw_Data!$H217</f>
        <v>282.64984761259734</v>
      </c>
    </row>
    <row r="218" spans="1:10" x14ac:dyDescent="0.3">
      <c r="A218" s="9">
        <v>43802</v>
      </c>
      <c r="B218" s="2" t="str">
        <f>TEXT(Raw_Data!$A218, "MMM")</f>
        <v>Dec</v>
      </c>
      <c r="C218" s="2">
        <f>YEAR(Raw_Data!$A218)</f>
        <v>2019</v>
      </c>
      <c r="D218" s="2" t="s">
        <v>232</v>
      </c>
      <c r="E218" s="2" t="s">
        <v>21</v>
      </c>
      <c r="F218" s="2" t="s">
        <v>27</v>
      </c>
      <c r="G218" s="2"/>
      <c r="H218" s="2">
        <v>1664</v>
      </c>
      <c r="I218" s="10">
        <v>141405</v>
      </c>
      <c r="J218" s="10">
        <f>Raw_Data!$I218/Raw_Data!$H218</f>
        <v>84.97896634615384</v>
      </c>
    </row>
    <row r="219" spans="1:10" x14ac:dyDescent="0.3">
      <c r="A219" s="8">
        <v>40195</v>
      </c>
      <c r="B219" t="str">
        <f>TEXT(Raw_Data!$A219, "MMM")</f>
        <v>Jan</v>
      </c>
      <c r="C219">
        <f>YEAR(Raw_Data!$A219)</f>
        <v>2010</v>
      </c>
      <c r="D219" t="s">
        <v>233</v>
      </c>
      <c r="E219" t="s">
        <v>32</v>
      </c>
      <c r="F219" t="s">
        <v>11</v>
      </c>
      <c r="H219">
        <v>2708</v>
      </c>
      <c r="I219" s="1">
        <v>380553</v>
      </c>
      <c r="J219" s="1">
        <f>Raw_Data!$I219/Raw_Data!$H219</f>
        <v>140.52917282127032</v>
      </c>
    </row>
    <row r="220" spans="1:10" x14ac:dyDescent="0.3">
      <c r="A220" s="9">
        <v>39284</v>
      </c>
      <c r="B220" s="2" t="str">
        <f>TEXT(Raw_Data!$A220, "MMM")</f>
        <v>Jul</v>
      </c>
      <c r="C220" s="2">
        <f>YEAR(Raw_Data!$A220)</f>
        <v>2007</v>
      </c>
      <c r="D220" s="2" t="s">
        <v>234</v>
      </c>
      <c r="E220" s="2" t="s">
        <v>15</v>
      </c>
      <c r="F220" s="2" t="s">
        <v>27</v>
      </c>
      <c r="G220" s="2"/>
      <c r="H220" s="2">
        <v>807</v>
      </c>
      <c r="I220" s="10">
        <v>122922</v>
      </c>
      <c r="J220" s="10">
        <f>Raw_Data!$I220/Raw_Data!$H220</f>
        <v>152.31970260223048</v>
      </c>
    </row>
    <row r="221" spans="1:10" x14ac:dyDescent="0.3">
      <c r="A221" s="8">
        <v>43120</v>
      </c>
      <c r="B221" t="str">
        <f>TEXT(Raw_Data!$A221, "MMM")</f>
        <v>Jan</v>
      </c>
      <c r="C221">
        <f>YEAR(Raw_Data!$A221)</f>
        <v>2018</v>
      </c>
      <c r="D221" t="s">
        <v>235</v>
      </c>
      <c r="E221" t="s">
        <v>21</v>
      </c>
      <c r="F221" t="s">
        <v>11</v>
      </c>
      <c r="G221">
        <v>2</v>
      </c>
      <c r="H221">
        <v>3438</v>
      </c>
      <c r="I221" s="1">
        <v>622751</v>
      </c>
      <c r="J221" s="1">
        <f>Raw_Data!$I221/Raw_Data!$H221</f>
        <v>181.13757998836533</v>
      </c>
    </row>
    <row r="222" spans="1:10" x14ac:dyDescent="0.3">
      <c r="A222" s="9">
        <v>40463</v>
      </c>
      <c r="B222" s="2" t="str">
        <f>TEXT(Raw_Data!$A222, "MMM")</f>
        <v>Oct</v>
      </c>
      <c r="C222" s="2">
        <f>YEAR(Raw_Data!$A222)</f>
        <v>2010</v>
      </c>
      <c r="D222" s="2" t="s">
        <v>236</v>
      </c>
      <c r="E222" s="2" t="s">
        <v>32</v>
      </c>
      <c r="F222" s="2" t="s">
        <v>27</v>
      </c>
      <c r="G222" s="2">
        <v>3</v>
      </c>
      <c r="H222" s="2">
        <v>2080</v>
      </c>
      <c r="I222" s="10">
        <v>385199</v>
      </c>
      <c r="J222" s="10">
        <f>Raw_Data!$I222/Raw_Data!$H222</f>
        <v>185.19182692307692</v>
      </c>
    </row>
    <row r="223" spans="1:10" x14ac:dyDescent="0.3">
      <c r="A223" s="8">
        <v>38091</v>
      </c>
      <c r="B223" t="str">
        <f>TEXT(Raw_Data!$A223, "MMM")</f>
        <v>Apr</v>
      </c>
      <c r="C223">
        <f>YEAR(Raw_Data!$A223)</f>
        <v>2004</v>
      </c>
      <c r="D223" t="s">
        <v>237</v>
      </c>
      <c r="E223" t="s">
        <v>15</v>
      </c>
      <c r="F223" t="s">
        <v>11</v>
      </c>
      <c r="H223">
        <v>1211</v>
      </c>
      <c r="I223" s="1">
        <v>558139</v>
      </c>
      <c r="J223" s="1">
        <f>Raw_Data!$I223/Raw_Data!$H223</f>
        <v>460.89099917423619</v>
      </c>
    </row>
    <row r="224" spans="1:10" x14ac:dyDescent="0.3">
      <c r="A224" s="9">
        <v>43128</v>
      </c>
      <c r="B224" s="2" t="str">
        <f>TEXT(Raw_Data!$A224, "MMM")</f>
        <v>Jan</v>
      </c>
      <c r="C224" s="2">
        <f>YEAR(Raw_Data!$A224)</f>
        <v>2018</v>
      </c>
      <c r="D224" s="2" t="s">
        <v>238</v>
      </c>
      <c r="E224" s="2" t="s">
        <v>21</v>
      </c>
      <c r="F224" s="2" t="s">
        <v>18</v>
      </c>
      <c r="G224" s="2"/>
      <c r="H224" s="2">
        <v>1928</v>
      </c>
      <c r="I224" s="10">
        <v>419470</v>
      </c>
      <c r="J224" s="10">
        <f>Raw_Data!$I224/Raw_Data!$H224</f>
        <v>217.5674273858921</v>
      </c>
    </row>
    <row r="225" spans="1:10" x14ac:dyDescent="0.3">
      <c r="A225" s="8">
        <v>37030</v>
      </c>
      <c r="B225" t="str">
        <f>TEXT(Raw_Data!$A225, "MMM")</f>
        <v>May</v>
      </c>
      <c r="C225">
        <f>YEAR(Raw_Data!$A225)</f>
        <v>2001</v>
      </c>
      <c r="D225" t="s">
        <v>239</v>
      </c>
      <c r="E225" t="s">
        <v>15</v>
      </c>
      <c r="F225" t="s">
        <v>18</v>
      </c>
      <c r="H225">
        <v>3138</v>
      </c>
      <c r="I225" s="1">
        <v>391975</v>
      </c>
      <c r="J225" s="1">
        <f>Raw_Data!$I225/Raw_Data!$H225</f>
        <v>124.91236456341619</v>
      </c>
    </row>
    <row r="226" spans="1:10" x14ac:dyDescent="0.3">
      <c r="A226" s="9">
        <v>41223</v>
      </c>
      <c r="B226" s="2" t="str">
        <f>TEXT(Raw_Data!$A226, "MMM")</f>
        <v>Nov</v>
      </c>
      <c r="C226" s="2">
        <f>YEAR(Raw_Data!$A226)</f>
        <v>2012</v>
      </c>
      <c r="D226" s="2" t="s">
        <v>240</v>
      </c>
      <c r="E226" s="2" t="s">
        <v>25</v>
      </c>
      <c r="F226" s="2" t="s">
        <v>18</v>
      </c>
      <c r="G226" s="2">
        <v>5</v>
      </c>
      <c r="H226" s="2">
        <v>961</v>
      </c>
      <c r="I226" s="10">
        <v>436962</v>
      </c>
      <c r="J226" s="10">
        <f>Raw_Data!$I226/Raw_Data!$H226</f>
        <v>454.69510926118625</v>
      </c>
    </row>
    <row r="227" spans="1:10" x14ac:dyDescent="0.3">
      <c r="A227" s="8">
        <v>42386</v>
      </c>
      <c r="B227" t="str">
        <f>TEXT(Raw_Data!$A227, "MMM")</f>
        <v>Jan</v>
      </c>
      <c r="C227">
        <f>YEAR(Raw_Data!$A227)</f>
        <v>2016</v>
      </c>
      <c r="D227" t="s">
        <v>241</v>
      </c>
      <c r="E227" t="s">
        <v>25</v>
      </c>
      <c r="F227" t="s">
        <v>16</v>
      </c>
      <c r="G227">
        <v>4</v>
      </c>
      <c r="H227">
        <v>2933</v>
      </c>
      <c r="I227" s="1">
        <v>196566</v>
      </c>
      <c r="J227" s="1">
        <f>Raw_Data!$I227/Raw_Data!$H227</f>
        <v>67.018752130923971</v>
      </c>
    </row>
    <row r="228" spans="1:10" x14ac:dyDescent="0.3">
      <c r="A228" s="9">
        <v>43950</v>
      </c>
      <c r="B228" s="2" t="str">
        <f>TEXT(Raw_Data!$A228, "MMM")</f>
        <v>Apr</v>
      </c>
      <c r="C228" s="2">
        <f>YEAR(Raw_Data!$A228)</f>
        <v>2020</v>
      </c>
      <c r="D228" s="2" t="s">
        <v>242</v>
      </c>
      <c r="E228" s="2" t="s">
        <v>21</v>
      </c>
      <c r="F228" s="2" t="s">
        <v>18</v>
      </c>
      <c r="G228" s="2"/>
      <c r="H228" s="2">
        <v>3295</v>
      </c>
      <c r="I228" s="10">
        <v>497964</v>
      </c>
      <c r="J228" s="10">
        <f>Raw_Data!$I228/Raw_Data!$H228</f>
        <v>151.12716236722306</v>
      </c>
    </row>
    <row r="229" spans="1:10" x14ac:dyDescent="0.3">
      <c r="A229" s="8">
        <v>41704</v>
      </c>
      <c r="B229" t="str">
        <f>TEXT(Raw_Data!$A229, "MMM")</f>
        <v>Mar</v>
      </c>
      <c r="C229">
        <f>YEAR(Raw_Data!$A229)</f>
        <v>2014</v>
      </c>
      <c r="D229" t="s">
        <v>243</v>
      </c>
      <c r="E229" t="s">
        <v>15</v>
      </c>
      <c r="F229" t="s">
        <v>16</v>
      </c>
      <c r="G229">
        <v>3</v>
      </c>
      <c r="H229">
        <v>1146</v>
      </c>
      <c r="I229" s="1">
        <v>779063</v>
      </c>
      <c r="J229" s="1">
        <f>Raw_Data!$I229/Raw_Data!$H229</f>
        <v>679.81064572425828</v>
      </c>
    </row>
    <row r="230" spans="1:10" x14ac:dyDescent="0.3">
      <c r="A230" s="9">
        <v>40805</v>
      </c>
      <c r="B230" s="2" t="str">
        <f>TEXT(Raw_Data!$A230, "MMM")</f>
        <v>Sep</v>
      </c>
      <c r="C230" s="2">
        <f>YEAR(Raw_Data!$A230)</f>
        <v>2011</v>
      </c>
      <c r="D230" s="2" t="s">
        <v>244</v>
      </c>
      <c r="E230" s="2" t="s">
        <v>21</v>
      </c>
      <c r="F230" s="2" t="s">
        <v>27</v>
      </c>
      <c r="G230" s="2">
        <v>3</v>
      </c>
      <c r="H230" s="2">
        <v>2510</v>
      </c>
      <c r="I230" s="10">
        <v>567735</v>
      </c>
      <c r="J230" s="10">
        <f>Raw_Data!$I230/Raw_Data!$H230</f>
        <v>226.18924302788844</v>
      </c>
    </row>
    <row r="231" spans="1:10" x14ac:dyDescent="0.3">
      <c r="A231" s="8">
        <v>38602</v>
      </c>
      <c r="B231" t="str">
        <f>TEXT(Raw_Data!$A231, "MMM")</f>
        <v>Sep</v>
      </c>
      <c r="C231">
        <f>YEAR(Raw_Data!$A231)</f>
        <v>2005</v>
      </c>
      <c r="D231" t="s">
        <v>245</v>
      </c>
      <c r="E231" t="s">
        <v>29</v>
      </c>
      <c r="F231" t="s">
        <v>16</v>
      </c>
      <c r="H231">
        <v>3476</v>
      </c>
      <c r="I231" s="1">
        <v>270425</v>
      </c>
      <c r="J231" s="1">
        <f>Raw_Data!$I231/Raw_Data!$H231</f>
        <v>77.797756041426922</v>
      </c>
    </row>
    <row r="232" spans="1:10" x14ac:dyDescent="0.3">
      <c r="A232" s="9">
        <v>42214</v>
      </c>
      <c r="B232" s="2" t="str">
        <f>TEXT(Raw_Data!$A232, "MMM")</f>
        <v>Jul</v>
      </c>
      <c r="C232" s="2">
        <f>YEAR(Raw_Data!$A232)</f>
        <v>2015</v>
      </c>
      <c r="D232" s="2" t="s">
        <v>246</v>
      </c>
      <c r="E232" s="2" t="s">
        <v>21</v>
      </c>
      <c r="F232" s="2" t="s">
        <v>27</v>
      </c>
      <c r="G232" s="2">
        <v>3</v>
      </c>
      <c r="H232" s="2">
        <v>1914</v>
      </c>
      <c r="I232" s="10">
        <v>864662</v>
      </c>
      <c r="J232" s="10">
        <f>Raw_Data!$I232/Raw_Data!$H232</f>
        <v>451.75653082549633</v>
      </c>
    </row>
    <row r="233" spans="1:10" x14ac:dyDescent="0.3">
      <c r="A233" s="8">
        <v>40009</v>
      </c>
      <c r="B233" t="str">
        <f>TEXT(Raw_Data!$A233, "MMM")</f>
        <v>Jul</v>
      </c>
      <c r="C233">
        <f>YEAR(Raw_Data!$A233)</f>
        <v>2009</v>
      </c>
      <c r="D233" t="s">
        <v>247</v>
      </c>
      <c r="E233" t="s">
        <v>29</v>
      </c>
      <c r="F233" t="s">
        <v>18</v>
      </c>
      <c r="H233">
        <v>1982</v>
      </c>
      <c r="I233" s="1">
        <v>412239</v>
      </c>
      <c r="J233" s="1">
        <f>Raw_Data!$I233/Raw_Data!$H233</f>
        <v>207.99142280524723</v>
      </c>
    </row>
    <row r="234" spans="1:10" x14ac:dyDescent="0.3">
      <c r="A234" s="9">
        <v>43130</v>
      </c>
      <c r="B234" s="2" t="str">
        <f>TEXT(Raw_Data!$A234, "MMM")</f>
        <v>Jan</v>
      </c>
      <c r="C234" s="2">
        <f>YEAR(Raw_Data!$A234)</f>
        <v>2018</v>
      </c>
      <c r="D234" s="2" t="s">
        <v>248</v>
      </c>
      <c r="E234" s="2" t="s">
        <v>32</v>
      </c>
      <c r="F234" s="2" t="s">
        <v>18</v>
      </c>
      <c r="G234" s="2"/>
      <c r="H234" s="2">
        <v>1487</v>
      </c>
      <c r="I234" s="10">
        <v>426780</v>
      </c>
      <c r="J234" s="10">
        <f>Raw_Data!$I234/Raw_Data!$H234</f>
        <v>287.00739744451914</v>
      </c>
    </row>
    <row r="235" spans="1:10" x14ac:dyDescent="0.3">
      <c r="A235" s="8">
        <v>39242</v>
      </c>
      <c r="B235" t="str">
        <f>TEXT(Raw_Data!$A235, "MMM")</f>
        <v>Jun</v>
      </c>
      <c r="C235">
        <f>YEAR(Raw_Data!$A235)</f>
        <v>2007</v>
      </c>
      <c r="D235" t="s">
        <v>249</v>
      </c>
      <c r="E235" t="s">
        <v>32</v>
      </c>
      <c r="F235" t="s">
        <v>27</v>
      </c>
      <c r="G235">
        <v>2</v>
      </c>
      <c r="H235">
        <v>1580</v>
      </c>
      <c r="I235" s="1">
        <v>444649</v>
      </c>
      <c r="J235" s="1">
        <f>Raw_Data!$I235/Raw_Data!$H235</f>
        <v>281.423417721519</v>
      </c>
    </row>
    <row r="236" spans="1:10" x14ac:dyDescent="0.3">
      <c r="A236" s="9">
        <v>36921</v>
      </c>
      <c r="B236" s="2" t="str">
        <f>TEXT(Raw_Data!$A236, "MMM")</f>
        <v>Jan</v>
      </c>
      <c r="C236" s="2">
        <f>YEAR(Raw_Data!$A236)</f>
        <v>2001</v>
      </c>
      <c r="D236" s="2" t="s">
        <v>250</v>
      </c>
      <c r="E236" s="2" t="s">
        <v>15</v>
      </c>
      <c r="F236" s="2" t="s">
        <v>27</v>
      </c>
      <c r="G236" s="2">
        <v>5</v>
      </c>
      <c r="H236" s="2">
        <v>2277</v>
      </c>
      <c r="I236" s="10">
        <v>270466</v>
      </c>
      <c r="J236" s="10">
        <f>Raw_Data!$I236/Raw_Data!$H236</f>
        <v>118.78173034694774</v>
      </c>
    </row>
    <row r="237" spans="1:10" x14ac:dyDescent="0.3">
      <c r="A237" s="8">
        <v>39243</v>
      </c>
      <c r="B237" t="str">
        <f>TEXT(Raw_Data!$A237, "MMM")</f>
        <v>Jun</v>
      </c>
      <c r="C237">
        <f>YEAR(Raw_Data!$A237)</f>
        <v>2007</v>
      </c>
      <c r="D237" t="s">
        <v>251</v>
      </c>
      <c r="E237" t="s">
        <v>29</v>
      </c>
      <c r="F237" t="s">
        <v>18</v>
      </c>
      <c r="G237">
        <v>5</v>
      </c>
      <c r="H237">
        <v>2559</v>
      </c>
      <c r="I237" s="1">
        <v>401589</v>
      </c>
      <c r="J237" s="1">
        <f>Raw_Data!$I237/Raw_Data!$H237</f>
        <v>156.93200468933176</v>
      </c>
    </row>
    <row r="238" spans="1:10" x14ac:dyDescent="0.3">
      <c r="A238" s="9">
        <v>37524</v>
      </c>
      <c r="B238" s="2" t="str">
        <f>TEXT(Raw_Data!$A238, "MMM")</f>
        <v>Sep</v>
      </c>
      <c r="C238" s="2">
        <f>YEAR(Raw_Data!$A238)</f>
        <v>2002</v>
      </c>
      <c r="D238" s="2" t="s">
        <v>252</v>
      </c>
      <c r="E238" s="2" t="s">
        <v>21</v>
      </c>
      <c r="F238" s="2" t="s">
        <v>18</v>
      </c>
      <c r="G238" s="2">
        <v>5</v>
      </c>
      <c r="H238" s="2">
        <v>855</v>
      </c>
      <c r="I238" s="10">
        <v>637850</v>
      </c>
      <c r="J238" s="10">
        <f>Raw_Data!$I238/Raw_Data!$H238</f>
        <v>746.0233918128655</v>
      </c>
    </row>
    <row r="239" spans="1:10" x14ac:dyDescent="0.3">
      <c r="A239" s="8">
        <v>41394</v>
      </c>
      <c r="B239" t="str">
        <f>TEXT(Raw_Data!$A239, "MMM")</f>
        <v>Apr</v>
      </c>
      <c r="C239">
        <f>YEAR(Raw_Data!$A239)</f>
        <v>2013</v>
      </c>
      <c r="D239" t="s">
        <v>186</v>
      </c>
      <c r="E239" t="s">
        <v>23</v>
      </c>
      <c r="F239" t="s">
        <v>16</v>
      </c>
      <c r="G239">
        <v>5</v>
      </c>
      <c r="H239">
        <v>1741</v>
      </c>
      <c r="I239" s="1">
        <v>590730</v>
      </c>
      <c r="J239" s="1">
        <f>Raw_Data!$I239/Raw_Data!$H239</f>
        <v>339.30499712808728</v>
      </c>
    </row>
    <row r="240" spans="1:10" x14ac:dyDescent="0.3">
      <c r="A240" s="9">
        <v>37773</v>
      </c>
      <c r="B240" s="2" t="str">
        <f>TEXT(Raw_Data!$A240, "MMM")</f>
        <v>Jun</v>
      </c>
      <c r="C240" s="2">
        <f>YEAR(Raw_Data!$A240)</f>
        <v>2003</v>
      </c>
      <c r="D240" s="2" t="s">
        <v>253</v>
      </c>
      <c r="E240" s="2" t="s">
        <v>21</v>
      </c>
      <c r="F240" s="2" t="s">
        <v>11</v>
      </c>
      <c r="G240" s="2">
        <v>4</v>
      </c>
      <c r="H240" s="2">
        <v>2840</v>
      </c>
      <c r="I240" s="10">
        <v>606885</v>
      </c>
      <c r="J240" s="10">
        <f>Raw_Data!$I240/Raw_Data!$H240</f>
        <v>213.69190140845072</v>
      </c>
    </row>
    <row r="241" spans="1:10" x14ac:dyDescent="0.3">
      <c r="A241" s="8">
        <v>37080</v>
      </c>
      <c r="B241" t="str">
        <f>TEXT(Raw_Data!$A241, "MMM")</f>
        <v>Jul</v>
      </c>
      <c r="C241">
        <f>YEAR(Raw_Data!$A241)</f>
        <v>2001</v>
      </c>
      <c r="D241" t="s">
        <v>240</v>
      </c>
      <c r="E241" t="s">
        <v>15</v>
      </c>
      <c r="F241" t="s">
        <v>27</v>
      </c>
      <c r="H241">
        <v>1177</v>
      </c>
      <c r="I241" s="1">
        <v>328879</v>
      </c>
      <c r="J241" s="1">
        <f>Raw_Data!$I241/Raw_Data!$H241</f>
        <v>279.42141036533559</v>
      </c>
    </row>
    <row r="242" spans="1:10" x14ac:dyDescent="0.3">
      <c r="A242" s="9">
        <v>40459</v>
      </c>
      <c r="B242" s="2" t="str">
        <f>TEXT(Raw_Data!$A242, "MMM")</f>
        <v>Oct</v>
      </c>
      <c r="C242" s="2">
        <f>YEAR(Raw_Data!$A242)</f>
        <v>2010</v>
      </c>
      <c r="D242" s="2" t="s">
        <v>254</v>
      </c>
      <c r="E242" s="2" t="s">
        <v>13</v>
      </c>
      <c r="F242" s="2" t="s">
        <v>16</v>
      </c>
      <c r="G242" s="2">
        <v>3</v>
      </c>
      <c r="H242" s="2">
        <v>1374</v>
      </c>
      <c r="I242" s="10">
        <v>123055</v>
      </c>
      <c r="J242" s="10">
        <f>Raw_Data!$I242/Raw_Data!$H242</f>
        <v>89.559679767103347</v>
      </c>
    </row>
    <row r="243" spans="1:10" x14ac:dyDescent="0.3">
      <c r="A243" s="8">
        <v>39947</v>
      </c>
      <c r="B243" t="str">
        <f>TEXT(Raw_Data!$A243, "MMM")</f>
        <v>May</v>
      </c>
      <c r="C243">
        <f>YEAR(Raw_Data!$A243)</f>
        <v>2009</v>
      </c>
      <c r="D243" t="s">
        <v>37</v>
      </c>
      <c r="E243" t="s">
        <v>32</v>
      </c>
      <c r="F243" t="s">
        <v>27</v>
      </c>
      <c r="G243">
        <v>4</v>
      </c>
      <c r="H243">
        <v>3396</v>
      </c>
      <c r="I243" s="1">
        <v>170728</v>
      </c>
      <c r="J243" s="1">
        <f>Raw_Data!$I243/Raw_Data!$H243</f>
        <v>50.273262661955243</v>
      </c>
    </row>
    <row r="244" spans="1:10" x14ac:dyDescent="0.3">
      <c r="A244" s="9">
        <v>43447</v>
      </c>
      <c r="B244" s="2" t="str">
        <f>TEXT(Raw_Data!$A244, "MMM")</f>
        <v>Dec</v>
      </c>
      <c r="C244" s="2">
        <f>YEAR(Raw_Data!$A244)</f>
        <v>2018</v>
      </c>
      <c r="D244" s="2" t="s">
        <v>255</v>
      </c>
      <c r="E244" s="2" t="s">
        <v>15</v>
      </c>
      <c r="F244" s="2" t="s">
        <v>16</v>
      </c>
      <c r="G244" s="2"/>
      <c r="H244" s="2">
        <v>1785</v>
      </c>
      <c r="I244" s="10">
        <v>715567</v>
      </c>
      <c r="J244" s="10">
        <f>Raw_Data!$I244/Raw_Data!$H244</f>
        <v>400.87787114845941</v>
      </c>
    </row>
    <row r="245" spans="1:10" x14ac:dyDescent="0.3">
      <c r="A245" s="8">
        <v>36916</v>
      </c>
      <c r="B245" t="str">
        <f>TEXT(Raw_Data!$A245, "MMM")</f>
        <v>Jan</v>
      </c>
      <c r="C245">
        <f>YEAR(Raw_Data!$A245)</f>
        <v>2001</v>
      </c>
      <c r="D245" t="s">
        <v>256</v>
      </c>
      <c r="E245" t="s">
        <v>25</v>
      </c>
      <c r="F245" t="s">
        <v>16</v>
      </c>
      <c r="H245">
        <v>3273</v>
      </c>
      <c r="I245" s="1">
        <v>548706</v>
      </c>
      <c r="J245" s="1">
        <f>Raw_Data!$I245/Raw_Data!$H245</f>
        <v>167.6461961503208</v>
      </c>
    </row>
    <row r="246" spans="1:10" x14ac:dyDescent="0.3">
      <c r="A246" s="9">
        <v>43657</v>
      </c>
      <c r="B246" s="2" t="str">
        <f>TEXT(Raw_Data!$A246, "MMM")</f>
        <v>Jul</v>
      </c>
      <c r="C246" s="2">
        <f>YEAR(Raw_Data!$A246)</f>
        <v>2019</v>
      </c>
      <c r="D246" s="2" t="s">
        <v>257</v>
      </c>
      <c r="E246" s="2" t="s">
        <v>25</v>
      </c>
      <c r="F246" s="2" t="s">
        <v>18</v>
      </c>
      <c r="G246" s="2"/>
      <c r="H246" s="2">
        <v>2787</v>
      </c>
      <c r="I246" s="10">
        <v>234665</v>
      </c>
      <c r="J246" s="10">
        <f>Raw_Data!$I246/Raw_Data!$H246</f>
        <v>84.199856476498027</v>
      </c>
    </row>
    <row r="247" spans="1:10" x14ac:dyDescent="0.3">
      <c r="A247" s="8">
        <v>44177</v>
      </c>
      <c r="B247" t="str">
        <f>TEXT(Raw_Data!$A247, "MMM")</f>
        <v>Dec</v>
      </c>
      <c r="C247">
        <f>YEAR(Raw_Data!$A247)</f>
        <v>2020</v>
      </c>
      <c r="D247" t="s">
        <v>258</v>
      </c>
      <c r="E247" t="s">
        <v>21</v>
      </c>
      <c r="F247" t="s">
        <v>18</v>
      </c>
      <c r="H247">
        <v>1291</v>
      </c>
      <c r="I247" s="1">
        <v>896000</v>
      </c>
      <c r="J247" s="1">
        <f>Raw_Data!$I247/Raw_Data!$H247</f>
        <v>694.03563129357087</v>
      </c>
    </row>
    <row r="248" spans="1:10" x14ac:dyDescent="0.3">
      <c r="A248" s="9">
        <v>38123</v>
      </c>
      <c r="B248" s="2" t="str">
        <f>TEXT(Raw_Data!$A248, "MMM")</f>
        <v>May</v>
      </c>
      <c r="C248" s="2">
        <f>YEAR(Raw_Data!$A248)</f>
        <v>2004</v>
      </c>
      <c r="D248" s="2" t="s">
        <v>259</v>
      </c>
      <c r="E248" s="2" t="s">
        <v>29</v>
      </c>
      <c r="F248" s="2" t="s">
        <v>11</v>
      </c>
      <c r="G248" s="2">
        <v>4</v>
      </c>
      <c r="H248" s="2">
        <v>2215</v>
      </c>
      <c r="I248" s="10">
        <v>149376</v>
      </c>
      <c r="J248" s="10">
        <f>Raw_Data!$I248/Raw_Data!$H248</f>
        <v>67.438374717832957</v>
      </c>
    </row>
    <row r="249" spans="1:10" x14ac:dyDescent="0.3">
      <c r="A249" s="8">
        <v>43802</v>
      </c>
      <c r="B249" t="str">
        <f>TEXT(Raw_Data!$A249, "MMM")</f>
        <v>Dec</v>
      </c>
      <c r="C249">
        <f>YEAR(Raw_Data!$A249)</f>
        <v>2019</v>
      </c>
      <c r="D249" t="s">
        <v>260</v>
      </c>
      <c r="E249" t="s">
        <v>15</v>
      </c>
      <c r="F249" t="s">
        <v>18</v>
      </c>
      <c r="G249">
        <v>2</v>
      </c>
      <c r="H249">
        <v>2599</v>
      </c>
      <c r="I249" s="1">
        <v>346253</v>
      </c>
      <c r="J249" s="1">
        <f>Raw_Data!$I249/Raw_Data!$H249</f>
        <v>133.2254713351289</v>
      </c>
    </row>
    <row r="250" spans="1:10" x14ac:dyDescent="0.3">
      <c r="A250" s="9">
        <v>39254</v>
      </c>
      <c r="B250" s="2" t="str">
        <f>TEXT(Raw_Data!$A250, "MMM")</f>
        <v>Jun</v>
      </c>
      <c r="C250" s="2">
        <f>YEAR(Raw_Data!$A250)</f>
        <v>2007</v>
      </c>
      <c r="D250" s="2" t="s">
        <v>261</v>
      </c>
      <c r="E250" s="2" t="s">
        <v>15</v>
      </c>
      <c r="F250" s="2" t="s">
        <v>18</v>
      </c>
      <c r="G250" s="2"/>
      <c r="H250" s="2">
        <v>2379</v>
      </c>
      <c r="I250" s="10">
        <v>202303</v>
      </c>
      <c r="J250" s="10">
        <f>Raw_Data!$I250/Raw_Data!$H250</f>
        <v>85.036990332072293</v>
      </c>
    </row>
    <row r="251" spans="1:10" x14ac:dyDescent="0.3">
      <c r="A251" s="8">
        <v>40678</v>
      </c>
      <c r="B251" t="str">
        <f>TEXT(Raw_Data!$A251, "MMM")</f>
        <v>May</v>
      </c>
      <c r="C251">
        <f>YEAR(Raw_Data!$A251)</f>
        <v>2011</v>
      </c>
      <c r="D251" t="s">
        <v>262</v>
      </c>
      <c r="E251" t="s">
        <v>21</v>
      </c>
      <c r="F251" t="s">
        <v>27</v>
      </c>
      <c r="G251">
        <v>4</v>
      </c>
      <c r="H251">
        <v>2753</v>
      </c>
      <c r="I251" s="1">
        <v>418771</v>
      </c>
      <c r="J251" s="1">
        <f>Raw_Data!$I251/Raw_Data!$H251</f>
        <v>152.11442063203776</v>
      </c>
    </row>
    <row r="252" spans="1:10" x14ac:dyDescent="0.3">
      <c r="A252" s="9">
        <v>42779</v>
      </c>
      <c r="B252" s="2" t="str">
        <f>TEXT(Raw_Data!$A252, "MMM")</f>
        <v>Feb</v>
      </c>
      <c r="C252" s="2">
        <f>YEAR(Raw_Data!$A252)</f>
        <v>2017</v>
      </c>
      <c r="D252" s="2" t="s">
        <v>263</v>
      </c>
      <c r="E252" s="2" t="s">
        <v>13</v>
      </c>
      <c r="F252" s="2" t="s">
        <v>18</v>
      </c>
      <c r="G252" s="2"/>
      <c r="H252" s="2">
        <v>2760</v>
      </c>
      <c r="I252" s="10">
        <v>144718</v>
      </c>
      <c r="J252" s="10">
        <f>Raw_Data!$I252/Raw_Data!$H252</f>
        <v>52.434057971014489</v>
      </c>
    </row>
    <row r="253" spans="1:10" x14ac:dyDescent="0.3">
      <c r="A253" s="8">
        <v>41002</v>
      </c>
      <c r="B253" t="str">
        <f>TEXT(Raw_Data!$A253, "MMM")</f>
        <v>Apr</v>
      </c>
      <c r="C253">
        <f>YEAR(Raw_Data!$A253)</f>
        <v>2012</v>
      </c>
      <c r="D253" t="s">
        <v>264</v>
      </c>
      <c r="E253" t="s">
        <v>15</v>
      </c>
      <c r="F253" t="s">
        <v>18</v>
      </c>
      <c r="G253">
        <v>4</v>
      </c>
      <c r="H253">
        <v>1275</v>
      </c>
      <c r="I253" s="1">
        <v>784654</v>
      </c>
      <c r="J253" s="1">
        <f>Raw_Data!$I253/Raw_Data!$H253</f>
        <v>615.41490196078428</v>
      </c>
    </row>
    <row r="254" spans="1:10" x14ac:dyDescent="0.3">
      <c r="A254" s="9">
        <v>42932</v>
      </c>
      <c r="B254" s="2" t="str">
        <f>TEXT(Raw_Data!$A254, "MMM")</f>
        <v>Jul</v>
      </c>
      <c r="C254" s="2">
        <f>YEAR(Raw_Data!$A254)</f>
        <v>2017</v>
      </c>
      <c r="D254" s="2" t="s">
        <v>221</v>
      </c>
      <c r="E254" s="2" t="s">
        <v>15</v>
      </c>
      <c r="F254" s="2" t="s">
        <v>16</v>
      </c>
      <c r="G254" s="2">
        <v>4</v>
      </c>
      <c r="H254" s="2">
        <v>3486</v>
      </c>
      <c r="I254" s="10">
        <v>406850</v>
      </c>
      <c r="J254" s="10">
        <f>Raw_Data!$I254/Raw_Data!$H254</f>
        <v>116.7096959265634</v>
      </c>
    </row>
    <row r="255" spans="1:10" x14ac:dyDescent="0.3">
      <c r="A255" s="8">
        <v>38979</v>
      </c>
      <c r="B255" t="str">
        <f>TEXT(Raw_Data!$A255, "MMM")</f>
        <v>Sep</v>
      </c>
      <c r="C255">
        <f>YEAR(Raw_Data!$A255)</f>
        <v>2006</v>
      </c>
      <c r="D255" t="s">
        <v>265</v>
      </c>
      <c r="E255" t="s">
        <v>23</v>
      </c>
      <c r="F255" t="s">
        <v>27</v>
      </c>
      <c r="H255">
        <v>2199</v>
      </c>
      <c r="I255" s="1">
        <v>144269</v>
      </c>
      <c r="J255" s="1">
        <f>Raw_Data!$I255/Raw_Data!$H255</f>
        <v>65.606639381537065</v>
      </c>
    </row>
    <row r="256" spans="1:10" x14ac:dyDescent="0.3">
      <c r="A256" s="9">
        <v>43755</v>
      </c>
      <c r="B256" s="2" t="str">
        <f>TEXT(Raw_Data!$A256, "MMM")</f>
        <v>Oct</v>
      </c>
      <c r="C256" s="2">
        <f>YEAR(Raw_Data!$A256)</f>
        <v>2019</v>
      </c>
      <c r="D256" s="2" t="s">
        <v>266</v>
      </c>
      <c r="E256" s="2" t="s">
        <v>25</v>
      </c>
      <c r="F256" s="2" t="s">
        <v>27</v>
      </c>
      <c r="G256" s="2">
        <v>5</v>
      </c>
      <c r="H256" s="2">
        <v>1818</v>
      </c>
      <c r="I256" s="10">
        <v>398917</v>
      </c>
      <c r="J256" s="10">
        <f>Raw_Data!$I256/Raw_Data!$H256</f>
        <v>219.42629262926292</v>
      </c>
    </row>
    <row r="257" spans="1:10" x14ac:dyDescent="0.3">
      <c r="A257" s="8">
        <v>38616</v>
      </c>
      <c r="B257" t="str">
        <f>TEXT(Raw_Data!$A257, "MMM")</f>
        <v>Sep</v>
      </c>
      <c r="C257">
        <f>YEAR(Raw_Data!$A257)</f>
        <v>2005</v>
      </c>
      <c r="D257" t="s">
        <v>267</v>
      </c>
      <c r="E257" t="s">
        <v>15</v>
      </c>
      <c r="F257" t="s">
        <v>16</v>
      </c>
      <c r="G257">
        <v>2</v>
      </c>
      <c r="H257">
        <v>2175</v>
      </c>
      <c r="I257" s="1">
        <v>865239</v>
      </c>
      <c r="J257" s="1">
        <f>Raw_Data!$I257/Raw_Data!$H257</f>
        <v>397.8110344827586</v>
      </c>
    </row>
    <row r="258" spans="1:10" x14ac:dyDescent="0.3">
      <c r="A258" s="9">
        <v>38634</v>
      </c>
      <c r="B258" s="2" t="str">
        <f>TEXT(Raw_Data!$A258, "MMM")</f>
        <v>Oct</v>
      </c>
      <c r="C258" s="2">
        <f>YEAR(Raw_Data!$A258)</f>
        <v>2005</v>
      </c>
      <c r="D258" s="2" t="s">
        <v>268</v>
      </c>
      <c r="E258" s="2" t="s">
        <v>32</v>
      </c>
      <c r="F258" s="2" t="s">
        <v>18</v>
      </c>
      <c r="G258" s="2">
        <v>2</v>
      </c>
      <c r="H258" s="2">
        <v>1949</v>
      </c>
      <c r="I258" s="10">
        <v>682298</v>
      </c>
      <c r="J258" s="10">
        <f>Raw_Data!$I258/Raw_Data!$H258</f>
        <v>350.07593637762955</v>
      </c>
    </row>
    <row r="259" spans="1:10" x14ac:dyDescent="0.3">
      <c r="A259" s="8">
        <v>38053</v>
      </c>
      <c r="B259" t="str">
        <f>TEXT(Raw_Data!$A259, "MMM")</f>
        <v>Mar</v>
      </c>
      <c r="C259">
        <f>YEAR(Raw_Data!$A259)</f>
        <v>2004</v>
      </c>
      <c r="D259" t="s">
        <v>269</v>
      </c>
      <c r="E259" t="s">
        <v>23</v>
      </c>
      <c r="F259" t="s">
        <v>18</v>
      </c>
      <c r="G259">
        <v>4</v>
      </c>
      <c r="H259">
        <v>1105</v>
      </c>
      <c r="I259" s="1">
        <v>374918</v>
      </c>
      <c r="J259" s="1">
        <f>Raw_Data!$I259/Raw_Data!$H259</f>
        <v>339.2923076923077</v>
      </c>
    </row>
    <row r="260" spans="1:10" x14ac:dyDescent="0.3">
      <c r="A260" s="9">
        <v>42856</v>
      </c>
      <c r="B260" s="2" t="str">
        <f>TEXT(Raw_Data!$A260, "MMM")</f>
        <v>May</v>
      </c>
      <c r="C260" s="2">
        <f>YEAR(Raw_Data!$A260)</f>
        <v>2017</v>
      </c>
      <c r="D260" s="2" t="s">
        <v>270</v>
      </c>
      <c r="E260" s="2" t="s">
        <v>13</v>
      </c>
      <c r="F260" s="2" t="s">
        <v>16</v>
      </c>
      <c r="G260" s="2"/>
      <c r="H260" s="2">
        <v>1002</v>
      </c>
      <c r="I260" s="10">
        <v>573904</v>
      </c>
      <c r="J260" s="10">
        <f>Raw_Data!$I260/Raw_Data!$H260</f>
        <v>572.75848303393218</v>
      </c>
    </row>
    <row r="261" spans="1:10" x14ac:dyDescent="0.3">
      <c r="A261" s="8">
        <v>37234</v>
      </c>
      <c r="B261" t="str">
        <f>TEXT(Raw_Data!$A261, "MMM")</f>
        <v>Dec</v>
      </c>
      <c r="C261">
        <f>YEAR(Raw_Data!$A261)</f>
        <v>2001</v>
      </c>
      <c r="D261" t="s">
        <v>271</v>
      </c>
      <c r="E261" t="s">
        <v>13</v>
      </c>
      <c r="F261" t="s">
        <v>18</v>
      </c>
      <c r="G261">
        <v>2</v>
      </c>
      <c r="H261">
        <v>3404</v>
      </c>
      <c r="I261" s="1">
        <v>731108</v>
      </c>
      <c r="J261" s="1">
        <f>Raw_Data!$I261/Raw_Data!$H261</f>
        <v>214.77908343125733</v>
      </c>
    </row>
    <row r="262" spans="1:10" x14ac:dyDescent="0.3">
      <c r="A262" s="9">
        <v>39585</v>
      </c>
      <c r="B262" s="2" t="str">
        <f>TEXT(Raw_Data!$A262, "MMM")</f>
        <v>May</v>
      </c>
      <c r="C262" s="2">
        <f>YEAR(Raw_Data!$A262)</f>
        <v>2008</v>
      </c>
      <c r="D262" s="2" t="s">
        <v>272</v>
      </c>
      <c r="E262" s="2" t="s">
        <v>15</v>
      </c>
      <c r="F262" s="2" t="s">
        <v>16</v>
      </c>
      <c r="G262" s="2"/>
      <c r="H262" s="2">
        <v>3098</v>
      </c>
      <c r="I262" s="10">
        <v>321659</v>
      </c>
      <c r="J262" s="10">
        <f>Raw_Data!$I262/Raw_Data!$H262</f>
        <v>103.82795351839897</v>
      </c>
    </row>
    <row r="263" spans="1:10" x14ac:dyDescent="0.3">
      <c r="A263" s="8">
        <v>43966</v>
      </c>
      <c r="B263" t="str">
        <f>TEXT(Raw_Data!$A263, "MMM")</f>
        <v>May</v>
      </c>
      <c r="C263">
        <f>YEAR(Raw_Data!$A263)</f>
        <v>2020</v>
      </c>
      <c r="D263" t="s">
        <v>273</v>
      </c>
      <c r="E263" t="s">
        <v>32</v>
      </c>
      <c r="F263" t="s">
        <v>27</v>
      </c>
      <c r="G263">
        <v>5</v>
      </c>
      <c r="H263">
        <v>2932</v>
      </c>
      <c r="I263" s="1">
        <v>199544</v>
      </c>
      <c r="J263" s="1">
        <f>Raw_Data!$I263/Raw_Data!$H263</f>
        <v>68.057298772169162</v>
      </c>
    </row>
    <row r="264" spans="1:10" x14ac:dyDescent="0.3">
      <c r="A264" s="9">
        <v>41734</v>
      </c>
      <c r="B264" s="2" t="str">
        <f>TEXT(Raw_Data!$A264, "MMM")</f>
        <v>Apr</v>
      </c>
      <c r="C264" s="2">
        <f>YEAR(Raw_Data!$A264)</f>
        <v>2014</v>
      </c>
      <c r="D264" s="2" t="s">
        <v>274</v>
      </c>
      <c r="E264" s="2" t="s">
        <v>15</v>
      </c>
      <c r="F264" s="2" t="s">
        <v>16</v>
      </c>
      <c r="G264" s="2">
        <v>2</v>
      </c>
      <c r="H264" s="2">
        <v>803</v>
      </c>
      <c r="I264" s="10">
        <v>134140</v>
      </c>
      <c r="J264" s="10">
        <f>Raw_Data!$I264/Raw_Data!$H264</f>
        <v>167.04856787048567</v>
      </c>
    </row>
    <row r="265" spans="1:10" x14ac:dyDescent="0.3">
      <c r="A265" s="8">
        <v>40054</v>
      </c>
      <c r="B265" t="str">
        <f>TEXT(Raw_Data!$A265, "MMM")</f>
        <v>Aug</v>
      </c>
      <c r="C265">
        <f>YEAR(Raw_Data!$A265)</f>
        <v>2009</v>
      </c>
      <c r="D265" t="s">
        <v>275</v>
      </c>
      <c r="E265" t="s">
        <v>15</v>
      </c>
      <c r="F265" t="s">
        <v>16</v>
      </c>
      <c r="H265">
        <v>2272</v>
      </c>
      <c r="I265" s="1">
        <v>110108</v>
      </c>
      <c r="J265" s="1">
        <f>Raw_Data!$I265/Raw_Data!$H265</f>
        <v>48.463028169014088</v>
      </c>
    </row>
    <row r="266" spans="1:10" x14ac:dyDescent="0.3">
      <c r="A266" s="9">
        <v>42425</v>
      </c>
      <c r="B266" s="2" t="str">
        <f>TEXT(Raw_Data!$A266, "MMM")</f>
        <v>Feb</v>
      </c>
      <c r="C266" s="2">
        <f>YEAR(Raw_Data!$A266)</f>
        <v>2016</v>
      </c>
      <c r="D266" s="2" t="s">
        <v>276</v>
      </c>
      <c r="E266" s="2" t="s">
        <v>21</v>
      </c>
      <c r="F266" s="2" t="s">
        <v>27</v>
      </c>
      <c r="G266" s="2">
        <v>4</v>
      </c>
      <c r="H266" s="2">
        <v>2437</v>
      </c>
      <c r="I266" s="10">
        <v>643811</v>
      </c>
      <c r="J266" s="10">
        <f>Raw_Data!$I266/Raw_Data!$H266</f>
        <v>264.18178087812885</v>
      </c>
    </row>
    <row r="267" spans="1:10" x14ac:dyDescent="0.3">
      <c r="A267" s="8">
        <v>40598</v>
      </c>
      <c r="B267" t="str">
        <f>TEXT(Raw_Data!$A267, "MMM")</f>
        <v>Feb</v>
      </c>
      <c r="C267">
        <f>YEAR(Raw_Data!$A267)</f>
        <v>2011</v>
      </c>
      <c r="D267" t="s">
        <v>277</v>
      </c>
      <c r="E267" t="s">
        <v>25</v>
      </c>
      <c r="F267" t="s">
        <v>18</v>
      </c>
      <c r="G267">
        <v>4</v>
      </c>
      <c r="H267">
        <v>3411</v>
      </c>
      <c r="I267" s="1">
        <v>666072</v>
      </c>
      <c r="J267" s="1">
        <f>Raw_Data!$I267/Raw_Data!$H267</f>
        <v>195.27176781002638</v>
      </c>
    </row>
    <row r="268" spans="1:10" x14ac:dyDescent="0.3">
      <c r="A268" s="9">
        <v>38978</v>
      </c>
      <c r="B268" s="2" t="str">
        <f>TEXT(Raw_Data!$A268, "MMM")</f>
        <v>Sep</v>
      </c>
      <c r="C268" s="2">
        <f>YEAR(Raw_Data!$A268)</f>
        <v>2006</v>
      </c>
      <c r="D268" s="2" t="s">
        <v>278</v>
      </c>
      <c r="E268" s="2" t="s">
        <v>13</v>
      </c>
      <c r="F268" s="2" t="s">
        <v>16</v>
      </c>
      <c r="G268" s="2">
        <v>5</v>
      </c>
      <c r="H268" s="2">
        <v>2571</v>
      </c>
      <c r="I268" s="10">
        <v>642334</v>
      </c>
      <c r="J268" s="10">
        <f>Raw_Data!$I268/Raw_Data!$H268</f>
        <v>249.83819525476468</v>
      </c>
    </row>
    <row r="269" spans="1:10" x14ac:dyDescent="0.3">
      <c r="A269" s="8">
        <v>42905</v>
      </c>
      <c r="B269" t="str">
        <f>TEXT(Raw_Data!$A269, "MMM")</f>
        <v>Jun</v>
      </c>
      <c r="C269">
        <f>YEAR(Raw_Data!$A269)</f>
        <v>2017</v>
      </c>
      <c r="D269" t="s">
        <v>279</v>
      </c>
      <c r="E269" t="s">
        <v>32</v>
      </c>
      <c r="F269" t="s">
        <v>16</v>
      </c>
      <c r="G269">
        <v>4</v>
      </c>
      <c r="H269">
        <v>1536</v>
      </c>
      <c r="I269" s="1">
        <v>647047</v>
      </c>
      <c r="J269" s="1">
        <f>Raw_Data!$I269/Raw_Data!$H269</f>
        <v>421.25455729166669</v>
      </c>
    </row>
    <row r="270" spans="1:10" x14ac:dyDescent="0.3">
      <c r="A270" s="9">
        <v>40991</v>
      </c>
      <c r="B270" s="2" t="str">
        <f>TEXT(Raw_Data!$A270, "MMM")</f>
        <v>Mar</v>
      </c>
      <c r="C270" s="2">
        <f>YEAR(Raw_Data!$A270)</f>
        <v>2012</v>
      </c>
      <c r="D270" s="2" t="s">
        <v>280</v>
      </c>
      <c r="E270" s="2" t="s">
        <v>25</v>
      </c>
      <c r="F270" s="2" t="s">
        <v>11</v>
      </c>
      <c r="G270" s="2"/>
      <c r="H270" s="2">
        <v>2832</v>
      </c>
      <c r="I270" s="10">
        <v>165210</v>
      </c>
      <c r="J270" s="10">
        <f>Raw_Data!$I270/Raw_Data!$H270</f>
        <v>58.336864406779661</v>
      </c>
    </row>
    <row r="271" spans="1:10" x14ac:dyDescent="0.3">
      <c r="A271" s="8">
        <v>37244</v>
      </c>
      <c r="B271" t="str">
        <f>TEXT(Raw_Data!$A271, "MMM")</f>
        <v>Dec</v>
      </c>
      <c r="C271">
        <f>YEAR(Raw_Data!$A271)</f>
        <v>2001</v>
      </c>
      <c r="D271" t="s">
        <v>281</v>
      </c>
      <c r="E271" t="s">
        <v>21</v>
      </c>
      <c r="F271" t="s">
        <v>18</v>
      </c>
      <c r="H271">
        <v>2871</v>
      </c>
      <c r="I271" s="1">
        <v>574697</v>
      </c>
      <c r="J271" s="1">
        <f>Raw_Data!$I271/Raw_Data!$H271</f>
        <v>200.17311041448971</v>
      </c>
    </row>
    <row r="272" spans="1:10" x14ac:dyDescent="0.3">
      <c r="A272" s="9">
        <v>43255</v>
      </c>
      <c r="B272" s="2" t="str">
        <f>TEXT(Raw_Data!$A272, "MMM")</f>
        <v>Jun</v>
      </c>
      <c r="C272" s="2">
        <f>YEAR(Raw_Data!$A272)</f>
        <v>2018</v>
      </c>
      <c r="D272" s="2" t="s">
        <v>282</v>
      </c>
      <c r="E272" s="2" t="s">
        <v>23</v>
      </c>
      <c r="F272" s="2" t="s">
        <v>11</v>
      </c>
      <c r="G272" s="2"/>
      <c r="H272" s="2">
        <v>1108</v>
      </c>
      <c r="I272" s="10">
        <v>580077</v>
      </c>
      <c r="J272" s="10">
        <f>Raw_Data!$I272/Raw_Data!$H272</f>
        <v>523.53519855595664</v>
      </c>
    </row>
    <row r="273" spans="1:10" x14ac:dyDescent="0.3">
      <c r="A273" s="8">
        <v>37386</v>
      </c>
      <c r="B273" t="str">
        <f>TEXT(Raw_Data!$A273, "MMM")</f>
        <v>May</v>
      </c>
      <c r="C273">
        <f>YEAR(Raw_Data!$A273)</f>
        <v>2002</v>
      </c>
      <c r="D273" t="s">
        <v>283</v>
      </c>
      <c r="E273" t="s">
        <v>29</v>
      </c>
      <c r="F273" t="s">
        <v>16</v>
      </c>
      <c r="G273">
        <v>2</v>
      </c>
      <c r="H273">
        <v>1043</v>
      </c>
      <c r="I273" s="1">
        <v>506704</v>
      </c>
      <c r="J273" s="1">
        <f>Raw_Data!$I273/Raw_Data!$H273</f>
        <v>485.81399808245448</v>
      </c>
    </row>
    <row r="274" spans="1:10" x14ac:dyDescent="0.3">
      <c r="A274" s="9">
        <v>43272</v>
      </c>
      <c r="B274" s="2" t="str">
        <f>TEXT(Raw_Data!$A274, "MMM")</f>
        <v>Jun</v>
      </c>
      <c r="C274" s="2">
        <f>YEAR(Raw_Data!$A274)</f>
        <v>2018</v>
      </c>
      <c r="D274" s="2" t="s">
        <v>284</v>
      </c>
      <c r="E274" s="2" t="s">
        <v>32</v>
      </c>
      <c r="F274" s="2" t="s">
        <v>16</v>
      </c>
      <c r="G274" s="2"/>
      <c r="H274" s="2">
        <v>1632</v>
      </c>
      <c r="I274" s="10">
        <v>699649</v>
      </c>
      <c r="J274" s="10">
        <f>Raw_Data!$I274/Raw_Data!$H274</f>
        <v>428.70649509803923</v>
      </c>
    </row>
    <row r="275" spans="1:10" x14ac:dyDescent="0.3">
      <c r="A275" s="8">
        <v>42746</v>
      </c>
      <c r="B275" t="str">
        <f>TEXT(Raw_Data!$A275, "MMM")</f>
        <v>Jan</v>
      </c>
      <c r="C275">
        <f>YEAR(Raw_Data!$A275)</f>
        <v>2017</v>
      </c>
      <c r="D275" t="s">
        <v>285</v>
      </c>
      <c r="E275" t="s">
        <v>15</v>
      </c>
      <c r="F275" t="s">
        <v>16</v>
      </c>
      <c r="G275">
        <v>4</v>
      </c>
      <c r="H275">
        <v>1777</v>
      </c>
      <c r="I275" s="1">
        <v>864835</v>
      </c>
      <c r="J275" s="1">
        <f>Raw_Data!$I275/Raw_Data!$H275</f>
        <v>486.68261114237481</v>
      </c>
    </row>
    <row r="276" spans="1:10" x14ac:dyDescent="0.3">
      <c r="A276" s="9">
        <v>38763</v>
      </c>
      <c r="B276" s="2" t="str">
        <f>TEXT(Raw_Data!$A276, "MMM")</f>
        <v>Feb</v>
      </c>
      <c r="C276" s="2">
        <f>YEAR(Raw_Data!$A276)</f>
        <v>2006</v>
      </c>
      <c r="D276" s="2" t="s">
        <v>286</v>
      </c>
      <c r="E276" s="2" t="s">
        <v>15</v>
      </c>
      <c r="F276" s="2" t="s">
        <v>11</v>
      </c>
      <c r="G276" s="2">
        <v>5</v>
      </c>
      <c r="H276" s="2">
        <v>2602</v>
      </c>
      <c r="I276" s="10">
        <v>392859</v>
      </c>
      <c r="J276" s="10">
        <f>Raw_Data!$I276/Raw_Data!$H276</f>
        <v>150.98347425057648</v>
      </c>
    </row>
    <row r="277" spans="1:10" x14ac:dyDescent="0.3">
      <c r="A277" s="8">
        <v>38831</v>
      </c>
      <c r="B277" t="str">
        <f>TEXT(Raw_Data!$A277, "MMM")</f>
        <v>Apr</v>
      </c>
      <c r="C277">
        <f>YEAR(Raw_Data!$A277)</f>
        <v>2006</v>
      </c>
      <c r="D277" t="s">
        <v>287</v>
      </c>
      <c r="E277" t="s">
        <v>15</v>
      </c>
      <c r="F277" t="s">
        <v>27</v>
      </c>
      <c r="G277">
        <v>3</v>
      </c>
      <c r="H277">
        <v>2692</v>
      </c>
      <c r="I277" s="1">
        <v>814898</v>
      </c>
      <c r="J277" s="1">
        <f>Raw_Data!$I277/Raw_Data!$H277</f>
        <v>302.71099554234769</v>
      </c>
    </row>
    <row r="278" spans="1:10" x14ac:dyDescent="0.3">
      <c r="A278" s="9">
        <v>37643</v>
      </c>
      <c r="B278" s="2" t="str">
        <f>TEXT(Raw_Data!$A278, "MMM")</f>
        <v>Jan</v>
      </c>
      <c r="C278" s="2">
        <f>YEAR(Raw_Data!$A278)</f>
        <v>2003</v>
      </c>
      <c r="D278" s="2" t="s">
        <v>279</v>
      </c>
      <c r="E278" s="2" t="s">
        <v>25</v>
      </c>
      <c r="F278" s="2" t="s">
        <v>11</v>
      </c>
      <c r="G278" s="2">
        <v>5</v>
      </c>
      <c r="H278" s="2">
        <v>1981</v>
      </c>
      <c r="I278" s="10">
        <v>245795</v>
      </c>
      <c r="J278" s="10">
        <f>Raw_Data!$I278/Raw_Data!$H278</f>
        <v>124.07622412922767</v>
      </c>
    </row>
    <row r="279" spans="1:10" x14ac:dyDescent="0.3">
      <c r="A279" s="8">
        <v>38818</v>
      </c>
      <c r="B279" t="str">
        <f>TEXT(Raw_Data!$A279, "MMM")</f>
        <v>Apr</v>
      </c>
      <c r="C279">
        <f>YEAR(Raw_Data!$A279)</f>
        <v>2006</v>
      </c>
      <c r="D279" t="s">
        <v>288</v>
      </c>
      <c r="E279" t="s">
        <v>15</v>
      </c>
      <c r="F279" t="s">
        <v>18</v>
      </c>
      <c r="H279">
        <v>3434</v>
      </c>
      <c r="I279" s="1">
        <v>673006</v>
      </c>
      <c r="J279" s="1">
        <f>Raw_Data!$I279/Raw_Data!$H279</f>
        <v>195.98311007571345</v>
      </c>
    </row>
    <row r="280" spans="1:10" x14ac:dyDescent="0.3">
      <c r="A280" s="9">
        <v>41173</v>
      </c>
      <c r="B280" s="2" t="str">
        <f>TEXT(Raw_Data!$A280, "MMM")</f>
        <v>Sep</v>
      </c>
      <c r="C280" s="2">
        <f>YEAR(Raw_Data!$A280)</f>
        <v>2012</v>
      </c>
      <c r="D280" s="2" t="s">
        <v>289</v>
      </c>
      <c r="E280" s="2" t="s">
        <v>25</v>
      </c>
      <c r="F280" s="2" t="s">
        <v>16</v>
      </c>
      <c r="G280" s="2">
        <v>2</v>
      </c>
      <c r="H280" s="2">
        <v>845</v>
      </c>
      <c r="I280" s="10">
        <v>326894</v>
      </c>
      <c r="J280" s="10">
        <f>Raw_Data!$I280/Raw_Data!$H280</f>
        <v>386.85680473372781</v>
      </c>
    </row>
    <row r="281" spans="1:10" x14ac:dyDescent="0.3">
      <c r="A281" s="8">
        <v>37182</v>
      </c>
      <c r="B281" t="str">
        <f>TEXT(Raw_Data!$A281, "MMM")</f>
        <v>Oct</v>
      </c>
      <c r="C281">
        <f>YEAR(Raw_Data!$A281)</f>
        <v>2001</v>
      </c>
      <c r="D281" t="s">
        <v>290</v>
      </c>
      <c r="E281" t="s">
        <v>25</v>
      </c>
      <c r="F281" t="s">
        <v>18</v>
      </c>
      <c r="H281">
        <v>3148</v>
      </c>
      <c r="I281" s="1">
        <v>806329</v>
      </c>
      <c r="J281" s="1">
        <f>Raw_Data!$I281/Raw_Data!$H281</f>
        <v>256.14008894536215</v>
      </c>
    </row>
    <row r="282" spans="1:10" x14ac:dyDescent="0.3">
      <c r="A282" s="9">
        <v>40824</v>
      </c>
      <c r="B282" s="2" t="str">
        <f>TEXT(Raw_Data!$A282, "MMM")</f>
        <v>Oct</v>
      </c>
      <c r="C282" s="2">
        <f>YEAR(Raw_Data!$A282)</f>
        <v>2011</v>
      </c>
      <c r="D282" s="2" t="s">
        <v>291</v>
      </c>
      <c r="E282" s="2" t="s">
        <v>13</v>
      </c>
      <c r="F282" s="2" t="s">
        <v>16</v>
      </c>
      <c r="G282" s="2">
        <v>4</v>
      </c>
      <c r="H282" s="2">
        <v>3127</v>
      </c>
      <c r="I282" s="10">
        <v>759895</v>
      </c>
      <c r="J282" s="10">
        <f>Raw_Data!$I282/Raw_Data!$H282</f>
        <v>243.0108730412536</v>
      </c>
    </row>
    <row r="283" spans="1:10" x14ac:dyDescent="0.3">
      <c r="A283" s="8">
        <v>43301</v>
      </c>
      <c r="B283" t="str">
        <f>TEXT(Raw_Data!$A283, "MMM")</f>
        <v>Jul</v>
      </c>
      <c r="C283">
        <f>YEAR(Raw_Data!$A283)</f>
        <v>2018</v>
      </c>
      <c r="D283" t="s">
        <v>292</v>
      </c>
      <c r="E283" t="s">
        <v>23</v>
      </c>
      <c r="F283" t="s">
        <v>16</v>
      </c>
      <c r="H283">
        <v>3382</v>
      </c>
      <c r="I283" s="1">
        <v>876624</v>
      </c>
      <c r="J283" s="1">
        <f>Raw_Data!$I283/Raw_Data!$H283</f>
        <v>259.2028385570668</v>
      </c>
    </row>
    <row r="284" spans="1:10" x14ac:dyDescent="0.3">
      <c r="A284" s="9">
        <v>40166</v>
      </c>
      <c r="B284" s="2" t="str">
        <f>TEXT(Raw_Data!$A284, "MMM")</f>
        <v>Dec</v>
      </c>
      <c r="C284" s="2">
        <f>YEAR(Raw_Data!$A284)</f>
        <v>2009</v>
      </c>
      <c r="D284" s="2" t="s">
        <v>293</v>
      </c>
      <c r="E284" s="2" t="s">
        <v>21</v>
      </c>
      <c r="F284" s="2" t="s">
        <v>16</v>
      </c>
      <c r="G284" s="2">
        <v>4</v>
      </c>
      <c r="H284" s="2">
        <v>3296</v>
      </c>
      <c r="I284" s="10">
        <v>765430</v>
      </c>
      <c r="J284" s="10">
        <f>Raw_Data!$I284/Raw_Data!$H284</f>
        <v>232.22997572815535</v>
      </c>
    </row>
    <row r="285" spans="1:10" x14ac:dyDescent="0.3">
      <c r="A285" s="8">
        <v>41222</v>
      </c>
      <c r="B285" t="str">
        <f>TEXT(Raw_Data!$A285, "MMM")</f>
        <v>Nov</v>
      </c>
      <c r="C285">
        <f>YEAR(Raw_Data!$A285)</f>
        <v>2012</v>
      </c>
      <c r="D285" t="s">
        <v>294</v>
      </c>
      <c r="E285" t="s">
        <v>21</v>
      </c>
      <c r="F285" t="s">
        <v>18</v>
      </c>
      <c r="G285">
        <v>5</v>
      </c>
      <c r="H285">
        <v>1351</v>
      </c>
      <c r="I285" s="1">
        <v>864550</v>
      </c>
      <c r="J285" s="1">
        <f>Raw_Data!$I285/Raw_Data!$H285</f>
        <v>639.93338267949662</v>
      </c>
    </row>
    <row r="286" spans="1:10" x14ac:dyDescent="0.3">
      <c r="A286" s="9">
        <v>43087</v>
      </c>
      <c r="B286" s="2" t="str">
        <f>TEXT(Raw_Data!$A286, "MMM")</f>
        <v>Dec</v>
      </c>
      <c r="C286" s="2">
        <f>YEAR(Raw_Data!$A286)</f>
        <v>2017</v>
      </c>
      <c r="D286" s="2" t="s">
        <v>295</v>
      </c>
      <c r="E286" s="2" t="s">
        <v>25</v>
      </c>
      <c r="F286" s="2" t="s">
        <v>27</v>
      </c>
      <c r="G286" s="2">
        <v>5</v>
      </c>
      <c r="H286" s="2">
        <v>1410</v>
      </c>
      <c r="I286" s="10">
        <v>518982</v>
      </c>
      <c r="J286" s="10">
        <f>Raw_Data!$I286/Raw_Data!$H286</f>
        <v>368.07234042553193</v>
      </c>
    </row>
    <row r="287" spans="1:10" x14ac:dyDescent="0.3">
      <c r="A287" s="8">
        <v>41957</v>
      </c>
      <c r="B287" t="str">
        <f>TEXT(Raw_Data!$A287, "MMM")</f>
        <v>Nov</v>
      </c>
      <c r="C287">
        <f>YEAR(Raw_Data!$A287)</f>
        <v>2014</v>
      </c>
      <c r="D287" t="s">
        <v>296</v>
      </c>
      <c r="E287" t="s">
        <v>15</v>
      </c>
      <c r="F287" t="s">
        <v>27</v>
      </c>
      <c r="G287">
        <v>3</v>
      </c>
      <c r="H287">
        <v>3116</v>
      </c>
      <c r="I287" s="1">
        <v>261256</v>
      </c>
      <c r="J287" s="1">
        <f>Raw_Data!$I287/Raw_Data!$H287</f>
        <v>83.843388960205388</v>
      </c>
    </row>
    <row r="288" spans="1:10" x14ac:dyDescent="0.3">
      <c r="A288" s="9">
        <v>40658</v>
      </c>
      <c r="B288" s="2" t="str">
        <f>TEXT(Raw_Data!$A288, "MMM")</f>
        <v>Apr</v>
      </c>
      <c r="C288" s="2">
        <f>YEAR(Raw_Data!$A288)</f>
        <v>2011</v>
      </c>
      <c r="D288" s="2" t="s">
        <v>297</v>
      </c>
      <c r="E288" s="2" t="s">
        <v>32</v>
      </c>
      <c r="F288" s="2" t="s">
        <v>16</v>
      </c>
      <c r="G288" s="2">
        <v>5</v>
      </c>
      <c r="H288" s="2">
        <v>2750</v>
      </c>
      <c r="I288" s="10">
        <v>365612</v>
      </c>
      <c r="J288" s="10">
        <f>Raw_Data!$I288/Raw_Data!$H288</f>
        <v>132.94981818181819</v>
      </c>
    </row>
    <row r="289" spans="1:10" x14ac:dyDescent="0.3">
      <c r="A289" s="8">
        <v>37806</v>
      </c>
      <c r="B289" t="str">
        <f>TEXT(Raw_Data!$A289, "MMM")</f>
        <v>Jul</v>
      </c>
      <c r="C289">
        <f>YEAR(Raw_Data!$A289)</f>
        <v>2003</v>
      </c>
      <c r="D289" t="s">
        <v>298</v>
      </c>
      <c r="E289" t="s">
        <v>29</v>
      </c>
      <c r="F289" t="s">
        <v>18</v>
      </c>
      <c r="H289">
        <v>2381</v>
      </c>
      <c r="I289" s="1">
        <v>214437</v>
      </c>
      <c r="J289" s="1">
        <f>Raw_Data!$I289/Raw_Data!$H289</f>
        <v>90.061738765224689</v>
      </c>
    </row>
    <row r="290" spans="1:10" x14ac:dyDescent="0.3">
      <c r="A290" s="9">
        <v>42828</v>
      </c>
      <c r="B290" s="2" t="str">
        <f>TEXT(Raw_Data!$A290, "MMM")</f>
        <v>Apr</v>
      </c>
      <c r="C290" s="2">
        <f>YEAR(Raw_Data!$A290)</f>
        <v>2017</v>
      </c>
      <c r="D290" s="2" t="s">
        <v>299</v>
      </c>
      <c r="E290" s="2" t="s">
        <v>32</v>
      </c>
      <c r="F290" s="2" t="s">
        <v>11</v>
      </c>
      <c r="G290" s="2">
        <v>3</v>
      </c>
      <c r="H290" s="2">
        <v>1271</v>
      </c>
      <c r="I290" s="10">
        <v>710009</v>
      </c>
      <c r="J290" s="10">
        <f>Raw_Data!$I290/Raw_Data!$H290</f>
        <v>558.62234461054288</v>
      </c>
    </row>
    <row r="291" spans="1:10" x14ac:dyDescent="0.3">
      <c r="A291" s="8">
        <v>40500</v>
      </c>
      <c r="B291" t="str">
        <f>TEXT(Raw_Data!$A291, "MMM")</f>
        <v>Nov</v>
      </c>
      <c r="C291">
        <f>YEAR(Raw_Data!$A291)</f>
        <v>2010</v>
      </c>
      <c r="D291" t="s">
        <v>300</v>
      </c>
      <c r="E291" t="s">
        <v>29</v>
      </c>
      <c r="F291" t="s">
        <v>16</v>
      </c>
      <c r="G291">
        <v>2</v>
      </c>
      <c r="H291">
        <v>1535</v>
      </c>
      <c r="I291" s="1">
        <v>814387</v>
      </c>
      <c r="J291" s="1">
        <f>Raw_Data!$I291/Raw_Data!$H291</f>
        <v>530.54527687296422</v>
      </c>
    </row>
    <row r="292" spans="1:10" x14ac:dyDescent="0.3">
      <c r="A292" s="9">
        <v>39541</v>
      </c>
      <c r="B292" s="2" t="str">
        <f>TEXT(Raw_Data!$A292, "MMM")</f>
        <v>Apr</v>
      </c>
      <c r="C292" s="2">
        <f>YEAR(Raw_Data!$A292)</f>
        <v>2008</v>
      </c>
      <c r="D292" s="2" t="s">
        <v>301</v>
      </c>
      <c r="E292" s="2" t="s">
        <v>15</v>
      </c>
      <c r="F292" s="2" t="s">
        <v>18</v>
      </c>
      <c r="G292" s="2"/>
      <c r="H292" s="2">
        <v>2902</v>
      </c>
      <c r="I292" s="10">
        <v>469355</v>
      </c>
      <c r="J292" s="10">
        <f>Raw_Data!$I292/Raw_Data!$H292</f>
        <v>161.73501033769813</v>
      </c>
    </row>
    <row r="293" spans="1:10" x14ac:dyDescent="0.3">
      <c r="A293" s="8">
        <v>39325</v>
      </c>
      <c r="B293" t="str">
        <f>TEXT(Raw_Data!$A293, "MMM")</f>
        <v>Aug</v>
      </c>
      <c r="C293">
        <f>YEAR(Raw_Data!$A293)</f>
        <v>2007</v>
      </c>
      <c r="D293" t="s">
        <v>302</v>
      </c>
      <c r="E293" t="s">
        <v>32</v>
      </c>
      <c r="F293" t="s">
        <v>18</v>
      </c>
      <c r="G293">
        <v>4</v>
      </c>
      <c r="H293">
        <v>871</v>
      </c>
      <c r="I293" s="1">
        <v>359362</v>
      </c>
      <c r="J293" s="1">
        <f>Raw_Data!$I293/Raw_Data!$H293</f>
        <v>412.58553386911598</v>
      </c>
    </row>
    <row r="294" spans="1:10" x14ac:dyDescent="0.3">
      <c r="A294" s="9">
        <v>37922</v>
      </c>
      <c r="B294" s="2" t="str">
        <f>TEXT(Raw_Data!$A294, "MMM")</f>
        <v>Oct</v>
      </c>
      <c r="C294" s="2">
        <f>YEAR(Raw_Data!$A294)</f>
        <v>2003</v>
      </c>
      <c r="D294" s="2" t="s">
        <v>303</v>
      </c>
      <c r="E294" s="2" t="s">
        <v>25</v>
      </c>
      <c r="F294" s="2" t="s">
        <v>27</v>
      </c>
      <c r="G294" s="2">
        <v>4</v>
      </c>
      <c r="H294" s="2">
        <v>3399</v>
      </c>
      <c r="I294" s="10">
        <v>624613</v>
      </c>
      <c r="J294" s="10">
        <f>Raw_Data!$I294/Raw_Data!$H294</f>
        <v>183.76375404530745</v>
      </c>
    </row>
    <row r="295" spans="1:10" x14ac:dyDescent="0.3">
      <c r="A295" s="8">
        <v>37650</v>
      </c>
      <c r="B295" t="str">
        <f>TEXT(Raw_Data!$A295, "MMM")</f>
        <v>Jan</v>
      </c>
      <c r="C295">
        <f>YEAR(Raw_Data!$A295)</f>
        <v>2003</v>
      </c>
      <c r="D295" t="s">
        <v>304</v>
      </c>
      <c r="E295" t="s">
        <v>32</v>
      </c>
      <c r="F295" t="s">
        <v>11</v>
      </c>
      <c r="G295">
        <v>4</v>
      </c>
      <c r="H295">
        <v>1030</v>
      </c>
      <c r="I295" s="1">
        <v>686478</v>
      </c>
      <c r="J295" s="1">
        <f>Raw_Data!$I295/Raw_Data!$H295</f>
        <v>666.48349514563108</v>
      </c>
    </row>
    <row r="296" spans="1:10" x14ac:dyDescent="0.3">
      <c r="A296" s="9">
        <v>40992</v>
      </c>
      <c r="B296" s="2" t="str">
        <f>TEXT(Raw_Data!$A296, "MMM")</f>
        <v>Mar</v>
      </c>
      <c r="C296" s="2">
        <f>YEAR(Raw_Data!$A296)</f>
        <v>2012</v>
      </c>
      <c r="D296" s="2" t="s">
        <v>305</v>
      </c>
      <c r="E296" s="2" t="s">
        <v>21</v>
      </c>
      <c r="F296" s="2" t="s">
        <v>16</v>
      </c>
      <c r="G296" s="2"/>
      <c r="H296" s="2">
        <v>1995</v>
      </c>
      <c r="I296" s="10">
        <v>425819</v>
      </c>
      <c r="J296" s="10">
        <f>Raw_Data!$I296/Raw_Data!$H296</f>
        <v>213.44310776942356</v>
      </c>
    </row>
    <row r="297" spans="1:10" x14ac:dyDescent="0.3">
      <c r="A297" s="8">
        <v>38762</v>
      </c>
      <c r="B297" t="str">
        <f>TEXT(Raw_Data!$A297, "MMM")</f>
        <v>Feb</v>
      </c>
      <c r="C297">
        <f>YEAR(Raw_Data!$A297)</f>
        <v>2006</v>
      </c>
      <c r="D297" t="s">
        <v>306</v>
      </c>
      <c r="E297" t="s">
        <v>25</v>
      </c>
      <c r="F297" t="s">
        <v>11</v>
      </c>
      <c r="G297">
        <v>2</v>
      </c>
      <c r="H297">
        <v>1882</v>
      </c>
      <c r="I297" s="1">
        <v>801436</v>
      </c>
      <c r="J297" s="1">
        <f>Raw_Data!$I297/Raw_Data!$H297</f>
        <v>425.84272051009566</v>
      </c>
    </row>
    <row r="298" spans="1:10" x14ac:dyDescent="0.3">
      <c r="A298" s="9">
        <v>41462</v>
      </c>
      <c r="B298" s="2" t="str">
        <f>TEXT(Raw_Data!$A298, "MMM")</f>
        <v>Jul</v>
      </c>
      <c r="C298" s="2">
        <f>YEAR(Raw_Data!$A298)</f>
        <v>2013</v>
      </c>
      <c r="D298" s="2" t="s">
        <v>307</v>
      </c>
      <c r="E298" s="2" t="s">
        <v>32</v>
      </c>
      <c r="F298" s="2" t="s">
        <v>18</v>
      </c>
      <c r="G298" s="2">
        <v>2</v>
      </c>
      <c r="H298" s="2">
        <v>1112</v>
      </c>
      <c r="I298" s="10">
        <v>328892</v>
      </c>
      <c r="J298" s="10">
        <f>Raw_Data!$I298/Raw_Data!$H298</f>
        <v>295.76618705035969</v>
      </c>
    </row>
    <row r="299" spans="1:10" x14ac:dyDescent="0.3">
      <c r="A299" s="8">
        <v>43374</v>
      </c>
      <c r="B299" t="str">
        <f>TEXT(Raw_Data!$A299, "MMM")</f>
        <v>Oct</v>
      </c>
      <c r="C299">
        <f>YEAR(Raw_Data!$A299)</f>
        <v>2018</v>
      </c>
      <c r="D299" t="s">
        <v>308</v>
      </c>
      <c r="E299" t="s">
        <v>13</v>
      </c>
      <c r="F299" t="s">
        <v>11</v>
      </c>
      <c r="G299">
        <v>4</v>
      </c>
      <c r="H299">
        <v>2974</v>
      </c>
      <c r="I299" s="1">
        <v>865192</v>
      </c>
      <c r="J299" s="1">
        <f>Raw_Data!$I299/Raw_Data!$H299</f>
        <v>290.91862811028915</v>
      </c>
    </row>
    <row r="300" spans="1:10" x14ac:dyDescent="0.3">
      <c r="A300" s="9">
        <v>42365</v>
      </c>
      <c r="B300" s="2" t="str">
        <f>TEXT(Raw_Data!$A300, "MMM")</f>
        <v>Dec</v>
      </c>
      <c r="C300" s="2">
        <f>YEAR(Raw_Data!$A300)</f>
        <v>2015</v>
      </c>
      <c r="D300" s="2" t="s">
        <v>309</v>
      </c>
      <c r="E300" s="2" t="s">
        <v>29</v>
      </c>
      <c r="F300" s="2" t="s">
        <v>27</v>
      </c>
      <c r="G300" s="2"/>
      <c r="H300" s="2">
        <v>3385</v>
      </c>
      <c r="I300" s="10">
        <v>893336</v>
      </c>
      <c r="J300" s="10">
        <f>Raw_Data!$I300/Raw_Data!$H300</f>
        <v>263.91019202363367</v>
      </c>
    </row>
    <row r="301" spans="1:10" x14ac:dyDescent="0.3">
      <c r="A301" s="8">
        <v>38532</v>
      </c>
      <c r="B301" t="str">
        <f>TEXT(Raw_Data!$A301, "MMM")</f>
        <v>Jun</v>
      </c>
      <c r="C301">
        <f>YEAR(Raw_Data!$A301)</f>
        <v>2005</v>
      </c>
      <c r="D301" t="s">
        <v>310</v>
      </c>
      <c r="E301" t="s">
        <v>21</v>
      </c>
      <c r="F301" t="s">
        <v>11</v>
      </c>
      <c r="G301">
        <v>2</v>
      </c>
      <c r="H301">
        <v>3406</v>
      </c>
      <c r="I301" s="1">
        <v>868912</v>
      </c>
      <c r="J301" s="1">
        <f>Raw_Data!$I301/Raw_Data!$H301</f>
        <v>255.11215502055197</v>
      </c>
    </row>
    <row r="302" spans="1:10" x14ac:dyDescent="0.3">
      <c r="A302" s="9">
        <v>42661</v>
      </c>
      <c r="B302" s="2" t="str">
        <f>TEXT(Raw_Data!$A302, "MMM")</f>
        <v>Oct</v>
      </c>
      <c r="C302" s="2">
        <f>YEAR(Raw_Data!$A302)</f>
        <v>2016</v>
      </c>
      <c r="D302" s="2" t="s">
        <v>311</v>
      </c>
      <c r="E302" s="2" t="s">
        <v>15</v>
      </c>
      <c r="F302" s="2" t="s">
        <v>18</v>
      </c>
      <c r="G302" s="2"/>
      <c r="H302" s="2">
        <v>1185</v>
      </c>
      <c r="I302" s="10">
        <v>256446</v>
      </c>
      <c r="J302" s="10">
        <f>Raw_Data!$I302/Raw_Data!$H302</f>
        <v>216.41012658227848</v>
      </c>
    </row>
    <row r="303" spans="1:10" x14ac:dyDescent="0.3">
      <c r="A303" s="8">
        <v>39906</v>
      </c>
      <c r="B303" t="str">
        <f>TEXT(Raw_Data!$A303, "MMM")</f>
        <v>Apr</v>
      </c>
      <c r="C303">
        <f>YEAR(Raw_Data!$A303)</f>
        <v>2009</v>
      </c>
      <c r="D303" t="s">
        <v>312</v>
      </c>
      <c r="E303" t="s">
        <v>21</v>
      </c>
      <c r="F303" t="s">
        <v>16</v>
      </c>
      <c r="H303">
        <v>2133</v>
      </c>
      <c r="I303" s="1">
        <v>449685</v>
      </c>
      <c r="J303" s="1">
        <f>Raw_Data!$I303/Raw_Data!$H303</f>
        <v>210.82278481012659</v>
      </c>
    </row>
    <row r="304" spans="1:10" x14ac:dyDescent="0.3">
      <c r="A304" s="9">
        <v>39512</v>
      </c>
      <c r="B304" s="2" t="str">
        <f>TEXT(Raw_Data!$A304, "MMM")</f>
        <v>Mar</v>
      </c>
      <c r="C304" s="2">
        <f>YEAR(Raw_Data!$A304)</f>
        <v>2008</v>
      </c>
      <c r="D304" s="2" t="s">
        <v>313</v>
      </c>
      <c r="E304" s="2" t="s">
        <v>32</v>
      </c>
      <c r="F304" s="2" t="s">
        <v>27</v>
      </c>
      <c r="G304" s="2">
        <v>5</v>
      </c>
      <c r="H304" s="2">
        <v>1218</v>
      </c>
      <c r="I304" s="10">
        <v>585322</v>
      </c>
      <c r="J304" s="10">
        <f>Raw_Data!$I304/Raw_Data!$H304</f>
        <v>480.55993431855501</v>
      </c>
    </row>
    <row r="305" spans="1:10" x14ac:dyDescent="0.3">
      <c r="A305" s="8">
        <v>37483</v>
      </c>
      <c r="B305" t="str">
        <f>TEXT(Raw_Data!$A305, "MMM")</f>
        <v>Aug</v>
      </c>
      <c r="C305">
        <f>YEAR(Raw_Data!$A305)</f>
        <v>2002</v>
      </c>
      <c r="D305" t="s">
        <v>314</v>
      </c>
      <c r="E305" t="s">
        <v>15</v>
      </c>
      <c r="F305" t="s">
        <v>16</v>
      </c>
      <c r="H305">
        <v>1237</v>
      </c>
      <c r="I305" s="1">
        <v>564879</v>
      </c>
      <c r="J305" s="1">
        <f>Raw_Data!$I305/Raw_Data!$H305</f>
        <v>456.65238480194017</v>
      </c>
    </row>
    <row r="306" spans="1:10" x14ac:dyDescent="0.3">
      <c r="A306" s="9">
        <v>40598</v>
      </c>
      <c r="B306" s="2" t="str">
        <f>TEXT(Raw_Data!$A306, "MMM")</f>
        <v>Feb</v>
      </c>
      <c r="C306" s="2">
        <f>YEAR(Raw_Data!$A306)</f>
        <v>2011</v>
      </c>
      <c r="D306" s="2" t="s">
        <v>315</v>
      </c>
      <c r="E306" s="2" t="s">
        <v>15</v>
      </c>
      <c r="F306" s="2" t="s">
        <v>18</v>
      </c>
      <c r="G306" s="2">
        <v>3</v>
      </c>
      <c r="H306" s="2">
        <v>2628</v>
      </c>
      <c r="I306" s="10">
        <v>534118</v>
      </c>
      <c r="J306" s="10">
        <f>Raw_Data!$I306/Raw_Data!$H306</f>
        <v>203.24124809741249</v>
      </c>
    </row>
    <row r="307" spans="1:10" x14ac:dyDescent="0.3">
      <c r="A307" s="8">
        <v>41433</v>
      </c>
      <c r="B307" t="str">
        <f>TEXT(Raw_Data!$A307, "MMM")</f>
        <v>Jun</v>
      </c>
      <c r="C307">
        <f>YEAR(Raw_Data!$A307)</f>
        <v>2013</v>
      </c>
      <c r="D307" t="s">
        <v>316</v>
      </c>
      <c r="E307" t="s">
        <v>32</v>
      </c>
      <c r="F307" t="s">
        <v>18</v>
      </c>
      <c r="G307">
        <v>3</v>
      </c>
      <c r="H307">
        <v>2619</v>
      </c>
      <c r="I307" s="1">
        <v>427700</v>
      </c>
      <c r="J307" s="1">
        <f>Raw_Data!$I307/Raw_Data!$H307</f>
        <v>163.30660557464682</v>
      </c>
    </row>
    <row r="308" spans="1:10" x14ac:dyDescent="0.3">
      <c r="A308" s="9">
        <v>41946</v>
      </c>
      <c r="B308" s="2" t="str">
        <f>TEXT(Raw_Data!$A308, "MMM")</f>
        <v>Nov</v>
      </c>
      <c r="C308" s="2">
        <f>YEAR(Raw_Data!$A308)</f>
        <v>2014</v>
      </c>
      <c r="D308" s="2" t="s">
        <v>317</v>
      </c>
      <c r="E308" s="2" t="s">
        <v>21</v>
      </c>
      <c r="F308" s="2" t="s">
        <v>18</v>
      </c>
      <c r="G308" s="2"/>
      <c r="H308" s="2">
        <v>3015</v>
      </c>
      <c r="I308" s="10">
        <v>648324</v>
      </c>
      <c r="J308" s="10">
        <f>Raw_Data!$I308/Raw_Data!$H308</f>
        <v>215.03283582089551</v>
      </c>
    </row>
    <row r="309" spans="1:10" x14ac:dyDescent="0.3">
      <c r="A309" s="8">
        <v>43201</v>
      </c>
      <c r="B309" t="str">
        <f>TEXT(Raw_Data!$A309, "MMM")</f>
        <v>Apr</v>
      </c>
      <c r="C309">
        <f>YEAR(Raw_Data!$A309)</f>
        <v>2018</v>
      </c>
      <c r="D309" t="s">
        <v>318</v>
      </c>
      <c r="E309" t="s">
        <v>15</v>
      </c>
      <c r="F309" t="s">
        <v>18</v>
      </c>
      <c r="G309">
        <v>5</v>
      </c>
      <c r="H309">
        <v>3387</v>
      </c>
      <c r="I309" s="1">
        <v>366163</v>
      </c>
      <c r="J309" s="1">
        <f>Raw_Data!$I309/Raw_Data!$H309</f>
        <v>108.10835547682315</v>
      </c>
    </row>
    <row r="310" spans="1:10" x14ac:dyDescent="0.3">
      <c r="A310" s="9">
        <v>39793</v>
      </c>
      <c r="B310" s="2" t="str">
        <f>TEXT(Raw_Data!$A310, "MMM")</f>
        <v>Dec</v>
      </c>
      <c r="C310" s="2">
        <f>YEAR(Raw_Data!$A310)</f>
        <v>2008</v>
      </c>
      <c r="D310" s="2" t="s">
        <v>319</v>
      </c>
      <c r="E310" s="2" t="s">
        <v>32</v>
      </c>
      <c r="F310" s="2" t="s">
        <v>18</v>
      </c>
      <c r="G310" s="2">
        <v>2</v>
      </c>
      <c r="H310" s="2">
        <v>3139</v>
      </c>
      <c r="I310" s="10">
        <v>370803</v>
      </c>
      <c r="J310" s="10">
        <f>Raw_Data!$I310/Raw_Data!$H310</f>
        <v>118.12774769034725</v>
      </c>
    </row>
    <row r="311" spans="1:10" x14ac:dyDescent="0.3">
      <c r="A311" s="8">
        <v>41380</v>
      </c>
      <c r="B311" t="str">
        <f>TEXT(Raw_Data!$A311, "MMM")</f>
        <v>Apr</v>
      </c>
      <c r="C311">
        <f>YEAR(Raw_Data!$A311)</f>
        <v>2013</v>
      </c>
      <c r="D311" t="s">
        <v>320</v>
      </c>
      <c r="E311" t="s">
        <v>25</v>
      </c>
      <c r="F311" t="s">
        <v>16</v>
      </c>
      <c r="G311">
        <v>3</v>
      </c>
      <c r="H311">
        <v>1132</v>
      </c>
      <c r="I311" s="1">
        <v>344494</v>
      </c>
      <c r="J311" s="1">
        <f>Raw_Data!$I311/Raw_Data!$H311</f>
        <v>304.3233215547703</v>
      </c>
    </row>
    <row r="312" spans="1:10" x14ac:dyDescent="0.3">
      <c r="A312" s="9">
        <v>43476</v>
      </c>
      <c r="B312" s="2" t="str">
        <f>TEXT(Raw_Data!$A312, "MMM")</f>
        <v>Jan</v>
      </c>
      <c r="C312" s="2">
        <f>YEAR(Raw_Data!$A312)</f>
        <v>2019</v>
      </c>
      <c r="D312" s="2" t="s">
        <v>321</v>
      </c>
      <c r="E312" s="2" t="s">
        <v>25</v>
      </c>
      <c r="F312" s="2" t="s">
        <v>11</v>
      </c>
      <c r="G312" s="2">
        <v>2</v>
      </c>
      <c r="H312" s="2">
        <v>2858</v>
      </c>
      <c r="I312" s="10">
        <v>384555</v>
      </c>
      <c r="J312" s="10">
        <f>Raw_Data!$I312/Raw_Data!$H312</f>
        <v>134.55388383484956</v>
      </c>
    </row>
    <row r="313" spans="1:10" x14ac:dyDescent="0.3">
      <c r="A313" s="8">
        <v>41113</v>
      </c>
      <c r="B313" t="str">
        <f>TEXT(Raw_Data!$A313, "MMM")</f>
        <v>Jul</v>
      </c>
      <c r="C313">
        <f>YEAR(Raw_Data!$A313)</f>
        <v>2012</v>
      </c>
      <c r="D313" t="s">
        <v>171</v>
      </c>
      <c r="E313" t="s">
        <v>32</v>
      </c>
      <c r="F313" t="s">
        <v>11</v>
      </c>
      <c r="G313">
        <v>3</v>
      </c>
      <c r="H313">
        <v>1255</v>
      </c>
      <c r="I313" s="1">
        <v>383131</v>
      </c>
      <c r="J313" s="1">
        <f>Raw_Data!$I313/Raw_Data!$H313</f>
        <v>305.28366533864539</v>
      </c>
    </row>
    <row r="314" spans="1:10" x14ac:dyDescent="0.3">
      <c r="A314" s="9">
        <v>37829</v>
      </c>
      <c r="B314" s="2" t="str">
        <f>TEXT(Raw_Data!$A314, "MMM")</f>
        <v>Jul</v>
      </c>
      <c r="C314" s="2">
        <f>YEAR(Raw_Data!$A314)</f>
        <v>2003</v>
      </c>
      <c r="D314" s="2" t="s">
        <v>322</v>
      </c>
      <c r="E314" s="2" t="s">
        <v>15</v>
      </c>
      <c r="F314" s="2" t="s">
        <v>27</v>
      </c>
      <c r="G314" s="2">
        <v>5</v>
      </c>
      <c r="H314" s="2">
        <v>3184</v>
      </c>
      <c r="I314" s="10">
        <v>468478</v>
      </c>
      <c r="J314" s="10">
        <f>Raw_Data!$I314/Raw_Data!$H314</f>
        <v>147.13505025125627</v>
      </c>
    </row>
    <row r="315" spans="1:10" x14ac:dyDescent="0.3">
      <c r="A315" s="8">
        <v>42001</v>
      </c>
      <c r="B315" t="str">
        <f>TEXT(Raw_Data!$A315, "MMM")</f>
        <v>Dec</v>
      </c>
      <c r="C315">
        <f>YEAR(Raw_Data!$A315)</f>
        <v>2014</v>
      </c>
      <c r="D315" t="s">
        <v>323</v>
      </c>
      <c r="E315" t="s">
        <v>15</v>
      </c>
      <c r="F315" t="s">
        <v>16</v>
      </c>
      <c r="G315">
        <v>3</v>
      </c>
      <c r="H315">
        <v>1149</v>
      </c>
      <c r="I315" s="1">
        <v>180767</v>
      </c>
      <c r="J315" s="1">
        <f>Raw_Data!$I315/Raw_Data!$H315</f>
        <v>157.32550043516102</v>
      </c>
    </row>
    <row r="316" spans="1:10" x14ac:dyDescent="0.3">
      <c r="A316" s="9">
        <v>40750</v>
      </c>
      <c r="B316" s="2" t="str">
        <f>TEXT(Raw_Data!$A316, "MMM")</f>
        <v>Jul</v>
      </c>
      <c r="C316" s="2">
        <f>YEAR(Raw_Data!$A316)</f>
        <v>2011</v>
      </c>
      <c r="D316" s="2" t="s">
        <v>324</v>
      </c>
      <c r="E316" s="2" t="s">
        <v>15</v>
      </c>
      <c r="F316" s="2" t="s">
        <v>16</v>
      </c>
      <c r="G316" s="2">
        <v>2</v>
      </c>
      <c r="H316" s="2">
        <v>2592</v>
      </c>
      <c r="I316" s="10">
        <v>280295</v>
      </c>
      <c r="J316" s="10">
        <f>Raw_Data!$I316/Raw_Data!$H316</f>
        <v>108.13850308641975</v>
      </c>
    </row>
    <row r="317" spans="1:10" x14ac:dyDescent="0.3">
      <c r="A317" s="8">
        <v>40571</v>
      </c>
      <c r="B317" t="str">
        <f>TEXT(Raw_Data!$A317, "MMM")</f>
        <v>Jan</v>
      </c>
      <c r="C317">
        <f>YEAR(Raw_Data!$A317)</f>
        <v>2011</v>
      </c>
      <c r="D317" t="s">
        <v>325</v>
      </c>
      <c r="E317" t="s">
        <v>15</v>
      </c>
      <c r="F317" t="s">
        <v>11</v>
      </c>
      <c r="G317">
        <v>5</v>
      </c>
      <c r="H317">
        <v>2154</v>
      </c>
      <c r="I317" s="1">
        <v>281799</v>
      </c>
      <c r="J317" s="1">
        <f>Raw_Data!$I317/Raw_Data!$H317</f>
        <v>130.82590529247912</v>
      </c>
    </row>
    <row r="318" spans="1:10" x14ac:dyDescent="0.3">
      <c r="A318" s="9">
        <v>43827</v>
      </c>
      <c r="B318" s="2" t="str">
        <f>TEXT(Raw_Data!$A318, "MMM")</f>
        <v>Dec</v>
      </c>
      <c r="C318" s="2">
        <f>YEAR(Raw_Data!$A318)</f>
        <v>2019</v>
      </c>
      <c r="D318" s="2" t="s">
        <v>326</v>
      </c>
      <c r="E318" s="2" t="s">
        <v>25</v>
      </c>
      <c r="F318" s="2" t="s">
        <v>18</v>
      </c>
      <c r="G318" s="2"/>
      <c r="H318" s="2">
        <v>2408</v>
      </c>
      <c r="I318" s="10">
        <v>686376</v>
      </c>
      <c r="J318" s="10">
        <f>Raw_Data!$I318/Raw_Data!$H318</f>
        <v>285.03986710963454</v>
      </c>
    </row>
    <row r="319" spans="1:10" x14ac:dyDescent="0.3">
      <c r="A319" s="8">
        <v>41923</v>
      </c>
      <c r="B319" t="str">
        <f>TEXT(Raw_Data!$A319, "MMM")</f>
        <v>Oct</v>
      </c>
      <c r="C319">
        <f>YEAR(Raw_Data!$A319)</f>
        <v>2014</v>
      </c>
      <c r="D319" t="s">
        <v>327</v>
      </c>
      <c r="E319" t="s">
        <v>23</v>
      </c>
      <c r="F319" t="s">
        <v>11</v>
      </c>
      <c r="H319">
        <v>1304</v>
      </c>
      <c r="I319" s="1">
        <v>429420</v>
      </c>
      <c r="J319" s="1">
        <f>Raw_Data!$I319/Raw_Data!$H319</f>
        <v>329.30981595092027</v>
      </c>
    </row>
    <row r="320" spans="1:10" x14ac:dyDescent="0.3">
      <c r="A320" s="9">
        <v>38208</v>
      </c>
      <c r="B320" s="2" t="str">
        <f>TEXT(Raw_Data!$A320, "MMM")</f>
        <v>Aug</v>
      </c>
      <c r="C320" s="2">
        <f>YEAR(Raw_Data!$A320)</f>
        <v>2004</v>
      </c>
      <c r="D320" s="2" t="s">
        <v>328</v>
      </c>
      <c r="E320" s="2" t="s">
        <v>32</v>
      </c>
      <c r="F320" s="2" t="s">
        <v>11</v>
      </c>
      <c r="G320" s="2">
        <v>4</v>
      </c>
      <c r="H320" s="2">
        <v>980</v>
      </c>
      <c r="I320" s="10">
        <v>289161</v>
      </c>
      <c r="J320" s="10">
        <f>Raw_Data!$I320/Raw_Data!$H320</f>
        <v>295.0622448979592</v>
      </c>
    </row>
    <row r="321" spans="1:10" x14ac:dyDescent="0.3">
      <c r="A321" s="8">
        <v>41573</v>
      </c>
      <c r="B321" t="str">
        <f>TEXT(Raw_Data!$A321, "MMM")</f>
        <v>Oct</v>
      </c>
      <c r="C321">
        <f>YEAR(Raw_Data!$A321)</f>
        <v>2013</v>
      </c>
      <c r="D321" t="s">
        <v>329</v>
      </c>
      <c r="E321" t="s">
        <v>29</v>
      </c>
      <c r="F321" t="s">
        <v>16</v>
      </c>
      <c r="H321">
        <v>832</v>
      </c>
      <c r="I321" s="1">
        <v>484704</v>
      </c>
      <c r="J321" s="1">
        <f>Raw_Data!$I321/Raw_Data!$H321</f>
        <v>582.57692307692309</v>
      </c>
    </row>
    <row r="322" spans="1:10" x14ac:dyDescent="0.3">
      <c r="A322" s="9">
        <v>42203</v>
      </c>
      <c r="B322" s="2" t="str">
        <f>TEXT(Raw_Data!$A322, "MMM")</f>
        <v>Jul</v>
      </c>
      <c r="C322" s="2">
        <f>YEAR(Raw_Data!$A322)</f>
        <v>2015</v>
      </c>
      <c r="D322" s="2" t="s">
        <v>141</v>
      </c>
      <c r="E322" s="2" t="s">
        <v>21</v>
      </c>
      <c r="F322" s="2" t="s">
        <v>16</v>
      </c>
      <c r="G322" s="2">
        <v>3</v>
      </c>
      <c r="H322" s="2">
        <v>3130</v>
      </c>
      <c r="I322" s="10">
        <v>227653</v>
      </c>
      <c r="J322" s="10">
        <f>Raw_Data!$I322/Raw_Data!$H322</f>
        <v>72.732587859424925</v>
      </c>
    </row>
    <row r="323" spans="1:10" x14ac:dyDescent="0.3">
      <c r="A323" s="8">
        <v>39434</v>
      </c>
      <c r="B323" t="str">
        <f>TEXT(Raw_Data!$A323, "MMM")</f>
        <v>Dec</v>
      </c>
      <c r="C323">
        <f>YEAR(Raw_Data!$A323)</f>
        <v>2007</v>
      </c>
      <c r="D323" t="s">
        <v>330</v>
      </c>
      <c r="E323" t="s">
        <v>15</v>
      </c>
      <c r="F323" t="s">
        <v>16</v>
      </c>
      <c r="G323">
        <v>4</v>
      </c>
      <c r="H323">
        <v>3346</v>
      </c>
      <c r="I323" s="1">
        <v>568187</v>
      </c>
      <c r="J323" s="1">
        <f>Raw_Data!$I323/Raw_Data!$H323</f>
        <v>169.81081888822476</v>
      </c>
    </row>
    <row r="324" spans="1:10" x14ac:dyDescent="0.3">
      <c r="A324" s="9">
        <v>38434</v>
      </c>
      <c r="B324" s="2" t="str">
        <f>TEXT(Raw_Data!$A324, "MMM")</f>
        <v>Mar</v>
      </c>
      <c r="C324" s="2">
        <f>YEAR(Raw_Data!$A324)</f>
        <v>2005</v>
      </c>
      <c r="D324" s="2" t="s">
        <v>331</v>
      </c>
      <c r="E324" s="2" t="s">
        <v>21</v>
      </c>
      <c r="F324" s="2" t="s">
        <v>11</v>
      </c>
      <c r="G324" s="2"/>
      <c r="H324" s="2">
        <v>2557</v>
      </c>
      <c r="I324" s="10">
        <v>653065</v>
      </c>
      <c r="J324" s="10">
        <f>Raw_Data!$I324/Raw_Data!$H324</f>
        <v>255.40281579976536</v>
      </c>
    </row>
    <row r="325" spans="1:10" x14ac:dyDescent="0.3">
      <c r="A325" s="8">
        <v>37400</v>
      </c>
      <c r="B325" t="str">
        <f>TEXT(Raw_Data!$A325, "MMM")</f>
        <v>May</v>
      </c>
      <c r="C325">
        <f>YEAR(Raw_Data!$A325)</f>
        <v>2002</v>
      </c>
      <c r="D325" t="s">
        <v>332</v>
      </c>
      <c r="E325" t="s">
        <v>29</v>
      </c>
      <c r="F325" t="s">
        <v>16</v>
      </c>
      <c r="G325">
        <v>4</v>
      </c>
      <c r="H325">
        <v>3073</v>
      </c>
      <c r="I325" s="1">
        <v>350755</v>
      </c>
      <c r="J325" s="1">
        <f>Raw_Data!$I325/Raw_Data!$H325</f>
        <v>114.14090465343313</v>
      </c>
    </row>
    <row r="326" spans="1:10" x14ac:dyDescent="0.3">
      <c r="A326" s="9">
        <v>39519</v>
      </c>
      <c r="B326" s="2" t="str">
        <f>TEXT(Raw_Data!$A326, "MMM")</f>
        <v>Mar</v>
      </c>
      <c r="C326" s="2">
        <f>YEAR(Raw_Data!$A326)</f>
        <v>2008</v>
      </c>
      <c r="D326" s="2" t="s">
        <v>333</v>
      </c>
      <c r="E326" s="2" t="s">
        <v>15</v>
      </c>
      <c r="F326" s="2" t="s">
        <v>18</v>
      </c>
      <c r="G326" s="2"/>
      <c r="H326" s="2">
        <v>2349</v>
      </c>
      <c r="I326" s="10">
        <v>258373</v>
      </c>
      <c r="J326" s="10">
        <f>Raw_Data!$I326/Raw_Data!$H326</f>
        <v>109.99276287782035</v>
      </c>
    </row>
    <row r="327" spans="1:10" x14ac:dyDescent="0.3">
      <c r="A327" s="8">
        <v>40973</v>
      </c>
      <c r="B327" t="str">
        <f>TEXT(Raw_Data!$A327, "MMM")</f>
        <v>Mar</v>
      </c>
      <c r="C327">
        <f>YEAR(Raw_Data!$A327)</f>
        <v>2012</v>
      </c>
      <c r="D327" t="s">
        <v>334</v>
      </c>
      <c r="E327" t="s">
        <v>13</v>
      </c>
      <c r="F327" t="s">
        <v>11</v>
      </c>
      <c r="G327">
        <v>3</v>
      </c>
      <c r="H327">
        <v>2861</v>
      </c>
      <c r="I327" s="1"/>
      <c r="J327" s="1">
        <f>Raw_Data!$I327/Raw_Data!$H327</f>
        <v>0</v>
      </c>
    </row>
    <row r="328" spans="1:10" x14ac:dyDescent="0.3">
      <c r="A328" s="9">
        <v>37680</v>
      </c>
      <c r="B328" s="2" t="str">
        <f>TEXT(Raw_Data!$A328, "MMM")</f>
        <v>Feb</v>
      </c>
      <c r="C328" s="2">
        <f>YEAR(Raw_Data!$A328)</f>
        <v>2003</v>
      </c>
      <c r="D328" s="2" t="s">
        <v>335</v>
      </c>
      <c r="E328" s="2" t="s">
        <v>15</v>
      </c>
      <c r="F328" s="2" t="s">
        <v>11</v>
      </c>
      <c r="G328" s="2"/>
      <c r="H328" s="2">
        <v>1211</v>
      </c>
      <c r="I328" s="10">
        <v>843437</v>
      </c>
      <c r="J328" s="10">
        <f>Raw_Data!$I328/Raw_Data!$H328</f>
        <v>696.47976878612712</v>
      </c>
    </row>
    <row r="329" spans="1:10" x14ac:dyDescent="0.3">
      <c r="A329" s="8">
        <v>42255</v>
      </c>
      <c r="B329" t="str">
        <f>TEXT(Raw_Data!$A329, "MMM")</f>
        <v>Sep</v>
      </c>
      <c r="C329">
        <f>YEAR(Raw_Data!$A329)</f>
        <v>2015</v>
      </c>
      <c r="D329" t="s">
        <v>336</v>
      </c>
      <c r="E329" t="s">
        <v>21</v>
      </c>
      <c r="F329" t="s">
        <v>18</v>
      </c>
      <c r="H329">
        <v>861</v>
      </c>
      <c r="I329" s="1">
        <v>851259</v>
      </c>
      <c r="J329" s="1">
        <f>Raw_Data!$I329/Raw_Data!$H329</f>
        <v>988.68641114982574</v>
      </c>
    </row>
    <row r="330" spans="1:10" x14ac:dyDescent="0.3">
      <c r="A330" s="9">
        <v>38903</v>
      </c>
      <c r="B330" s="2" t="str">
        <f>TEXT(Raw_Data!$A330, "MMM")</f>
        <v>Jul</v>
      </c>
      <c r="C330" s="2">
        <f>YEAR(Raw_Data!$A330)</f>
        <v>2006</v>
      </c>
      <c r="D330" s="2" t="s">
        <v>337</v>
      </c>
      <c r="E330" s="2" t="s">
        <v>25</v>
      </c>
      <c r="F330" s="2" t="s">
        <v>18</v>
      </c>
      <c r="G330" s="2"/>
      <c r="H330" s="2">
        <v>3159</v>
      </c>
      <c r="I330" s="10">
        <v>253323</v>
      </c>
      <c r="J330" s="10">
        <f>Raw_Data!$I330/Raw_Data!$H330</f>
        <v>80.190883190883184</v>
      </c>
    </row>
    <row r="331" spans="1:10" x14ac:dyDescent="0.3">
      <c r="A331" s="8">
        <v>39012</v>
      </c>
      <c r="B331" t="str">
        <f>TEXT(Raw_Data!$A331, "MMM")</f>
        <v>Oct</v>
      </c>
      <c r="C331">
        <f>YEAR(Raw_Data!$A331)</f>
        <v>2006</v>
      </c>
      <c r="D331" t="s">
        <v>338</v>
      </c>
      <c r="E331" t="s">
        <v>32</v>
      </c>
      <c r="F331" t="s">
        <v>27</v>
      </c>
      <c r="G331">
        <v>4</v>
      </c>
      <c r="H331">
        <v>3296</v>
      </c>
      <c r="I331" s="1">
        <v>332963</v>
      </c>
      <c r="J331" s="1">
        <f>Raw_Data!$I331/Raw_Data!$H331</f>
        <v>101.02032766990291</v>
      </c>
    </row>
    <row r="332" spans="1:10" x14ac:dyDescent="0.3">
      <c r="A332" s="9">
        <v>41972</v>
      </c>
      <c r="B332" s="2" t="str">
        <f>TEXT(Raw_Data!$A332, "MMM")</f>
        <v>Nov</v>
      </c>
      <c r="C332" s="2">
        <f>YEAR(Raw_Data!$A332)</f>
        <v>2014</v>
      </c>
      <c r="D332" s="2" t="s">
        <v>339</v>
      </c>
      <c r="E332" s="2" t="s">
        <v>21</v>
      </c>
      <c r="F332" s="2" t="s">
        <v>11</v>
      </c>
      <c r="G332" s="2">
        <v>3</v>
      </c>
      <c r="H332" s="2">
        <v>2695</v>
      </c>
      <c r="I332" s="10">
        <v>203375</v>
      </c>
      <c r="J332" s="10">
        <f>Raw_Data!$I332/Raw_Data!$H332</f>
        <v>75.463821892393327</v>
      </c>
    </row>
    <row r="333" spans="1:10" x14ac:dyDescent="0.3">
      <c r="A333" s="8">
        <v>38296</v>
      </c>
      <c r="B333" t="str">
        <f>TEXT(Raw_Data!$A333, "MMM")</f>
        <v>Nov</v>
      </c>
      <c r="C333">
        <f>YEAR(Raw_Data!$A333)</f>
        <v>2004</v>
      </c>
      <c r="D333" t="s">
        <v>340</v>
      </c>
      <c r="E333" t="s">
        <v>32</v>
      </c>
      <c r="F333" t="s">
        <v>18</v>
      </c>
      <c r="G333">
        <v>4</v>
      </c>
      <c r="H333">
        <v>2530</v>
      </c>
      <c r="I333" s="1">
        <v>724323</v>
      </c>
      <c r="J333" s="1">
        <f>Raw_Data!$I333/Raw_Data!$H333</f>
        <v>286.29367588932809</v>
      </c>
    </row>
    <row r="334" spans="1:10" x14ac:dyDescent="0.3">
      <c r="A334" s="9">
        <v>41392</v>
      </c>
      <c r="B334" s="2" t="str">
        <f>TEXT(Raw_Data!$A334, "MMM")</f>
        <v>Apr</v>
      </c>
      <c r="C334" s="2">
        <f>YEAR(Raw_Data!$A334)</f>
        <v>2013</v>
      </c>
      <c r="D334" s="2" t="s">
        <v>341</v>
      </c>
      <c r="E334" s="2" t="s">
        <v>32</v>
      </c>
      <c r="F334" s="2" t="s">
        <v>16</v>
      </c>
      <c r="G334" s="2">
        <v>5</v>
      </c>
      <c r="H334" s="2">
        <v>1499</v>
      </c>
      <c r="I334" s="10">
        <v>709612</v>
      </c>
      <c r="J334" s="10">
        <f>Raw_Data!$I334/Raw_Data!$H334</f>
        <v>473.39026017344895</v>
      </c>
    </row>
    <row r="335" spans="1:10" x14ac:dyDescent="0.3">
      <c r="A335" s="8">
        <v>43522</v>
      </c>
      <c r="B335" t="str">
        <f>TEXT(Raw_Data!$A335, "MMM")</f>
        <v>Feb</v>
      </c>
      <c r="C335">
        <f>YEAR(Raw_Data!$A335)</f>
        <v>2019</v>
      </c>
      <c r="D335" t="s">
        <v>342</v>
      </c>
      <c r="E335" t="s">
        <v>13</v>
      </c>
      <c r="F335" t="s">
        <v>18</v>
      </c>
      <c r="G335">
        <v>2</v>
      </c>
      <c r="H335">
        <v>3224</v>
      </c>
      <c r="I335" s="1">
        <v>568615</v>
      </c>
      <c r="J335" s="1">
        <f>Raw_Data!$I335/Raw_Data!$H335</f>
        <v>176.36941687344913</v>
      </c>
    </row>
    <row r="336" spans="1:10" x14ac:dyDescent="0.3">
      <c r="A336" s="9">
        <v>41818</v>
      </c>
      <c r="B336" s="2" t="str">
        <f>TEXT(Raw_Data!$A336, "MMM")</f>
        <v>Jun</v>
      </c>
      <c r="C336" s="2">
        <f>YEAR(Raw_Data!$A336)</f>
        <v>2014</v>
      </c>
      <c r="D336" s="2" t="s">
        <v>343</v>
      </c>
      <c r="E336" s="2" t="s">
        <v>21</v>
      </c>
      <c r="F336" s="2" t="s">
        <v>18</v>
      </c>
      <c r="G336" s="2">
        <v>4</v>
      </c>
      <c r="H336" s="2">
        <v>1696</v>
      </c>
      <c r="I336" s="10">
        <v>700419</v>
      </c>
      <c r="J336" s="10">
        <f>Raw_Data!$I336/Raw_Data!$H336</f>
        <v>412.9829009433962</v>
      </c>
    </row>
    <row r="337" spans="1:10" x14ac:dyDescent="0.3">
      <c r="A337" s="8">
        <v>39203</v>
      </c>
      <c r="B337" t="str">
        <f>TEXT(Raw_Data!$A337, "MMM")</f>
        <v>May</v>
      </c>
      <c r="C337">
        <f>YEAR(Raw_Data!$A337)</f>
        <v>2007</v>
      </c>
      <c r="D337" t="s">
        <v>338</v>
      </c>
      <c r="E337" t="s">
        <v>21</v>
      </c>
      <c r="F337" t="s">
        <v>18</v>
      </c>
      <c r="H337">
        <v>1400</v>
      </c>
      <c r="I337" s="1">
        <v>767478</v>
      </c>
      <c r="J337" s="1">
        <f>Raw_Data!$I337/Raw_Data!$H337</f>
        <v>548.19857142857143</v>
      </c>
    </row>
    <row r="338" spans="1:10" x14ac:dyDescent="0.3">
      <c r="A338" s="9">
        <v>43629</v>
      </c>
      <c r="B338" s="2" t="str">
        <f>TEXT(Raw_Data!$A338, "MMM")</f>
        <v>Jun</v>
      </c>
      <c r="C338" s="2">
        <f>YEAR(Raw_Data!$A338)</f>
        <v>2019</v>
      </c>
      <c r="D338" s="2" t="s">
        <v>344</v>
      </c>
      <c r="E338" s="2" t="s">
        <v>21</v>
      </c>
      <c r="F338" s="2" t="s">
        <v>27</v>
      </c>
      <c r="G338" s="2"/>
      <c r="H338" s="2">
        <v>1713</v>
      </c>
      <c r="I338" s="10">
        <v>692936</v>
      </c>
      <c r="J338" s="10">
        <f>Raw_Data!$I338/Raw_Data!$H338</f>
        <v>404.51605370694688</v>
      </c>
    </row>
    <row r="339" spans="1:10" x14ac:dyDescent="0.3">
      <c r="A339" s="8">
        <v>41911</v>
      </c>
      <c r="B339" t="str">
        <f>TEXT(Raw_Data!$A339, "MMM")</f>
        <v>Sep</v>
      </c>
      <c r="C339">
        <f>YEAR(Raw_Data!$A339)</f>
        <v>2014</v>
      </c>
      <c r="D339" t="s">
        <v>345</v>
      </c>
      <c r="E339" t="s">
        <v>29</v>
      </c>
      <c r="F339" t="s">
        <v>11</v>
      </c>
      <c r="G339">
        <v>5</v>
      </c>
      <c r="H339">
        <v>1731</v>
      </c>
      <c r="I339" s="1">
        <v>764200</v>
      </c>
      <c r="J339" s="1">
        <f>Raw_Data!$I339/Raw_Data!$H339</f>
        <v>441.47891392258811</v>
      </c>
    </row>
    <row r="340" spans="1:10" x14ac:dyDescent="0.3">
      <c r="A340" s="9">
        <v>43245</v>
      </c>
      <c r="B340" s="2" t="str">
        <f>TEXT(Raw_Data!$A340, "MMM")</f>
        <v>May</v>
      </c>
      <c r="C340" s="2">
        <f>YEAR(Raw_Data!$A340)</f>
        <v>2018</v>
      </c>
      <c r="D340" s="2" t="s">
        <v>346</v>
      </c>
      <c r="E340" s="2" t="s">
        <v>25</v>
      </c>
      <c r="F340" s="2" t="s">
        <v>11</v>
      </c>
      <c r="G340" s="2">
        <v>5</v>
      </c>
      <c r="H340" s="2">
        <v>2741</v>
      </c>
      <c r="I340" s="10">
        <v>888094</v>
      </c>
      <c r="J340" s="10">
        <f>Raw_Data!$I340/Raw_Data!$H340</f>
        <v>324.00364830353885</v>
      </c>
    </row>
    <row r="341" spans="1:10" x14ac:dyDescent="0.3">
      <c r="A341" s="8">
        <v>39527</v>
      </c>
      <c r="B341" t="str">
        <f>TEXT(Raw_Data!$A341, "MMM")</f>
        <v>Mar</v>
      </c>
      <c r="C341">
        <f>YEAR(Raw_Data!$A341)</f>
        <v>2008</v>
      </c>
      <c r="D341" t="s">
        <v>347</v>
      </c>
      <c r="E341" t="s">
        <v>32</v>
      </c>
      <c r="F341" t="s">
        <v>27</v>
      </c>
      <c r="G341">
        <v>5</v>
      </c>
      <c r="H341">
        <v>1690</v>
      </c>
      <c r="I341" s="1">
        <v>821395</v>
      </c>
      <c r="J341" s="1">
        <f>Raw_Data!$I341/Raw_Data!$H341</f>
        <v>486.03254437869822</v>
      </c>
    </row>
    <row r="342" spans="1:10" x14ac:dyDescent="0.3">
      <c r="A342" s="9">
        <v>42338</v>
      </c>
      <c r="B342" s="2" t="str">
        <f>TEXT(Raw_Data!$A342, "MMM")</f>
        <v>Nov</v>
      </c>
      <c r="C342" s="2">
        <f>YEAR(Raw_Data!$A342)</f>
        <v>2015</v>
      </c>
      <c r="D342" s="2" t="s">
        <v>348</v>
      </c>
      <c r="E342" s="2" t="s">
        <v>13</v>
      </c>
      <c r="F342" s="2" t="s">
        <v>11</v>
      </c>
      <c r="G342" s="2">
        <v>4</v>
      </c>
      <c r="H342" s="2">
        <v>1805</v>
      </c>
      <c r="I342" s="10">
        <v>559560</v>
      </c>
      <c r="J342" s="10">
        <f>Raw_Data!$I342/Raw_Data!$H342</f>
        <v>310.00554016620498</v>
      </c>
    </row>
    <row r="343" spans="1:10" x14ac:dyDescent="0.3">
      <c r="A343" s="8">
        <v>39807</v>
      </c>
      <c r="B343" t="str">
        <f>TEXT(Raw_Data!$A343, "MMM")</f>
        <v>Dec</v>
      </c>
      <c r="C343">
        <f>YEAR(Raw_Data!$A343)</f>
        <v>2008</v>
      </c>
      <c r="D343" t="s">
        <v>349</v>
      </c>
      <c r="E343" t="s">
        <v>32</v>
      </c>
      <c r="F343" t="s">
        <v>11</v>
      </c>
      <c r="H343">
        <v>3328</v>
      </c>
      <c r="I343" s="1">
        <v>643537</v>
      </c>
      <c r="J343" s="1">
        <f>Raw_Data!$I343/Raw_Data!$H343</f>
        <v>193.37049278846155</v>
      </c>
    </row>
    <row r="344" spans="1:10" x14ac:dyDescent="0.3">
      <c r="A344" s="9">
        <v>40146</v>
      </c>
      <c r="B344" s="2" t="str">
        <f>TEXT(Raw_Data!$A344, "MMM")</f>
        <v>Nov</v>
      </c>
      <c r="C344" s="2">
        <f>YEAR(Raw_Data!$A344)</f>
        <v>2009</v>
      </c>
      <c r="D344" s="2" t="s">
        <v>350</v>
      </c>
      <c r="E344" s="2" t="s">
        <v>23</v>
      </c>
      <c r="F344" s="2" t="s">
        <v>16</v>
      </c>
      <c r="G344" s="2">
        <v>4</v>
      </c>
      <c r="H344" s="2">
        <v>2222</v>
      </c>
      <c r="I344" s="10">
        <v>300372</v>
      </c>
      <c r="J344" s="10">
        <f>Raw_Data!$I344/Raw_Data!$H344</f>
        <v>135.18091809180919</v>
      </c>
    </row>
    <row r="345" spans="1:10" x14ac:dyDescent="0.3">
      <c r="A345" s="8">
        <v>40407</v>
      </c>
      <c r="B345" t="str">
        <f>TEXT(Raw_Data!$A345, "MMM")</f>
        <v>Aug</v>
      </c>
      <c r="C345">
        <f>YEAR(Raw_Data!$A345)</f>
        <v>2010</v>
      </c>
      <c r="D345" t="s">
        <v>351</v>
      </c>
      <c r="E345" t="s">
        <v>25</v>
      </c>
      <c r="F345" t="s">
        <v>18</v>
      </c>
      <c r="G345">
        <v>2</v>
      </c>
      <c r="H345">
        <v>2890</v>
      </c>
      <c r="I345" s="1">
        <v>413913</v>
      </c>
      <c r="J345" s="1">
        <f>Raw_Data!$I345/Raw_Data!$H345</f>
        <v>143.22249134948098</v>
      </c>
    </row>
    <row r="346" spans="1:10" x14ac:dyDescent="0.3">
      <c r="A346" s="9">
        <v>37817</v>
      </c>
      <c r="B346" s="2" t="str">
        <f>TEXT(Raw_Data!$A346, "MMM")</f>
        <v>Jul</v>
      </c>
      <c r="C346" s="2">
        <f>YEAR(Raw_Data!$A346)</f>
        <v>2003</v>
      </c>
      <c r="D346" s="2" t="s">
        <v>352</v>
      </c>
      <c r="E346" s="2" t="s">
        <v>15</v>
      </c>
      <c r="F346" s="2" t="s">
        <v>11</v>
      </c>
      <c r="G346" s="2"/>
      <c r="H346" s="2">
        <v>818</v>
      </c>
      <c r="I346" s="10">
        <v>591872</v>
      </c>
      <c r="J346" s="10">
        <f>Raw_Data!$I346/Raw_Data!$H346</f>
        <v>723.55990220048898</v>
      </c>
    </row>
    <row r="347" spans="1:10" x14ac:dyDescent="0.3">
      <c r="A347" s="8">
        <v>41177</v>
      </c>
      <c r="B347" t="str">
        <f>TEXT(Raw_Data!$A347, "MMM")</f>
        <v>Sep</v>
      </c>
      <c r="C347">
        <f>YEAR(Raw_Data!$A347)</f>
        <v>2012</v>
      </c>
      <c r="D347" t="s">
        <v>353</v>
      </c>
      <c r="E347" t="s">
        <v>25</v>
      </c>
      <c r="F347" t="s">
        <v>16</v>
      </c>
      <c r="H347">
        <v>1356</v>
      </c>
      <c r="I347" s="1">
        <v>830370</v>
      </c>
      <c r="J347" s="1">
        <f>Raw_Data!$I347/Raw_Data!$H347</f>
        <v>612.36725663716811</v>
      </c>
    </row>
    <row r="348" spans="1:10" x14ac:dyDescent="0.3">
      <c r="A348" s="9">
        <v>43717</v>
      </c>
      <c r="B348" s="2" t="str">
        <f>TEXT(Raw_Data!$A348, "MMM")</f>
        <v>Sep</v>
      </c>
      <c r="C348" s="2">
        <f>YEAR(Raw_Data!$A348)</f>
        <v>2019</v>
      </c>
      <c r="D348" s="2" t="s">
        <v>354</v>
      </c>
      <c r="E348" s="2" t="s">
        <v>15</v>
      </c>
      <c r="F348" s="2" t="s">
        <v>27</v>
      </c>
      <c r="G348" s="2"/>
      <c r="H348" s="2">
        <v>2738</v>
      </c>
      <c r="I348" s="10">
        <v>482971</v>
      </c>
      <c r="J348" s="10">
        <f>Raw_Data!$I348/Raw_Data!$H348</f>
        <v>176.3955441928415</v>
      </c>
    </row>
    <row r="349" spans="1:10" x14ac:dyDescent="0.3">
      <c r="A349" s="8">
        <v>40459</v>
      </c>
      <c r="B349" t="str">
        <f>TEXT(Raw_Data!$A349, "MMM")</f>
        <v>Oct</v>
      </c>
      <c r="C349">
        <f>YEAR(Raw_Data!$A349)</f>
        <v>2010</v>
      </c>
      <c r="D349" t="s">
        <v>355</v>
      </c>
      <c r="E349" t="s">
        <v>25</v>
      </c>
      <c r="F349" t="s">
        <v>11</v>
      </c>
      <c r="H349">
        <v>1706</v>
      </c>
      <c r="I349" s="1">
        <v>861061</v>
      </c>
      <c r="J349" s="1">
        <f>Raw_Data!$I349/Raw_Data!$H349</f>
        <v>504.72508792497069</v>
      </c>
    </row>
    <row r="350" spans="1:10" x14ac:dyDescent="0.3">
      <c r="A350" s="9">
        <v>38574</v>
      </c>
      <c r="B350" s="2" t="str">
        <f>TEXT(Raw_Data!$A350, "MMM")</f>
        <v>Aug</v>
      </c>
      <c r="C350" s="2">
        <f>YEAR(Raw_Data!$A350)</f>
        <v>2005</v>
      </c>
      <c r="D350" s="2" t="s">
        <v>356</v>
      </c>
      <c r="E350" s="2" t="s">
        <v>29</v>
      </c>
      <c r="F350" s="2" t="s">
        <v>16</v>
      </c>
      <c r="G350" s="2"/>
      <c r="H350" s="2">
        <v>1235</v>
      </c>
      <c r="I350" s="10">
        <v>830649</v>
      </c>
      <c r="J350" s="10">
        <f>Raw_Data!$I350/Raw_Data!$H350</f>
        <v>672.59028340080977</v>
      </c>
    </row>
    <row r="351" spans="1:10" x14ac:dyDescent="0.3">
      <c r="A351" s="8">
        <v>42119</v>
      </c>
      <c r="B351" t="str">
        <f>TEXT(Raw_Data!$A351, "MMM")</f>
        <v>Apr</v>
      </c>
      <c r="C351">
        <f>YEAR(Raw_Data!$A351)</f>
        <v>2015</v>
      </c>
      <c r="D351" t="s">
        <v>357</v>
      </c>
      <c r="E351" t="s">
        <v>29</v>
      </c>
      <c r="F351" t="s">
        <v>18</v>
      </c>
      <c r="H351">
        <v>3055</v>
      </c>
      <c r="I351" s="1">
        <v>162505</v>
      </c>
      <c r="J351" s="1">
        <f>Raw_Data!$I351/Raw_Data!$H351</f>
        <v>53.193126022913255</v>
      </c>
    </row>
    <row r="352" spans="1:10" x14ac:dyDescent="0.3">
      <c r="A352" s="9">
        <v>37208</v>
      </c>
      <c r="B352" s="2" t="str">
        <f>TEXT(Raw_Data!$A352, "MMM")</f>
        <v>Nov</v>
      </c>
      <c r="C352" s="2">
        <f>YEAR(Raw_Data!$A352)</f>
        <v>2001</v>
      </c>
      <c r="D352" s="2" t="s">
        <v>66</v>
      </c>
      <c r="E352" s="2" t="s">
        <v>15</v>
      </c>
      <c r="F352" s="2" t="s">
        <v>18</v>
      </c>
      <c r="G352" s="2">
        <v>5</v>
      </c>
      <c r="H352" s="2">
        <v>957</v>
      </c>
      <c r="I352" s="10">
        <v>753421</v>
      </c>
      <c r="J352" s="10">
        <f>Raw_Data!$I352/Raw_Data!$H352</f>
        <v>787.27377220480673</v>
      </c>
    </row>
    <row r="353" spans="1:10" x14ac:dyDescent="0.3">
      <c r="A353" s="8">
        <v>42032</v>
      </c>
      <c r="B353" t="str">
        <f>TEXT(Raw_Data!$A353, "MMM")</f>
        <v>Jan</v>
      </c>
      <c r="C353">
        <f>YEAR(Raw_Data!$A353)</f>
        <v>2015</v>
      </c>
      <c r="D353" t="s">
        <v>358</v>
      </c>
      <c r="E353" t="s">
        <v>32</v>
      </c>
      <c r="F353" t="s">
        <v>11</v>
      </c>
      <c r="G353">
        <v>3</v>
      </c>
      <c r="H353">
        <v>3323</v>
      </c>
      <c r="I353" s="1">
        <v>193178</v>
      </c>
      <c r="J353" s="1">
        <f>Raw_Data!$I353/Raw_Data!$H353</f>
        <v>58.133614204032497</v>
      </c>
    </row>
    <row r="354" spans="1:10" x14ac:dyDescent="0.3">
      <c r="A354" s="9">
        <v>36914</v>
      </c>
      <c r="B354" s="2" t="str">
        <f>TEXT(Raw_Data!$A354, "MMM")</f>
        <v>Jan</v>
      </c>
      <c r="C354" s="2">
        <f>YEAR(Raw_Data!$A354)</f>
        <v>2001</v>
      </c>
      <c r="D354" s="2" t="s">
        <v>359</v>
      </c>
      <c r="E354" s="2" t="s">
        <v>32</v>
      </c>
      <c r="F354" s="2" t="s">
        <v>27</v>
      </c>
      <c r="G354" s="2"/>
      <c r="H354" s="2">
        <v>1304</v>
      </c>
      <c r="I354" s="10">
        <v>585518</v>
      </c>
      <c r="J354" s="10">
        <f>Raw_Data!$I354/Raw_Data!$H354</f>
        <v>449.01687116564415</v>
      </c>
    </row>
    <row r="355" spans="1:10" x14ac:dyDescent="0.3">
      <c r="A355" s="8">
        <v>40537</v>
      </c>
      <c r="B355" t="str">
        <f>TEXT(Raw_Data!$A355, "MMM")</f>
        <v>Dec</v>
      </c>
      <c r="C355">
        <f>YEAR(Raw_Data!$A355)</f>
        <v>2010</v>
      </c>
      <c r="D355" t="s">
        <v>360</v>
      </c>
      <c r="E355" t="s">
        <v>25</v>
      </c>
      <c r="F355" t="s">
        <v>16</v>
      </c>
      <c r="H355">
        <v>3075</v>
      </c>
      <c r="I355" s="1">
        <v>826687</v>
      </c>
      <c r="J355" s="1">
        <f>Raw_Data!$I355/Raw_Data!$H355</f>
        <v>268.8413008130081</v>
      </c>
    </row>
    <row r="356" spans="1:10" x14ac:dyDescent="0.3">
      <c r="A356" s="9">
        <v>40959</v>
      </c>
      <c r="B356" s="2" t="str">
        <f>TEXT(Raw_Data!$A356, "MMM")</f>
        <v>Feb</v>
      </c>
      <c r="C356" s="2">
        <f>YEAR(Raw_Data!$A356)</f>
        <v>2012</v>
      </c>
      <c r="D356" s="2" t="s">
        <v>361</v>
      </c>
      <c r="E356" s="2" t="s">
        <v>32</v>
      </c>
      <c r="F356" s="2" t="s">
        <v>18</v>
      </c>
      <c r="G356" s="2"/>
      <c r="H356" s="2">
        <v>909</v>
      </c>
      <c r="I356" s="10">
        <v>522139</v>
      </c>
      <c r="J356" s="10">
        <f>Raw_Data!$I356/Raw_Data!$H356</f>
        <v>574.41034103410345</v>
      </c>
    </row>
    <row r="357" spans="1:10" x14ac:dyDescent="0.3">
      <c r="A357" s="8">
        <v>43760</v>
      </c>
      <c r="B357" t="str">
        <f>TEXT(Raw_Data!$A357, "MMM")</f>
        <v>Oct</v>
      </c>
      <c r="C357">
        <f>YEAR(Raw_Data!$A357)</f>
        <v>2019</v>
      </c>
      <c r="D357" t="s">
        <v>362</v>
      </c>
      <c r="E357" t="s">
        <v>15</v>
      </c>
      <c r="F357" t="s">
        <v>11</v>
      </c>
      <c r="G357">
        <v>4</v>
      </c>
      <c r="H357">
        <v>2446</v>
      </c>
      <c r="I357" s="1">
        <v>492391</v>
      </c>
      <c r="J357" s="1">
        <f>Raw_Data!$I357/Raw_Data!$H357</f>
        <v>201.3045789043336</v>
      </c>
    </row>
    <row r="358" spans="1:10" x14ac:dyDescent="0.3">
      <c r="A358" s="9">
        <v>43303</v>
      </c>
      <c r="B358" s="2" t="str">
        <f>TEXT(Raw_Data!$A358, "MMM")</f>
        <v>Jul</v>
      </c>
      <c r="C358" s="2">
        <f>YEAR(Raw_Data!$A358)</f>
        <v>2018</v>
      </c>
      <c r="D358" s="2" t="s">
        <v>363</v>
      </c>
      <c r="E358" s="2" t="s">
        <v>15</v>
      </c>
      <c r="F358" s="2" t="s">
        <v>11</v>
      </c>
      <c r="G358" s="2"/>
      <c r="H358" s="2">
        <v>2212</v>
      </c>
      <c r="I358" s="10">
        <v>554384</v>
      </c>
      <c r="J358" s="10">
        <f>Raw_Data!$I358/Raw_Data!$H358</f>
        <v>250.625678119349</v>
      </c>
    </row>
    <row r="359" spans="1:10" x14ac:dyDescent="0.3">
      <c r="A359" s="8">
        <v>37422</v>
      </c>
      <c r="B359" t="str">
        <f>TEXT(Raw_Data!$A359, "MMM")</f>
        <v>Jun</v>
      </c>
      <c r="C359">
        <f>YEAR(Raw_Data!$A359)</f>
        <v>2002</v>
      </c>
      <c r="D359" t="s">
        <v>364</v>
      </c>
      <c r="E359" t="s">
        <v>21</v>
      </c>
      <c r="F359" t="s">
        <v>18</v>
      </c>
      <c r="H359">
        <v>3000</v>
      </c>
      <c r="I359" s="1">
        <v>291482</v>
      </c>
      <c r="J359" s="1">
        <f>Raw_Data!$I359/Raw_Data!$H359</f>
        <v>97.160666666666671</v>
      </c>
    </row>
    <row r="360" spans="1:10" x14ac:dyDescent="0.3">
      <c r="A360" s="9">
        <v>40064</v>
      </c>
      <c r="B360" s="2" t="str">
        <f>TEXT(Raw_Data!$A360, "MMM")</f>
        <v>Sep</v>
      </c>
      <c r="C360" s="2">
        <f>YEAR(Raw_Data!$A360)</f>
        <v>2009</v>
      </c>
      <c r="D360" s="2" t="s">
        <v>365</v>
      </c>
      <c r="E360" s="2" t="s">
        <v>32</v>
      </c>
      <c r="F360" s="2" t="s">
        <v>11</v>
      </c>
      <c r="G360" s="2">
        <v>5</v>
      </c>
      <c r="H360" s="2">
        <v>1162</v>
      </c>
      <c r="I360" s="10">
        <v>465415</v>
      </c>
      <c r="J360" s="10">
        <f>Raw_Data!$I360/Raw_Data!$H360</f>
        <v>400.5292598967298</v>
      </c>
    </row>
    <row r="361" spans="1:10" x14ac:dyDescent="0.3">
      <c r="A361" s="8">
        <v>38715</v>
      </c>
      <c r="B361" t="str">
        <f>TEXT(Raw_Data!$A361, "MMM")</f>
        <v>Dec</v>
      </c>
      <c r="C361">
        <f>YEAR(Raw_Data!$A361)</f>
        <v>2005</v>
      </c>
      <c r="D361" t="s">
        <v>366</v>
      </c>
      <c r="E361" t="s">
        <v>32</v>
      </c>
      <c r="F361" t="s">
        <v>18</v>
      </c>
      <c r="G361">
        <v>5</v>
      </c>
      <c r="H361">
        <v>1784</v>
      </c>
      <c r="I361" s="1">
        <v>153610</v>
      </c>
      <c r="J361" s="1">
        <f>Raw_Data!$I361/Raw_Data!$H361</f>
        <v>86.104260089686093</v>
      </c>
    </row>
    <row r="362" spans="1:10" x14ac:dyDescent="0.3">
      <c r="A362" s="9">
        <v>41936</v>
      </c>
      <c r="B362" s="2" t="str">
        <f>TEXT(Raw_Data!$A362, "MMM")</f>
        <v>Oct</v>
      </c>
      <c r="C362" s="2">
        <f>YEAR(Raw_Data!$A362)</f>
        <v>2014</v>
      </c>
      <c r="D362" s="2" t="s">
        <v>367</v>
      </c>
      <c r="E362" s="2" t="s">
        <v>15</v>
      </c>
      <c r="F362" s="2" t="s">
        <v>27</v>
      </c>
      <c r="G362" s="2">
        <v>4</v>
      </c>
      <c r="H362" s="2">
        <v>2799</v>
      </c>
      <c r="I362" s="10">
        <v>383400</v>
      </c>
      <c r="J362" s="10">
        <f>Raw_Data!$I362/Raw_Data!$H362</f>
        <v>136.97749196141478</v>
      </c>
    </row>
    <row r="363" spans="1:10" x14ac:dyDescent="0.3">
      <c r="A363" s="8">
        <v>37495</v>
      </c>
      <c r="B363" t="str">
        <f>TEXT(Raw_Data!$A363, "MMM")</f>
        <v>Aug</v>
      </c>
      <c r="C363">
        <f>YEAR(Raw_Data!$A363)</f>
        <v>2002</v>
      </c>
      <c r="D363" t="s">
        <v>368</v>
      </c>
      <c r="E363" t="s">
        <v>21</v>
      </c>
      <c r="F363" t="s">
        <v>11</v>
      </c>
      <c r="H363">
        <v>1784</v>
      </c>
      <c r="I363" s="1">
        <v>198588</v>
      </c>
      <c r="J363" s="1">
        <f>Raw_Data!$I363/Raw_Data!$H363</f>
        <v>111.31614349775785</v>
      </c>
    </row>
    <row r="364" spans="1:10" x14ac:dyDescent="0.3">
      <c r="A364" s="9">
        <v>37654</v>
      </c>
      <c r="B364" s="2" t="str">
        <f>TEXT(Raw_Data!$A364, "MMM")</f>
        <v>Feb</v>
      </c>
      <c r="C364" s="2">
        <f>YEAR(Raw_Data!$A364)</f>
        <v>2003</v>
      </c>
      <c r="D364" s="2" t="s">
        <v>369</v>
      </c>
      <c r="E364" s="2" t="s">
        <v>23</v>
      </c>
      <c r="F364" s="2" t="s">
        <v>27</v>
      </c>
      <c r="G364" s="2">
        <v>3</v>
      </c>
      <c r="H364" s="2">
        <v>2696</v>
      </c>
      <c r="I364" s="10">
        <v>355211</v>
      </c>
      <c r="J364" s="10">
        <f>Raw_Data!$I364/Raw_Data!$H364</f>
        <v>131.75482195845697</v>
      </c>
    </row>
    <row r="365" spans="1:10" x14ac:dyDescent="0.3">
      <c r="A365" s="8">
        <v>43501</v>
      </c>
      <c r="B365" t="str">
        <f>TEXT(Raw_Data!$A365, "MMM")</f>
        <v>Feb</v>
      </c>
      <c r="C365">
        <f>YEAR(Raw_Data!$A365)</f>
        <v>2019</v>
      </c>
      <c r="D365" t="s">
        <v>370</v>
      </c>
      <c r="E365" t="s">
        <v>25</v>
      </c>
      <c r="F365" t="s">
        <v>11</v>
      </c>
      <c r="G365">
        <v>4</v>
      </c>
      <c r="H365">
        <v>3478</v>
      </c>
      <c r="I365" s="1">
        <v>563224</v>
      </c>
      <c r="J365" s="1">
        <f>Raw_Data!$I365/Raw_Data!$H365</f>
        <v>161.93904542840713</v>
      </c>
    </row>
    <row r="366" spans="1:10" x14ac:dyDescent="0.3">
      <c r="A366" s="9">
        <v>41105</v>
      </c>
      <c r="B366" s="2" t="str">
        <f>TEXT(Raw_Data!$A366, "MMM")</f>
        <v>Jul</v>
      </c>
      <c r="C366" s="2">
        <f>YEAR(Raw_Data!$A366)</f>
        <v>2012</v>
      </c>
      <c r="D366" s="2" t="s">
        <v>371</v>
      </c>
      <c r="E366" s="2" t="s">
        <v>32</v>
      </c>
      <c r="F366" s="2" t="s">
        <v>27</v>
      </c>
      <c r="G366" s="2">
        <v>5</v>
      </c>
      <c r="H366" s="2">
        <v>2190</v>
      </c>
      <c r="I366" s="10">
        <v>247708</v>
      </c>
      <c r="J366" s="10">
        <f>Raw_Data!$I366/Raw_Data!$H366</f>
        <v>113.10867579908675</v>
      </c>
    </row>
    <row r="367" spans="1:10" x14ac:dyDescent="0.3">
      <c r="A367" s="8">
        <v>38174</v>
      </c>
      <c r="B367" t="str">
        <f>TEXT(Raw_Data!$A367, "MMM")</f>
        <v>Jul</v>
      </c>
      <c r="C367">
        <f>YEAR(Raw_Data!$A367)</f>
        <v>2004</v>
      </c>
      <c r="D367" t="s">
        <v>372</v>
      </c>
      <c r="E367" t="s">
        <v>29</v>
      </c>
      <c r="F367" t="s">
        <v>27</v>
      </c>
      <c r="G367">
        <v>4</v>
      </c>
      <c r="H367">
        <v>3341</v>
      </c>
      <c r="I367" s="1">
        <v>598528</v>
      </c>
      <c r="J367" s="1">
        <f>Raw_Data!$I367/Raw_Data!$H367</f>
        <v>179.14636336426219</v>
      </c>
    </row>
    <row r="368" spans="1:10" x14ac:dyDescent="0.3">
      <c r="A368" s="9">
        <v>37833</v>
      </c>
      <c r="B368" s="2" t="str">
        <f>TEXT(Raw_Data!$A368, "MMM")</f>
        <v>Jul</v>
      </c>
      <c r="C368" s="2">
        <f>YEAR(Raw_Data!$A368)</f>
        <v>2003</v>
      </c>
      <c r="D368" s="2" t="s">
        <v>373</v>
      </c>
      <c r="E368" s="2" t="s">
        <v>15</v>
      </c>
      <c r="F368" s="2" t="s">
        <v>11</v>
      </c>
      <c r="G368" s="2">
        <v>3</v>
      </c>
      <c r="H368" s="2">
        <v>1205</v>
      </c>
      <c r="I368" s="10">
        <v>567209</v>
      </c>
      <c r="J368" s="10">
        <f>Raw_Data!$I368/Raw_Data!$H368</f>
        <v>470.71286307053941</v>
      </c>
    </row>
    <row r="369" spans="1:10" x14ac:dyDescent="0.3">
      <c r="A369" s="8">
        <v>36993</v>
      </c>
      <c r="B369" t="str">
        <f>TEXT(Raw_Data!$A369, "MMM")</f>
        <v>Apr</v>
      </c>
      <c r="C369">
        <f>YEAR(Raw_Data!$A369)</f>
        <v>2001</v>
      </c>
      <c r="D369" t="s">
        <v>374</v>
      </c>
      <c r="E369" t="s">
        <v>29</v>
      </c>
      <c r="F369" t="s">
        <v>16</v>
      </c>
      <c r="G369">
        <v>4</v>
      </c>
      <c r="H369">
        <v>3344</v>
      </c>
      <c r="I369" s="1">
        <v>605042</v>
      </c>
      <c r="J369" s="1">
        <f>Raw_Data!$I369/Raw_Data!$H369</f>
        <v>180.93361244019138</v>
      </c>
    </row>
    <row r="370" spans="1:10" x14ac:dyDescent="0.3">
      <c r="A370" s="9">
        <v>44067</v>
      </c>
      <c r="B370" s="2" t="str">
        <f>TEXT(Raw_Data!$A370, "MMM")</f>
        <v>Aug</v>
      </c>
      <c r="C370" s="2">
        <f>YEAR(Raw_Data!$A370)</f>
        <v>2020</v>
      </c>
      <c r="D370" s="2" t="s">
        <v>375</v>
      </c>
      <c r="E370" s="2" t="s">
        <v>32</v>
      </c>
      <c r="F370" s="2" t="s">
        <v>16</v>
      </c>
      <c r="G370" s="2">
        <v>2</v>
      </c>
      <c r="H370" s="2">
        <v>1643</v>
      </c>
      <c r="I370" s="10">
        <v>470089</v>
      </c>
      <c r="J370" s="10">
        <f>Raw_Data!$I370/Raw_Data!$H370</f>
        <v>286.11625076080338</v>
      </c>
    </row>
    <row r="371" spans="1:10" x14ac:dyDescent="0.3">
      <c r="A371" s="8">
        <v>40301</v>
      </c>
      <c r="B371" t="str">
        <f>TEXT(Raw_Data!$A371, "MMM")</f>
        <v>May</v>
      </c>
      <c r="C371">
        <f>YEAR(Raw_Data!$A371)</f>
        <v>2010</v>
      </c>
      <c r="D371" t="s">
        <v>376</v>
      </c>
      <c r="E371" t="s">
        <v>32</v>
      </c>
      <c r="F371" t="s">
        <v>11</v>
      </c>
      <c r="H371">
        <v>2596</v>
      </c>
      <c r="I371" s="1">
        <v>115163</v>
      </c>
      <c r="J371" s="1">
        <f>Raw_Data!$I371/Raw_Data!$H371</f>
        <v>44.361710323574734</v>
      </c>
    </row>
    <row r="372" spans="1:10" x14ac:dyDescent="0.3">
      <c r="A372" s="9">
        <v>41121</v>
      </c>
      <c r="B372" s="2" t="str">
        <f>TEXT(Raw_Data!$A372, "MMM")</f>
        <v>Jul</v>
      </c>
      <c r="C372" s="2">
        <f>YEAR(Raw_Data!$A372)</f>
        <v>2012</v>
      </c>
      <c r="D372" s="2" t="s">
        <v>377</v>
      </c>
      <c r="E372" s="2" t="s">
        <v>25</v>
      </c>
      <c r="F372" s="2" t="s">
        <v>16</v>
      </c>
      <c r="G372" s="2">
        <v>4</v>
      </c>
      <c r="H372" s="2">
        <v>3355</v>
      </c>
      <c r="I372" s="10">
        <v>768087</v>
      </c>
      <c r="J372" s="10">
        <f>Raw_Data!$I372/Raw_Data!$H372</f>
        <v>228.93800298062592</v>
      </c>
    </row>
    <row r="373" spans="1:10" x14ac:dyDescent="0.3">
      <c r="A373" s="8">
        <v>42124</v>
      </c>
      <c r="B373" t="str">
        <f>TEXT(Raw_Data!$A373, "MMM")</f>
        <v>Apr</v>
      </c>
      <c r="C373">
        <f>YEAR(Raw_Data!$A373)</f>
        <v>2015</v>
      </c>
      <c r="D373" t="s">
        <v>378</v>
      </c>
      <c r="E373" t="s">
        <v>13</v>
      </c>
      <c r="F373" t="s">
        <v>16</v>
      </c>
      <c r="G373">
        <v>4</v>
      </c>
      <c r="H373">
        <v>2082</v>
      </c>
      <c r="I373" s="1">
        <v>322799</v>
      </c>
      <c r="J373" s="1">
        <f>Raw_Data!$I373/Raw_Data!$H373</f>
        <v>155.04274735830933</v>
      </c>
    </row>
    <row r="374" spans="1:10" x14ac:dyDescent="0.3">
      <c r="A374" s="9">
        <v>39649</v>
      </c>
      <c r="B374" s="2" t="str">
        <f>TEXT(Raw_Data!$A374, "MMM")</f>
        <v>Jul</v>
      </c>
      <c r="C374" s="2">
        <f>YEAR(Raw_Data!$A374)</f>
        <v>2008</v>
      </c>
      <c r="D374" s="2" t="s">
        <v>379</v>
      </c>
      <c r="E374" s="2" t="s">
        <v>32</v>
      </c>
      <c r="F374" s="2" t="s">
        <v>27</v>
      </c>
      <c r="G374" s="2">
        <v>2</v>
      </c>
      <c r="H374" s="2">
        <v>1594</v>
      </c>
      <c r="I374" s="10">
        <v>382221</v>
      </c>
      <c r="J374" s="10">
        <f>Raw_Data!$I374/Raw_Data!$H374</f>
        <v>239.78732747804267</v>
      </c>
    </row>
    <row r="375" spans="1:10" x14ac:dyDescent="0.3">
      <c r="A375" s="8">
        <v>37862</v>
      </c>
      <c r="B375" t="str">
        <f>TEXT(Raw_Data!$A375, "MMM")</f>
        <v>Aug</v>
      </c>
      <c r="C375">
        <f>YEAR(Raw_Data!$A375)</f>
        <v>2003</v>
      </c>
      <c r="D375" t="s">
        <v>380</v>
      </c>
      <c r="E375" t="s">
        <v>32</v>
      </c>
      <c r="F375" t="s">
        <v>27</v>
      </c>
      <c r="H375">
        <v>2487</v>
      </c>
      <c r="I375" s="1">
        <v>568070</v>
      </c>
      <c r="J375" s="1">
        <f>Raw_Data!$I375/Raw_Data!$H375</f>
        <v>228.41576196220345</v>
      </c>
    </row>
    <row r="376" spans="1:10" x14ac:dyDescent="0.3">
      <c r="A376" s="9">
        <v>37537</v>
      </c>
      <c r="B376" s="2" t="str">
        <f>TEXT(Raw_Data!$A376, "MMM")</f>
        <v>Oct</v>
      </c>
      <c r="C376" s="2">
        <f>YEAR(Raw_Data!$A376)</f>
        <v>2002</v>
      </c>
      <c r="D376" s="2" t="s">
        <v>381</v>
      </c>
      <c r="E376" s="2" t="s">
        <v>15</v>
      </c>
      <c r="F376" s="2" t="s">
        <v>18</v>
      </c>
      <c r="G376" s="2">
        <v>5</v>
      </c>
      <c r="H376" s="2">
        <v>831</v>
      </c>
      <c r="I376" s="10">
        <v>523920</v>
      </c>
      <c r="J376" s="10">
        <f>Raw_Data!$I376/Raw_Data!$H376</f>
        <v>630.46931407942236</v>
      </c>
    </row>
    <row r="377" spans="1:10" x14ac:dyDescent="0.3">
      <c r="A377" s="8">
        <v>41326</v>
      </c>
      <c r="B377" t="str">
        <f>TEXT(Raw_Data!$A377, "MMM")</f>
        <v>Feb</v>
      </c>
      <c r="C377">
        <f>YEAR(Raw_Data!$A377)</f>
        <v>2013</v>
      </c>
      <c r="D377" t="s">
        <v>382</v>
      </c>
      <c r="E377" t="s">
        <v>23</v>
      </c>
      <c r="F377" t="s">
        <v>27</v>
      </c>
      <c r="G377">
        <v>2</v>
      </c>
      <c r="H377">
        <v>1869</v>
      </c>
      <c r="I377" s="1">
        <v>707615</v>
      </c>
      <c r="J377" s="1">
        <f>Raw_Data!$I377/Raw_Data!$H377</f>
        <v>378.60620652755483</v>
      </c>
    </row>
    <row r="378" spans="1:10" x14ac:dyDescent="0.3">
      <c r="A378" s="9">
        <v>41228</v>
      </c>
      <c r="B378" s="2" t="str">
        <f>TEXT(Raw_Data!$A378, "MMM")</f>
        <v>Nov</v>
      </c>
      <c r="C378" s="2">
        <f>YEAR(Raw_Data!$A378)</f>
        <v>2012</v>
      </c>
      <c r="D378" s="2" t="s">
        <v>383</v>
      </c>
      <c r="E378" s="2" t="s">
        <v>25</v>
      </c>
      <c r="F378" s="2" t="s">
        <v>11</v>
      </c>
      <c r="G378" s="2"/>
      <c r="H378" s="2">
        <v>2813</v>
      </c>
      <c r="I378" s="10">
        <v>803390</v>
      </c>
      <c r="J378" s="10">
        <f>Raw_Data!$I378/Raw_Data!$H378</f>
        <v>285.59900462140064</v>
      </c>
    </row>
    <row r="379" spans="1:10" x14ac:dyDescent="0.3">
      <c r="A379" s="8">
        <v>39298</v>
      </c>
      <c r="B379" t="str">
        <f>TEXT(Raw_Data!$A379, "MMM")</f>
        <v>Aug</v>
      </c>
      <c r="C379">
        <f>YEAR(Raw_Data!$A379)</f>
        <v>2007</v>
      </c>
      <c r="D379" t="s">
        <v>384</v>
      </c>
      <c r="E379" t="s">
        <v>25</v>
      </c>
      <c r="F379" t="s">
        <v>11</v>
      </c>
      <c r="G379">
        <v>2</v>
      </c>
      <c r="H379">
        <v>1555</v>
      </c>
      <c r="I379" s="1">
        <v>233620</v>
      </c>
      <c r="J379" s="1">
        <f>Raw_Data!$I379/Raw_Data!$H379</f>
        <v>150.2379421221865</v>
      </c>
    </row>
    <row r="380" spans="1:10" x14ac:dyDescent="0.3">
      <c r="A380" s="9">
        <v>41850</v>
      </c>
      <c r="B380" s="2" t="str">
        <f>TEXT(Raw_Data!$A380, "MMM")</f>
        <v>Jul</v>
      </c>
      <c r="C380" s="2">
        <f>YEAR(Raw_Data!$A380)</f>
        <v>2014</v>
      </c>
      <c r="D380" s="2" t="s">
        <v>385</v>
      </c>
      <c r="E380" s="2" t="s">
        <v>32</v>
      </c>
      <c r="F380" s="2" t="s">
        <v>27</v>
      </c>
      <c r="G380" s="2">
        <v>3</v>
      </c>
      <c r="H380" s="2">
        <v>1996</v>
      </c>
      <c r="I380" s="10">
        <v>847880</v>
      </c>
      <c r="J380" s="10">
        <f>Raw_Data!$I380/Raw_Data!$H380</f>
        <v>424.78957915831666</v>
      </c>
    </row>
    <row r="381" spans="1:10" x14ac:dyDescent="0.3">
      <c r="A381" s="8">
        <v>39435</v>
      </c>
      <c r="B381" t="str">
        <f>TEXT(Raw_Data!$A381, "MMM")</f>
        <v>Dec</v>
      </c>
      <c r="C381">
        <f>YEAR(Raw_Data!$A381)</f>
        <v>2007</v>
      </c>
      <c r="D381" t="s">
        <v>330</v>
      </c>
      <c r="E381" t="s">
        <v>29</v>
      </c>
      <c r="F381" t="s">
        <v>16</v>
      </c>
      <c r="G381">
        <v>5</v>
      </c>
      <c r="H381">
        <v>3275</v>
      </c>
      <c r="I381" s="1">
        <v>579238</v>
      </c>
      <c r="J381" s="1">
        <f>Raw_Data!$I381/Raw_Data!$H381</f>
        <v>176.86656488549619</v>
      </c>
    </row>
    <row r="382" spans="1:10" x14ac:dyDescent="0.3">
      <c r="A382" s="9">
        <v>37895</v>
      </c>
      <c r="B382" s="2" t="str">
        <f>TEXT(Raw_Data!$A382, "MMM")</f>
        <v>Oct</v>
      </c>
      <c r="C382" s="2">
        <f>YEAR(Raw_Data!$A382)</f>
        <v>2003</v>
      </c>
      <c r="D382" s="2" t="s">
        <v>386</v>
      </c>
      <c r="E382" s="2" t="s">
        <v>25</v>
      </c>
      <c r="F382" s="2" t="s">
        <v>18</v>
      </c>
      <c r="G382" s="2">
        <v>3</v>
      </c>
      <c r="H382" s="2">
        <v>3058</v>
      </c>
      <c r="I382" s="10">
        <v>395056</v>
      </c>
      <c r="J382" s="10">
        <f>Raw_Data!$I382/Raw_Data!$H382</f>
        <v>129.18770438194898</v>
      </c>
    </row>
    <row r="383" spans="1:10" x14ac:dyDescent="0.3">
      <c r="A383" s="8">
        <v>37061</v>
      </c>
      <c r="B383" t="str">
        <f>TEXT(Raw_Data!$A383, "MMM")</f>
        <v>Jun</v>
      </c>
      <c r="C383">
        <f>YEAR(Raw_Data!$A383)</f>
        <v>2001</v>
      </c>
      <c r="D383" t="s">
        <v>387</v>
      </c>
      <c r="E383" t="s">
        <v>23</v>
      </c>
      <c r="F383" t="s">
        <v>11</v>
      </c>
      <c r="G383">
        <v>4</v>
      </c>
      <c r="H383">
        <v>3047</v>
      </c>
      <c r="I383" s="1">
        <v>590574</v>
      </c>
      <c r="J383" s="1">
        <f>Raw_Data!$I383/Raw_Data!$H383</f>
        <v>193.82146373482112</v>
      </c>
    </row>
    <row r="384" spans="1:10" x14ac:dyDescent="0.3">
      <c r="A384" s="9">
        <v>41891</v>
      </c>
      <c r="B384" s="2" t="str">
        <f>TEXT(Raw_Data!$A384, "MMM")</f>
        <v>Sep</v>
      </c>
      <c r="C384" s="2">
        <f>YEAR(Raw_Data!$A384)</f>
        <v>2014</v>
      </c>
      <c r="D384" s="2" t="s">
        <v>388</v>
      </c>
      <c r="E384" s="2" t="s">
        <v>32</v>
      </c>
      <c r="F384" s="2" t="s">
        <v>16</v>
      </c>
      <c r="G384" s="2">
        <v>5</v>
      </c>
      <c r="H384" s="2">
        <v>1892</v>
      </c>
      <c r="I384" s="10">
        <v>681634</v>
      </c>
      <c r="J384" s="10">
        <f>Raw_Data!$I384/Raw_Data!$H384</f>
        <v>360.27167019027485</v>
      </c>
    </row>
    <row r="385" spans="1:10" x14ac:dyDescent="0.3">
      <c r="A385" s="8">
        <v>39824</v>
      </c>
      <c r="B385" t="str">
        <f>TEXT(Raw_Data!$A385, "MMM")</f>
        <v>Jan</v>
      </c>
      <c r="C385">
        <f>YEAR(Raw_Data!$A385)</f>
        <v>2009</v>
      </c>
      <c r="D385" t="s">
        <v>389</v>
      </c>
      <c r="E385" t="s">
        <v>32</v>
      </c>
      <c r="F385" t="s">
        <v>27</v>
      </c>
      <c r="G385">
        <v>2</v>
      </c>
      <c r="H385">
        <v>2329</v>
      </c>
      <c r="I385" s="1">
        <v>224469</v>
      </c>
      <c r="J385" s="1">
        <f>Raw_Data!$I385/Raw_Data!$H385</f>
        <v>96.37999141262344</v>
      </c>
    </row>
    <row r="386" spans="1:10" x14ac:dyDescent="0.3">
      <c r="A386" s="9">
        <v>43849</v>
      </c>
      <c r="B386" s="2" t="str">
        <f>TEXT(Raw_Data!$A386, "MMM")</f>
        <v>Jan</v>
      </c>
      <c r="C386" s="2">
        <f>YEAR(Raw_Data!$A386)</f>
        <v>2020</v>
      </c>
      <c r="D386" s="2" t="s">
        <v>30</v>
      </c>
      <c r="E386" s="2" t="s">
        <v>15</v>
      </c>
      <c r="F386" s="2" t="s">
        <v>18</v>
      </c>
      <c r="G386" s="2"/>
      <c r="H386" s="2">
        <v>1126</v>
      </c>
      <c r="I386" s="10">
        <v>579094</v>
      </c>
      <c r="J386" s="10">
        <f>Raw_Data!$I386/Raw_Data!$H386</f>
        <v>514.2930728241563</v>
      </c>
    </row>
    <row r="387" spans="1:10" x14ac:dyDescent="0.3">
      <c r="A387" s="8">
        <v>39834</v>
      </c>
      <c r="B387" t="str">
        <f>TEXT(Raw_Data!$A387, "MMM")</f>
        <v>Jan</v>
      </c>
      <c r="C387">
        <f>YEAR(Raw_Data!$A387)</f>
        <v>2009</v>
      </c>
      <c r="D387" t="s">
        <v>390</v>
      </c>
      <c r="E387" t="s">
        <v>32</v>
      </c>
      <c r="F387" t="s">
        <v>11</v>
      </c>
      <c r="H387">
        <v>3378</v>
      </c>
      <c r="I387" s="1">
        <v>325956</v>
      </c>
      <c r="J387" s="1">
        <f>Raw_Data!$I387/Raw_Data!$H387</f>
        <v>96.493783303730012</v>
      </c>
    </row>
    <row r="388" spans="1:10" x14ac:dyDescent="0.3">
      <c r="A388" s="9">
        <v>43894</v>
      </c>
      <c r="B388" s="2" t="str">
        <f>TEXT(Raw_Data!$A388, "MMM")</f>
        <v>Mar</v>
      </c>
      <c r="C388" s="2">
        <f>YEAR(Raw_Data!$A388)</f>
        <v>2020</v>
      </c>
      <c r="D388" s="2" t="s">
        <v>391</v>
      </c>
      <c r="E388" s="2" t="s">
        <v>25</v>
      </c>
      <c r="F388" s="2" t="s">
        <v>11</v>
      </c>
      <c r="G388" s="2">
        <v>2</v>
      </c>
      <c r="H388" s="2">
        <v>1758</v>
      </c>
      <c r="I388" s="10">
        <v>205338</v>
      </c>
      <c r="J388" s="10">
        <f>Raw_Data!$I388/Raw_Data!$H388</f>
        <v>116.80204778156997</v>
      </c>
    </row>
    <row r="389" spans="1:10" x14ac:dyDescent="0.3">
      <c r="A389" s="8">
        <v>38705</v>
      </c>
      <c r="B389" t="str">
        <f>TEXT(Raw_Data!$A389, "MMM")</f>
        <v>Dec</v>
      </c>
      <c r="C389">
        <f>YEAR(Raw_Data!$A389)</f>
        <v>2005</v>
      </c>
      <c r="D389" t="s">
        <v>346</v>
      </c>
      <c r="E389" t="s">
        <v>15</v>
      </c>
      <c r="F389" t="s">
        <v>18</v>
      </c>
      <c r="G389">
        <v>2</v>
      </c>
      <c r="H389">
        <v>1803</v>
      </c>
      <c r="I389" s="1">
        <v>486522</v>
      </c>
      <c r="J389" s="1">
        <f>Raw_Data!$I389/Raw_Data!$H389</f>
        <v>269.8402662229617</v>
      </c>
    </row>
    <row r="390" spans="1:10" x14ac:dyDescent="0.3">
      <c r="A390" s="9">
        <v>37558</v>
      </c>
      <c r="B390" s="2" t="str">
        <f>TEXT(Raw_Data!$A390, "MMM")</f>
        <v>Oct</v>
      </c>
      <c r="C390" s="2">
        <f>YEAR(Raw_Data!$A390)</f>
        <v>2002</v>
      </c>
      <c r="D390" s="2" t="s">
        <v>392</v>
      </c>
      <c r="E390" s="2" t="s">
        <v>32</v>
      </c>
      <c r="F390" s="2" t="s">
        <v>18</v>
      </c>
      <c r="G390" s="2">
        <v>3</v>
      </c>
      <c r="H390" s="2">
        <v>2467</v>
      </c>
      <c r="I390" s="10">
        <v>202374</v>
      </c>
      <c r="J390" s="10">
        <f>Raw_Data!$I390/Raw_Data!$H390</f>
        <v>82.032428050263476</v>
      </c>
    </row>
    <row r="391" spans="1:10" x14ac:dyDescent="0.3">
      <c r="A391" s="8">
        <v>37896</v>
      </c>
      <c r="B391" t="str">
        <f>TEXT(Raw_Data!$A391, "MMM")</f>
        <v>Oct</v>
      </c>
      <c r="C391">
        <f>YEAR(Raw_Data!$A391)</f>
        <v>2003</v>
      </c>
      <c r="D391" t="s">
        <v>393</v>
      </c>
      <c r="E391" t="s">
        <v>32</v>
      </c>
      <c r="F391" t="s">
        <v>27</v>
      </c>
      <c r="G391">
        <v>3</v>
      </c>
      <c r="H391">
        <v>2552</v>
      </c>
      <c r="I391" s="1">
        <v>303627</v>
      </c>
      <c r="J391" s="1">
        <f>Raw_Data!$I391/Raw_Data!$H391</f>
        <v>118.97609717868339</v>
      </c>
    </row>
    <row r="392" spans="1:10" x14ac:dyDescent="0.3">
      <c r="A392" s="9">
        <v>41087</v>
      </c>
      <c r="B392" s="2" t="str">
        <f>TEXT(Raw_Data!$A392, "MMM")</f>
        <v>Jun</v>
      </c>
      <c r="C392" s="2">
        <f>YEAR(Raw_Data!$A392)</f>
        <v>2012</v>
      </c>
      <c r="D392" s="2" t="s">
        <v>394</v>
      </c>
      <c r="E392" s="2" t="s">
        <v>15</v>
      </c>
      <c r="F392" s="2" t="s">
        <v>11</v>
      </c>
      <c r="G392" s="2">
        <v>5</v>
      </c>
      <c r="H392" s="2">
        <v>2897</v>
      </c>
      <c r="I392" s="10">
        <v>746507</v>
      </c>
      <c r="J392" s="10">
        <f>Raw_Data!$I392/Raw_Data!$H392</f>
        <v>257.68277528477734</v>
      </c>
    </row>
    <row r="393" spans="1:10" x14ac:dyDescent="0.3">
      <c r="A393" s="8">
        <v>40354</v>
      </c>
      <c r="B393" t="str">
        <f>TEXT(Raw_Data!$A393, "MMM")</f>
        <v>Jun</v>
      </c>
      <c r="C393">
        <f>YEAR(Raw_Data!$A393)</f>
        <v>2010</v>
      </c>
      <c r="D393" t="s">
        <v>395</v>
      </c>
      <c r="E393" t="s">
        <v>25</v>
      </c>
      <c r="F393" t="s">
        <v>27</v>
      </c>
      <c r="G393">
        <v>4</v>
      </c>
      <c r="H393">
        <v>1023</v>
      </c>
      <c r="I393" s="1">
        <v>853784</v>
      </c>
      <c r="J393" s="1">
        <f>Raw_Data!$I393/Raw_Data!$H393</f>
        <v>834.58846529814275</v>
      </c>
    </row>
    <row r="394" spans="1:10" x14ac:dyDescent="0.3">
      <c r="A394" s="9">
        <v>44111</v>
      </c>
      <c r="B394" s="2" t="str">
        <f>TEXT(Raw_Data!$A394, "MMM")</f>
        <v>Oct</v>
      </c>
      <c r="C394" s="2">
        <f>YEAR(Raw_Data!$A394)</f>
        <v>2020</v>
      </c>
      <c r="D394" s="2" t="s">
        <v>389</v>
      </c>
      <c r="E394" s="2" t="s">
        <v>21</v>
      </c>
      <c r="F394" s="2" t="s">
        <v>18</v>
      </c>
      <c r="G394" s="2">
        <v>5</v>
      </c>
      <c r="H394" s="2">
        <v>3457</v>
      </c>
      <c r="I394" s="10">
        <v>316439</v>
      </c>
      <c r="J394" s="10">
        <f>Raw_Data!$I394/Raw_Data!$H394</f>
        <v>91.535724616719705</v>
      </c>
    </row>
    <row r="395" spans="1:10" x14ac:dyDescent="0.3">
      <c r="A395" s="8">
        <v>41115</v>
      </c>
      <c r="B395" t="str">
        <f>TEXT(Raw_Data!$A395, "MMM")</f>
        <v>Jul</v>
      </c>
      <c r="C395">
        <f>YEAR(Raw_Data!$A395)</f>
        <v>2012</v>
      </c>
      <c r="D395" t="s">
        <v>396</v>
      </c>
      <c r="E395" t="s">
        <v>21</v>
      </c>
      <c r="F395" t="s">
        <v>16</v>
      </c>
      <c r="G395">
        <v>3</v>
      </c>
      <c r="H395">
        <v>909</v>
      </c>
      <c r="I395" s="1">
        <v>785065</v>
      </c>
      <c r="J395" s="1">
        <f>Raw_Data!$I395/Raw_Data!$H395</f>
        <v>863.65786578657867</v>
      </c>
    </row>
    <row r="396" spans="1:10" x14ac:dyDescent="0.3">
      <c r="A396" s="9">
        <v>41623</v>
      </c>
      <c r="B396" s="2" t="str">
        <f>TEXT(Raw_Data!$A396, "MMM")</f>
        <v>Dec</v>
      </c>
      <c r="C396" s="2">
        <f>YEAR(Raw_Data!$A396)</f>
        <v>2013</v>
      </c>
      <c r="D396" s="2" t="s">
        <v>397</v>
      </c>
      <c r="E396" s="2" t="s">
        <v>13</v>
      </c>
      <c r="F396" s="2" t="s">
        <v>11</v>
      </c>
      <c r="G396" s="2"/>
      <c r="H396" s="2">
        <v>2781</v>
      </c>
      <c r="I396" s="10">
        <v>847032</v>
      </c>
      <c r="J396" s="10">
        <f>Raw_Data!$I396/Raw_Data!$H396</f>
        <v>304.57820927723839</v>
      </c>
    </row>
    <row r="397" spans="1:10" x14ac:dyDescent="0.3">
      <c r="A397" s="8">
        <v>38681</v>
      </c>
      <c r="B397" t="str">
        <f>TEXT(Raw_Data!$A397, "MMM")</f>
        <v>Nov</v>
      </c>
      <c r="C397">
        <f>YEAR(Raw_Data!$A397)</f>
        <v>2005</v>
      </c>
      <c r="D397" t="s">
        <v>398</v>
      </c>
      <c r="E397" t="s">
        <v>13</v>
      </c>
      <c r="F397" t="s">
        <v>27</v>
      </c>
      <c r="H397">
        <v>999</v>
      </c>
      <c r="I397" s="1">
        <v>572211</v>
      </c>
      <c r="J397" s="1">
        <f>Raw_Data!$I397/Raw_Data!$H397</f>
        <v>572.78378378378375</v>
      </c>
    </row>
    <row r="398" spans="1:10" x14ac:dyDescent="0.3">
      <c r="A398" s="9">
        <v>37976</v>
      </c>
      <c r="B398" s="2" t="str">
        <f>TEXT(Raw_Data!$A398, "MMM")</f>
        <v>Dec</v>
      </c>
      <c r="C398" s="2">
        <f>YEAR(Raw_Data!$A398)</f>
        <v>2003</v>
      </c>
      <c r="D398" s="2" t="s">
        <v>399</v>
      </c>
      <c r="E398" s="2" t="s">
        <v>32</v>
      </c>
      <c r="F398" s="2" t="s">
        <v>11</v>
      </c>
      <c r="G398" s="2">
        <v>4</v>
      </c>
      <c r="H398" s="2">
        <v>1160</v>
      </c>
      <c r="I398" s="10"/>
      <c r="J398" s="10">
        <f>Raw_Data!$I398/Raw_Data!$H398</f>
        <v>0</v>
      </c>
    </row>
    <row r="399" spans="1:10" x14ac:dyDescent="0.3">
      <c r="A399" s="8">
        <v>37264</v>
      </c>
      <c r="B399" t="str">
        <f>TEXT(Raw_Data!$A399, "MMM")</f>
        <v>Jan</v>
      </c>
      <c r="C399">
        <f>YEAR(Raw_Data!$A399)</f>
        <v>2002</v>
      </c>
      <c r="D399" t="s">
        <v>400</v>
      </c>
      <c r="E399" t="s">
        <v>25</v>
      </c>
      <c r="F399" t="s">
        <v>11</v>
      </c>
      <c r="G399">
        <v>2</v>
      </c>
      <c r="H399">
        <v>2327</v>
      </c>
      <c r="I399" s="1">
        <v>598432</v>
      </c>
      <c r="J399" s="1">
        <f>Raw_Data!$I399/Raw_Data!$H399</f>
        <v>257.16888697894285</v>
      </c>
    </row>
    <row r="400" spans="1:10" x14ac:dyDescent="0.3">
      <c r="A400" s="9">
        <v>40170</v>
      </c>
      <c r="B400" s="2" t="str">
        <f>TEXT(Raw_Data!$A400, "MMM")</f>
        <v>Dec</v>
      </c>
      <c r="C400" s="2">
        <f>YEAR(Raw_Data!$A400)</f>
        <v>2009</v>
      </c>
      <c r="D400" s="2" t="s">
        <v>401</v>
      </c>
      <c r="E400" s="2" t="s">
        <v>25</v>
      </c>
      <c r="F400" s="2" t="s">
        <v>16</v>
      </c>
      <c r="G400" s="2">
        <v>5</v>
      </c>
      <c r="H400" s="2">
        <v>1118</v>
      </c>
      <c r="I400" s="10">
        <v>382523</v>
      </c>
      <c r="J400" s="10">
        <f>Raw_Data!$I400/Raw_Data!$H400</f>
        <v>342.14937388193204</v>
      </c>
    </row>
    <row r="401" spans="1:10" x14ac:dyDescent="0.3">
      <c r="A401" s="8">
        <v>40168</v>
      </c>
      <c r="B401" t="str">
        <f>TEXT(Raw_Data!$A401, "MMM")</f>
        <v>Dec</v>
      </c>
      <c r="C401">
        <f>YEAR(Raw_Data!$A401)</f>
        <v>2009</v>
      </c>
      <c r="D401" t="s">
        <v>12</v>
      </c>
      <c r="E401" t="s">
        <v>32</v>
      </c>
      <c r="F401" t="s">
        <v>27</v>
      </c>
      <c r="G401">
        <v>4</v>
      </c>
      <c r="H401">
        <v>844</v>
      </c>
      <c r="I401" s="1">
        <v>659803</v>
      </c>
      <c r="J401" s="1">
        <f>Raw_Data!$I401/Raw_Data!$H401</f>
        <v>781.75710900473939</v>
      </c>
    </row>
    <row r="402" spans="1:10" x14ac:dyDescent="0.3">
      <c r="A402" s="9">
        <v>43131</v>
      </c>
      <c r="B402" s="2" t="str">
        <f>TEXT(Raw_Data!$A402, "MMM")</f>
        <v>Jan</v>
      </c>
      <c r="C402" s="2">
        <f>YEAR(Raw_Data!$A402)</f>
        <v>2018</v>
      </c>
      <c r="D402" s="2" t="s">
        <v>402</v>
      </c>
      <c r="E402" s="2" t="s">
        <v>15</v>
      </c>
      <c r="F402" s="2" t="s">
        <v>18</v>
      </c>
      <c r="G402" s="2"/>
      <c r="H402" s="2">
        <v>2690</v>
      </c>
      <c r="I402" s="10">
        <v>686557</v>
      </c>
      <c r="J402" s="10">
        <f>Raw_Data!$I402/Raw_Data!$H402</f>
        <v>255.22565055762081</v>
      </c>
    </row>
    <row r="403" spans="1:10" x14ac:dyDescent="0.3">
      <c r="A403" s="8">
        <v>39638</v>
      </c>
      <c r="B403" t="str">
        <f>TEXT(Raw_Data!$A403, "MMM")</f>
        <v>Jul</v>
      </c>
      <c r="C403">
        <f>YEAR(Raw_Data!$A403)</f>
        <v>2008</v>
      </c>
      <c r="D403" t="s">
        <v>403</v>
      </c>
      <c r="E403" t="s">
        <v>25</v>
      </c>
      <c r="F403" t="s">
        <v>18</v>
      </c>
      <c r="G403">
        <v>4</v>
      </c>
      <c r="H403">
        <v>1753</v>
      </c>
      <c r="I403" s="1">
        <v>414067</v>
      </c>
      <c r="J403" s="1">
        <f>Raw_Data!$I403/Raw_Data!$H403</f>
        <v>236.20479178551057</v>
      </c>
    </row>
    <row r="404" spans="1:10" x14ac:dyDescent="0.3">
      <c r="A404" s="9">
        <v>39916</v>
      </c>
      <c r="B404" s="2" t="str">
        <f>TEXT(Raw_Data!$A404, "MMM")</f>
        <v>Apr</v>
      </c>
      <c r="C404" s="2">
        <f>YEAR(Raw_Data!$A404)</f>
        <v>2009</v>
      </c>
      <c r="D404" s="2" t="s">
        <v>404</v>
      </c>
      <c r="E404" s="2" t="s">
        <v>32</v>
      </c>
      <c r="F404" s="2" t="s">
        <v>11</v>
      </c>
      <c r="G404" s="2"/>
      <c r="H404" s="2">
        <v>3102</v>
      </c>
      <c r="I404" s="10">
        <v>252612</v>
      </c>
      <c r="J404" s="10">
        <f>Raw_Data!$I404/Raw_Data!$H404</f>
        <v>81.435203094777563</v>
      </c>
    </row>
    <row r="405" spans="1:10" x14ac:dyDescent="0.3">
      <c r="A405" s="8">
        <v>37295</v>
      </c>
      <c r="B405" t="str">
        <f>TEXT(Raw_Data!$A405, "MMM")</f>
        <v>Feb</v>
      </c>
      <c r="C405">
        <f>YEAR(Raw_Data!$A405)</f>
        <v>2002</v>
      </c>
      <c r="D405" t="s">
        <v>315</v>
      </c>
      <c r="E405" t="s">
        <v>25</v>
      </c>
      <c r="F405" t="s">
        <v>11</v>
      </c>
      <c r="G405">
        <v>3</v>
      </c>
      <c r="H405">
        <v>2541</v>
      </c>
      <c r="I405" s="1">
        <v>458413</v>
      </c>
      <c r="J405" s="1">
        <f>Raw_Data!$I405/Raw_Data!$H405</f>
        <v>180.40653286107832</v>
      </c>
    </row>
    <row r="406" spans="1:10" x14ac:dyDescent="0.3">
      <c r="A406" s="9">
        <v>40255</v>
      </c>
      <c r="B406" s="2" t="str">
        <f>TEXT(Raw_Data!$A406, "MMM")</f>
        <v>Mar</v>
      </c>
      <c r="C406" s="2">
        <f>YEAR(Raw_Data!$A406)</f>
        <v>2010</v>
      </c>
      <c r="D406" s="2" t="s">
        <v>405</v>
      </c>
      <c r="E406" s="2" t="s">
        <v>29</v>
      </c>
      <c r="F406" s="2" t="s">
        <v>16</v>
      </c>
      <c r="G406" s="2">
        <v>4</v>
      </c>
      <c r="H406" s="2">
        <v>2819</v>
      </c>
      <c r="I406" s="10"/>
      <c r="J406" s="10">
        <f>Raw_Data!$I406/Raw_Data!$H406</f>
        <v>0</v>
      </c>
    </row>
    <row r="407" spans="1:10" x14ac:dyDescent="0.3">
      <c r="A407" s="8">
        <v>42589</v>
      </c>
      <c r="B407" t="str">
        <f>TEXT(Raw_Data!$A407, "MMM")</f>
        <v>Aug</v>
      </c>
      <c r="C407">
        <f>YEAR(Raw_Data!$A407)</f>
        <v>2016</v>
      </c>
      <c r="D407" t="s">
        <v>406</v>
      </c>
      <c r="E407" t="s">
        <v>32</v>
      </c>
      <c r="F407" t="s">
        <v>16</v>
      </c>
      <c r="G407">
        <v>2</v>
      </c>
      <c r="H407">
        <v>932</v>
      </c>
      <c r="I407" s="1">
        <v>858237</v>
      </c>
      <c r="J407" s="1">
        <f>Raw_Data!$I407/Raw_Data!$H407</f>
        <v>920.8551502145923</v>
      </c>
    </row>
    <row r="408" spans="1:10" x14ac:dyDescent="0.3">
      <c r="A408" s="9">
        <v>38062</v>
      </c>
      <c r="B408" s="2" t="str">
        <f>TEXT(Raw_Data!$A408, "MMM")</f>
        <v>Mar</v>
      </c>
      <c r="C408" s="2">
        <f>YEAR(Raw_Data!$A408)</f>
        <v>2004</v>
      </c>
      <c r="D408" s="2" t="s">
        <v>407</v>
      </c>
      <c r="E408" s="2" t="s">
        <v>29</v>
      </c>
      <c r="F408" s="2" t="s">
        <v>11</v>
      </c>
      <c r="G408" s="2">
        <v>3</v>
      </c>
      <c r="H408" s="2">
        <v>1642</v>
      </c>
      <c r="I408" s="10">
        <v>455337</v>
      </c>
      <c r="J408" s="10">
        <f>Raw_Data!$I408/Raw_Data!$H408</f>
        <v>277.30633373934228</v>
      </c>
    </row>
    <row r="409" spans="1:10" x14ac:dyDescent="0.3">
      <c r="A409" s="8">
        <v>43891</v>
      </c>
      <c r="B409" t="str">
        <f>TEXT(Raw_Data!$A409, "MMM")</f>
        <v>Mar</v>
      </c>
      <c r="C409">
        <f>YEAR(Raw_Data!$A409)</f>
        <v>2020</v>
      </c>
      <c r="D409" t="s">
        <v>408</v>
      </c>
      <c r="E409" t="s">
        <v>21</v>
      </c>
      <c r="F409" t="s">
        <v>16</v>
      </c>
      <c r="H409">
        <v>1523</v>
      </c>
      <c r="I409" s="1">
        <v>691687</v>
      </c>
      <c r="J409" s="1">
        <f>Raw_Data!$I409/Raw_Data!$H409</f>
        <v>454.1608667104399</v>
      </c>
    </row>
    <row r="410" spans="1:10" x14ac:dyDescent="0.3">
      <c r="A410" s="9">
        <v>37596</v>
      </c>
      <c r="B410" s="2" t="str">
        <f>TEXT(Raw_Data!$A410, "MMM")</f>
        <v>Dec</v>
      </c>
      <c r="C410" s="2">
        <f>YEAR(Raw_Data!$A410)</f>
        <v>2002</v>
      </c>
      <c r="D410" s="2" t="s">
        <v>409</v>
      </c>
      <c r="E410" s="2" t="s">
        <v>25</v>
      </c>
      <c r="F410" s="2" t="s">
        <v>18</v>
      </c>
      <c r="G410" s="2"/>
      <c r="H410" s="2">
        <v>3393</v>
      </c>
      <c r="I410" s="10">
        <v>266572</v>
      </c>
      <c r="J410" s="10">
        <f>Raw_Data!$I410/Raw_Data!$H410</f>
        <v>78.56528146183318</v>
      </c>
    </row>
    <row r="411" spans="1:10" x14ac:dyDescent="0.3">
      <c r="A411" s="8">
        <v>42582</v>
      </c>
      <c r="B411" t="str">
        <f>TEXT(Raw_Data!$A411, "MMM")</f>
        <v>Jul</v>
      </c>
      <c r="C411">
        <f>YEAR(Raw_Data!$A411)</f>
        <v>2016</v>
      </c>
      <c r="D411" t="s">
        <v>410</v>
      </c>
      <c r="E411" t="s">
        <v>13</v>
      </c>
      <c r="F411" t="s">
        <v>27</v>
      </c>
      <c r="G411">
        <v>4</v>
      </c>
      <c r="H411">
        <v>1771</v>
      </c>
      <c r="I411" s="1">
        <v>556279</v>
      </c>
      <c r="J411" s="1">
        <f>Raw_Data!$I411/Raw_Data!$H411</f>
        <v>314.10446075663469</v>
      </c>
    </row>
    <row r="412" spans="1:10" x14ac:dyDescent="0.3">
      <c r="A412" s="9">
        <v>44015</v>
      </c>
      <c r="B412" s="2" t="str">
        <f>TEXT(Raw_Data!$A412, "MMM")</f>
        <v>Jul</v>
      </c>
      <c r="C412" s="2">
        <f>YEAR(Raw_Data!$A412)</f>
        <v>2020</v>
      </c>
      <c r="D412" s="2" t="s">
        <v>411</v>
      </c>
      <c r="E412" s="2" t="s">
        <v>32</v>
      </c>
      <c r="F412" s="2" t="s">
        <v>11</v>
      </c>
      <c r="G412" s="2">
        <v>5</v>
      </c>
      <c r="H412" s="2">
        <v>3248</v>
      </c>
      <c r="I412" s="10">
        <v>876330</v>
      </c>
      <c r="J412" s="10">
        <f>Raw_Data!$I412/Raw_Data!$H412</f>
        <v>269.80603448275861</v>
      </c>
    </row>
    <row r="413" spans="1:10" x14ac:dyDescent="0.3">
      <c r="A413" s="8">
        <v>38992</v>
      </c>
      <c r="B413" t="str">
        <f>TEXT(Raw_Data!$A413, "MMM")</f>
        <v>Oct</v>
      </c>
      <c r="C413">
        <f>YEAR(Raw_Data!$A413)</f>
        <v>2006</v>
      </c>
      <c r="D413" t="s">
        <v>412</v>
      </c>
      <c r="E413" t="s">
        <v>25</v>
      </c>
      <c r="F413" t="s">
        <v>18</v>
      </c>
      <c r="G413">
        <v>3</v>
      </c>
      <c r="H413">
        <v>2832</v>
      </c>
      <c r="I413" s="1">
        <v>288613</v>
      </c>
      <c r="J413" s="1">
        <f>Raw_Data!$I413/Raw_Data!$H413</f>
        <v>101.91137005649718</v>
      </c>
    </row>
    <row r="414" spans="1:10" x14ac:dyDescent="0.3">
      <c r="A414" s="9">
        <v>43767</v>
      </c>
      <c r="B414" s="2" t="str">
        <f>TEXT(Raw_Data!$A414, "MMM")</f>
        <v>Oct</v>
      </c>
      <c r="C414" s="2">
        <f>YEAR(Raw_Data!$A414)</f>
        <v>2019</v>
      </c>
      <c r="D414" s="2" t="s">
        <v>240</v>
      </c>
      <c r="E414" s="2" t="s">
        <v>15</v>
      </c>
      <c r="F414" s="2" t="s">
        <v>16</v>
      </c>
      <c r="G414" s="2"/>
      <c r="H414" s="2">
        <v>1886</v>
      </c>
      <c r="I414" s="10">
        <v>423200</v>
      </c>
      <c r="J414" s="10">
        <f>Raw_Data!$I414/Raw_Data!$H414</f>
        <v>224.39024390243901</v>
      </c>
    </row>
    <row r="415" spans="1:10" x14ac:dyDescent="0.3">
      <c r="A415" s="8">
        <v>41625</v>
      </c>
      <c r="B415" t="str">
        <f>TEXT(Raw_Data!$A415, "MMM")</f>
        <v>Dec</v>
      </c>
      <c r="C415">
        <f>YEAR(Raw_Data!$A415)</f>
        <v>2013</v>
      </c>
      <c r="D415" t="s">
        <v>413</v>
      </c>
      <c r="E415" t="s">
        <v>32</v>
      </c>
      <c r="F415" t="s">
        <v>18</v>
      </c>
      <c r="G415">
        <v>2</v>
      </c>
      <c r="H415">
        <v>1911</v>
      </c>
      <c r="I415" s="1">
        <v>433093</v>
      </c>
      <c r="J415" s="1">
        <f>Raw_Data!$I415/Raw_Data!$H415</f>
        <v>226.63160648874936</v>
      </c>
    </row>
    <row r="416" spans="1:10" x14ac:dyDescent="0.3">
      <c r="A416" s="9">
        <v>37836</v>
      </c>
      <c r="B416" s="2" t="str">
        <f>TEXT(Raw_Data!$A416, "MMM")</f>
        <v>Aug</v>
      </c>
      <c r="C416" s="2">
        <f>YEAR(Raw_Data!$A416)</f>
        <v>2003</v>
      </c>
      <c r="D416" s="2" t="s">
        <v>414</v>
      </c>
      <c r="E416" s="2" t="s">
        <v>29</v>
      </c>
      <c r="F416" s="2" t="s">
        <v>27</v>
      </c>
      <c r="G416" s="2"/>
      <c r="H416" s="2">
        <v>3493</v>
      </c>
      <c r="I416" s="10">
        <v>715930</v>
      </c>
      <c r="J416" s="10">
        <f>Raw_Data!$I416/Raw_Data!$H416</f>
        <v>204.96135127397653</v>
      </c>
    </row>
    <row r="417" spans="1:10" x14ac:dyDescent="0.3">
      <c r="A417" s="8">
        <v>38438</v>
      </c>
      <c r="B417" t="str">
        <f>TEXT(Raw_Data!$A417, "MMM")</f>
        <v>Mar</v>
      </c>
      <c r="C417">
        <f>YEAR(Raw_Data!$A417)</f>
        <v>2005</v>
      </c>
      <c r="D417" t="s">
        <v>415</v>
      </c>
      <c r="E417" t="s">
        <v>25</v>
      </c>
      <c r="F417" t="s">
        <v>18</v>
      </c>
      <c r="G417">
        <v>4</v>
      </c>
      <c r="H417">
        <v>3069</v>
      </c>
      <c r="I417" s="1">
        <v>167362</v>
      </c>
      <c r="J417" s="1">
        <f>Raw_Data!$I417/Raw_Data!$H417</f>
        <v>54.533072662104921</v>
      </c>
    </row>
    <row r="418" spans="1:10" x14ac:dyDescent="0.3">
      <c r="A418" s="9">
        <v>43652</v>
      </c>
      <c r="B418" s="2" t="str">
        <f>TEXT(Raw_Data!$A418, "MMM")</f>
        <v>Jul</v>
      </c>
      <c r="C418" s="2">
        <f>YEAR(Raw_Data!$A418)</f>
        <v>2019</v>
      </c>
      <c r="D418" s="2" t="s">
        <v>416</v>
      </c>
      <c r="E418" s="2" t="s">
        <v>25</v>
      </c>
      <c r="F418" s="2" t="s">
        <v>16</v>
      </c>
      <c r="G418" s="2"/>
      <c r="H418" s="2">
        <v>2533</v>
      </c>
      <c r="I418" s="10">
        <v>827172</v>
      </c>
      <c r="J418" s="10">
        <f>Raw_Data!$I418/Raw_Data!$H418</f>
        <v>326.55823134622977</v>
      </c>
    </row>
    <row r="419" spans="1:10" x14ac:dyDescent="0.3">
      <c r="A419" s="8">
        <v>39580</v>
      </c>
      <c r="B419" t="str">
        <f>TEXT(Raw_Data!$A419, "MMM")</f>
        <v>May</v>
      </c>
      <c r="C419">
        <f>YEAR(Raw_Data!$A419)</f>
        <v>2008</v>
      </c>
      <c r="D419" t="s">
        <v>48</v>
      </c>
      <c r="E419" t="s">
        <v>15</v>
      </c>
      <c r="F419" t="s">
        <v>16</v>
      </c>
      <c r="H419">
        <v>2815</v>
      </c>
      <c r="I419" s="1">
        <v>449078</v>
      </c>
      <c r="J419" s="1">
        <f>Raw_Data!$I419/Raw_Data!$H419</f>
        <v>159.53037300177621</v>
      </c>
    </row>
    <row r="420" spans="1:10" x14ac:dyDescent="0.3">
      <c r="A420" s="9">
        <v>39744</v>
      </c>
      <c r="B420" s="2" t="str">
        <f>TEXT(Raw_Data!$A420, "MMM")</f>
        <v>Oct</v>
      </c>
      <c r="C420" s="2">
        <f>YEAR(Raw_Data!$A420)</f>
        <v>2008</v>
      </c>
      <c r="D420" s="2" t="s">
        <v>417</v>
      </c>
      <c r="E420" s="2" t="s">
        <v>15</v>
      </c>
      <c r="F420" s="2" t="s">
        <v>11</v>
      </c>
      <c r="G420" s="2">
        <v>5</v>
      </c>
      <c r="H420" s="2">
        <v>1920</v>
      </c>
      <c r="I420" s="10">
        <v>466304</v>
      </c>
      <c r="J420" s="10">
        <f>Raw_Data!$I420/Raw_Data!$H420</f>
        <v>242.86666666666667</v>
      </c>
    </row>
    <row r="421" spans="1:10" x14ac:dyDescent="0.3">
      <c r="A421" s="8">
        <v>41453</v>
      </c>
      <c r="B421" t="str">
        <f>TEXT(Raw_Data!$A421, "MMM")</f>
        <v>Jun</v>
      </c>
      <c r="C421">
        <f>YEAR(Raw_Data!$A421)</f>
        <v>2013</v>
      </c>
      <c r="D421" t="s">
        <v>418</v>
      </c>
      <c r="E421" t="s">
        <v>32</v>
      </c>
      <c r="F421" t="s">
        <v>18</v>
      </c>
      <c r="G421">
        <v>3</v>
      </c>
      <c r="H421">
        <v>1003</v>
      </c>
      <c r="I421" s="1">
        <v>242342</v>
      </c>
      <c r="J421" s="1">
        <f>Raw_Data!$I421/Raw_Data!$H421</f>
        <v>241.61714855433698</v>
      </c>
    </row>
    <row r="422" spans="1:10" x14ac:dyDescent="0.3">
      <c r="A422" s="9">
        <v>43778</v>
      </c>
      <c r="B422" s="2" t="str">
        <f>TEXT(Raw_Data!$A422, "MMM")</f>
        <v>Nov</v>
      </c>
      <c r="C422" s="2">
        <f>YEAR(Raw_Data!$A422)</f>
        <v>2019</v>
      </c>
      <c r="D422" s="2" t="s">
        <v>206</v>
      </c>
      <c r="E422" s="2" t="s">
        <v>15</v>
      </c>
      <c r="F422" s="2" t="s">
        <v>18</v>
      </c>
      <c r="G422" s="2">
        <v>3</v>
      </c>
      <c r="H422" s="2">
        <v>2226</v>
      </c>
      <c r="I422" s="10">
        <v>749747</v>
      </c>
      <c r="J422" s="10">
        <f>Raw_Data!$I422/Raw_Data!$H422</f>
        <v>336.81356693620842</v>
      </c>
    </row>
    <row r="423" spans="1:10" x14ac:dyDescent="0.3">
      <c r="A423" s="8">
        <v>41805</v>
      </c>
      <c r="B423" t="str">
        <f>TEXT(Raw_Data!$A423, "MMM")</f>
        <v>Jun</v>
      </c>
      <c r="C423">
        <f>YEAR(Raw_Data!$A423)</f>
        <v>2014</v>
      </c>
      <c r="D423" t="s">
        <v>419</v>
      </c>
      <c r="E423" t="s">
        <v>29</v>
      </c>
      <c r="F423" t="s">
        <v>11</v>
      </c>
      <c r="G423">
        <v>5</v>
      </c>
      <c r="H423">
        <v>2321</v>
      </c>
      <c r="I423" s="1">
        <v>880354</v>
      </c>
      <c r="J423" s="1">
        <f>Raw_Data!$I423/Raw_Data!$H423</f>
        <v>379.29943989659631</v>
      </c>
    </row>
    <row r="424" spans="1:10" x14ac:dyDescent="0.3">
      <c r="A424" s="9">
        <v>41177</v>
      </c>
      <c r="B424" s="2" t="str">
        <f>TEXT(Raw_Data!$A424, "MMM")</f>
        <v>Sep</v>
      </c>
      <c r="C424" s="2">
        <f>YEAR(Raw_Data!$A424)</f>
        <v>2012</v>
      </c>
      <c r="D424" s="2" t="s">
        <v>420</v>
      </c>
      <c r="E424" s="2" t="s">
        <v>25</v>
      </c>
      <c r="F424" s="2" t="s">
        <v>11</v>
      </c>
      <c r="G424" s="2">
        <v>4</v>
      </c>
      <c r="H424" s="2">
        <v>3192</v>
      </c>
      <c r="I424" s="10">
        <v>436889</v>
      </c>
      <c r="J424" s="10">
        <f>Raw_Data!$I424/Raw_Data!$H424</f>
        <v>136.86998746867167</v>
      </c>
    </row>
    <row r="425" spans="1:10" x14ac:dyDescent="0.3">
      <c r="A425" s="8">
        <v>37000</v>
      </c>
      <c r="B425" t="str">
        <f>TEXT(Raw_Data!$A425, "MMM")</f>
        <v>Apr</v>
      </c>
      <c r="C425">
        <f>YEAR(Raw_Data!$A425)</f>
        <v>2001</v>
      </c>
      <c r="D425" t="s">
        <v>421</v>
      </c>
      <c r="E425" t="s">
        <v>15</v>
      </c>
      <c r="F425" t="s">
        <v>16</v>
      </c>
      <c r="H425">
        <v>1553</v>
      </c>
      <c r="I425" s="1">
        <v>823016</v>
      </c>
      <c r="J425" s="1">
        <f>Raw_Data!$I425/Raw_Data!$H425</f>
        <v>529.95235028976174</v>
      </c>
    </row>
    <row r="426" spans="1:10" x14ac:dyDescent="0.3">
      <c r="A426" s="9">
        <v>41960</v>
      </c>
      <c r="B426" s="2" t="str">
        <f>TEXT(Raw_Data!$A426, "MMM")</f>
        <v>Nov</v>
      </c>
      <c r="C426" s="2">
        <f>YEAR(Raw_Data!$A426)</f>
        <v>2014</v>
      </c>
      <c r="D426" s="2" t="s">
        <v>422</v>
      </c>
      <c r="E426" s="2" t="s">
        <v>15</v>
      </c>
      <c r="F426" s="2" t="s">
        <v>27</v>
      </c>
      <c r="G426" s="2">
        <v>4</v>
      </c>
      <c r="H426" s="2">
        <v>1758</v>
      </c>
      <c r="I426" s="10">
        <v>266600</v>
      </c>
      <c r="J426" s="10">
        <f>Raw_Data!$I426/Raw_Data!$H426</f>
        <v>151.6496018202503</v>
      </c>
    </row>
    <row r="427" spans="1:10" x14ac:dyDescent="0.3">
      <c r="A427" s="8">
        <v>38248</v>
      </c>
      <c r="B427" t="str">
        <f>TEXT(Raw_Data!$A427, "MMM")</f>
        <v>Sep</v>
      </c>
      <c r="C427">
        <f>YEAR(Raw_Data!$A427)</f>
        <v>2004</v>
      </c>
      <c r="D427" t="s">
        <v>152</v>
      </c>
      <c r="E427" t="s">
        <v>15</v>
      </c>
      <c r="F427" t="s">
        <v>11</v>
      </c>
      <c r="H427">
        <v>1744</v>
      </c>
      <c r="I427" s="1">
        <v>709045</v>
      </c>
      <c r="J427" s="1">
        <f>Raw_Data!$I427/Raw_Data!$H427</f>
        <v>406.5625</v>
      </c>
    </row>
    <row r="428" spans="1:10" x14ac:dyDescent="0.3">
      <c r="A428" s="9">
        <v>39951</v>
      </c>
      <c r="B428" s="2" t="str">
        <f>TEXT(Raw_Data!$A428, "MMM")</f>
        <v>May</v>
      </c>
      <c r="C428" s="2">
        <f>YEAR(Raw_Data!$A428)</f>
        <v>2009</v>
      </c>
      <c r="D428" s="2" t="s">
        <v>105</v>
      </c>
      <c r="E428" s="2" t="s">
        <v>21</v>
      </c>
      <c r="F428" s="2" t="s">
        <v>18</v>
      </c>
      <c r="G428" s="2">
        <v>2</v>
      </c>
      <c r="H428" s="2">
        <v>2217</v>
      </c>
      <c r="I428" s="10">
        <v>721028</v>
      </c>
      <c r="J428" s="10">
        <f>Raw_Data!$I428/Raw_Data!$H428</f>
        <v>325.22688317546232</v>
      </c>
    </row>
    <row r="429" spans="1:10" x14ac:dyDescent="0.3">
      <c r="A429" s="8">
        <v>42205</v>
      </c>
      <c r="B429" t="str">
        <f>TEXT(Raw_Data!$A429, "MMM")</f>
        <v>Jul</v>
      </c>
      <c r="C429">
        <f>YEAR(Raw_Data!$A429)</f>
        <v>2015</v>
      </c>
      <c r="D429" t="s">
        <v>231</v>
      </c>
      <c r="E429" t="s">
        <v>25</v>
      </c>
      <c r="F429" t="s">
        <v>18</v>
      </c>
      <c r="H429">
        <v>2898</v>
      </c>
      <c r="I429" s="1">
        <v>195712</v>
      </c>
      <c r="J429" s="1">
        <f>Raw_Data!$I429/Raw_Data!$H429</f>
        <v>67.53347135955832</v>
      </c>
    </row>
    <row r="430" spans="1:10" x14ac:dyDescent="0.3">
      <c r="A430" s="9">
        <v>42818</v>
      </c>
      <c r="B430" s="2" t="str">
        <f>TEXT(Raw_Data!$A430, "MMM")</f>
        <v>Mar</v>
      </c>
      <c r="C430" s="2">
        <f>YEAR(Raw_Data!$A430)</f>
        <v>2017</v>
      </c>
      <c r="D430" s="2" t="s">
        <v>423</v>
      </c>
      <c r="E430" s="2" t="s">
        <v>23</v>
      </c>
      <c r="F430" s="2" t="s">
        <v>16</v>
      </c>
      <c r="G430" s="2">
        <v>2</v>
      </c>
      <c r="H430" s="2">
        <v>3402</v>
      </c>
      <c r="I430" s="10">
        <v>886140</v>
      </c>
      <c r="J430" s="10">
        <f>Raw_Data!$I430/Raw_Data!$H430</f>
        <v>260.47619047619048</v>
      </c>
    </row>
    <row r="431" spans="1:10" x14ac:dyDescent="0.3">
      <c r="A431" s="8">
        <v>43141</v>
      </c>
      <c r="B431" t="str">
        <f>TEXT(Raw_Data!$A431, "MMM")</f>
        <v>Feb</v>
      </c>
      <c r="C431">
        <f>YEAR(Raw_Data!$A431)</f>
        <v>2018</v>
      </c>
      <c r="D431" t="s">
        <v>424</v>
      </c>
      <c r="E431" t="s">
        <v>32</v>
      </c>
      <c r="F431" t="s">
        <v>16</v>
      </c>
      <c r="H431">
        <v>2397</v>
      </c>
      <c r="I431" s="1">
        <v>518903</v>
      </c>
      <c r="J431" s="1">
        <f>Raw_Data!$I431/Raw_Data!$H431</f>
        <v>216.48018356278681</v>
      </c>
    </row>
    <row r="432" spans="1:10" x14ac:dyDescent="0.3">
      <c r="A432" s="9">
        <v>40725</v>
      </c>
      <c r="B432" s="2" t="str">
        <f>TEXT(Raw_Data!$A432, "MMM")</f>
        <v>Jul</v>
      </c>
      <c r="C432" s="2">
        <f>YEAR(Raw_Data!$A432)</f>
        <v>2011</v>
      </c>
      <c r="D432" s="2" t="s">
        <v>103</v>
      </c>
      <c r="E432" s="2" t="s">
        <v>32</v>
      </c>
      <c r="F432" s="2" t="s">
        <v>16</v>
      </c>
      <c r="G432" s="2"/>
      <c r="H432" s="2">
        <v>1704</v>
      </c>
      <c r="I432" s="10">
        <v>665074</v>
      </c>
      <c r="J432" s="10">
        <f>Raw_Data!$I432/Raw_Data!$H432</f>
        <v>390.30164319248826</v>
      </c>
    </row>
    <row r="433" spans="1:10" x14ac:dyDescent="0.3">
      <c r="A433" s="8">
        <v>40838</v>
      </c>
      <c r="B433" t="str">
        <f>TEXT(Raw_Data!$A433, "MMM")</f>
        <v>Oct</v>
      </c>
      <c r="C433">
        <f>YEAR(Raw_Data!$A433)</f>
        <v>2011</v>
      </c>
      <c r="D433" t="s">
        <v>425</v>
      </c>
      <c r="E433" t="s">
        <v>25</v>
      </c>
      <c r="F433" t="s">
        <v>11</v>
      </c>
      <c r="H433">
        <v>3342</v>
      </c>
      <c r="I433" s="1">
        <v>300620</v>
      </c>
      <c r="J433" s="1">
        <f>Raw_Data!$I433/Raw_Data!$H433</f>
        <v>89.952124476361462</v>
      </c>
    </row>
    <row r="434" spans="1:10" x14ac:dyDescent="0.3">
      <c r="A434" s="9">
        <v>43599</v>
      </c>
      <c r="B434" s="2" t="str">
        <f>TEXT(Raw_Data!$A434, "MMM")</f>
        <v>May</v>
      </c>
      <c r="C434" s="2">
        <f>YEAR(Raw_Data!$A434)</f>
        <v>2019</v>
      </c>
      <c r="D434" s="2" t="s">
        <v>426</v>
      </c>
      <c r="E434" s="2" t="s">
        <v>15</v>
      </c>
      <c r="F434" s="2" t="s">
        <v>16</v>
      </c>
      <c r="G434" s="2"/>
      <c r="H434" s="2">
        <v>3254</v>
      </c>
      <c r="I434" s="10">
        <v>368137</v>
      </c>
      <c r="J434" s="10">
        <f>Raw_Data!$I434/Raw_Data!$H434</f>
        <v>113.13368162261831</v>
      </c>
    </row>
    <row r="435" spans="1:10" x14ac:dyDescent="0.3">
      <c r="A435" s="8">
        <v>39216</v>
      </c>
      <c r="B435" t="str">
        <f>TEXT(Raw_Data!$A435, "MMM")</f>
        <v>May</v>
      </c>
      <c r="C435">
        <f>YEAR(Raw_Data!$A435)</f>
        <v>2007</v>
      </c>
      <c r="D435" t="s">
        <v>427</v>
      </c>
      <c r="E435" t="s">
        <v>15</v>
      </c>
      <c r="F435" t="s">
        <v>18</v>
      </c>
      <c r="H435">
        <v>1427</v>
      </c>
      <c r="I435" s="1">
        <v>551720</v>
      </c>
      <c r="J435" s="1">
        <f>Raw_Data!$I435/Raw_Data!$H435</f>
        <v>386.62929222144356</v>
      </c>
    </row>
    <row r="436" spans="1:10" x14ac:dyDescent="0.3">
      <c r="A436" s="9">
        <v>43921</v>
      </c>
      <c r="B436" s="2" t="str">
        <f>TEXT(Raw_Data!$A436, "MMM")</f>
        <v>Mar</v>
      </c>
      <c r="C436" s="2">
        <f>YEAR(Raw_Data!$A436)</f>
        <v>2020</v>
      </c>
      <c r="D436" s="2" t="s">
        <v>428</v>
      </c>
      <c r="E436" s="2" t="s">
        <v>29</v>
      </c>
      <c r="F436" s="2" t="s">
        <v>11</v>
      </c>
      <c r="G436" s="2"/>
      <c r="H436" s="2">
        <v>928</v>
      </c>
      <c r="I436" s="10">
        <v>602969</v>
      </c>
      <c r="J436" s="10">
        <f>Raw_Data!$I436/Raw_Data!$H436</f>
        <v>649.75107758620686</v>
      </c>
    </row>
    <row r="437" spans="1:10" x14ac:dyDescent="0.3">
      <c r="A437" s="8">
        <v>42339</v>
      </c>
      <c r="B437" t="str">
        <f>TEXT(Raw_Data!$A437, "MMM")</f>
        <v>Dec</v>
      </c>
      <c r="C437">
        <f>YEAR(Raw_Data!$A437)</f>
        <v>2015</v>
      </c>
      <c r="D437" t="s">
        <v>429</v>
      </c>
      <c r="E437" t="s">
        <v>25</v>
      </c>
      <c r="F437" t="s">
        <v>27</v>
      </c>
      <c r="G437">
        <v>3</v>
      </c>
      <c r="H437">
        <v>2745</v>
      </c>
      <c r="I437" s="1">
        <v>899764</v>
      </c>
      <c r="J437" s="1">
        <f>Raw_Data!$I437/Raw_Data!$H437</f>
        <v>327.78287795992713</v>
      </c>
    </row>
    <row r="438" spans="1:10" x14ac:dyDescent="0.3">
      <c r="A438" s="9">
        <v>40483</v>
      </c>
      <c r="B438" s="2" t="str">
        <f>TEXT(Raw_Data!$A438, "MMM")</f>
        <v>Nov</v>
      </c>
      <c r="C438" s="2">
        <f>YEAR(Raw_Data!$A438)</f>
        <v>2010</v>
      </c>
      <c r="D438" s="2" t="s">
        <v>430</v>
      </c>
      <c r="E438" s="2" t="s">
        <v>13</v>
      </c>
      <c r="F438" s="2" t="s">
        <v>11</v>
      </c>
      <c r="G438" s="2">
        <v>5</v>
      </c>
      <c r="H438" s="2">
        <v>1968</v>
      </c>
      <c r="I438" s="10">
        <v>273661</v>
      </c>
      <c r="J438" s="10">
        <f>Raw_Data!$I438/Raw_Data!$H438</f>
        <v>139.0553861788618</v>
      </c>
    </row>
    <row r="439" spans="1:10" x14ac:dyDescent="0.3">
      <c r="A439" s="8">
        <v>40358</v>
      </c>
      <c r="B439" t="str">
        <f>TEXT(Raw_Data!$A439, "MMM")</f>
        <v>Jun</v>
      </c>
      <c r="C439">
        <f>YEAR(Raw_Data!$A439)</f>
        <v>2010</v>
      </c>
      <c r="D439" t="s">
        <v>431</v>
      </c>
      <c r="E439" t="s">
        <v>13</v>
      </c>
      <c r="F439" t="s">
        <v>11</v>
      </c>
      <c r="H439">
        <v>2514</v>
      </c>
      <c r="I439" s="1">
        <v>838529</v>
      </c>
      <c r="J439" s="1">
        <f>Raw_Data!$I439/Raw_Data!$H439</f>
        <v>333.54375497215591</v>
      </c>
    </row>
    <row r="440" spans="1:10" x14ac:dyDescent="0.3">
      <c r="A440" s="9">
        <v>41793</v>
      </c>
      <c r="B440" s="2" t="str">
        <f>TEXT(Raw_Data!$A440, "MMM")</f>
        <v>Jun</v>
      </c>
      <c r="C440" s="2">
        <f>YEAR(Raw_Data!$A440)</f>
        <v>2014</v>
      </c>
      <c r="D440" s="2" t="s">
        <v>50</v>
      </c>
      <c r="E440" s="2" t="s">
        <v>32</v>
      </c>
      <c r="F440" s="2" t="s">
        <v>11</v>
      </c>
      <c r="G440" s="2"/>
      <c r="H440" s="2">
        <v>3449</v>
      </c>
      <c r="I440" s="10">
        <v>632319</v>
      </c>
      <c r="J440" s="10">
        <f>Raw_Data!$I440/Raw_Data!$H440</f>
        <v>183.33400985792983</v>
      </c>
    </row>
    <row r="441" spans="1:10" x14ac:dyDescent="0.3">
      <c r="A441" s="8">
        <v>40872</v>
      </c>
      <c r="B441" t="str">
        <f>TEXT(Raw_Data!$A441, "MMM")</f>
        <v>Nov</v>
      </c>
      <c r="C441">
        <f>YEAR(Raw_Data!$A441)</f>
        <v>2011</v>
      </c>
      <c r="D441" t="s">
        <v>181</v>
      </c>
      <c r="E441" t="s">
        <v>23</v>
      </c>
      <c r="F441" t="s">
        <v>27</v>
      </c>
      <c r="H441">
        <v>2021</v>
      </c>
      <c r="I441" s="1">
        <v>614558</v>
      </c>
      <c r="J441" s="1">
        <f>Raw_Data!$I441/Raw_Data!$H441</f>
        <v>304.08609599208313</v>
      </c>
    </row>
    <row r="442" spans="1:10" x14ac:dyDescent="0.3">
      <c r="A442" s="9">
        <v>41987</v>
      </c>
      <c r="B442" s="2" t="str">
        <f>TEXT(Raw_Data!$A442, "MMM")</f>
        <v>Dec</v>
      </c>
      <c r="C442" s="2">
        <f>YEAR(Raw_Data!$A442)</f>
        <v>2014</v>
      </c>
      <c r="D442" s="2" t="s">
        <v>432</v>
      </c>
      <c r="E442" s="2" t="s">
        <v>32</v>
      </c>
      <c r="F442" s="2" t="s">
        <v>27</v>
      </c>
      <c r="G442" s="2"/>
      <c r="H442" s="2">
        <v>955</v>
      </c>
      <c r="I442" s="10">
        <v>730684</v>
      </c>
      <c r="J442" s="10">
        <f>Raw_Data!$I442/Raw_Data!$H442</f>
        <v>765.11413612565445</v>
      </c>
    </row>
    <row r="443" spans="1:10" x14ac:dyDescent="0.3">
      <c r="A443" s="8">
        <v>40088</v>
      </c>
      <c r="B443" t="str">
        <f>TEXT(Raw_Data!$A443, "MMM")</f>
        <v>Oct</v>
      </c>
      <c r="C443">
        <f>YEAR(Raw_Data!$A443)</f>
        <v>2009</v>
      </c>
      <c r="D443" t="s">
        <v>433</v>
      </c>
      <c r="E443" t="s">
        <v>25</v>
      </c>
      <c r="F443" t="s">
        <v>16</v>
      </c>
      <c r="H443">
        <v>825</v>
      </c>
      <c r="I443" s="1">
        <v>460801</v>
      </c>
      <c r="J443" s="1">
        <f>Raw_Data!$I443/Raw_Data!$H443</f>
        <v>558.54666666666662</v>
      </c>
    </row>
    <row r="444" spans="1:10" x14ac:dyDescent="0.3">
      <c r="A444" s="9">
        <v>42507</v>
      </c>
      <c r="B444" s="2" t="str">
        <f>TEXT(Raw_Data!$A444, "MMM")</f>
        <v>May</v>
      </c>
      <c r="C444" s="2">
        <f>YEAR(Raw_Data!$A444)</f>
        <v>2016</v>
      </c>
      <c r="D444" s="2" t="s">
        <v>434</v>
      </c>
      <c r="E444" s="2" t="s">
        <v>13</v>
      </c>
      <c r="F444" s="2" t="s">
        <v>27</v>
      </c>
      <c r="G444" s="2">
        <v>2</v>
      </c>
      <c r="H444" s="2">
        <v>907</v>
      </c>
      <c r="I444" s="10">
        <v>339747</v>
      </c>
      <c r="J444" s="10">
        <f>Raw_Data!$I444/Raw_Data!$H444</f>
        <v>374.58324145534732</v>
      </c>
    </row>
    <row r="445" spans="1:10" x14ac:dyDescent="0.3">
      <c r="A445" s="8">
        <v>39931</v>
      </c>
      <c r="B445" t="str">
        <f>TEXT(Raw_Data!$A445, "MMM")</f>
        <v>Apr</v>
      </c>
      <c r="C445">
        <f>YEAR(Raw_Data!$A445)</f>
        <v>2009</v>
      </c>
      <c r="D445" t="s">
        <v>435</v>
      </c>
      <c r="E445" t="s">
        <v>25</v>
      </c>
      <c r="F445" t="s">
        <v>16</v>
      </c>
      <c r="G445">
        <v>4</v>
      </c>
      <c r="H445">
        <v>1227</v>
      </c>
      <c r="I445" s="1">
        <v>771595</v>
      </c>
      <c r="J445" s="1">
        <f>Raw_Data!$I445/Raw_Data!$H445</f>
        <v>628.84678076609612</v>
      </c>
    </row>
    <row r="446" spans="1:10" x14ac:dyDescent="0.3">
      <c r="A446" s="9">
        <v>43245</v>
      </c>
      <c r="B446" s="2" t="str">
        <f>TEXT(Raw_Data!$A446, "MMM")</f>
        <v>May</v>
      </c>
      <c r="C446" s="2">
        <f>YEAR(Raw_Data!$A446)</f>
        <v>2018</v>
      </c>
      <c r="D446" s="2" t="s">
        <v>436</v>
      </c>
      <c r="E446" s="2" t="s">
        <v>15</v>
      </c>
      <c r="F446" s="2" t="s">
        <v>11</v>
      </c>
      <c r="G446" s="2">
        <v>3</v>
      </c>
      <c r="H446" s="2">
        <v>3143</v>
      </c>
      <c r="I446" s="10">
        <v>839484</v>
      </c>
      <c r="J446" s="10">
        <f>Raw_Data!$I446/Raw_Data!$H446</f>
        <v>267.09640470887689</v>
      </c>
    </row>
    <row r="447" spans="1:10" x14ac:dyDescent="0.3">
      <c r="A447" s="8">
        <v>41122</v>
      </c>
      <c r="B447" t="str">
        <f>TEXT(Raw_Data!$A447, "MMM")</f>
        <v>Aug</v>
      </c>
      <c r="C447">
        <f>YEAR(Raw_Data!$A447)</f>
        <v>2012</v>
      </c>
      <c r="D447" t="s">
        <v>437</v>
      </c>
      <c r="E447" t="s">
        <v>15</v>
      </c>
      <c r="F447" t="s">
        <v>16</v>
      </c>
      <c r="H447">
        <v>2649</v>
      </c>
      <c r="I447" s="1">
        <v>843885</v>
      </c>
      <c r="J447" s="1">
        <f>Raw_Data!$I447/Raw_Data!$H447</f>
        <v>318.56738391845977</v>
      </c>
    </row>
    <row r="448" spans="1:10" x14ac:dyDescent="0.3">
      <c r="A448" s="9">
        <v>40470</v>
      </c>
      <c r="B448" s="2" t="str">
        <f>TEXT(Raw_Data!$A448, "MMM")</f>
        <v>Oct</v>
      </c>
      <c r="C448" s="2">
        <f>YEAR(Raw_Data!$A448)</f>
        <v>2010</v>
      </c>
      <c r="D448" s="2" t="s">
        <v>438</v>
      </c>
      <c r="E448" s="2" t="s">
        <v>29</v>
      </c>
      <c r="F448" s="2" t="s">
        <v>11</v>
      </c>
      <c r="G448" s="2">
        <v>3</v>
      </c>
      <c r="H448" s="2">
        <v>1518</v>
      </c>
      <c r="I448" s="10">
        <v>872114</v>
      </c>
      <c r="J448" s="10">
        <f>Raw_Data!$I448/Raw_Data!$H448</f>
        <v>574.5151515151515</v>
      </c>
    </row>
    <row r="449" spans="1:10" x14ac:dyDescent="0.3">
      <c r="A449" s="8">
        <v>39805</v>
      </c>
      <c r="B449" t="str">
        <f>TEXT(Raw_Data!$A449, "MMM")</f>
        <v>Dec</v>
      </c>
      <c r="C449">
        <f>YEAR(Raw_Data!$A449)</f>
        <v>2008</v>
      </c>
      <c r="D449" t="s">
        <v>379</v>
      </c>
      <c r="E449" t="s">
        <v>29</v>
      </c>
      <c r="F449" t="s">
        <v>16</v>
      </c>
      <c r="G449">
        <v>3</v>
      </c>
      <c r="H449">
        <v>1473</v>
      </c>
      <c r="I449" s="1">
        <v>861515</v>
      </c>
      <c r="J449" s="1">
        <f>Raw_Data!$I449/Raw_Data!$H449</f>
        <v>584.87101154107268</v>
      </c>
    </row>
    <row r="450" spans="1:10" x14ac:dyDescent="0.3">
      <c r="A450" s="9">
        <v>42853</v>
      </c>
      <c r="B450" s="2" t="str">
        <f>TEXT(Raw_Data!$A450, "MMM")</f>
        <v>Apr</v>
      </c>
      <c r="C450" s="2">
        <f>YEAR(Raw_Data!$A450)</f>
        <v>2017</v>
      </c>
      <c r="D450" s="2" t="s">
        <v>439</v>
      </c>
      <c r="E450" s="2" t="s">
        <v>32</v>
      </c>
      <c r="F450" s="2" t="s">
        <v>27</v>
      </c>
      <c r="G450" s="2"/>
      <c r="H450" s="2">
        <v>2921</v>
      </c>
      <c r="I450" s="10">
        <v>817909</v>
      </c>
      <c r="J450" s="10">
        <f>Raw_Data!$I450/Raw_Data!$H450</f>
        <v>280.00992810681271</v>
      </c>
    </row>
    <row r="451" spans="1:10" x14ac:dyDescent="0.3">
      <c r="A451" s="8">
        <v>44130</v>
      </c>
      <c r="B451" t="str">
        <f>TEXT(Raw_Data!$A451, "MMM")</f>
        <v>Oct</v>
      </c>
      <c r="C451">
        <f>YEAR(Raw_Data!$A451)</f>
        <v>2020</v>
      </c>
      <c r="D451" t="s">
        <v>440</v>
      </c>
      <c r="E451" t="s">
        <v>23</v>
      </c>
      <c r="F451" t="s">
        <v>18</v>
      </c>
      <c r="H451">
        <v>2548</v>
      </c>
      <c r="I451" s="1">
        <v>313173</v>
      </c>
      <c r="J451" s="1">
        <f>Raw_Data!$I451/Raw_Data!$H451</f>
        <v>122.90934065934066</v>
      </c>
    </row>
    <row r="452" spans="1:10" x14ac:dyDescent="0.3">
      <c r="A452" s="9">
        <v>39527</v>
      </c>
      <c r="B452" s="2" t="str">
        <f>TEXT(Raw_Data!$A452, "MMM")</f>
        <v>Mar</v>
      </c>
      <c r="C452" s="2">
        <f>YEAR(Raw_Data!$A452)</f>
        <v>2008</v>
      </c>
      <c r="D452" s="2" t="s">
        <v>441</v>
      </c>
      <c r="E452" s="2" t="s">
        <v>32</v>
      </c>
      <c r="F452" s="2" t="s">
        <v>11</v>
      </c>
      <c r="G452" s="2">
        <v>2</v>
      </c>
      <c r="H452" s="2">
        <v>2309</v>
      </c>
      <c r="I452" s="10">
        <v>212572</v>
      </c>
      <c r="J452" s="10">
        <f>Raw_Data!$I452/Raw_Data!$H452</f>
        <v>92.062364660025992</v>
      </c>
    </row>
    <row r="453" spans="1:10" x14ac:dyDescent="0.3">
      <c r="A453" s="8">
        <v>39292</v>
      </c>
      <c r="B453" t="str">
        <f>TEXT(Raw_Data!$A453, "MMM")</f>
        <v>Jul</v>
      </c>
      <c r="C453">
        <f>YEAR(Raw_Data!$A453)</f>
        <v>2007</v>
      </c>
      <c r="D453" t="s">
        <v>442</v>
      </c>
      <c r="E453" t="s">
        <v>32</v>
      </c>
      <c r="F453" t="s">
        <v>18</v>
      </c>
      <c r="H453">
        <v>3414</v>
      </c>
      <c r="I453" s="1">
        <v>430938</v>
      </c>
      <c r="J453" s="1">
        <f>Raw_Data!$I453/Raw_Data!$H453</f>
        <v>126.22671353251319</v>
      </c>
    </row>
    <row r="454" spans="1:10" x14ac:dyDescent="0.3">
      <c r="A454" s="9">
        <v>38277</v>
      </c>
      <c r="B454" s="2" t="str">
        <f>TEXT(Raw_Data!$A454, "MMM")</f>
        <v>Oct</v>
      </c>
      <c r="C454" s="2">
        <f>YEAR(Raw_Data!$A454)</f>
        <v>2004</v>
      </c>
      <c r="D454" s="2" t="s">
        <v>443</v>
      </c>
      <c r="E454" s="2" t="s">
        <v>15</v>
      </c>
      <c r="F454" s="2" t="s">
        <v>18</v>
      </c>
      <c r="G454" s="2">
        <v>4</v>
      </c>
      <c r="H454" s="2">
        <v>1542</v>
      </c>
      <c r="I454" s="10">
        <v>427421</v>
      </c>
      <c r="J454" s="10">
        <f>Raw_Data!$I454/Raw_Data!$H454</f>
        <v>277.18612191958493</v>
      </c>
    </row>
    <row r="455" spans="1:10" x14ac:dyDescent="0.3">
      <c r="A455" s="8">
        <v>37759</v>
      </c>
      <c r="B455" t="str">
        <f>TEXT(Raw_Data!$A455, "MMM")</f>
        <v>May</v>
      </c>
      <c r="C455">
        <f>YEAR(Raw_Data!$A455)</f>
        <v>2003</v>
      </c>
      <c r="D455" t="s">
        <v>444</v>
      </c>
      <c r="E455" t="s">
        <v>21</v>
      </c>
      <c r="F455" t="s">
        <v>27</v>
      </c>
      <c r="G455">
        <v>3</v>
      </c>
      <c r="H455">
        <v>1496</v>
      </c>
      <c r="I455" s="1">
        <v>327855</v>
      </c>
      <c r="J455" s="1">
        <f>Raw_Data!$I455/Raw_Data!$H455</f>
        <v>219.15441176470588</v>
      </c>
    </row>
    <row r="456" spans="1:10" x14ac:dyDescent="0.3">
      <c r="A456" s="9">
        <v>44084</v>
      </c>
      <c r="B456" s="2" t="str">
        <f>TEXT(Raw_Data!$A456, "MMM")</f>
        <v>Sep</v>
      </c>
      <c r="C456" s="2">
        <f>YEAR(Raw_Data!$A456)</f>
        <v>2020</v>
      </c>
      <c r="D456" s="2" t="s">
        <v>445</v>
      </c>
      <c r="E456" s="2" t="s">
        <v>29</v>
      </c>
      <c r="F456" s="2" t="s">
        <v>27</v>
      </c>
      <c r="G456" s="2"/>
      <c r="H456" s="2">
        <v>3313</v>
      </c>
      <c r="I456" s="10">
        <v>285145</v>
      </c>
      <c r="J456" s="10">
        <f>Raw_Data!$I456/Raw_Data!$H456</f>
        <v>86.068517959553276</v>
      </c>
    </row>
    <row r="457" spans="1:10" x14ac:dyDescent="0.3">
      <c r="A457" s="8">
        <v>42900</v>
      </c>
      <c r="B457" t="str">
        <f>TEXT(Raw_Data!$A457, "MMM")</f>
        <v>Jun</v>
      </c>
      <c r="C457">
        <f>YEAR(Raw_Data!$A457)</f>
        <v>2017</v>
      </c>
      <c r="D457" t="s">
        <v>446</v>
      </c>
      <c r="E457" t="s">
        <v>29</v>
      </c>
      <c r="F457" t="s">
        <v>16</v>
      </c>
      <c r="H457">
        <v>2946</v>
      </c>
      <c r="I457" s="1">
        <v>155045</v>
      </c>
      <c r="J457" s="1">
        <f>Raw_Data!$I457/Raw_Data!$H457</f>
        <v>52.62898845892736</v>
      </c>
    </row>
    <row r="458" spans="1:10" x14ac:dyDescent="0.3">
      <c r="A458" s="9">
        <v>38559</v>
      </c>
      <c r="B458" s="2" t="str">
        <f>TEXT(Raw_Data!$A458, "MMM")</f>
        <v>Jul</v>
      </c>
      <c r="C458" s="2">
        <f>YEAR(Raw_Data!$A458)</f>
        <v>2005</v>
      </c>
      <c r="D458" s="2" t="s">
        <v>447</v>
      </c>
      <c r="E458" s="2" t="s">
        <v>25</v>
      </c>
      <c r="F458" s="2" t="s">
        <v>16</v>
      </c>
      <c r="G458" s="2">
        <v>3</v>
      </c>
      <c r="H458" s="2">
        <v>2761</v>
      </c>
      <c r="I458" s="10">
        <v>295471</v>
      </c>
      <c r="J458" s="10">
        <f>Raw_Data!$I458/Raw_Data!$H458</f>
        <v>107.01593625498008</v>
      </c>
    </row>
    <row r="459" spans="1:10" x14ac:dyDescent="0.3">
      <c r="A459" s="8">
        <v>37176</v>
      </c>
      <c r="B459" t="str">
        <f>TEXT(Raw_Data!$A459, "MMM")</f>
        <v>Oct</v>
      </c>
      <c r="C459">
        <f>YEAR(Raw_Data!$A459)</f>
        <v>2001</v>
      </c>
      <c r="D459" t="s">
        <v>448</v>
      </c>
      <c r="E459" t="s">
        <v>13</v>
      </c>
      <c r="F459" t="s">
        <v>16</v>
      </c>
      <c r="H459">
        <v>1905</v>
      </c>
      <c r="I459" s="1">
        <v>343073</v>
      </c>
      <c r="J459" s="1">
        <f>Raw_Data!$I459/Raw_Data!$H459</f>
        <v>180.09081364829396</v>
      </c>
    </row>
    <row r="460" spans="1:10" x14ac:dyDescent="0.3">
      <c r="A460" s="9">
        <v>43115</v>
      </c>
      <c r="B460" s="2" t="str">
        <f>TEXT(Raw_Data!$A460, "MMM")</f>
        <v>Jan</v>
      </c>
      <c r="C460" s="2">
        <f>YEAR(Raw_Data!$A460)</f>
        <v>2018</v>
      </c>
      <c r="D460" s="2" t="s">
        <v>449</v>
      </c>
      <c r="E460" s="2" t="s">
        <v>15</v>
      </c>
      <c r="F460" s="2" t="s">
        <v>18</v>
      </c>
      <c r="G460" s="2">
        <v>2</v>
      </c>
      <c r="H460" s="2">
        <v>3120</v>
      </c>
      <c r="I460" s="10">
        <v>559369</v>
      </c>
      <c r="J460" s="10">
        <f>Raw_Data!$I460/Raw_Data!$H460</f>
        <v>179.2849358974359</v>
      </c>
    </row>
    <row r="461" spans="1:10" x14ac:dyDescent="0.3">
      <c r="A461" s="8">
        <v>42022</v>
      </c>
      <c r="B461" t="str">
        <f>TEXT(Raw_Data!$A461, "MMM")</f>
        <v>Jan</v>
      </c>
      <c r="C461">
        <f>YEAR(Raw_Data!$A461)</f>
        <v>2015</v>
      </c>
      <c r="D461" t="s">
        <v>450</v>
      </c>
      <c r="E461" t="s">
        <v>15</v>
      </c>
      <c r="F461" t="s">
        <v>11</v>
      </c>
      <c r="H461">
        <v>1658</v>
      </c>
      <c r="I461" s="1">
        <v>605992</v>
      </c>
      <c r="J461" s="1">
        <f>Raw_Data!$I461/Raw_Data!$H461</f>
        <v>365.49577804583834</v>
      </c>
    </row>
    <row r="462" spans="1:10" x14ac:dyDescent="0.3">
      <c r="A462" s="9">
        <v>43045</v>
      </c>
      <c r="B462" s="2" t="str">
        <f>TEXT(Raw_Data!$A462, "MMM")</f>
        <v>Nov</v>
      </c>
      <c r="C462" s="2">
        <f>YEAR(Raw_Data!$A462)</f>
        <v>2017</v>
      </c>
      <c r="D462" s="2" t="s">
        <v>451</v>
      </c>
      <c r="E462" s="2" t="s">
        <v>25</v>
      </c>
      <c r="F462" s="2" t="s">
        <v>18</v>
      </c>
      <c r="G462" s="2">
        <v>3</v>
      </c>
      <c r="H462" s="2">
        <v>2156</v>
      </c>
      <c r="I462" s="10">
        <v>491869</v>
      </c>
      <c r="J462" s="10">
        <f>Raw_Data!$I462/Raw_Data!$H462</f>
        <v>228.1396103896104</v>
      </c>
    </row>
    <row r="463" spans="1:10" x14ac:dyDescent="0.3">
      <c r="A463" s="8">
        <v>37476</v>
      </c>
      <c r="B463" t="str">
        <f>TEXT(Raw_Data!$A463, "MMM")</f>
        <v>Aug</v>
      </c>
      <c r="C463">
        <f>YEAR(Raw_Data!$A463)</f>
        <v>2002</v>
      </c>
      <c r="D463" t="s">
        <v>452</v>
      </c>
      <c r="E463" t="s">
        <v>13</v>
      </c>
      <c r="F463" t="s">
        <v>16</v>
      </c>
      <c r="H463">
        <v>1065</v>
      </c>
      <c r="I463" s="1">
        <v>242573</v>
      </c>
      <c r="J463" s="1">
        <f>Raw_Data!$I463/Raw_Data!$H463</f>
        <v>227.7680751173709</v>
      </c>
    </row>
    <row r="464" spans="1:10" x14ac:dyDescent="0.3">
      <c r="A464" s="9">
        <v>42015</v>
      </c>
      <c r="B464" s="2" t="str">
        <f>TEXT(Raw_Data!$A464, "MMM")</f>
        <v>Jan</v>
      </c>
      <c r="C464" s="2">
        <f>YEAR(Raw_Data!$A464)</f>
        <v>2015</v>
      </c>
      <c r="D464" s="2" t="s">
        <v>453</v>
      </c>
      <c r="E464" s="2" t="s">
        <v>21</v>
      </c>
      <c r="F464" s="2" t="s">
        <v>11</v>
      </c>
      <c r="G464" s="2">
        <v>2</v>
      </c>
      <c r="H464" s="2">
        <v>2520</v>
      </c>
      <c r="I464" s="10">
        <v>385386</v>
      </c>
      <c r="J464" s="10">
        <f>Raw_Data!$I464/Raw_Data!$H464</f>
        <v>152.93095238095239</v>
      </c>
    </row>
    <row r="465" spans="1:10" x14ac:dyDescent="0.3">
      <c r="A465" s="8">
        <v>39579</v>
      </c>
      <c r="B465" t="str">
        <f>TEXT(Raw_Data!$A465, "MMM")</f>
        <v>May</v>
      </c>
      <c r="C465">
        <f>YEAR(Raw_Data!$A465)</f>
        <v>2008</v>
      </c>
      <c r="D465" t="s">
        <v>358</v>
      </c>
      <c r="E465" t="s">
        <v>25</v>
      </c>
      <c r="F465" t="s">
        <v>11</v>
      </c>
      <c r="G465">
        <v>5</v>
      </c>
      <c r="H465">
        <v>1095</v>
      </c>
      <c r="I465" s="1">
        <v>785843</v>
      </c>
      <c r="J465" s="1">
        <f>Raw_Data!$I465/Raw_Data!$H465</f>
        <v>717.66484018264839</v>
      </c>
    </row>
    <row r="466" spans="1:10" x14ac:dyDescent="0.3">
      <c r="A466" s="9">
        <v>40324</v>
      </c>
      <c r="B466" s="2" t="str">
        <f>TEXT(Raw_Data!$A466, "MMM")</f>
        <v>May</v>
      </c>
      <c r="C466" s="2">
        <f>YEAR(Raw_Data!$A466)</f>
        <v>2010</v>
      </c>
      <c r="D466" s="2" t="s">
        <v>454</v>
      </c>
      <c r="E466" s="2" t="s">
        <v>32</v>
      </c>
      <c r="F466" s="2" t="s">
        <v>27</v>
      </c>
      <c r="G466" s="2">
        <v>3</v>
      </c>
      <c r="H466" s="2">
        <v>1981</v>
      </c>
      <c r="I466" s="10">
        <v>155969</v>
      </c>
      <c r="J466" s="10">
        <f>Raw_Data!$I466/Raw_Data!$H466</f>
        <v>78.732458354366486</v>
      </c>
    </row>
    <row r="467" spans="1:10" x14ac:dyDescent="0.3">
      <c r="A467" s="8">
        <v>36990</v>
      </c>
      <c r="B467" t="str">
        <f>TEXT(Raw_Data!$A467, "MMM")</f>
        <v>Apr</v>
      </c>
      <c r="C467">
        <f>YEAR(Raw_Data!$A467)</f>
        <v>2001</v>
      </c>
      <c r="D467" t="s">
        <v>455</v>
      </c>
      <c r="E467" t="s">
        <v>29</v>
      </c>
      <c r="F467" t="s">
        <v>11</v>
      </c>
      <c r="G467">
        <v>4</v>
      </c>
      <c r="H467">
        <v>1605</v>
      </c>
      <c r="I467" s="1">
        <v>707057</v>
      </c>
      <c r="J467" s="1">
        <f>Raw_Data!$I467/Raw_Data!$H467</f>
        <v>440.53395638629286</v>
      </c>
    </row>
    <row r="468" spans="1:10" x14ac:dyDescent="0.3">
      <c r="A468" s="9">
        <v>37668</v>
      </c>
      <c r="B468" s="2" t="str">
        <f>TEXT(Raw_Data!$A468, "MMM")</f>
        <v>Feb</v>
      </c>
      <c r="C468" s="2">
        <f>YEAR(Raw_Data!$A468)</f>
        <v>2003</v>
      </c>
      <c r="D468" s="2" t="s">
        <v>17</v>
      </c>
      <c r="E468" s="2" t="s">
        <v>29</v>
      </c>
      <c r="F468" s="2" t="s">
        <v>11</v>
      </c>
      <c r="G468" s="2">
        <v>3</v>
      </c>
      <c r="H468" s="2">
        <v>2065</v>
      </c>
      <c r="I468" s="10">
        <v>600588</v>
      </c>
      <c r="J468" s="10">
        <f>Raw_Data!$I468/Raw_Data!$H468</f>
        <v>290.84164648910411</v>
      </c>
    </row>
    <row r="469" spans="1:10" x14ac:dyDescent="0.3">
      <c r="A469" s="8">
        <v>38624</v>
      </c>
      <c r="B469" t="str">
        <f>TEXT(Raw_Data!$A469, "MMM")</f>
        <v>Sep</v>
      </c>
      <c r="C469">
        <f>YEAR(Raw_Data!$A469)</f>
        <v>2005</v>
      </c>
      <c r="D469" t="s">
        <v>456</v>
      </c>
      <c r="E469" t="s">
        <v>23</v>
      </c>
      <c r="F469" t="s">
        <v>16</v>
      </c>
      <c r="H469">
        <v>2746</v>
      </c>
      <c r="I469" s="1">
        <v>485731</v>
      </c>
      <c r="J469" s="1">
        <f>Raw_Data!$I469/Raw_Data!$H469</f>
        <v>176.88674435542606</v>
      </c>
    </row>
    <row r="470" spans="1:10" x14ac:dyDescent="0.3">
      <c r="A470" s="9">
        <v>41641</v>
      </c>
      <c r="B470" s="2" t="str">
        <f>TEXT(Raw_Data!$A470, "MMM")</f>
        <v>Jan</v>
      </c>
      <c r="C470" s="2">
        <f>YEAR(Raw_Data!$A470)</f>
        <v>2014</v>
      </c>
      <c r="D470" s="2" t="s">
        <v>457</v>
      </c>
      <c r="E470" s="2" t="s">
        <v>25</v>
      </c>
      <c r="F470" s="2" t="s">
        <v>16</v>
      </c>
      <c r="G470" s="2">
        <v>5</v>
      </c>
      <c r="H470" s="2">
        <v>1148</v>
      </c>
      <c r="I470" s="10">
        <v>592942</v>
      </c>
      <c r="J470" s="10">
        <f>Raw_Data!$I470/Raw_Data!$H470</f>
        <v>516.5</v>
      </c>
    </row>
    <row r="471" spans="1:10" x14ac:dyDescent="0.3">
      <c r="A471" s="8">
        <v>43778</v>
      </c>
      <c r="B471" t="str">
        <f>TEXT(Raw_Data!$A471, "MMM")</f>
        <v>Nov</v>
      </c>
      <c r="C471">
        <f>YEAR(Raw_Data!$A471)</f>
        <v>2019</v>
      </c>
      <c r="D471" t="s">
        <v>458</v>
      </c>
      <c r="E471" t="s">
        <v>15</v>
      </c>
      <c r="F471" t="s">
        <v>18</v>
      </c>
      <c r="H471">
        <v>1155</v>
      </c>
      <c r="I471" s="1">
        <v>559398</v>
      </c>
      <c r="J471" s="1">
        <f>Raw_Data!$I471/Raw_Data!$H471</f>
        <v>484.32727272727271</v>
      </c>
    </row>
    <row r="472" spans="1:10" x14ac:dyDescent="0.3">
      <c r="A472" s="9">
        <v>41144</v>
      </c>
      <c r="B472" s="2" t="str">
        <f>TEXT(Raw_Data!$A472, "MMM")</f>
        <v>Aug</v>
      </c>
      <c r="C472" s="2">
        <f>YEAR(Raw_Data!$A472)</f>
        <v>2012</v>
      </c>
      <c r="D472" s="2" t="s">
        <v>459</v>
      </c>
      <c r="E472" s="2" t="s">
        <v>32</v>
      </c>
      <c r="F472" s="2" t="s">
        <v>11</v>
      </c>
      <c r="G472" s="2"/>
      <c r="H472" s="2">
        <v>1211</v>
      </c>
      <c r="I472" s="10">
        <v>678546</v>
      </c>
      <c r="J472" s="10">
        <f>Raw_Data!$I472/Raw_Data!$H472</f>
        <v>560.31874483897604</v>
      </c>
    </row>
    <row r="473" spans="1:10" x14ac:dyDescent="0.3">
      <c r="A473" s="8">
        <v>43014</v>
      </c>
      <c r="B473" t="str">
        <f>TEXT(Raw_Data!$A473, "MMM")</f>
        <v>Oct</v>
      </c>
      <c r="C473">
        <f>YEAR(Raw_Data!$A473)</f>
        <v>2017</v>
      </c>
      <c r="D473" t="s">
        <v>460</v>
      </c>
      <c r="E473" t="s">
        <v>29</v>
      </c>
      <c r="F473" t="s">
        <v>18</v>
      </c>
      <c r="G473">
        <v>2</v>
      </c>
      <c r="H473">
        <v>1743</v>
      </c>
      <c r="I473" s="1">
        <v>260724</v>
      </c>
      <c r="J473" s="1">
        <f>Raw_Data!$I473/Raw_Data!$H473</f>
        <v>149.58347676419965</v>
      </c>
    </row>
    <row r="474" spans="1:10" x14ac:dyDescent="0.3">
      <c r="A474" s="9">
        <v>42574</v>
      </c>
      <c r="B474" s="2" t="str">
        <f>TEXT(Raw_Data!$A474, "MMM")</f>
        <v>Jul</v>
      </c>
      <c r="C474" s="2">
        <f>YEAR(Raw_Data!$A474)</f>
        <v>2016</v>
      </c>
      <c r="D474" s="2" t="s">
        <v>461</v>
      </c>
      <c r="E474" s="2" t="s">
        <v>25</v>
      </c>
      <c r="F474" s="2" t="s">
        <v>27</v>
      </c>
      <c r="G474" s="2">
        <v>3</v>
      </c>
      <c r="H474" s="2">
        <v>912</v>
      </c>
      <c r="I474" s="10">
        <v>299529</v>
      </c>
      <c r="J474" s="10">
        <f>Raw_Data!$I474/Raw_Data!$H474</f>
        <v>328.43092105263156</v>
      </c>
    </row>
    <row r="475" spans="1:10" x14ac:dyDescent="0.3">
      <c r="A475" s="8">
        <v>39008</v>
      </c>
      <c r="B475" t="str">
        <f>TEXT(Raw_Data!$A475, "MMM")</f>
        <v>Oct</v>
      </c>
      <c r="C475">
        <f>YEAR(Raw_Data!$A475)</f>
        <v>2006</v>
      </c>
      <c r="D475" t="s">
        <v>462</v>
      </c>
      <c r="E475" t="s">
        <v>32</v>
      </c>
      <c r="F475" t="s">
        <v>16</v>
      </c>
      <c r="H475">
        <v>2490</v>
      </c>
      <c r="I475" s="1">
        <v>881682</v>
      </c>
      <c r="J475" s="1">
        <f>Raw_Data!$I475/Raw_Data!$H475</f>
        <v>354.089156626506</v>
      </c>
    </row>
    <row r="476" spans="1:10" x14ac:dyDescent="0.3">
      <c r="A476" s="9">
        <v>37201</v>
      </c>
      <c r="B476" s="2" t="str">
        <f>TEXT(Raw_Data!$A476, "MMM")</f>
        <v>Nov</v>
      </c>
      <c r="C476" s="2">
        <f>YEAR(Raw_Data!$A476)</f>
        <v>2001</v>
      </c>
      <c r="D476" s="2" t="s">
        <v>126</v>
      </c>
      <c r="E476" s="2" t="s">
        <v>15</v>
      </c>
      <c r="F476" s="2" t="s">
        <v>11</v>
      </c>
      <c r="G476" s="2"/>
      <c r="H476" s="2">
        <v>3141</v>
      </c>
      <c r="I476" s="10">
        <v>179872</v>
      </c>
      <c r="J476" s="10">
        <f>Raw_Data!$I476/Raw_Data!$H476</f>
        <v>57.265838904807389</v>
      </c>
    </row>
    <row r="477" spans="1:10" x14ac:dyDescent="0.3">
      <c r="A477" s="8">
        <v>38160</v>
      </c>
      <c r="B477" t="str">
        <f>TEXT(Raw_Data!$A477, "MMM")</f>
        <v>Jun</v>
      </c>
      <c r="C477">
        <f>YEAR(Raw_Data!$A477)</f>
        <v>2004</v>
      </c>
      <c r="D477" t="s">
        <v>463</v>
      </c>
      <c r="E477" t="s">
        <v>29</v>
      </c>
      <c r="F477" t="s">
        <v>11</v>
      </c>
      <c r="H477">
        <v>2839</v>
      </c>
      <c r="I477" s="1">
        <v>497465</v>
      </c>
      <c r="J477" s="1">
        <f>Raw_Data!$I477/Raw_Data!$H477</f>
        <v>175.22543148996127</v>
      </c>
    </row>
    <row r="478" spans="1:10" x14ac:dyDescent="0.3">
      <c r="A478" s="9">
        <v>40829</v>
      </c>
      <c r="B478" s="2" t="str">
        <f>TEXT(Raw_Data!$A478, "MMM")</f>
        <v>Oct</v>
      </c>
      <c r="C478" s="2">
        <f>YEAR(Raw_Data!$A478)</f>
        <v>2011</v>
      </c>
      <c r="D478" s="2" t="s">
        <v>464</v>
      </c>
      <c r="E478" s="2" t="s">
        <v>13</v>
      </c>
      <c r="F478" s="2" t="s">
        <v>11</v>
      </c>
      <c r="G478" s="2"/>
      <c r="H478" s="2">
        <v>1304</v>
      </c>
      <c r="I478" s="10">
        <v>441885</v>
      </c>
      <c r="J478" s="10">
        <f>Raw_Data!$I478/Raw_Data!$H478</f>
        <v>338.86886503067484</v>
      </c>
    </row>
    <row r="479" spans="1:10" x14ac:dyDescent="0.3">
      <c r="A479" s="8">
        <v>37274</v>
      </c>
      <c r="B479" t="str">
        <f>TEXT(Raw_Data!$A479, "MMM")</f>
        <v>Jan</v>
      </c>
      <c r="C479">
        <f>YEAR(Raw_Data!$A479)</f>
        <v>2002</v>
      </c>
      <c r="D479" t="s">
        <v>465</v>
      </c>
      <c r="E479" t="s">
        <v>21</v>
      </c>
      <c r="F479" t="s">
        <v>18</v>
      </c>
      <c r="G479">
        <v>5</v>
      </c>
      <c r="H479">
        <v>2432</v>
      </c>
      <c r="I479" s="1">
        <v>155689</v>
      </c>
      <c r="J479" s="1">
        <f>Raw_Data!$I479/Raw_Data!$H479</f>
        <v>64.016858552631575</v>
      </c>
    </row>
    <row r="480" spans="1:10" x14ac:dyDescent="0.3">
      <c r="A480" s="9">
        <v>37554</v>
      </c>
      <c r="B480" s="2" t="str">
        <f>TEXT(Raw_Data!$A480, "MMM")</f>
        <v>Oct</v>
      </c>
      <c r="C480" s="2">
        <f>YEAR(Raw_Data!$A480)</f>
        <v>2002</v>
      </c>
      <c r="D480" s="2" t="s">
        <v>466</v>
      </c>
      <c r="E480" s="2" t="s">
        <v>13</v>
      </c>
      <c r="F480" s="2" t="s">
        <v>11</v>
      </c>
      <c r="G480" s="2">
        <v>5</v>
      </c>
      <c r="H480" s="2">
        <v>3323</v>
      </c>
      <c r="I480" s="10">
        <v>217285</v>
      </c>
      <c r="J480" s="10">
        <f>Raw_Data!$I480/Raw_Data!$H480</f>
        <v>65.388203430634974</v>
      </c>
    </row>
    <row r="481" spans="1:10" x14ac:dyDescent="0.3">
      <c r="A481" s="8">
        <v>37507</v>
      </c>
      <c r="B481" t="str">
        <f>TEXT(Raw_Data!$A481, "MMM")</f>
        <v>Sep</v>
      </c>
      <c r="C481">
        <f>YEAR(Raw_Data!$A481)</f>
        <v>2002</v>
      </c>
      <c r="D481" t="s">
        <v>467</v>
      </c>
      <c r="E481" t="s">
        <v>15</v>
      </c>
      <c r="F481" t="s">
        <v>18</v>
      </c>
      <c r="H481">
        <v>1622</v>
      </c>
      <c r="I481" s="1">
        <v>592913</v>
      </c>
      <c r="J481" s="1">
        <f>Raw_Data!$I481/Raw_Data!$H481</f>
        <v>365.54438964241677</v>
      </c>
    </row>
    <row r="482" spans="1:10" x14ac:dyDescent="0.3">
      <c r="A482" s="9">
        <v>41029</v>
      </c>
      <c r="B482" s="2" t="str">
        <f>TEXT(Raw_Data!$A482, "MMM")</f>
        <v>Apr</v>
      </c>
      <c r="C482" s="2">
        <f>YEAR(Raw_Data!$A482)</f>
        <v>2012</v>
      </c>
      <c r="D482" s="2" t="s">
        <v>468</v>
      </c>
      <c r="E482" s="2" t="s">
        <v>25</v>
      </c>
      <c r="F482" s="2" t="s">
        <v>18</v>
      </c>
      <c r="G482" s="2">
        <v>2</v>
      </c>
      <c r="H482" s="2">
        <v>1265</v>
      </c>
      <c r="I482" s="10">
        <v>733134</v>
      </c>
      <c r="J482" s="10">
        <f>Raw_Data!$I482/Raw_Data!$H482</f>
        <v>579.55256916996052</v>
      </c>
    </row>
    <row r="483" spans="1:10" x14ac:dyDescent="0.3">
      <c r="A483" s="8">
        <v>38950</v>
      </c>
      <c r="B483" t="str">
        <f>TEXT(Raw_Data!$A483, "MMM")</f>
        <v>Aug</v>
      </c>
      <c r="C483">
        <f>YEAR(Raw_Data!$A483)</f>
        <v>2006</v>
      </c>
      <c r="D483" t="s">
        <v>469</v>
      </c>
      <c r="E483" t="s">
        <v>13</v>
      </c>
      <c r="F483" t="s">
        <v>27</v>
      </c>
      <c r="G483">
        <v>2</v>
      </c>
      <c r="H483">
        <v>2840</v>
      </c>
      <c r="I483" s="1">
        <v>875669</v>
      </c>
      <c r="J483" s="1">
        <f>Raw_Data!$I483/Raw_Data!$H483</f>
        <v>308.33415492957744</v>
      </c>
    </row>
    <row r="484" spans="1:10" x14ac:dyDescent="0.3">
      <c r="A484" s="9">
        <v>38739</v>
      </c>
      <c r="B484" s="2" t="str">
        <f>TEXT(Raw_Data!$A484, "MMM")</f>
        <v>Jan</v>
      </c>
      <c r="C484" s="2">
        <f>YEAR(Raw_Data!$A484)</f>
        <v>2006</v>
      </c>
      <c r="D484" s="2" t="s">
        <v>470</v>
      </c>
      <c r="E484" s="2" t="s">
        <v>32</v>
      </c>
      <c r="F484" s="2" t="s">
        <v>11</v>
      </c>
      <c r="G484" s="2">
        <v>2</v>
      </c>
      <c r="H484" s="2">
        <v>2845</v>
      </c>
      <c r="I484" s="10"/>
      <c r="J484" s="10">
        <f>Raw_Data!$I484/Raw_Data!$H484</f>
        <v>0</v>
      </c>
    </row>
    <row r="485" spans="1:10" x14ac:dyDescent="0.3">
      <c r="A485" s="8">
        <v>39174</v>
      </c>
      <c r="B485" t="str">
        <f>TEXT(Raw_Data!$A485, "MMM")</f>
        <v>Apr</v>
      </c>
      <c r="C485">
        <f>YEAR(Raw_Data!$A485)</f>
        <v>2007</v>
      </c>
      <c r="D485" t="s">
        <v>471</v>
      </c>
      <c r="E485" t="s">
        <v>32</v>
      </c>
      <c r="F485" t="s">
        <v>18</v>
      </c>
      <c r="G485">
        <v>5</v>
      </c>
      <c r="H485">
        <v>2897</v>
      </c>
      <c r="I485" s="1">
        <v>227752</v>
      </c>
      <c r="J485" s="1">
        <f>Raw_Data!$I485/Raw_Data!$H485</f>
        <v>78.616499827407665</v>
      </c>
    </row>
    <row r="486" spans="1:10" x14ac:dyDescent="0.3">
      <c r="A486" s="9">
        <v>39901</v>
      </c>
      <c r="B486" s="2" t="str">
        <f>TEXT(Raw_Data!$A486, "MMM")</f>
        <v>Mar</v>
      </c>
      <c r="C486" s="2">
        <f>YEAR(Raw_Data!$A486)</f>
        <v>2009</v>
      </c>
      <c r="D486" s="2" t="s">
        <v>472</v>
      </c>
      <c r="E486" s="2" t="s">
        <v>15</v>
      </c>
      <c r="F486" s="2" t="s">
        <v>11</v>
      </c>
      <c r="G486" s="2">
        <v>5</v>
      </c>
      <c r="H486" s="2">
        <v>1786</v>
      </c>
      <c r="I486" s="10">
        <v>312154</v>
      </c>
      <c r="J486" s="10">
        <f>Raw_Data!$I486/Raw_Data!$H486</f>
        <v>174.77827547592386</v>
      </c>
    </row>
    <row r="487" spans="1:10" x14ac:dyDescent="0.3">
      <c r="A487" s="8">
        <v>37920</v>
      </c>
      <c r="B487" t="str">
        <f>TEXT(Raw_Data!$A487, "MMM")</f>
        <v>Oct</v>
      </c>
      <c r="C487">
        <f>YEAR(Raw_Data!$A487)</f>
        <v>2003</v>
      </c>
      <c r="D487" t="s">
        <v>473</v>
      </c>
      <c r="E487" t="s">
        <v>29</v>
      </c>
      <c r="F487" t="s">
        <v>18</v>
      </c>
      <c r="H487">
        <v>2198</v>
      </c>
      <c r="I487" s="1">
        <v>622394</v>
      </c>
      <c r="J487" s="1">
        <f>Raw_Data!$I487/Raw_Data!$H487</f>
        <v>283.16378525932669</v>
      </c>
    </row>
    <row r="488" spans="1:10" x14ac:dyDescent="0.3">
      <c r="A488" s="9">
        <v>37917</v>
      </c>
      <c r="B488" s="2" t="str">
        <f>TEXT(Raw_Data!$A488, "MMM")</f>
        <v>Oct</v>
      </c>
      <c r="C488" s="2">
        <f>YEAR(Raw_Data!$A488)</f>
        <v>2003</v>
      </c>
      <c r="D488" s="2" t="s">
        <v>474</v>
      </c>
      <c r="E488" s="2" t="s">
        <v>25</v>
      </c>
      <c r="F488" s="2" t="s">
        <v>18</v>
      </c>
      <c r="G488" s="2">
        <v>2</v>
      </c>
      <c r="H488" s="2">
        <v>2153</v>
      </c>
      <c r="I488" s="10">
        <v>703992</v>
      </c>
      <c r="J488" s="10">
        <f>Raw_Data!$I488/Raw_Data!$H488</f>
        <v>326.98188574082673</v>
      </c>
    </row>
    <row r="489" spans="1:10" x14ac:dyDescent="0.3">
      <c r="A489" s="8">
        <v>42573</v>
      </c>
      <c r="B489" t="str">
        <f>TEXT(Raw_Data!$A489, "MMM")</f>
        <v>Jul</v>
      </c>
      <c r="C489">
        <f>YEAR(Raw_Data!$A489)</f>
        <v>2016</v>
      </c>
      <c r="D489" t="s">
        <v>475</v>
      </c>
      <c r="E489" t="s">
        <v>23</v>
      </c>
      <c r="F489" t="s">
        <v>16</v>
      </c>
      <c r="H489">
        <v>1834</v>
      </c>
      <c r="I489" s="1">
        <v>170099</v>
      </c>
      <c r="J489" s="1">
        <f>Raw_Data!$I489/Raw_Data!$H489</f>
        <v>92.747546346782983</v>
      </c>
    </row>
    <row r="490" spans="1:10" x14ac:dyDescent="0.3">
      <c r="A490" s="9">
        <v>40077</v>
      </c>
      <c r="B490" s="2" t="str">
        <f>TEXT(Raw_Data!$A490, "MMM")</f>
        <v>Sep</v>
      </c>
      <c r="C490" s="2">
        <f>YEAR(Raw_Data!$A490)</f>
        <v>2009</v>
      </c>
      <c r="D490" s="2" t="s">
        <v>476</v>
      </c>
      <c r="E490" s="2" t="s">
        <v>32</v>
      </c>
      <c r="F490" s="2" t="s">
        <v>27</v>
      </c>
      <c r="G490" s="2">
        <v>3</v>
      </c>
      <c r="H490" s="2">
        <v>1786</v>
      </c>
      <c r="I490" s="10">
        <v>517481</v>
      </c>
      <c r="J490" s="10">
        <f>Raw_Data!$I490/Raw_Data!$H490</f>
        <v>289.7430011198208</v>
      </c>
    </row>
    <row r="491" spans="1:10" x14ac:dyDescent="0.3">
      <c r="A491" s="8">
        <v>39931</v>
      </c>
      <c r="B491" t="str">
        <f>TEXT(Raw_Data!$A491, "MMM")</f>
        <v>Apr</v>
      </c>
      <c r="C491">
        <f>YEAR(Raw_Data!$A491)</f>
        <v>2009</v>
      </c>
      <c r="D491" t="s">
        <v>477</v>
      </c>
      <c r="E491" t="s">
        <v>23</v>
      </c>
      <c r="F491" t="s">
        <v>16</v>
      </c>
      <c r="H491">
        <v>1495</v>
      </c>
      <c r="I491" s="1">
        <v>568580</v>
      </c>
      <c r="J491" s="1">
        <f>Raw_Data!$I491/Raw_Data!$H491</f>
        <v>380.32107023411373</v>
      </c>
    </row>
    <row r="492" spans="1:10" x14ac:dyDescent="0.3">
      <c r="A492" s="9">
        <v>40729</v>
      </c>
      <c r="B492" s="2" t="str">
        <f>TEXT(Raw_Data!$A492, "MMM")</f>
        <v>Jul</v>
      </c>
      <c r="C492" s="2">
        <f>YEAR(Raw_Data!$A492)</f>
        <v>2011</v>
      </c>
      <c r="D492" s="2" t="s">
        <v>478</v>
      </c>
      <c r="E492" s="2" t="s">
        <v>15</v>
      </c>
      <c r="F492" s="2" t="s">
        <v>27</v>
      </c>
      <c r="G492" s="2"/>
      <c r="H492" s="2">
        <v>2840</v>
      </c>
      <c r="I492" s="10">
        <v>703232</v>
      </c>
      <c r="J492" s="10">
        <f>Raw_Data!$I492/Raw_Data!$H492</f>
        <v>247.6169014084507</v>
      </c>
    </row>
    <row r="493" spans="1:10" x14ac:dyDescent="0.3">
      <c r="A493" s="8">
        <v>37604</v>
      </c>
      <c r="B493" t="str">
        <f>TEXT(Raw_Data!$A493, "MMM")</f>
        <v>Dec</v>
      </c>
      <c r="C493">
        <f>YEAR(Raw_Data!$A493)</f>
        <v>2002</v>
      </c>
      <c r="D493" t="s">
        <v>479</v>
      </c>
      <c r="E493" t="s">
        <v>15</v>
      </c>
      <c r="F493" t="s">
        <v>11</v>
      </c>
      <c r="H493">
        <v>3140</v>
      </c>
      <c r="I493" s="1">
        <v>357682</v>
      </c>
      <c r="J493" s="1">
        <f>Raw_Data!$I493/Raw_Data!$H493</f>
        <v>113.91146496815287</v>
      </c>
    </row>
    <row r="494" spans="1:10" x14ac:dyDescent="0.3">
      <c r="A494" s="9">
        <v>42904</v>
      </c>
      <c r="B494" s="2" t="str">
        <f>TEXT(Raw_Data!$A494, "MMM")</f>
        <v>Jun</v>
      </c>
      <c r="C494" s="2">
        <f>YEAR(Raw_Data!$A494)</f>
        <v>2017</v>
      </c>
      <c r="D494" s="2" t="s">
        <v>480</v>
      </c>
      <c r="E494" s="2" t="s">
        <v>15</v>
      </c>
      <c r="F494" s="2" t="s">
        <v>16</v>
      </c>
      <c r="G494" s="2">
        <v>4</v>
      </c>
      <c r="H494" s="2">
        <v>2077</v>
      </c>
      <c r="I494" s="10"/>
      <c r="J494" s="10">
        <f>Raw_Data!$I494/Raw_Data!$H494</f>
        <v>0</v>
      </c>
    </row>
    <row r="495" spans="1:10" x14ac:dyDescent="0.3">
      <c r="A495" s="8">
        <v>38559</v>
      </c>
      <c r="B495" t="str">
        <f>TEXT(Raw_Data!$A495, "MMM")</f>
        <v>Jul</v>
      </c>
      <c r="C495">
        <f>YEAR(Raw_Data!$A495)</f>
        <v>2005</v>
      </c>
      <c r="D495" t="s">
        <v>481</v>
      </c>
      <c r="E495" t="s">
        <v>21</v>
      </c>
      <c r="F495" t="s">
        <v>11</v>
      </c>
      <c r="G495">
        <v>5</v>
      </c>
      <c r="H495">
        <v>2424</v>
      </c>
      <c r="I495" s="1">
        <v>626230</v>
      </c>
      <c r="J495" s="1">
        <f>Raw_Data!$I495/Raw_Data!$H495</f>
        <v>258.34570957095707</v>
      </c>
    </row>
    <row r="496" spans="1:10" x14ac:dyDescent="0.3">
      <c r="A496" s="9">
        <v>39058</v>
      </c>
      <c r="B496" s="2" t="str">
        <f>TEXT(Raw_Data!$A496, "MMM")</f>
        <v>Dec</v>
      </c>
      <c r="C496" s="2">
        <f>YEAR(Raw_Data!$A496)</f>
        <v>2006</v>
      </c>
      <c r="D496" s="2" t="s">
        <v>380</v>
      </c>
      <c r="E496" s="2" t="s">
        <v>21</v>
      </c>
      <c r="F496" s="2" t="s">
        <v>16</v>
      </c>
      <c r="G496" s="2">
        <v>5</v>
      </c>
      <c r="H496" s="2">
        <v>2931</v>
      </c>
      <c r="I496" s="10">
        <v>152394</v>
      </c>
      <c r="J496" s="10">
        <f>Raw_Data!$I496/Raw_Data!$H496</f>
        <v>51.993858751279426</v>
      </c>
    </row>
    <row r="497" spans="1:10" x14ac:dyDescent="0.3">
      <c r="A497" s="8">
        <v>41422</v>
      </c>
      <c r="B497" t="str">
        <f>TEXT(Raw_Data!$A497, "MMM")</f>
        <v>May</v>
      </c>
      <c r="C497">
        <f>YEAR(Raw_Data!$A497)</f>
        <v>2013</v>
      </c>
      <c r="D497" t="s">
        <v>482</v>
      </c>
      <c r="E497" t="s">
        <v>32</v>
      </c>
      <c r="F497" t="s">
        <v>16</v>
      </c>
      <c r="G497">
        <v>5</v>
      </c>
      <c r="H497">
        <v>1070</v>
      </c>
      <c r="I497" s="1">
        <v>636629</v>
      </c>
      <c r="J497" s="1">
        <f>Raw_Data!$I497/Raw_Data!$H497</f>
        <v>594.98037383177575</v>
      </c>
    </row>
    <row r="498" spans="1:10" x14ac:dyDescent="0.3">
      <c r="A498" s="9">
        <v>42402</v>
      </c>
      <c r="B498" s="2" t="str">
        <f>TEXT(Raw_Data!$A498, "MMM")</f>
        <v>Feb</v>
      </c>
      <c r="C498" s="2">
        <f>YEAR(Raw_Data!$A498)</f>
        <v>2016</v>
      </c>
      <c r="D498" s="2" t="s">
        <v>483</v>
      </c>
      <c r="E498" s="2" t="s">
        <v>25</v>
      </c>
      <c r="F498" s="2" t="s">
        <v>27</v>
      </c>
      <c r="G498" s="2">
        <v>4</v>
      </c>
      <c r="H498" s="2">
        <v>1716</v>
      </c>
      <c r="I498" s="10">
        <v>754938</v>
      </c>
      <c r="J498" s="10">
        <f>Raw_Data!$I498/Raw_Data!$H498</f>
        <v>439.94055944055947</v>
      </c>
    </row>
    <row r="499" spans="1:10" x14ac:dyDescent="0.3">
      <c r="A499" s="8">
        <v>40898</v>
      </c>
      <c r="B499" t="str">
        <f>TEXT(Raw_Data!$A499, "MMM")</f>
        <v>Dec</v>
      </c>
      <c r="C499">
        <f>YEAR(Raw_Data!$A499)</f>
        <v>2011</v>
      </c>
      <c r="D499" t="s">
        <v>484</v>
      </c>
      <c r="E499" t="s">
        <v>29</v>
      </c>
      <c r="F499" t="s">
        <v>11</v>
      </c>
      <c r="H499">
        <v>3013</v>
      </c>
      <c r="I499" s="1">
        <v>843116</v>
      </c>
      <c r="J499" s="1">
        <f>Raw_Data!$I499/Raw_Data!$H499</f>
        <v>279.82608695652175</v>
      </c>
    </row>
    <row r="500" spans="1:10" x14ac:dyDescent="0.3">
      <c r="A500" s="9">
        <v>38113</v>
      </c>
      <c r="B500" s="2" t="str">
        <f>TEXT(Raw_Data!$A500, "MMM")</f>
        <v>May</v>
      </c>
      <c r="C500" s="2">
        <f>YEAR(Raw_Data!$A500)</f>
        <v>2004</v>
      </c>
      <c r="D500" s="2" t="s">
        <v>485</v>
      </c>
      <c r="E500" s="2" t="s">
        <v>29</v>
      </c>
      <c r="F500" s="2" t="s">
        <v>27</v>
      </c>
      <c r="G500" s="2"/>
      <c r="H500" s="2">
        <v>1766</v>
      </c>
      <c r="I500" s="10">
        <v>107087</v>
      </c>
      <c r="J500" s="10">
        <f>Raw_Data!$I500/Raw_Data!$H500</f>
        <v>60.638165345413363</v>
      </c>
    </row>
    <row r="501" spans="1:10" x14ac:dyDescent="0.3">
      <c r="A501" s="8">
        <v>38633</v>
      </c>
      <c r="B501" t="str">
        <f>TEXT(Raw_Data!$A501, "MMM")</f>
        <v>Oct</v>
      </c>
      <c r="C501">
        <f>YEAR(Raw_Data!$A501)</f>
        <v>2005</v>
      </c>
      <c r="D501" t="s">
        <v>486</v>
      </c>
      <c r="E501" t="s">
        <v>32</v>
      </c>
      <c r="F501" t="s">
        <v>18</v>
      </c>
      <c r="G501">
        <v>4</v>
      </c>
      <c r="H501">
        <v>1797</v>
      </c>
      <c r="I501" s="1"/>
      <c r="J501" s="1">
        <f>Raw_Data!$I501/Raw_Data!$H501</f>
        <v>0</v>
      </c>
    </row>
    <row r="502" spans="1:10" x14ac:dyDescent="0.3">
      <c r="A502" s="9">
        <v>40106</v>
      </c>
      <c r="B502" s="2" t="str">
        <f>TEXT(Raw_Data!$A502, "MMM")</f>
        <v>Oct</v>
      </c>
      <c r="C502" s="2">
        <f>YEAR(Raw_Data!$A502)</f>
        <v>2009</v>
      </c>
      <c r="D502" s="2" t="s">
        <v>487</v>
      </c>
      <c r="E502" s="2" t="s">
        <v>29</v>
      </c>
      <c r="F502" s="2" t="s">
        <v>16</v>
      </c>
      <c r="G502" s="2">
        <v>3</v>
      </c>
      <c r="H502" s="2">
        <v>3336</v>
      </c>
      <c r="I502" s="10">
        <v>403120</v>
      </c>
      <c r="J502" s="10">
        <f>Raw_Data!$I502/Raw_Data!$H502</f>
        <v>120.83932853717026</v>
      </c>
    </row>
    <row r="503" spans="1:10" x14ac:dyDescent="0.3">
      <c r="A503" s="8">
        <v>41143</v>
      </c>
      <c r="B503" t="str">
        <f>TEXT(Raw_Data!$A503, "MMM")</f>
        <v>Aug</v>
      </c>
      <c r="C503">
        <f>YEAR(Raw_Data!$A503)</f>
        <v>2012</v>
      </c>
      <c r="D503" t="s">
        <v>488</v>
      </c>
      <c r="E503" t="s">
        <v>25</v>
      </c>
      <c r="F503" t="s">
        <v>18</v>
      </c>
      <c r="G503">
        <v>4</v>
      </c>
      <c r="H503">
        <v>3432</v>
      </c>
      <c r="I503" s="1">
        <v>136375</v>
      </c>
      <c r="J503" s="1">
        <f>Raw_Data!$I503/Raw_Data!$H503</f>
        <v>39.736305361305362</v>
      </c>
    </row>
    <row r="504" spans="1:10" x14ac:dyDescent="0.3">
      <c r="A504" s="9">
        <v>40716</v>
      </c>
      <c r="B504" s="2" t="str">
        <f>TEXT(Raw_Data!$A504, "MMM")</f>
        <v>Jun</v>
      </c>
      <c r="C504" s="2">
        <f>YEAR(Raw_Data!$A504)</f>
        <v>2011</v>
      </c>
      <c r="D504" s="2" t="s">
        <v>489</v>
      </c>
      <c r="E504" s="2" t="s">
        <v>32</v>
      </c>
      <c r="F504" s="2" t="s">
        <v>11</v>
      </c>
      <c r="G504" s="2">
        <v>4</v>
      </c>
      <c r="H504" s="2">
        <v>2393</v>
      </c>
      <c r="I504" s="10">
        <v>528050</v>
      </c>
      <c r="J504" s="10">
        <f>Raw_Data!$I504/Raw_Data!$H504</f>
        <v>220.66443794400334</v>
      </c>
    </row>
    <row r="505" spans="1:10" x14ac:dyDescent="0.3">
      <c r="A505" s="8">
        <v>43131</v>
      </c>
      <c r="B505" t="str">
        <f>TEXT(Raw_Data!$A505, "MMM")</f>
        <v>Jan</v>
      </c>
      <c r="C505">
        <f>YEAR(Raw_Data!$A505)</f>
        <v>2018</v>
      </c>
      <c r="D505" t="s">
        <v>490</v>
      </c>
      <c r="E505" t="s">
        <v>25</v>
      </c>
      <c r="F505" t="s">
        <v>11</v>
      </c>
      <c r="G505">
        <v>5</v>
      </c>
      <c r="H505">
        <v>3230</v>
      </c>
      <c r="I505" s="1">
        <v>449975</v>
      </c>
      <c r="J505" s="1">
        <f>Raw_Data!$I505/Raw_Data!$H505</f>
        <v>139.3111455108359</v>
      </c>
    </row>
    <row r="506" spans="1:10" x14ac:dyDescent="0.3">
      <c r="A506" s="9">
        <v>43319</v>
      </c>
      <c r="B506" s="2" t="str">
        <f>TEXT(Raw_Data!$A506, "MMM")</f>
        <v>Aug</v>
      </c>
      <c r="C506" s="2">
        <f>YEAR(Raw_Data!$A506)</f>
        <v>2018</v>
      </c>
      <c r="D506" s="2" t="s">
        <v>195</v>
      </c>
      <c r="E506" s="2" t="s">
        <v>13</v>
      </c>
      <c r="F506" s="2" t="s">
        <v>18</v>
      </c>
      <c r="G506" s="2"/>
      <c r="H506" s="2">
        <v>3132</v>
      </c>
      <c r="I506" s="10">
        <v>580295</v>
      </c>
      <c r="J506" s="10">
        <f>Raw_Data!$I506/Raw_Data!$H506</f>
        <v>185.27937420178799</v>
      </c>
    </row>
    <row r="507" spans="1:10" x14ac:dyDescent="0.3">
      <c r="A507" s="8">
        <v>38297</v>
      </c>
      <c r="B507" t="str">
        <f>TEXT(Raw_Data!$A507, "MMM")</f>
        <v>Nov</v>
      </c>
      <c r="C507">
        <f>YEAR(Raw_Data!$A507)</f>
        <v>2004</v>
      </c>
      <c r="D507" t="s">
        <v>491</v>
      </c>
      <c r="E507" t="s">
        <v>13</v>
      </c>
      <c r="F507" t="s">
        <v>11</v>
      </c>
      <c r="H507">
        <v>2761</v>
      </c>
      <c r="I507" s="1">
        <v>553557</v>
      </c>
      <c r="J507" s="1">
        <f>Raw_Data!$I507/Raw_Data!$H507</f>
        <v>200.49148859109019</v>
      </c>
    </row>
    <row r="508" spans="1:10" x14ac:dyDescent="0.3">
      <c r="A508" s="9">
        <v>40199</v>
      </c>
      <c r="B508" s="2" t="str">
        <f>TEXT(Raw_Data!$A508, "MMM")</f>
        <v>Jan</v>
      </c>
      <c r="C508" s="2">
        <f>YEAR(Raw_Data!$A508)</f>
        <v>2010</v>
      </c>
      <c r="D508" s="2" t="s">
        <v>492</v>
      </c>
      <c r="E508" s="2" t="s">
        <v>25</v>
      </c>
      <c r="F508" s="2" t="s">
        <v>11</v>
      </c>
      <c r="G508" s="2">
        <v>5</v>
      </c>
      <c r="H508" s="2">
        <v>3490</v>
      </c>
      <c r="I508" s="10">
        <v>644375</v>
      </c>
      <c r="J508" s="10">
        <f>Raw_Data!$I508/Raw_Data!$H508</f>
        <v>184.63467048710601</v>
      </c>
    </row>
    <row r="509" spans="1:10" x14ac:dyDescent="0.3">
      <c r="A509" s="8">
        <v>42588</v>
      </c>
      <c r="B509" t="str">
        <f>TEXT(Raw_Data!$A509, "MMM")</f>
        <v>Aug</v>
      </c>
      <c r="C509">
        <f>YEAR(Raw_Data!$A509)</f>
        <v>2016</v>
      </c>
      <c r="D509" t="s">
        <v>115</v>
      </c>
      <c r="E509" t="s">
        <v>15</v>
      </c>
      <c r="F509" t="s">
        <v>16</v>
      </c>
      <c r="G509">
        <v>4</v>
      </c>
      <c r="H509">
        <v>1507</v>
      </c>
      <c r="I509" s="1">
        <v>896648</v>
      </c>
      <c r="J509" s="1">
        <f>Raw_Data!$I509/Raw_Data!$H509</f>
        <v>594.98871930988719</v>
      </c>
    </row>
    <row r="510" spans="1:10" x14ac:dyDescent="0.3">
      <c r="A510" s="9">
        <v>41024</v>
      </c>
      <c r="B510" s="2" t="str">
        <f>TEXT(Raw_Data!$A510, "MMM")</f>
        <v>Apr</v>
      </c>
      <c r="C510" s="2">
        <f>YEAR(Raw_Data!$A510)</f>
        <v>2012</v>
      </c>
      <c r="D510" s="2" t="s">
        <v>493</v>
      </c>
      <c r="E510" s="2" t="s">
        <v>23</v>
      </c>
      <c r="F510" s="2" t="s">
        <v>16</v>
      </c>
      <c r="G510" s="2"/>
      <c r="H510" s="2">
        <v>1159</v>
      </c>
      <c r="I510" s="10">
        <v>881896</v>
      </c>
      <c r="J510" s="10">
        <f>Raw_Data!$I510/Raw_Data!$H510</f>
        <v>760.91113028472819</v>
      </c>
    </row>
    <row r="511" spans="1:10" x14ac:dyDescent="0.3">
      <c r="A511" s="8">
        <v>43903</v>
      </c>
      <c r="B511" t="str">
        <f>TEXT(Raw_Data!$A511, "MMM")</f>
        <v>Mar</v>
      </c>
      <c r="C511">
        <f>YEAR(Raw_Data!$A511)</f>
        <v>2020</v>
      </c>
      <c r="D511" t="s">
        <v>494</v>
      </c>
      <c r="E511" t="s">
        <v>25</v>
      </c>
      <c r="F511" t="s">
        <v>11</v>
      </c>
      <c r="H511">
        <v>2796</v>
      </c>
      <c r="I511" s="1">
        <v>657152</v>
      </c>
      <c r="J511" s="1">
        <f>Raw_Data!$I511/Raw_Data!$H511</f>
        <v>235.03290414878398</v>
      </c>
    </row>
    <row r="512" spans="1:10" x14ac:dyDescent="0.3">
      <c r="A512" s="9">
        <v>38377</v>
      </c>
      <c r="B512" s="2" t="str">
        <f>TEXT(Raw_Data!$A512, "MMM")</f>
        <v>Jan</v>
      </c>
      <c r="C512" s="2">
        <f>YEAR(Raw_Data!$A512)</f>
        <v>2005</v>
      </c>
      <c r="D512" s="2" t="s">
        <v>495</v>
      </c>
      <c r="E512" s="2" t="s">
        <v>15</v>
      </c>
      <c r="F512" s="2" t="s">
        <v>11</v>
      </c>
      <c r="G512" s="2">
        <v>5</v>
      </c>
      <c r="H512" s="2">
        <v>3433</v>
      </c>
      <c r="I512" s="10">
        <v>699544</v>
      </c>
      <c r="J512" s="10">
        <f>Raw_Data!$I512/Raw_Data!$H512</f>
        <v>203.7704631517623</v>
      </c>
    </row>
    <row r="513" spans="1:10" x14ac:dyDescent="0.3">
      <c r="A513" s="8">
        <v>36895</v>
      </c>
      <c r="B513" t="str">
        <f>TEXT(Raw_Data!$A513, "MMM")</f>
        <v>Jan</v>
      </c>
      <c r="C513">
        <f>YEAR(Raw_Data!$A513)</f>
        <v>2001</v>
      </c>
      <c r="D513" t="s">
        <v>129</v>
      </c>
      <c r="E513" t="s">
        <v>21</v>
      </c>
      <c r="F513" t="s">
        <v>16</v>
      </c>
      <c r="G513">
        <v>2</v>
      </c>
      <c r="H513">
        <v>1752</v>
      </c>
      <c r="I513" s="1">
        <v>410644</v>
      </c>
      <c r="J513" s="1">
        <f>Raw_Data!$I513/Raw_Data!$H513</f>
        <v>234.38584474885846</v>
      </c>
    </row>
    <row r="514" spans="1:10" x14ac:dyDescent="0.3">
      <c r="A514" s="9">
        <v>41889</v>
      </c>
      <c r="B514" s="2" t="str">
        <f>TEXT(Raw_Data!$A514, "MMM")</f>
        <v>Sep</v>
      </c>
      <c r="C514" s="2">
        <f>YEAR(Raw_Data!$A514)</f>
        <v>2014</v>
      </c>
      <c r="D514" s="2" t="s">
        <v>496</v>
      </c>
      <c r="E514" s="2" t="s">
        <v>23</v>
      </c>
      <c r="F514" s="2" t="s">
        <v>18</v>
      </c>
      <c r="G514" s="2">
        <v>2</v>
      </c>
      <c r="H514" s="2">
        <v>851</v>
      </c>
      <c r="I514" s="10">
        <v>810950</v>
      </c>
      <c r="J514" s="10">
        <f>Raw_Data!$I514/Raw_Data!$H514</f>
        <v>952.93772032902473</v>
      </c>
    </row>
    <row r="515" spans="1:10" x14ac:dyDescent="0.3">
      <c r="A515" s="8">
        <v>37256</v>
      </c>
      <c r="B515" t="str">
        <f>TEXT(Raw_Data!$A515, "MMM")</f>
        <v>Dec</v>
      </c>
      <c r="C515">
        <f>YEAR(Raw_Data!$A515)</f>
        <v>2001</v>
      </c>
      <c r="D515" t="s">
        <v>280</v>
      </c>
      <c r="E515" t="s">
        <v>32</v>
      </c>
      <c r="F515" t="s">
        <v>16</v>
      </c>
      <c r="G515">
        <v>3</v>
      </c>
      <c r="H515">
        <v>2488</v>
      </c>
      <c r="I515" s="1">
        <v>692497</v>
      </c>
      <c r="J515" s="1">
        <f>Raw_Data!$I515/Raw_Data!$H515</f>
        <v>278.33480707395501</v>
      </c>
    </row>
    <row r="516" spans="1:10" x14ac:dyDescent="0.3">
      <c r="A516" s="9">
        <v>43341</v>
      </c>
      <c r="B516" s="2" t="str">
        <f>TEXT(Raw_Data!$A516, "MMM")</f>
        <v>Aug</v>
      </c>
      <c r="C516" s="2">
        <f>YEAR(Raw_Data!$A516)</f>
        <v>2018</v>
      </c>
      <c r="D516" s="2" t="s">
        <v>497</v>
      </c>
      <c r="E516" s="2" t="s">
        <v>29</v>
      </c>
      <c r="F516" s="2" t="s">
        <v>16</v>
      </c>
      <c r="G516" s="2"/>
      <c r="H516" s="2">
        <v>1131</v>
      </c>
      <c r="I516" s="10">
        <v>385982</v>
      </c>
      <c r="J516" s="10">
        <f>Raw_Data!$I516/Raw_Data!$H516</f>
        <v>341.27497789566758</v>
      </c>
    </row>
    <row r="517" spans="1:10" x14ac:dyDescent="0.3">
      <c r="A517" s="8">
        <v>40772</v>
      </c>
      <c r="B517" t="str">
        <f>TEXT(Raw_Data!$A517, "MMM")</f>
        <v>Aug</v>
      </c>
      <c r="C517">
        <f>YEAR(Raw_Data!$A517)</f>
        <v>2011</v>
      </c>
      <c r="D517" t="s">
        <v>498</v>
      </c>
      <c r="E517" t="s">
        <v>15</v>
      </c>
      <c r="F517" t="s">
        <v>16</v>
      </c>
      <c r="H517">
        <v>1470</v>
      </c>
      <c r="I517" s="1">
        <v>326236</v>
      </c>
      <c r="J517" s="1">
        <f>Raw_Data!$I517/Raw_Data!$H517</f>
        <v>221.92925170068028</v>
      </c>
    </row>
    <row r="518" spans="1:10" x14ac:dyDescent="0.3">
      <c r="A518" s="9">
        <v>41951</v>
      </c>
      <c r="B518" s="2" t="str">
        <f>TEXT(Raw_Data!$A518, "MMM")</f>
        <v>Nov</v>
      </c>
      <c r="C518" s="2">
        <f>YEAR(Raw_Data!$A518)</f>
        <v>2014</v>
      </c>
      <c r="D518" s="2" t="s">
        <v>499</v>
      </c>
      <c r="E518" s="2" t="s">
        <v>25</v>
      </c>
      <c r="F518" s="2" t="s">
        <v>27</v>
      </c>
      <c r="G518" s="2"/>
      <c r="H518" s="2">
        <v>2023</v>
      </c>
      <c r="I518" s="10">
        <v>889647</v>
      </c>
      <c r="J518" s="10">
        <f>Raw_Data!$I518/Raw_Data!$H518</f>
        <v>439.76618882847259</v>
      </c>
    </row>
    <row r="519" spans="1:10" x14ac:dyDescent="0.3">
      <c r="A519" s="8">
        <v>39959</v>
      </c>
      <c r="B519" t="str">
        <f>TEXT(Raw_Data!$A519, "MMM")</f>
        <v>May</v>
      </c>
      <c r="C519">
        <f>YEAR(Raw_Data!$A519)</f>
        <v>2009</v>
      </c>
      <c r="D519" t="s">
        <v>500</v>
      </c>
      <c r="E519" t="s">
        <v>25</v>
      </c>
      <c r="F519" t="s">
        <v>16</v>
      </c>
      <c r="G519">
        <v>3</v>
      </c>
      <c r="H519">
        <v>2457</v>
      </c>
      <c r="I519" s="1">
        <v>704774</v>
      </c>
      <c r="J519" s="1">
        <f>Raw_Data!$I519/Raw_Data!$H519</f>
        <v>286.84330484330485</v>
      </c>
    </row>
    <row r="520" spans="1:10" x14ac:dyDescent="0.3">
      <c r="A520" s="9">
        <v>43923</v>
      </c>
      <c r="B520" s="2" t="str">
        <f>TEXT(Raw_Data!$A520, "MMM")</f>
        <v>Apr</v>
      </c>
      <c r="C520" s="2">
        <f>YEAR(Raw_Data!$A520)</f>
        <v>2020</v>
      </c>
      <c r="D520" s="2" t="s">
        <v>501</v>
      </c>
      <c r="E520" s="2" t="s">
        <v>25</v>
      </c>
      <c r="F520" s="2" t="s">
        <v>11</v>
      </c>
      <c r="G520" s="2"/>
      <c r="H520" s="2">
        <v>2427</v>
      </c>
      <c r="I520" s="10"/>
      <c r="J520" s="10">
        <f>Raw_Data!$I520/Raw_Data!$H520</f>
        <v>0</v>
      </c>
    </row>
    <row r="521" spans="1:10" x14ac:dyDescent="0.3">
      <c r="A521" s="8">
        <v>40961</v>
      </c>
      <c r="B521" t="str">
        <f>TEXT(Raw_Data!$A521, "MMM")</f>
        <v>Feb</v>
      </c>
      <c r="C521">
        <f>YEAR(Raw_Data!$A521)</f>
        <v>2012</v>
      </c>
      <c r="D521" t="s">
        <v>502</v>
      </c>
      <c r="E521" t="s">
        <v>32</v>
      </c>
      <c r="F521" t="s">
        <v>16</v>
      </c>
      <c r="G521">
        <v>5</v>
      </c>
      <c r="H521">
        <v>2813</v>
      </c>
      <c r="I521" s="1">
        <v>884764</v>
      </c>
      <c r="J521" s="1">
        <f>Raw_Data!$I521/Raw_Data!$H521</f>
        <v>314.52683967294701</v>
      </c>
    </row>
    <row r="522" spans="1:10" x14ac:dyDescent="0.3">
      <c r="A522" s="9">
        <v>39587</v>
      </c>
      <c r="B522" s="2" t="str">
        <f>TEXT(Raw_Data!$A522, "MMM")</f>
        <v>May</v>
      </c>
      <c r="C522" s="2">
        <f>YEAR(Raw_Data!$A522)</f>
        <v>2008</v>
      </c>
      <c r="D522" s="2" t="s">
        <v>503</v>
      </c>
      <c r="E522" s="2" t="s">
        <v>13</v>
      </c>
      <c r="F522" s="2" t="s">
        <v>27</v>
      </c>
      <c r="G522" s="2">
        <v>2</v>
      </c>
      <c r="H522" s="2">
        <v>3077</v>
      </c>
      <c r="I522" s="10">
        <v>683495</v>
      </c>
      <c r="J522" s="10">
        <f>Raw_Data!$I522/Raw_Data!$H522</f>
        <v>222.13032174195646</v>
      </c>
    </row>
    <row r="523" spans="1:10" x14ac:dyDescent="0.3">
      <c r="A523" s="8">
        <v>43991</v>
      </c>
      <c r="B523" t="str">
        <f>TEXT(Raw_Data!$A523, "MMM")</f>
        <v>Jun</v>
      </c>
      <c r="C523">
        <f>YEAR(Raw_Data!$A523)</f>
        <v>2020</v>
      </c>
      <c r="D523" t="s">
        <v>504</v>
      </c>
      <c r="E523" t="s">
        <v>15</v>
      </c>
      <c r="F523" t="s">
        <v>27</v>
      </c>
      <c r="G523">
        <v>4</v>
      </c>
      <c r="H523">
        <v>2878</v>
      </c>
      <c r="I523" s="1">
        <v>200281</v>
      </c>
      <c r="J523" s="1">
        <f>Raw_Data!$I523/Raw_Data!$H523</f>
        <v>69.590340514246009</v>
      </c>
    </row>
    <row r="524" spans="1:10" x14ac:dyDescent="0.3">
      <c r="A524" s="9">
        <v>41418</v>
      </c>
      <c r="B524" s="2" t="str">
        <f>TEXT(Raw_Data!$A524, "MMM")</f>
        <v>May</v>
      </c>
      <c r="C524" s="2">
        <f>YEAR(Raw_Data!$A524)</f>
        <v>2013</v>
      </c>
      <c r="D524" s="2" t="s">
        <v>505</v>
      </c>
      <c r="E524" s="2" t="s">
        <v>29</v>
      </c>
      <c r="F524" s="2" t="s">
        <v>11</v>
      </c>
      <c r="G524" s="2">
        <v>3</v>
      </c>
      <c r="H524" s="2">
        <v>2816</v>
      </c>
      <c r="I524" s="10">
        <v>319776</v>
      </c>
      <c r="J524" s="10">
        <f>Raw_Data!$I524/Raw_Data!$H524</f>
        <v>113.55681818181819</v>
      </c>
    </row>
    <row r="525" spans="1:10" x14ac:dyDescent="0.3">
      <c r="A525" s="8">
        <v>37143</v>
      </c>
      <c r="B525" t="str">
        <f>TEXT(Raw_Data!$A525, "MMM")</f>
        <v>Sep</v>
      </c>
      <c r="C525">
        <f>YEAR(Raw_Data!$A525)</f>
        <v>2001</v>
      </c>
      <c r="D525" t="s">
        <v>506</v>
      </c>
      <c r="E525" t="s">
        <v>21</v>
      </c>
      <c r="F525" t="s">
        <v>18</v>
      </c>
      <c r="H525">
        <v>835</v>
      </c>
      <c r="I525" s="1">
        <v>167228</v>
      </c>
      <c r="J525" s="1">
        <f>Raw_Data!$I525/Raw_Data!$H525</f>
        <v>200.27305389221556</v>
      </c>
    </row>
    <row r="526" spans="1:10" x14ac:dyDescent="0.3">
      <c r="A526" s="9">
        <v>42259</v>
      </c>
      <c r="B526" s="2" t="str">
        <f>TEXT(Raw_Data!$A526, "MMM")</f>
        <v>Sep</v>
      </c>
      <c r="C526" s="2">
        <f>YEAR(Raw_Data!$A526)</f>
        <v>2015</v>
      </c>
      <c r="D526" s="2" t="s">
        <v>507</v>
      </c>
      <c r="E526" s="2" t="s">
        <v>15</v>
      </c>
      <c r="F526" s="2" t="s">
        <v>27</v>
      </c>
      <c r="G526" s="2">
        <v>2</v>
      </c>
      <c r="H526" s="2">
        <v>1672</v>
      </c>
      <c r="I526" s="10">
        <v>769152</v>
      </c>
      <c r="J526" s="10">
        <f>Raw_Data!$I526/Raw_Data!$H526</f>
        <v>460.01913875598086</v>
      </c>
    </row>
    <row r="527" spans="1:10" x14ac:dyDescent="0.3">
      <c r="A527" s="8">
        <v>40115</v>
      </c>
      <c r="B527" t="str">
        <f>TEXT(Raw_Data!$A527, "MMM")</f>
        <v>Oct</v>
      </c>
      <c r="C527">
        <f>YEAR(Raw_Data!$A527)</f>
        <v>2009</v>
      </c>
      <c r="D527" t="s">
        <v>181</v>
      </c>
      <c r="E527" t="s">
        <v>32</v>
      </c>
      <c r="F527" t="s">
        <v>16</v>
      </c>
      <c r="G527">
        <v>5</v>
      </c>
      <c r="H527">
        <v>3315</v>
      </c>
      <c r="I527" s="1">
        <v>652926</v>
      </c>
      <c r="J527" s="1">
        <f>Raw_Data!$I527/Raw_Data!$H527</f>
        <v>196.96108597285067</v>
      </c>
    </row>
    <row r="528" spans="1:10" x14ac:dyDescent="0.3">
      <c r="A528" s="9">
        <v>41253</v>
      </c>
      <c r="B528" s="2" t="str">
        <f>TEXT(Raw_Data!$A528, "MMM")</f>
        <v>Dec</v>
      </c>
      <c r="C528" s="2">
        <f>YEAR(Raw_Data!$A528)</f>
        <v>2012</v>
      </c>
      <c r="D528" s="2" t="s">
        <v>508</v>
      </c>
      <c r="E528" s="2" t="s">
        <v>25</v>
      </c>
      <c r="F528" s="2" t="s">
        <v>18</v>
      </c>
      <c r="G528" s="2">
        <v>4</v>
      </c>
      <c r="H528" s="2">
        <v>2965</v>
      </c>
      <c r="I528" s="10">
        <v>503016</v>
      </c>
      <c r="J528" s="10">
        <f>Raw_Data!$I528/Raw_Data!$H528</f>
        <v>169.65126475548061</v>
      </c>
    </row>
    <row r="529" spans="1:10" x14ac:dyDescent="0.3">
      <c r="A529" s="8">
        <v>39677</v>
      </c>
      <c r="B529" t="str">
        <f>TEXT(Raw_Data!$A529, "MMM")</f>
        <v>Aug</v>
      </c>
      <c r="C529">
        <f>YEAR(Raw_Data!$A529)</f>
        <v>2008</v>
      </c>
      <c r="D529" t="s">
        <v>509</v>
      </c>
      <c r="E529" t="s">
        <v>29</v>
      </c>
      <c r="F529" t="s">
        <v>18</v>
      </c>
      <c r="G529">
        <v>5</v>
      </c>
      <c r="H529">
        <v>2618</v>
      </c>
      <c r="I529" s="1">
        <v>723158</v>
      </c>
      <c r="J529" s="1">
        <f>Raw_Data!$I529/Raw_Data!$H529</f>
        <v>276.22536287242167</v>
      </c>
    </row>
    <row r="530" spans="1:10" x14ac:dyDescent="0.3">
      <c r="A530" s="9">
        <v>42815</v>
      </c>
      <c r="B530" s="2" t="str">
        <f>TEXT(Raw_Data!$A530, "MMM")</f>
        <v>Mar</v>
      </c>
      <c r="C530" s="2">
        <f>YEAR(Raw_Data!$A530)</f>
        <v>2017</v>
      </c>
      <c r="D530" s="2" t="s">
        <v>510</v>
      </c>
      <c r="E530" s="2" t="s">
        <v>32</v>
      </c>
      <c r="F530" s="2" t="s">
        <v>18</v>
      </c>
      <c r="G530" s="2">
        <v>5</v>
      </c>
      <c r="H530" s="2">
        <v>1976</v>
      </c>
      <c r="I530" s="10">
        <v>408505</v>
      </c>
      <c r="J530" s="10">
        <f>Raw_Data!$I530/Raw_Data!$H530</f>
        <v>206.73329959514169</v>
      </c>
    </row>
    <row r="531" spans="1:10" x14ac:dyDescent="0.3">
      <c r="A531" s="8">
        <v>42812</v>
      </c>
      <c r="B531" t="str">
        <f>TEXT(Raw_Data!$A531, "MMM")</f>
        <v>Mar</v>
      </c>
      <c r="C531">
        <f>YEAR(Raw_Data!$A531)</f>
        <v>2017</v>
      </c>
      <c r="D531" t="s">
        <v>511</v>
      </c>
      <c r="E531" t="s">
        <v>21</v>
      </c>
      <c r="F531" t="s">
        <v>11</v>
      </c>
      <c r="G531">
        <v>3</v>
      </c>
      <c r="H531">
        <v>1312</v>
      </c>
      <c r="I531" s="1">
        <v>641821</v>
      </c>
      <c r="J531" s="1">
        <f>Raw_Data!$I531/Raw_Data!$H531</f>
        <v>489.19283536585368</v>
      </c>
    </row>
    <row r="532" spans="1:10" x14ac:dyDescent="0.3">
      <c r="A532" s="9">
        <v>43530</v>
      </c>
      <c r="B532" s="2" t="str">
        <f>TEXT(Raw_Data!$A532, "MMM")</f>
        <v>Mar</v>
      </c>
      <c r="C532" s="2">
        <f>YEAR(Raw_Data!$A532)</f>
        <v>2019</v>
      </c>
      <c r="D532" s="2" t="s">
        <v>512</v>
      </c>
      <c r="E532" s="2" t="s">
        <v>29</v>
      </c>
      <c r="F532" s="2" t="s">
        <v>27</v>
      </c>
      <c r="G532" s="2"/>
      <c r="H532" s="2">
        <v>896</v>
      </c>
      <c r="I532" s="10">
        <v>313927</v>
      </c>
      <c r="J532" s="10">
        <f>Raw_Data!$I532/Raw_Data!$H532</f>
        <v>350.36495535714283</v>
      </c>
    </row>
    <row r="533" spans="1:10" x14ac:dyDescent="0.3">
      <c r="A533" s="8">
        <v>40108</v>
      </c>
      <c r="B533" t="str">
        <f>TEXT(Raw_Data!$A533, "MMM")</f>
        <v>Oct</v>
      </c>
      <c r="C533">
        <f>YEAR(Raw_Data!$A533)</f>
        <v>2009</v>
      </c>
      <c r="D533" t="s">
        <v>513</v>
      </c>
      <c r="E533" t="s">
        <v>21</v>
      </c>
      <c r="F533" t="s">
        <v>18</v>
      </c>
      <c r="H533">
        <v>1277</v>
      </c>
      <c r="I533" s="1">
        <v>148640</v>
      </c>
      <c r="J533" s="1">
        <f>Raw_Data!$I533/Raw_Data!$H533</f>
        <v>116.39780736100235</v>
      </c>
    </row>
    <row r="534" spans="1:10" x14ac:dyDescent="0.3">
      <c r="A534" s="9">
        <v>37856</v>
      </c>
      <c r="B534" s="2" t="str">
        <f>TEXT(Raw_Data!$A534, "MMM")</f>
        <v>Aug</v>
      </c>
      <c r="C534" s="2">
        <f>YEAR(Raw_Data!$A534)</f>
        <v>2003</v>
      </c>
      <c r="D534" s="2" t="s">
        <v>514</v>
      </c>
      <c r="E534" s="2" t="s">
        <v>32</v>
      </c>
      <c r="F534" s="2" t="s">
        <v>16</v>
      </c>
      <c r="G534" s="2">
        <v>5</v>
      </c>
      <c r="H534" s="2">
        <v>3173</v>
      </c>
      <c r="I534" s="10">
        <v>643986</v>
      </c>
      <c r="J534" s="10">
        <f>Raw_Data!$I534/Raw_Data!$H534</f>
        <v>202.95808383233532</v>
      </c>
    </row>
    <row r="535" spans="1:10" x14ac:dyDescent="0.3">
      <c r="A535" s="8">
        <v>40592</v>
      </c>
      <c r="B535" t="str">
        <f>TEXT(Raw_Data!$A535, "MMM")</f>
        <v>Feb</v>
      </c>
      <c r="C535">
        <f>YEAR(Raw_Data!$A535)</f>
        <v>2011</v>
      </c>
      <c r="D535" t="s">
        <v>257</v>
      </c>
      <c r="E535" t="s">
        <v>21</v>
      </c>
      <c r="F535" t="s">
        <v>27</v>
      </c>
      <c r="H535">
        <v>2760</v>
      </c>
      <c r="I535" s="1">
        <v>399463</v>
      </c>
      <c r="J535" s="1">
        <f>Raw_Data!$I535/Raw_Data!$H535</f>
        <v>144.73297101449276</v>
      </c>
    </row>
    <row r="536" spans="1:10" x14ac:dyDescent="0.3">
      <c r="A536" s="9">
        <v>43461</v>
      </c>
      <c r="B536" s="2" t="str">
        <f>TEXT(Raw_Data!$A536, "MMM")</f>
        <v>Dec</v>
      </c>
      <c r="C536" s="2">
        <f>YEAR(Raw_Data!$A536)</f>
        <v>2018</v>
      </c>
      <c r="D536" s="2" t="s">
        <v>515</v>
      </c>
      <c r="E536" s="2" t="s">
        <v>32</v>
      </c>
      <c r="F536" s="2" t="s">
        <v>11</v>
      </c>
      <c r="G536" s="2">
        <v>5</v>
      </c>
      <c r="H536" s="2">
        <v>900</v>
      </c>
      <c r="I536" s="10">
        <v>492130</v>
      </c>
      <c r="J536" s="10">
        <f>Raw_Data!$I536/Raw_Data!$H536</f>
        <v>546.81111111111113</v>
      </c>
    </row>
    <row r="537" spans="1:10" x14ac:dyDescent="0.3">
      <c r="A537" s="8">
        <v>42936</v>
      </c>
      <c r="B537" t="str">
        <f>TEXT(Raw_Data!$A537, "MMM")</f>
        <v>Jul</v>
      </c>
      <c r="C537">
        <f>YEAR(Raw_Data!$A537)</f>
        <v>2017</v>
      </c>
      <c r="D537" t="s">
        <v>516</v>
      </c>
      <c r="E537" t="s">
        <v>13</v>
      </c>
      <c r="F537" t="s">
        <v>27</v>
      </c>
      <c r="H537">
        <v>2095</v>
      </c>
      <c r="I537" s="1">
        <v>634745</v>
      </c>
      <c r="J537" s="1">
        <f>Raw_Data!$I537/Raw_Data!$H537</f>
        <v>302.98090692124106</v>
      </c>
    </row>
    <row r="538" spans="1:10" x14ac:dyDescent="0.3">
      <c r="A538" s="9">
        <v>41324</v>
      </c>
      <c r="B538" s="2" t="str">
        <f>TEXT(Raw_Data!$A538, "MMM")</f>
        <v>Feb</v>
      </c>
      <c r="C538" s="2">
        <f>YEAR(Raw_Data!$A538)</f>
        <v>2013</v>
      </c>
      <c r="D538" s="2" t="s">
        <v>517</v>
      </c>
      <c r="E538" s="2" t="s">
        <v>23</v>
      </c>
      <c r="F538" s="2" t="s">
        <v>27</v>
      </c>
      <c r="G538" s="2"/>
      <c r="H538" s="2">
        <v>3482</v>
      </c>
      <c r="I538" s="10">
        <v>620707</v>
      </c>
      <c r="J538" s="10">
        <f>Raw_Data!$I538/Raw_Data!$H538</f>
        <v>178.2616312464101</v>
      </c>
    </row>
    <row r="539" spans="1:10" x14ac:dyDescent="0.3">
      <c r="A539" s="8">
        <v>40905</v>
      </c>
      <c r="B539" t="str">
        <f>TEXT(Raw_Data!$A539, "MMM")</f>
        <v>Dec</v>
      </c>
      <c r="C539">
        <f>YEAR(Raw_Data!$A539)</f>
        <v>2011</v>
      </c>
      <c r="D539" t="s">
        <v>518</v>
      </c>
      <c r="E539" t="s">
        <v>21</v>
      </c>
      <c r="F539" t="s">
        <v>16</v>
      </c>
      <c r="H539">
        <v>989</v>
      </c>
      <c r="I539" s="1">
        <v>386959</v>
      </c>
      <c r="J539" s="1">
        <f>Raw_Data!$I539/Raw_Data!$H539</f>
        <v>391.26289180990898</v>
      </c>
    </row>
    <row r="540" spans="1:10" x14ac:dyDescent="0.3">
      <c r="A540" s="9">
        <v>40621</v>
      </c>
      <c r="B540" s="2" t="str">
        <f>TEXT(Raw_Data!$A540, "MMM")</f>
        <v>Mar</v>
      </c>
      <c r="C540" s="2">
        <f>YEAR(Raw_Data!$A540)</f>
        <v>2011</v>
      </c>
      <c r="D540" s="2" t="s">
        <v>519</v>
      </c>
      <c r="E540" s="2" t="s">
        <v>23</v>
      </c>
      <c r="F540" s="2" t="s">
        <v>16</v>
      </c>
      <c r="G540" s="2"/>
      <c r="H540" s="2">
        <v>1669</v>
      </c>
      <c r="I540" s="10">
        <v>655207</v>
      </c>
      <c r="J540" s="10">
        <f>Raw_Data!$I540/Raw_Data!$H540</f>
        <v>392.57459556620734</v>
      </c>
    </row>
    <row r="541" spans="1:10" x14ac:dyDescent="0.3">
      <c r="A541" s="8">
        <v>37468</v>
      </c>
      <c r="B541" t="str">
        <f>TEXT(Raw_Data!$A541, "MMM")</f>
        <v>Jul</v>
      </c>
      <c r="C541">
        <f>YEAR(Raw_Data!$A541)</f>
        <v>2002</v>
      </c>
      <c r="D541" t="s">
        <v>520</v>
      </c>
      <c r="E541" t="s">
        <v>29</v>
      </c>
      <c r="F541" t="s">
        <v>16</v>
      </c>
      <c r="G541">
        <v>5</v>
      </c>
      <c r="H541">
        <v>1796</v>
      </c>
      <c r="I541" s="1">
        <v>651396</v>
      </c>
      <c r="J541" s="1">
        <f>Raw_Data!$I541/Raw_Data!$H541</f>
        <v>362.69265033407572</v>
      </c>
    </row>
    <row r="542" spans="1:10" x14ac:dyDescent="0.3">
      <c r="A542" s="9">
        <v>42192</v>
      </c>
      <c r="B542" s="2" t="str">
        <f>TEXT(Raw_Data!$A542, "MMM")</f>
        <v>Jul</v>
      </c>
      <c r="C542" s="2">
        <f>YEAR(Raw_Data!$A542)</f>
        <v>2015</v>
      </c>
      <c r="D542" s="2" t="s">
        <v>521</v>
      </c>
      <c r="E542" s="2" t="s">
        <v>13</v>
      </c>
      <c r="F542" s="2" t="s">
        <v>18</v>
      </c>
      <c r="G542" s="2">
        <v>2</v>
      </c>
      <c r="H542" s="2">
        <v>3500</v>
      </c>
      <c r="I542" s="10">
        <v>512917</v>
      </c>
      <c r="J542" s="10">
        <f>Raw_Data!$I542/Raw_Data!$H542</f>
        <v>146.54771428571428</v>
      </c>
    </row>
    <row r="543" spans="1:10" x14ac:dyDescent="0.3">
      <c r="A543" s="8">
        <v>41122</v>
      </c>
      <c r="B543" t="str">
        <f>TEXT(Raw_Data!$A543, "MMM")</f>
        <v>Aug</v>
      </c>
      <c r="C543">
        <f>YEAR(Raw_Data!$A543)</f>
        <v>2012</v>
      </c>
      <c r="D543" t="s">
        <v>522</v>
      </c>
      <c r="E543" t="s">
        <v>29</v>
      </c>
      <c r="F543" t="s">
        <v>11</v>
      </c>
      <c r="H543">
        <v>1390</v>
      </c>
      <c r="I543" s="1">
        <v>747682</v>
      </c>
      <c r="J543" s="1">
        <f>Raw_Data!$I543/Raw_Data!$H543</f>
        <v>537.90071942446048</v>
      </c>
    </row>
    <row r="544" spans="1:10" x14ac:dyDescent="0.3">
      <c r="A544" s="9">
        <v>41931</v>
      </c>
      <c r="B544" s="2" t="str">
        <f>TEXT(Raw_Data!$A544, "MMM")</f>
        <v>Oct</v>
      </c>
      <c r="C544" s="2">
        <f>YEAR(Raw_Data!$A544)</f>
        <v>2014</v>
      </c>
      <c r="D544" s="2" t="s">
        <v>523</v>
      </c>
      <c r="E544" s="2" t="s">
        <v>15</v>
      </c>
      <c r="F544" s="2" t="s">
        <v>27</v>
      </c>
      <c r="G544" s="2"/>
      <c r="H544" s="2">
        <v>3175</v>
      </c>
      <c r="I544" s="10">
        <v>151855</v>
      </c>
      <c r="J544" s="10">
        <f>Raw_Data!$I544/Raw_Data!$H544</f>
        <v>47.828346456692913</v>
      </c>
    </row>
    <row r="545" spans="1:10" x14ac:dyDescent="0.3">
      <c r="A545" s="8">
        <v>42816</v>
      </c>
      <c r="B545" t="str">
        <f>TEXT(Raw_Data!$A545, "MMM")</f>
        <v>Mar</v>
      </c>
      <c r="C545">
        <f>YEAR(Raw_Data!$A545)</f>
        <v>2017</v>
      </c>
      <c r="D545" t="s">
        <v>524</v>
      </c>
      <c r="E545" t="s">
        <v>15</v>
      </c>
      <c r="F545" t="s">
        <v>11</v>
      </c>
      <c r="H545">
        <v>2024</v>
      </c>
      <c r="I545" s="1">
        <v>228313</v>
      </c>
      <c r="J545" s="1">
        <f>Raw_Data!$I545/Raw_Data!$H545</f>
        <v>112.80286561264822</v>
      </c>
    </row>
    <row r="546" spans="1:10" x14ac:dyDescent="0.3">
      <c r="A546" s="9">
        <v>41254</v>
      </c>
      <c r="B546" s="2" t="str">
        <f>TEXT(Raw_Data!$A546, "MMM")</f>
        <v>Dec</v>
      </c>
      <c r="C546" s="2">
        <f>YEAR(Raw_Data!$A546)</f>
        <v>2012</v>
      </c>
      <c r="D546" s="2" t="s">
        <v>244</v>
      </c>
      <c r="E546" s="2" t="s">
        <v>21</v>
      </c>
      <c r="F546" s="2" t="s">
        <v>27</v>
      </c>
      <c r="G546" s="2"/>
      <c r="H546" s="2">
        <v>2679</v>
      </c>
      <c r="I546" s="10">
        <v>288761</v>
      </c>
      <c r="J546" s="10">
        <f>Raw_Data!$I546/Raw_Data!$H546</f>
        <v>107.78686076894364</v>
      </c>
    </row>
    <row r="547" spans="1:10" x14ac:dyDescent="0.3">
      <c r="A547" s="8">
        <v>41508</v>
      </c>
      <c r="B547" t="str">
        <f>TEXT(Raw_Data!$A547, "MMM")</f>
        <v>Aug</v>
      </c>
      <c r="C547">
        <f>YEAR(Raw_Data!$A547)</f>
        <v>2013</v>
      </c>
      <c r="D547" t="s">
        <v>525</v>
      </c>
      <c r="E547" t="s">
        <v>13</v>
      </c>
      <c r="F547" t="s">
        <v>16</v>
      </c>
      <c r="G547">
        <v>2</v>
      </c>
      <c r="H547">
        <v>3335</v>
      </c>
      <c r="I547" s="1">
        <v>375293</v>
      </c>
      <c r="J547" s="1">
        <f>Raw_Data!$I547/Raw_Data!$H547</f>
        <v>112.53163418290855</v>
      </c>
    </row>
    <row r="548" spans="1:10" x14ac:dyDescent="0.3">
      <c r="A548" s="9">
        <v>44187</v>
      </c>
      <c r="B548" s="2" t="str">
        <f>TEXT(Raw_Data!$A548, "MMM")</f>
        <v>Dec</v>
      </c>
      <c r="C548" s="2">
        <f>YEAR(Raw_Data!$A548)</f>
        <v>2020</v>
      </c>
      <c r="D548" s="2" t="s">
        <v>526</v>
      </c>
      <c r="E548" s="2" t="s">
        <v>15</v>
      </c>
      <c r="F548" s="2" t="s">
        <v>27</v>
      </c>
      <c r="G548" s="2">
        <v>3</v>
      </c>
      <c r="H548" s="2">
        <v>1951</v>
      </c>
      <c r="I548" s="10">
        <v>137122</v>
      </c>
      <c r="J548" s="10">
        <f>Raw_Data!$I548/Raw_Data!$H548</f>
        <v>70.282931829830858</v>
      </c>
    </row>
    <row r="549" spans="1:10" x14ac:dyDescent="0.3">
      <c r="A549" s="8">
        <v>42267</v>
      </c>
      <c r="B549" t="str">
        <f>TEXT(Raw_Data!$A549, "MMM")</f>
        <v>Sep</v>
      </c>
      <c r="C549">
        <f>YEAR(Raw_Data!$A549)</f>
        <v>2015</v>
      </c>
      <c r="D549" t="s">
        <v>527</v>
      </c>
      <c r="E549" t="s">
        <v>13</v>
      </c>
      <c r="F549" t="s">
        <v>16</v>
      </c>
      <c r="G549">
        <v>4</v>
      </c>
      <c r="H549">
        <v>1973</v>
      </c>
      <c r="I549" s="1">
        <v>458818</v>
      </c>
      <c r="J549" s="1">
        <f>Raw_Data!$I549/Raw_Data!$H549</f>
        <v>232.54840344652814</v>
      </c>
    </row>
    <row r="550" spans="1:10" x14ac:dyDescent="0.3">
      <c r="A550" s="9">
        <v>39495</v>
      </c>
      <c r="B550" s="2" t="str">
        <f>TEXT(Raw_Data!$A550, "MMM")</f>
        <v>Feb</v>
      </c>
      <c r="C550" s="2">
        <f>YEAR(Raw_Data!$A550)</f>
        <v>2008</v>
      </c>
      <c r="D550" s="2" t="s">
        <v>528</v>
      </c>
      <c r="E550" s="2" t="s">
        <v>32</v>
      </c>
      <c r="F550" s="2" t="s">
        <v>27</v>
      </c>
      <c r="G550" s="2">
        <v>4</v>
      </c>
      <c r="H550" s="2">
        <v>976</v>
      </c>
      <c r="I550" s="10">
        <v>689792</v>
      </c>
      <c r="J550" s="10">
        <f>Raw_Data!$I550/Raw_Data!$H550</f>
        <v>706.75409836065569</v>
      </c>
    </row>
    <row r="551" spans="1:10" x14ac:dyDescent="0.3">
      <c r="A551" s="8">
        <v>41759</v>
      </c>
      <c r="B551" t="str">
        <f>TEXT(Raw_Data!$A551, "MMM")</f>
        <v>Apr</v>
      </c>
      <c r="C551">
        <f>YEAR(Raw_Data!$A551)</f>
        <v>2014</v>
      </c>
      <c r="D551" t="s">
        <v>330</v>
      </c>
      <c r="E551" t="s">
        <v>25</v>
      </c>
      <c r="F551" t="s">
        <v>11</v>
      </c>
      <c r="G551">
        <v>2</v>
      </c>
      <c r="H551">
        <v>1455</v>
      </c>
      <c r="I551" s="1">
        <v>401463</v>
      </c>
      <c r="J551" s="1">
        <f>Raw_Data!$I551/Raw_Data!$H551</f>
        <v>275.919587628866</v>
      </c>
    </row>
    <row r="552" spans="1:10" x14ac:dyDescent="0.3">
      <c r="A552" s="9">
        <v>40579</v>
      </c>
      <c r="B552" s="2" t="str">
        <f>TEXT(Raw_Data!$A552, "MMM")</f>
        <v>Feb</v>
      </c>
      <c r="C552" s="2">
        <f>YEAR(Raw_Data!$A552)</f>
        <v>2011</v>
      </c>
      <c r="D552" s="2" t="s">
        <v>529</v>
      </c>
      <c r="E552" s="2" t="s">
        <v>23</v>
      </c>
      <c r="F552" s="2" t="s">
        <v>16</v>
      </c>
      <c r="G552" s="2">
        <v>3</v>
      </c>
      <c r="H552" s="2">
        <v>3366</v>
      </c>
      <c r="I552" s="10">
        <v>175760</v>
      </c>
      <c r="J552" s="10">
        <f>Raw_Data!$I552/Raw_Data!$H552</f>
        <v>52.216280451574569</v>
      </c>
    </row>
    <row r="553" spans="1:10" x14ac:dyDescent="0.3">
      <c r="A553" s="8">
        <v>40175</v>
      </c>
      <c r="B553" t="str">
        <f>TEXT(Raw_Data!$A553, "MMM")</f>
        <v>Dec</v>
      </c>
      <c r="C553">
        <f>YEAR(Raw_Data!$A553)</f>
        <v>2009</v>
      </c>
      <c r="D553" t="s">
        <v>530</v>
      </c>
      <c r="E553" t="s">
        <v>29</v>
      </c>
      <c r="F553" t="s">
        <v>18</v>
      </c>
      <c r="G553">
        <v>3</v>
      </c>
      <c r="H553">
        <v>2337</v>
      </c>
      <c r="I553" s="1">
        <v>724942</v>
      </c>
      <c r="J553" s="1">
        <f>Raw_Data!$I553/Raw_Data!$H553</f>
        <v>310.20196833547283</v>
      </c>
    </row>
    <row r="554" spans="1:10" x14ac:dyDescent="0.3">
      <c r="A554" s="9">
        <v>43266</v>
      </c>
      <c r="B554" s="2" t="str">
        <f>TEXT(Raw_Data!$A554, "MMM")</f>
        <v>Jun</v>
      </c>
      <c r="C554" s="2">
        <f>YEAR(Raw_Data!$A554)</f>
        <v>2018</v>
      </c>
      <c r="D554" s="2" t="s">
        <v>531</v>
      </c>
      <c r="E554" s="2" t="s">
        <v>21</v>
      </c>
      <c r="F554" s="2" t="s">
        <v>11</v>
      </c>
      <c r="G554" s="2"/>
      <c r="H554" s="2">
        <v>3270</v>
      </c>
      <c r="I554" s="10">
        <v>182361</v>
      </c>
      <c r="J554" s="10">
        <f>Raw_Data!$I554/Raw_Data!$H554</f>
        <v>55.767889908256883</v>
      </c>
    </row>
    <row r="555" spans="1:10" x14ac:dyDescent="0.3">
      <c r="A555" s="8">
        <v>42315</v>
      </c>
      <c r="B555" t="str">
        <f>TEXT(Raw_Data!$A555, "MMM")</f>
        <v>Nov</v>
      </c>
      <c r="C555">
        <f>YEAR(Raw_Data!$A555)</f>
        <v>2015</v>
      </c>
      <c r="D555" t="s">
        <v>532</v>
      </c>
      <c r="E555" t="s">
        <v>29</v>
      </c>
      <c r="F555" t="s">
        <v>11</v>
      </c>
      <c r="H555">
        <v>1814</v>
      </c>
      <c r="I555" s="1">
        <v>838347</v>
      </c>
      <c r="J555" s="1">
        <f>Raw_Data!$I555/Raw_Data!$H555</f>
        <v>462.15380374862184</v>
      </c>
    </row>
    <row r="556" spans="1:10" x14ac:dyDescent="0.3">
      <c r="A556" s="9">
        <v>40624</v>
      </c>
      <c r="B556" s="2" t="str">
        <f>TEXT(Raw_Data!$A556, "MMM")</f>
        <v>Mar</v>
      </c>
      <c r="C556" s="2">
        <f>YEAR(Raw_Data!$A556)</f>
        <v>2011</v>
      </c>
      <c r="D556" s="2" t="s">
        <v>533</v>
      </c>
      <c r="E556" s="2" t="s">
        <v>25</v>
      </c>
      <c r="F556" s="2" t="s">
        <v>16</v>
      </c>
      <c r="G556" s="2"/>
      <c r="H556" s="2">
        <v>2387</v>
      </c>
      <c r="I556" s="10">
        <v>728129</v>
      </c>
      <c r="J556" s="10">
        <f>Raw_Data!$I556/Raw_Data!$H556</f>
        <v>305.03937997486383</v>
      </c>
    </row>
    <row r="557" spans="1:10" x14ac:dyDescent="0.3">
      <c r="A557" s="8">
        <v>42179</v>
      </c>
      <c r="B557" t="str">
        <f>TEXT(Raw_Data!$A557, "MMM")</f>
        <v>Jun</v>
      </c>
      <c r="C557">
        <f>YEAR(Raw_Data!$A557)</f>
        <v>2015</v>
      </c>
      <c r="D557" t="s">
        <v>534</v>
      </c>
      <c r="E557" t="s">
        <v>32</v>
      </c>
      <c r="F557" t="s">
        <v>27</v>
      </c>
      <c r="G557">
        <v>3</v>
      </c>
      <c r="H557">
        <v>1944</v>
      </c>
      <c r="I557" s="1">
        <v>565316</v>
      </c>
      <c r="J557" s="1">
        <f>Raw_Data!$I557/Raw_Data!$H557</f>
        <v>290.80041152263374</v>
      </c>
    </row>
    <row r="558" spans="1:10" x14ac:dyDescent="0.3">
      <c r="A558" s="9">
        <v>38240</v>
      </c>
      <c r="B558" s="2" t="str">
        <f>TEXT(Raw_Data!$A558, "MMM")</f>
        <v>Sep</v>
      </c>
      <c r="C558" s="2">
        <f>YEAR(Raw_Data!$A558)</f>
        <v>2004</v>
      </c>
      <c r="D558" s="2" t="s">
        <v>535</v>
      </c>
      <c r="E558" s="2" t="s">
        <v>21</v>
      </c>
      <c r="F558" s="2" t="s">
        <v>27</v>
      </c>
      <c r="G558" s="2">
        <v>4</v>
      </c>
      <c r="H558" s="2">
        <v>1398</v>
      </c>
      <c r="I558" s="10">
        <v>753752</v>
      </c>
      <c r="J558" s="10">
        <f>Raw_Data!$I558/Raw_Data!$H558</f>
        <v>539.16452074391987</v>
      </c>
    </row>
    <row r="559" spans="1:10" x14ac:dyDescent="0.3">
      <c r="A559" s="8">
        <v>39260</v>
      </c>
      <c r="B559" t="str">
        <f>TEXT(Raw_Data!$A559, "MMM")</f>
        <v>Jun</v>
      </c>
      <c r="C559">
        <f>YEAR(Raw_Data!$A559)</f>
        <v>2007</v>
      </c>
      <c r="D559" t="s">
        <v>536</v>
      </c>
      <c r="E559" t="s">
        <v>25</v>
      </c>
      <c r="F559" t="s">
        <v>16</v>
      </c>
      <c r="G559">
        <v>3</v>
      </c>
      <c r="H559">
        <v>3285</v>
      </c>
      <c r="I559" s="1">
        <v>777324</v>
      </c>
      <c r="J559" s="1">
        <f>Raw_Data!$I559/Raw_Data!$H559</f>
        <v>236.62831050228311</v>
      </c>
    </row>
    <row r="560" spans="1:10" x14ac:dyDescent="0.3">
      <c r="A560" s="9">
        <v>43698</v>
      </c>
      <c r="B560" s="2" t="str">
        <f>TEXT(Raw_Data!$A560, "MMM")</f>
        <v>Aug</v>
      </c>
      <c r="C560" s="2">
        <f>YEAR(Raw_Data!$A560)</f>
        <v>2019</v>
      </c>
      <c r="D560" s="2" t="s">
        <v>537</v>
      </c>
      <c r="E560" s="2" t="s">
        <v>29</v>
      </c>
      <c r="F560" s="2" t="s">
        <v>16</v>
      </c>
      <c r="G560" s="2">
        <v>5</v>
      </c>
      <c r="H560" s="2">
        <v>3135</v>
      </c>
      <c r="I560" s="10">
        <v>203648</v>
      </c>
      <c r="J560" s="10">
        <f>Raw_Data!$I560/Raw_Data!$H560</f>
        <v>64.959489633173845</v>
      </c>
    </row>
    <row r="561" spans="1:10" x14ac:dyDescent="0.3">
      <c r="A561" s="8">
        <v>40073</v>
      </c>
      <c r="B561" t="str">
        <f>TEXT(Raw_Data!$A561, "MMM")</f>
        <v>Sep</v>
      </c>
      <c r="C561">
        <f>YEAR(Raw_Data!$A561)</f>
        <v>2009</v>
      </c>
      <c r="D561" t="s">
        <v>538</v>
      </c>
      <c r="E561" t="s">
        <v>23</v>
      </c>
      <c r="F561" t="s">
        <v>18</v>
      </c>
      <c r="H561">
        <v>2223</v>
      </c>
      <c r="I561" s="1">
        <v>897301</v>
      </c>
      <c r="J561" s="1">
        <f>Raw_Data!$I561/Raw_Data!$H561</f>
        <v>403.64417453891139</v>
      </c>
    </row>
    <row r="562" spans="1:10" x14ac:dyDescent="0.3">
      <c r="A562" s="9">
        <v>41014</v>
      </c>
      <c r="B562" s="2" t="str">
        <f>TEXT(Raw_Data!$A562, "MMM")</f>
        <v>Apr</v>
      </c>
      <c r="C562" s="2">
        <f>YEAR(Raw_Data!$A562)</f>
        <v>2012</v>
      </c>
      <c r="D562" s="2" t="s">
        <v>539</v>
      </c>
      <c r="E562" s="2" t="s">
        <v>32</v>
      </c>
      <c r="F562" s="2" t="s">
        <v>11</v>
      </c>
      <c r="G562" s="2">
        <v>4</v>
      </c>
      <c r="H562" s="2">
        <v>2795</v>
      </c>
      <c r="I562" s="10">
        <v>776190</v>
      </c>
      <c r="J562" s="10">
        <f>Raw_Data!$I562/Raw_Data!$H562</f>
        <v>277.70661896243291</v>
      </c>
    </row>
    <row r="563" spans="1:10" x14ac:dyDescent="0.3">
      <c r="A563" s="8">
        <v>39403</v>
      </c>
      <c r="B563" t="str">
        <f>TEXT(Raw_Data!$A563, "MMM")</f>
        <v>Nov</v>
      </c>
      <c r="C563">
        <f>YEAR(Raw_Data!$A563)</f>
        <v>2007</v>
      </c>
      <c r="D563" t="s">
        <v>540</v>
      </c>
      <c r="E563" t="s">
        <v>32</v>
      </c>
      <c r="F563" t="s">
        <v>18</v>
      </c>
      <c r="G563">
        <v>2</v>
      </c>
      <c r="H563">
        <v>3167</v>
      </c>
      <c r="I563" s="1">
        <v>145685</v>
      </c>
      <c r="J563" s="1">
        <f>Raw_Data!$I563/Raw_Data!$H563</f>
        <v>46.000947268708558</v>
      </c>
    </row>
    <row r="564" spans="1:10" x14ac:dyDescent="0.3">
      <c r="A564" s="9">
        <v>38872</v>
      </c>
      <c r="B564" s="2" t="str">
        <f>TEXT(Raw_Data!$A564, "MMM")</f>
        <v>Jun</v>
      </c>
      <c r="C564" s="2">
        <f>YEAR(Raw_Data!$A564)</f>
        <v>2006</v>
      </c>
      <c r="D564" s="2" t="s">
        <v>541</v>
      </c>
      <c r="E564" s="2" t="s">
        <v>25</v>
      </c>
      <c r="F564" s="2" t="s">
        <v>27</v>
      </c>
      <c r="G564" s="2">
        <v>5</v>
      </c>
      <c r="H564" s="2">
        <v>2329</v>
      </c>
      <c r="I564" s="10">
        <v>341252</v>
      </c>
      <c r="J564" s="10">
        <f>Raw_Data!$I564/Raw_Data!$H564</f>
        <v>146.52297123228854</v>
      </c>
    </row>
    <row r="565" spans="1:10" x14ac:dyDescent="0.3">
      <c r="A565" s="8">
        <v>40766</v>
      </c>
      <c r="B565" t="str">
        <f>TEXT(Raw_Data!$A565, "MMM")</f>
        <v>Aug</v>
      </c>
      <c r="C565">
        <f>YEAR(Raw_Data!$A565)</f>
        <v>2011</v>
      </c>
      <c r="D565" t="s">
        <v>542</v>
      </c>
      <c r="E565" t="s">
        <v>21</v>
      </c>
      <c r="F565" t="s">
        <v>27</v>
      </c>
      <c r="H565">
        <v>1902</v>
      </c>
      <c r="I565" s="1">
        <v>136735</v>
      </c>
      <c r="J565" s="1">
        <f>Raw_Data!$I565/Raw_Data!$H565</f>
        <v>71.890115667718192</v>
      </c>
    </row>
    <row r="566" spans="1:10" x14ac:dyDescent="0.3">
      <c r="A566" s="9">
        <v>38418</v>
      </c>
      <c r="B566" s="2" t="str">
        <f>TEXT(Raw_Data!$A566, "MMM")</f>
        <v>Mar</v>
      </c>
      <c r="C566" s="2">
        <f>YEAR(Raw_Data!$A566)</f>
        <v>2005</v>
      </c>
      <c r="D566" s="2" t="s">
        <v>543</v>
      </c>
      <c r="E566" s="2" t="s">
        <v>23</v>
      </c>
      <c r="F566" s="2" t="s">
        <v>11</v>
      </c>
      <c r="G566" s="2">
        <v>2</v>
      </c>
      <c r="H566" s="2">
        <v>2489</v>
      </c>
      <c r="I566" s="10">
        <v>127983</v>
      </c>
      <c r="J566" s="10">
        <f>Raw_Data!$I566/Raw_Data!$H566</f>
        <v>51.419445560466052</v>
      </c>
    </row>
    <row r="567" spans="1:10" x14ac:dyDescent="0.3">
      <c r="A567" s="8">
        <v>40523</v>
      </c>
      <c r="B567" t="str">
        <f>TEXT(Raw_Data!$A567, "MMM")</f>
        <v>Dec</v>
      </c>
      <c r="C567">
        <f>YEAR(Raw_Data!$A567)</f>
        <v>2010</v>
      </c>
      <c r="D567" t="s">
        <v>544</v>
      </c>
      <c r="E567" t="s">
        <v>15</v>
      </c>
      <c r="F567" t="s">
        <v>27</v>
      </c>
      <c r="G567">
        <v>3</v>
      </c>
      <c r="H567">
        <v>3262</v>
      </c>
      <c r="I567" s="1">
        <v>639707</v>
      </c>
      <c r="J567" s="1">
        <f>Raw_Data!$I567/Raw_Data!$H567</f>
        <v>196.10882893930105</v>
      </c>
    </row>
    <row r="568" spans="1:10" x14ac:dyDescent="0.3">
      <c r="A568" s="9">
        <v>40098</v>
      </c>
      <c r="B568" s="2" t="str">
        <f>TEXT(Raw_Data!$A568, "MMM")</f>
        <v>Oct</v>
      </c>
      <c r="C568" s="2">
        <f>YEAR(Raw_Data!$A568)</f>
        <v>2009</v>
      </c>
      <c r="D568" s="2" t="s">
        <v>545</v>
      </c>
      <c r="E568" s="2" t="s">
        <v>21</v>
      </c>
      <c r="F568" s="2" t="s">
        <v>27</v>
      </c>
      <c r="G568" s="2">
        <v>3</v>
      </c>
      <c r="H568" s="2">
        <v>3365</v>
      </c>
      <c r="I568" s="10">
        <v>142911</v>
      </c>
      <c r="J568" s="10">
        <f>Raw_Data!$I568/Raw_Data!$H568</f>
        <v>42.469836552748887</v>
      </c>
    </row>
    <row r="569" spans="1:10" x14ac:dyDescent="0.3">
      <c r="A569" s="8">
        <v>39545</v>
      </c>
      <c r="B569" t="str">
        <f>TEXT(Raw_Data!$A569, "MMM")</f>
        <v>Apr</v>
      </c>
      <c r="C569">
        <f>YEAR(Raw_Data!$A569)</f>
        <v>2008</v>
      </c>
      <c r="D569" t="s">
        <v>546</v>
      </c>
      <c r="E569" t="s">
        <v>15</v>
      </c>
      <c r="F569" t="s">
        <v>27</v>
      </c>
      <c r="G569">
        <v>2</v>
      </c>
      <c r="H569">
        <v>1493</v>
      </c>
      <c r="I569" s="1">
        <v>211036</v>
      </c>
      <c r="J569" s="1">
        <f>Raw_Data!$I569/Raw_Data!$H569</f>
        <v>141.35030140656397</v>
      </c>
    </row>
    <row r="570" spans="1:10" x14ac:dyDescent="0.3">
      <c r="A570" s="9">
        <v>43741</v>
      </c>
      <c r="B570" s="2" t="str">
        <f>TEXT(Raw_Data!$A570, "MMM")</f>
        <v>Oct</v>
      </c>
      <c r="C570" s="2">
        <f>YEAR(Raw_Data!$A570)</f>
        <v>2019</v>
      </c>
      <c r="D570" s="2" t="s">
        <v>547</v>
      </c>
      <c r="E570" s="2" t="s">
        <v>29</v>
      </c>
      <c r="F570" s="2" t="s">
        <v>11</v>
      </c>
      <c r="G570" s="2">
        <v>2</v>
      </c>
      <c r="H570" s="2">
        <v>2499</v>
      </c>
      <c r="I570" s="10">
        <v>154155</v>
      </c>
      <c r="J570" s="10">
        <f>Raw_Data!$I570/Raw_Data!$H570</f>
        <v>61.686674669867948</v>
      </c>
    </row>
    <row r="571" spans="1:10" x14ac:dyDescent="0.3">
      <c r="A571" s="8">
        <v>43717</v>
      </c>
      <c r="B571" t="str">
        <f>TEXT(Raw_Data!$A571, "MMM")</f>
        <v>Sep</v>
      </c>
      <c r="C571">
        <f>YEAR(Raw_Data!$A571)</f>
        <v>2019</v>
      </c>
      <c r="D571" t="s">
        <v>548</v>
      </c>
      <c r="E571" t="s">
        <v>15</v>
      </c>
      <c r="F571" t="s">
        <v>27</v>
      </c>
      <c r="G571">
        <v>3</v>
      </c>
      <c r="H571">
        <v>3043</v>
      </c>
      <c r="I571" s="1">
        <v>528938</v>
      </c>
      <c r="J571" s="1">
        <f>Raw_Data!$I571/Raw_Data!$H571</f>
        <v>173.82122905027933</v>
      </c>
    </row>
    <row r="572" spans="1:10" x14ac:dyDescent="0.3">
      <c r="A572" s="9">
        <v>40202</v>
      </c>
      <c r="B572" s="2" t="str">
        <f>TEXT(Raw_Data!$A572, "MMM")</f>
        <v>Jan</v>
      </c>
      <c r="C572" s="2">
        <f>YEAR(Raw_Data!$A572)</f>
        <v>2010</v>
      </c>
      <c r="D572" s="2" t="s">
        <v>339</v>
      </c>
      <c r="E572" s="2" t="s">
        <v>15</v>
      </c>
      <c r="F572" s="2" t="s">
        <v>16</v>
      </c>
      <c r="G572" s="2">
        <v>2</v>
      </c>
      <c r="H572" s="2">
        <v>3192</v>
      </c>
      <c r="I572" s="10">
        <v>391167</v>
      </c>
      <c r="J572" s="10">
        <f>Raw_Data!$I572/Raw_Data!$H572</f>
        <v>122.54605263157895</v>
      </c>
    </row>
    <row r="573" spans="1:10" x14ac:dyDescent="0.3">
      <c r="A573" s="8">
        <v>37834</v>
      </c>
      <c r="B573" t="str">
        <f>TEXT(Raw_Data!$A573, "MMM")</f>
        <v>Aug</v>
      </c>
      <c r="C573">
        <f>YEAR(Raw_Data!$A573)</f>
        <v>2003</v>
      </c>
      <c r="D573" t="s">
        <v>549</v>
      </c>
      <c r="E573" t="s">
        <v>21</v>
      </c>
      <c r="F573" t="s">
        <v>16</v>
      </c>
      <c r="G573">
        <v>4</v>
      </c>
      <c r="H573">
        <v>2473</v>
      </c>
      <c r="I573" s="1">
        <v>126876</v>
      </c>
      <c r="J573" s="1">
        <f>Raw_Data!$I573/Raw_Data!$H573</f>
        <v>51.304488475535784</v>
      </c>
    </row>
    <row r="574" spans="1:10" x14ac:dyDescent="0.3">
      <c r="A574" s="9">
        <v>42120</v>
      </c>
      <c r="B574" s="2" t="str">
        <f>TEXT(Raw_Data!$A574, "MMM")</f>
        <v>Apr</v>
      </c>
      <c r="C574" s="2">
        <f>YEAR(Raw_Data!$A574)</f>
        <v>2015</v>
      </c>
      <c r="D574" s="2" t="s">
        <v>550</v>
      </c>
      <c r="E574" s="2" t="s">
        <v>25</v>
      </c>
      <c r="F574" s="2" t="s">
        <v>11</v>
      </c>
      <c r="G574" s="2"/>
      <c r="H574" s="2">
        <v>1524</v>
      </c>
      <c r="I574" s="10">
        <v>657457</v>
      </c>
      <c r="J574" s="10">
        <f>Raw_Data!$I574/Raw_Data!$H574</f>
        <v>431.40223097112863</v>
      </c>
    </row>
    <row r="575" spans="1:10" x14ac:dyDescent="0.3">
      <c r="A575" s="8">
        <v>37647</v>
      </c>
      <c r="B575" t="str">
        <f>TEXT(Raw_Data!$A575, "MMM")</f>
        <v>Jan</v>
      </c>
      <c r="C575">
        <f>YEAR(Raw_Data!$A575)</f>
        <v>2003</v>
      </c>
      <c r="D575" t="s">
        <v>551</v>
      </c>
      <c r="E575" t="s">
        <v>23</v>
      </c>
      <c r="F575" t="s">
        <v>16</v>
      </c>
      <c r="G575">
        <v>5</v>
      </c>
      <c r="H575">
        <v>2575</v>
      </c>
      <c r="I575" s="1">
        <v>550535</v>
      </c>
      <c r="J575" s="1">
        <f>Raw_Data!$I575/Raw_Data!$H575</f>
        <v>213.8</v>
      </c>
    </row>
    <row r="576" spans="1:10" x14ac:dyDescent="0.3">
      <c r="A576" s="9">
        <v>42076</v>
      </c>
      <c r="B576" s="2" t="str">
        <f>TEXT(Raw_Data!$A576, "MMM")</f>
        <v>Mar</v>
      </c>
      <c r="C576" s="2">
        <f>YEAR(Raw_Data!$A576)</f>
        <v>2015</v>
      </c>
      <c r="D576" s="2" t="s">
        <v>126</v>
      </c>
      <c r="E576" s="2" t="s">
        <v>15</v>
      </c>
      <c r="F576" s="2" t="s">
        <v>18</v>
      </c>
      <c r="G576" s="2">
        <v>5</v>
      </c>
      <c r="H576" s="2">
        <v>1681</v>
      </c>
      <c r="I576" s="10">
        <v>592129</v>
      </c>
      <c r="J576" s="10">
        <f>Raw_Data!$I576/Raw_Data!$H576</f>
        <v>352.24806662700774</v>
      </c>
    </row>
    <row r="577" spans="1:10" x14ac:dyDescent="0.3">
      <c r="A577" s="8">
        <v>40816</v>
      </c>
      <c r="B577" t="str">
        <f>TEXT(Raw_Data!$A577, "MMM")</f>
        <v>Sep</v>
      </c>
      <c r="C577">
        <f>YEAR(Raw_Data!$A577)</f>
        <v>2011</v>
      </c>
      <c r="D577" t="s">
        <v>552</v>
      </c>
      <c r="E577" t="s">
        <v>21</v>
      </c>
      <c r="F577" t="s">
        <v>27</v>
      </c>
      <c r="H577">
        <v>3247</v>
      </c>
      <c r="I577" s="1">
        <v>582570</v>
      </c>
      <c r="J577" s="1">
        <f>Raw_Data!$I577/Raw_Data!$H577</f>
        <v>179.41792423775794</v>
      </c>
    </row>
    <row r="578" spans="1:10" x14ac:dyDescent="0.3">
      <c r="A578" s="9">
        <v>39735</v>
      </c>
      <c r="B578" s="2" t="str">
        <f>TEXT(Raw_Data!$A578, "MMM")</f>
        <v>Oct</v>
      </c>
      <c r="C578" s="2">
        <f>YEAR(Raw_Data!$A578)</f>
        <v>2008</v>
      </c>
      <c r="D578" s="2" t="s">
        <v>553</v>
      </c>
      <c r="E578" s="2" t="s">
        <v>21</v>
      </c>
      <c r="F578" s="2" t="s">
        <v>16</v>
      </c>
      <c r="G578" s="2"/>
      <c r="H578" s="2">
        <v>2427</v>
      </c>
      <c r="I578" s="10">
        <v>801888</v>
      </c>
      <c r="J578" s="10">
        <f>Raw_Data!$I578/Raw_Data!$H578</f>
        <v>330.40296662546353</v>
      </c>
    </row>
    <row r="579" spans="1:10" x14ac:dyDescent="0.3">
      <c r="A579" s="8">
        <v>40768</v>
      </c>
      <c r="B579" t="str">
        <f>TEXT(Raw_Data!$A579, "MMM")</f>
        <v>Aug</v>
      </c>
      <c r="C579">
        <f>YEAR(Raw_Data!$A579)</f>
        <v>2011</v>
      </c>
      <c r="D579" t="s">
        <v>554</v>
      </c>
      <c r="E579" t="s">
        <v>32</v>
      </c>
      <c r="F579" t="s">
        <v>18</v>
      </c>
      <c r="G579">
        <v>2</v>
      </c>
      <c r="H579">
        <v>1562</v>
      </c>
      <c r="I579" s="1">
        <v>710645</v>
      </c>
      <c r="J579" s="1">
        <f>Raw_Data!$I579/Raw_Data!$H579</f>
        <v>454.95838668373881</v>
      </c>
    </row>
    <row r="580" spans="1:10" x14ac:dyDescent="0.3">
      <c r="A580" s="9">
        <v>41764</v>
      </c>
      <c r="B580" s="2" t="str">
        <f>TEXT(Raw_Data!$A580, "MMM")</f>
        <v>May</v>
      </c>
      <c r="C580" s="2">
        <f>YEAR(Raw_Data!$A580)</f>
        <v>2014</v>
      </c>
      <c r="D580" s="2" t="s">
        <v>555</v>
      </c>
      <c r="E580" s="2" t="s">
        <v>21</v>
      </c>
      <c r="F580" s="2" t="s">
        <v>16</v>
      </c>
      <c r="G580" s="2">
        <v>3</v>
      </c>
      <c r="H580" s="2">
        <v>3166</v>
      </c>
      <c r="I580" s="10">
        <v>836001</v>
      </c>
      <c r="J580" s="10">
        <f>Raw_Data!$I580/Raw_Data!$H580</f>
        <v>264.05590650663299</v>
      </c>
    </row>
    <row r="581" spans="1:10" x14ac:dyDescent="0.3">
      <c r="A581" s="8">
        <v>38407</v>
      </c>
      <c r="B581" t="str">
        <f>TEXT(Raw_Data!$A581, "MMM")</f>
        <v>Feb</v>
      </c>
      <c r="C581">
        <f>YEAR(Raw_Data!$A581)</f>
        <v>2005</v>
      </c>
      <c r="D581" t="s">
        <v>556</v>
      </c>
      <c r="E581" t="s">
        <v>21</v>
      </c>
      <c r="F581" t="s">
        <v>27</v>
      </c>
      <c r="G581">
        <v>4</v>
      </c>
      <c r="H581">
        <v>1041</v>
      </c>
      <c r="I581" s="1">
        <v>152104</v>
      </c>
      <c r="J581" s="1">
        <f>Raw_Data!$I581/Raw_Data!$H581</f>
        <v>146.1133525456292</v>
      </c>
    </row>
    <row r="582" spans="1:10" x14ac:dyDescent="0.3">
      <c r="A582" s="9">
        <v>37850</v>
      </c>
      <c r="B582" s="2" t="str">
        <f>TEXT(Raw_Data!$A582, "MMM")</f>
        <v>Aug</v>
      </c>
      <c r="C582" s="2">
        <f>YEAR(Raw_Data!$A582)</f>
        <v>2003</v>
      </c>
      <c r="D582" s="2" t="s">
        <v>557</v>
      </c>
      <c r="E582" s="2" t="s">
        <v>13</v>
      </c>
      <c r="F582" s="2" t="s">
        <v>16</v>
      </c>
      <c r="G582" s="2">
        <v>5</v>
      </c>
      <c r="H582" s="2">
        <v>2390</v>
      </c>
      <c r="I582" s="10"/>
      <c r="J582" s="10">
        <f>Raw_Data!$I582/Raw_Data!$H582</f>
        <v>0</v>
      </c>
    </row>
    <row r="583" spans="1:10" x14ac:dyDescent="0.3">
      <c r="A583" s="8">
        <v>39217</v>
      </c>
      <c r="B583" t="str">
        <f>TEXT(Raw_Data!$A583, "MMM")</f>
        <v>May</v>
      </c>
      <c r="C583">
        <f>YEAR(Raw_Data!$A583)</f>
        <v>2007</v>
      </c>
      <c r="D583" t="s">
        <v>558</v>
      </c>
      <c r="E583" t="s">
        <v>29</v>
      </c>
      <c r="F583" t="s">
        <v>18</v>
      </c>
      <c r="H583">
        <v>2138</v>
      </c>
      <c r="I583" s="1">
        <v>394392</v>
      </c>
      <c r="J583" s="1">
        <f>Raw_Data!$I583/Raw_Data!$H583</f>
        <v>184.46772684752105</v>
      </c>
    </row>
    <row r="584" spans="1:10" x14ac:dyDescent="0.3">
      <c r="A584" s="9">
        <v>37174</v>
      </c>
      <c r="B584" s="2" t="str">
        <f>TEXT(Raw_Data!$A584, "MMM")</f>
        <v>Oct</v>
      </c>
      <c r="C584" s="2">
        <f>YEAR(Raw_Data!$A584)</f>
        <v>2001</v>
      </c>
      <c r="D584" s="2" t="s">
        <v>559</v>
      </c>
      <c r="E584" s="2" t="s">
        <v>25</v>
      </c>
      <c r="F584" s="2" t="s">
        <v>16</v>
      </c>
      <c r="G584" s="2">
        <v>5</v>
      </c>
      <c r="H584" s="2">
        <v>1201</v>
      </c>
      <c r="I584" s="10">
        <v>665247</v>
      </c>
      <c r="J584" s="10">
        <f>Raw_Data!$I584/Raw_Data!$H584</f>
        <v>553.9109075770192</v>
      </c>
    </row>
    <row r="585" spans="1:10" x14ac:dyDescent="0.3">
      <c r="A585" s="8">
        <v>42024</v>
      </c>
      <c r="B585" t="str">
        <f>TEXT(Raw_Data!$A585, "MMM")</f>
        <v>Jan</v>
      </c>
      <c r="C585">
        <f>YEAR(Raw_Data!$A585)</f>
        <v>2015</v>
      </c>
      <c r="D585" t="s">
        <v>560</v>
      </c>
      <c r="E585" t="s">
        <v>25</v>
      </c>
      <c r="F585" t="s">
        <v>16</v>
      </c>
      <c r="H585">
        <v>2934</v>
      </c>
      <c r="I585" s="1"/>
      <c r="J585" s="1">
        <f>Raw_Data!$I585/Raw_Data!$H585</f>
        <v>0</v>
      </c>
    </row>
    <row r="586" spans="1:10" x14ac:dyDescent="0.3">
      <c r="A586" s="9">
        <v>42684</v>
      </c>
      <c r="B586" s="2" t="str">
        <f>TEXT(Raw_Data!$A586, "MMM")</f>
        <v>Nov</v>
      </c>
      <c r="C586" s="2">
        <f>YEAR(Raw_Data!$A586)</f>
        <v>2016</v>
      </c>
      <c r="D586" s="2" t="s">
        <v>561</v>
      </c>
      <c r="E586" s="2" t="s">
        <v>23</v>
      </c>
      <c r="F586" s="2" t="s">
        <v>11</v>
      </c>
      <c r="G586" s="2">
        <v>5</v>
      </c>
      <c r="H586" s="2">
        <v>2167</v>
      </c>
      <c r="I586" s="10">
        <v>789756</v>
      </c>
      <c r="J586" s="10">
        <f>Raw_Data!$I586/Raw_Data!$H586</f>
        <v>364.4467005076142</v>
      </c>
    </row>
    <row r="587" spans="1:10" x14ac:dyDescent="0.3">
      <c r="A587" s="8">
        <v>40589</v>
      </c>
      <c r="B587" t="str">
        <f>TEXT(Raw_Data!$A587, "MMM")</f>
        <v>Feb</v>
      </c>
      <c r="C587">
        <f>YEAR(Raw_Data!$A587)</f>
        <v>2011</v>
      </c>
      <c r="D587" t="s">
        <v>562</v>
      </c>
      <c r="E587" t="s">
        <v>23</v>
      </c>
      <c r="F587" t="s">
        <v>11</v>
      </c>
      <c r="G587">
        <v>3</v>
      </c>
      <c r="H587">
        <v>2143</v>
      </c>
      <c r="I587" s="1">
        <v>483302</v>
      </c>
      <c r="J587" s="1">
        <f>Raw_Data!$I587/Raw_Data!$H587</f>
        <v>225.52589827344843</v>
      </c>
    </row>
    <row r="588" spans="1:10" x14ac:dyDescent="0.3">
      <c r="A588" s="9">
        <v>41280</v>
      </c>
      <c r="B588" s="2" t="str">
        <f>TEXT(Raw_Data!$A588, "MMM")</f>
        <v>Jan</v>
      </c>
      <c r="C588" s="2">
        <f>YEAR(Raw_Data!$A588)</f>
        <v>2013</v>
      </c>
      <c r="D588" s="2" t="s">
        <v>563</v>
      </c>
      <c r="E588" s="2" t="s">
        <v>23</v>
      </c>
      <c r="F588" s="2" t="s">
        <v>18</v>
      </c>
      <c r="G588" s="2">
        <v>3</v>
      </c>
      <c r="H588" s="2">
        <v>2050</v>
      </c>
      <c r="I588" s="10">
        <v>662570</v>
      </c>
      <c r="J588" s="10">
        <f>Raw_Data!$I588/Raw_Data!$H588</f>
        <v>323.20487804878047</v>
      </c>
    </row>
    <row r="589" spans="1:10" x14ac:dyDescent="0.3">
      <c r="A589" s="8">
        <v>39283</v>
      </c>
      <c r="B589" t="str">
        <f>TEXT(Raw_Data!$A589, "MMM")</f>
        <v>Jul</v>
      </c>
      <c r="C589">
        <f>YEAR(Raw_Data!$A589)</f>
        <v>2007</v>
      </c>
      <c r="D589" t="s">
        <v>564</v>
      </c>
      <c r="E589" t="s">
        <v>32</v>
      </c>
      <c r="F589" t="s">
        <v>27</v>
      </c>
      <c r="G589">
        <v>3</v>
      </c>
      <c r="H589">
        <v>942</v>
      </c>
      <c r="I589" s="1">
        <v>105836</v>
      </c>
      <c r="J589" s="1">
        <f>Raw_Data!$I589/Raw_Data!$H589</f>
        <v>112.35244161358811</v>
      </c>
    </row>
    <row r="590" spans="1:10" x14ac:dyDescent="0.3">
      <c r="A590" s="9">
        <v>39802</v>
      </c>
      <c r="B590" s="2" t="str">
        <f>TEXT(Raw_Data!$A590, "MMM")</f>
        <v>Dec</v>
      </c>
      <c r="C590" s="2">
        <f>YEAR(Raw_Data!$A590)</f>
        <v>2008</v>
      </c>
      <c r="D590" s="2" t="s">
        <v>432</v>
      </c>
      <c r="E590" s="2" t="s">
        <v>32</v>
      </c>
      <c r="F590" s="2" t="s">
        <v>27</v>
      </c>
      <c r="G590" s="2">
        <v>5</v>
      </c>
      <c r="H590" s="2">
        <v>1995</v>
      </c>
      <c r="I590" s="10">
        <v>378315</v>
      </c>
      <c r="J590" s="10">
        <f>Raw_Data!$I590/Raw_Data!$H590</f>
        <v>189.63157894736841</v>
      </c>
    </row>
    <row r="591" spans="1:10" x14ac:dyDescent="0.3">
      <c r="A591" s="8">
        <v>39862</v>
      </c>
      <c r="B591" t="str">
        <f>TEXT(Raw_Data!$A591, "MMM")</f>
        <v>Feb</v>
      </c>
      <c r="C591">
        <f>YEAR(Raw_Data!$A591)</f>
        <v>2009</v>
      </c>
      <c r="D591" t="s">
        <v>565</v>
      </c>
      <c r="E591" t="s">
        <v>25</v>
      </c>
      <c r="F591" t="s">
        <v>11</v>
      </c>
      <c r="H591">
        <v>1920</v>
      </c>
      <c r="I591" s="1">
        <v>340056</v>
      </c>
      <c r="J591" s="1">
        <f>Raw_Data!$I591/Raw_Data!$H591</f>
        <v>177.11250000000001</v>
      </c>
    </row>
    <row r="592" spans="1:10" x14ac:dyDescent="0.3">
      <c r="A592" s="9">
        <v>38841</v>
      </c>
      <c r="B592" s="2" t="str">
        <f>TEXT(Raw_Data!$A592, "MMM")</f>
        <v>May</v>
      </c>
      <c r="C592" s="2">
        <f>YEAR(Raw_Data!$A592)</f>
        <v>2006</v>
      </c>
      <c r="D592" s="2" t="s">
        <v>566</v>
      </c>
      <c r="E592" s="2" t="s">
        <v>25</v>
      </c>
      <c r="F592" s="2" t="s">
        <v>11</v>
      </c>
      <c r="G592" s="2">
        <v>3</v>
      </c>
      <c r="H592" s="2">
        <v>1108</v>
      </c>
      <c r="I592" s="10">
        <v>312309</v>
      </c>
      <c r="J592" s="10">
        <f>Raw_Data!$I592/Raw_Data!$H592</f>
        <v>281.86732851985562</v>
      </c>
    </row>
    <row r="593" spans="1:10" x14ac:dyDescent="0.3">
      <c r="A593" s="8">
        <v>40386</v>
      </c>
      <c r="B593" t="str">
        <f>TEXT(Raw_Data!$A593, "MMM")</f>
        <v>Jul</v>
      </c>
      <c r="C593">
        <f>YEAR(Raw_Data!$A593)</f>
        <v>2010</v>
      </c>
      <c r="D593" t="s">
        <v>567</v>
      </c>
      <c r="E593" t="s">
        <v>32</v>
      </c>
      <c r="F593" t="s">
        <v>18</v>
      </c>
      <c r="G593">
        <v>4</v>
      </c>
      <c r="H593">
        <v>2946</v>
      </c>
      <c r="I593" s="1">
        <v>697032</v>
      </c>
      <c r="J593" s="1">
        <f>Raw_Data!$I593/Raw_Data!$H593</f>
        <v>236.60285132382893</v>
      </c>
    </row>
    <row r="594" spans="1:10" x14ac:dyDescent="0.3">
      <c r="A594" s="9">
        <v>40323</v>
      </c>
      <c r="B594" s="2" t="str">
        <f>TEXT(Raw_Data!$A594, "MMM")</f>
        <v>May</v>
      </c>
      <c r="C594" s="2">
        <f>YEAR(Raw_Data!$A594)</f>
        <v>2010</v>
      </c>
      <c r="D594" s="2" t="s">
        <v>568</v>
      </c>
      <c r="E594" s="2" t="s">
        <v>25</v>
      </c>
      <c r="F594" s="2" t="s">
        <v>11</v>
      </c>
      <c r="G594" s="2">
        <v>2</v>
      </c>
      <c r="H594" s="2">
        <v>3471</v>
      </c>
      <c r="I594" s="10">
        <v>112507</v>
      </c>
      <c r="J594" s="10">
        <f>Raw_Data!$I594/Raw_Data!$H594</f>
        <v>32.41342552578508</v>
      </c>
    </row>
    <row r="595" spans="1:10" x14ac:dyDescent="0.3">
      <c r="A595" s="8">
        <v>43084</v>
      </c>
      <c r="B595" t="str">
        <f>TEXT(Raw_Data!$A595, "MMM")</f>
        <v>Dec</v>
      </c>
      <c r="C595">
        <f>YEAR(Raw_Data!$A595)</f>
        <v>2017</v>
      </c>
      <c r="D595" t="s">
        <v>569</v>
      </c>
      <c r="E595" t="s">
        <v>29</v>
      </c>
      <c r="F595" t="s">
        <v>18</v>
      </c>
      <c r="H595">
        <v>1441</v>
      </c>
      <c r="I595" s="1">
        <v>395902</v>
      </c>
      <c r="J595" s="1">
        <f>Raw_Data!$I595/Raw_Data!$H595</f>
        <v>274.74115197779321</v>
      </c>
    </row>
    <row r="596" spans="1:10" x14ac:dyDescent="0.3">
      <c r="A596" s="9">
        <v>37809</v>
      </c>
      <c r="B596" s="2" t="str">
        <f>TEXT(Raw_Data!$A596, "MMM")</f>
        <v>Jul</v>
      </c>
      <c r="C596" s="2">
        <f>YEAR(Raw_Data!$A596)</f>
        <v>2003</v>
      </c>
      <c r="D596" s="2" t="s">
        <v>570</v>
      </c>
      <c r="E596" s="2" t="s">
        <v>25</v>
      </c>
      <c r="F596" s="2" t="s">
        <v>27</v>
      </c>
      <c r="G596" s="2">
        <v>3</v>
      </c>
      <c r="H596" s="2">
        <v>2199</v>
      </c>
      <c r="I596" s="10">
        <v>687623</v>
      </c>
      <c r="J596" s="10">
        <f>Raw_Data!$I596/Raw_Data!$H596</f>
        <v>312.69804456571171</v>
      </c>
    </row>
    <row r="597" spans="1:10" x14ac:dyDescent="0.3">
      <c r="A597" s="8">
        <v>42721</v>
      </c>
      <c r="B597" t="str">
        <f>TEXT(Raw_Data!$A597, "MMM")</f>
        <v>Dec</v>
      </c>
      <c r="C597">
        <f>YEAR(Raw_Data!$A597)</f>
        <v>2016</v>
      </c>
      <c r="D597" t="s">
        <v>571</v>
      </c>
      <c r="E597" t="s">
        <v>13</v>
      </c>
      <c r="F597" t="s">
        <v>18</v>
      </c>
      <c r="G597">
        <v>5</v>
      </c>
      <c r="H597">
        <v>1981</v>
      </c>
      <c r="I597" s="1">
        <v>896996</v>
      </c>
      <c r="J597" s="1">
        <f>Raw_Data!$I597/Raw_Data!$H597</f>
        <v>452.79959616355376</v>
      </c>
    </row>
    <row r="598" spans="1:10" x14ac:dyDescent="0.3">
      <c r="A598" s="9">
        <v>38899</v>
      </c>
      <c r="B598" s="2" t="str">
        <f>TEXT(Raw_Data!$A598, "MMM")</f>
        <v>Jul</v>
      </c>
      <c r="C598" s="2">
        <f>YEAR(Raw_Data!$A598)</f>
        <v>2006</v>
      </c>
      <c r="D598" s="2" t="s">
        <v>572</v>
      </c>
      <c r="E598" s="2" t="s">
        <v>15</v>
      </c>
      <c r="F598" s="2" t="s">
        <v>18</v>
      </c>
      <c r="G598" s="2"/>
      <c r="H598" s="2">
        <v>3334</v>
      </c>
      <c r="I598" s="10">
        <v>750888</v>
      </c>
      <c r="J598" s="10">
        <f>Raw_Data!$I598/Raw_Data!$H598</f>
        <v>225.22135572885423</v>
      </c>
    </row>
    <row r="599" spans="1:10" x14ac:dyDescent="0.3">
      <c r="A599" s="8">
        <v>41980</v>
      </c>
      <c r="B599" t="str">
        <f>TEXT(Raw_Data!$A599, "MMM")</f>
        <v>Dec</v>
      </c>
      <c r="C599">
        <f>YEAR(Raw_Data!$A599)</f>
        <v>2014</v>
      </c>
      <c r="D599" t="s">
        <v>573</v>
      </c>
      <c r="E599" t="s">
        <v>25</v>
      </c>
      <c r="F599" t="s">
        <v>16</v>
      </c>
      <c r="G599">
        <v>4</v>
      </c>
      <c r="H599">
        <v>2537</v>
      </c>
      <c r="I599" s="1">
        <v>584312</v>
      </c>
      <c r="J599" s="1">
        <f>Raw_Data!$I599/Raw_Data!$H599</f>
        <v>230.31612140323216</v>
      </c>
    </row>
    <row r="600" spans="1:10" x14ac:dyDescent="0.3">
      <c r="A600" s="9">
        <v>40073</v>
      </c>
      <c r="B600" s="2" t="str">
        <f>TEXT(Raw_Data!$A600, "MMM")</f>
        <v>Sep</v>
      </c>
      <c r="C600" s="2">
        <f>YEAR(Raw_Data!$A600)</f>
        <v>2009</v>
      </c>
      <c r="D600" s="2" t="s">
        <v>208</v>
      </c>
      <c r="E600" s="2" t="s">
        <v>15</v>
      </c>
      <c r="F600" s="2" t="s">
        <v>27</v>
      </c>
      <c r="G600" s="2"/>
      <c r="H600" s="2">
        <v>3398</v>
      </c>
      <c r="I600" s="10">
        <v>164631</v>
      </c>
      <c r="J600" s="10">
        <f>Raw_Data!$I600/Raw_Data!$H600</f>
        <v>48.449381989405531</v>
      </c>
    </row>
    <row r="601" spans="1:10" x14ac:dyDescent="0.3">
      <c r="A601" s="8">
        <v>43920</v>
      </c>
      <c r="B601" t="str">
        <f>TEXT(Raw_Data!$A601, "MMM")</f>
        <v>Mar</v>
      </c>
      <c r="C601">
        <f>YEAR(Raw_Data!$A601)</f>
        <v>2020</v>
      </c>
      <c r="D601" t="s">
        <v>574</v>
      </c>
      <c r="E601" t="s">
        <v>15</v>
      </c>
      <c r="F601" t="s">
        <v>16</v>
      </c>
      <c r="G601">
        <v>4</v>
      </c>
      <c r="H601">
        <v>1798</v>
      </c>
      <c r="I601" s="1">
        <v>841529</v>
      </c>
      <c r="J601" s="1">
        <f>Raw_Data!$I601/Raw_Data!$H601</f>
        <v>468.03615127919909</v>
      </c>
    </row>
    <row r="602" spans="1:10" x14ac:dyDescent="0.3">
      <c r="A602" s="9">
        <v>42426</v>
      </c>
      <c r="B602" s="2" t="str">
        <f>TEXT(Raw_Data!$A602, "MMM")</f>
        <v>Feb</v>
      </c>
      <c r="C602" s="2">
        <f>YEAR(Raw_Data!$A602)</f>
        <v>2016</v>
      </c>
      <c r="D602" s="2" t="s">
        <v>575</v>
      </c>
      <c r="E602" s="2" t="s">
        <v>32</v>
      </c>
      <c r="F602" s="2" t="s">
        <v>11</v>
      </c>
      <c r="G602" s="2">
        <v>4</v>
      </c>
      <c r="H602" s="2">
        <v>829</v>
      </c>
      <c r="I602" s="10">
        <v>744526</v>
      </c>
      <c r="J602" s="10">
        <f>Raw_Data!$I602/Raw_Data!$H602</f>
        <v>898.10132689987938</v>
      </c>
    </row>
    <row r="603" spans="1:10" x14ac:dyDescent="0.3">
      <c r="A603" s="8">
        <v>37220</v>
      </c>
      <c r="B603" t="str">
        <f>TEXT(Raw_Data!$A603, "MMM")</f>
        <v>Nov</v>
      </c>
      <c r="C603">
        <f>YEAR(Raw_Data!$A603)</f>
        <v>2001</v>
      </c>
      <c r="D603" t="s">
        <v>576</v>
      </c>
      <c r="E603" t="s">
        <v>29</v>
      </c>
      <c r="F603" t="s">
        <v>11</v>
      </c>
      <c r="G603">
        <v>2</v>
      </c>
      <c r="H603">
        <v>3385</v>
      </c>
      <c r="I603" s="1">
        <v>337800</v>
      </c>
      <c r="J603" s="1">
        <f>Raw_Data!$I603/Raw_Data!$H603</f>
        <v>99.793205317577545</v>
      </c>
    </row>
    <row r="604" spans="1:10" x14ac:dyDescent="0.3">
      <c r="A604" s="9">
        <v>38604</v>
      </c>
      <c r="B604" s="2" t="str">
        <f>TEXT(Raw_Data!$A604, "MMM")</f>
        <v>Sep</v>
      </c>
      <c r="C604" s="2">
        <f>YEAR(Raw_Data!$A604)</f>
        <v>2005</v>
      </c>
      <c r="D604" s="2" t="s">
        <v>577</v>
      </c>
      <c r="E604" s="2" t="s">
        <v>32</v>
      </c>
      <c r="F604" s="2" t="s">
        <v>18</v>
      </c>
      <c r="G604" s="2"/>
      <c r="H604" s="2">
        <v>1650</v>
      </c>
      <c r="I604" s="10">
        <v>192240</v>
      </c>
      <c r="J604" s="10">
        <f>Raw_Data!$I604/Raw_Data!$H604</f>
        <v>116.50909090909092</v>
      </c>
    </row>
    <row r="605" spans="1:10" x14ac:dyDescent="0.3">
      <c r="A605" s="8">
        <v>41885</v>
      </c>
      <c r="B605" t="str">
        <f>TEXT(Raw_Data!$A605, "MMM")</f>
        <v>Sep</v>
      </c>
      <c r="C605">
        <f>YEAR(Raw_Data!$A605)</f>
        <v>2014</v>
      </c>
      <c r="D605" t="s">
        <v>578</v>
      </c>
      <c r="E605" t="s">
        <v>13</v>
      </c>
      <c r="F605" t="s">
        <v>16</v>
      </c>
      <c r="G605">
        <v>2</v>
      </c>
      <c r="H605">
        <v>2818</v>
      </c>
      <c r="I605" s="1">
        <v>404287</v>
      </c>
      <c r="J605" s="1">
        <f>Raw_Data!$I605/Raw_Data!$H605</f>
        <v>143.46593328601844</v>
      </c>
    </row>
    <row r="606" spans="1:10" x14ac:dyDescent="0.3">
      <c r="A606" s="9">
        <v>38168</v>
      </c>
      <c r="B606" s="2" t="str">
        <f>TEXT(Raw_Data!$A606, "MMM")</f>
        <v>Jun</v>
      </c>
      <c r="C606" s="2">
        <f>YEAR(Raw_Data!$A606)</f>
        <v>2004</v>
      </c>
      <c r="D606" s="2" t="s">
        <v>579</v>
      </c>
      <c r="E606" s="2" t="s">
        <v>21</v>
      </c>
      <c r="F606" s="2" t="s">
        <v>18</v>
      </c>
      <c r="G606" s="2">
        <v>4</v>
      </c>
      <c r="H606" s="2">
        <v>2158</v>
      </c>
      <c r="I606" s="10">
        <v>585347</v>
      </c>
      <c r="J606" s="10">
        <f>Raw_Data!$I606/Raw_Data!$H606</f>
        <v>271.24513438368859</v>
      </c>
    </row>
    <row r="607" spans="1:10" x14ac:dyDescent="0.3">
      <c r="A607" s="8">
        <v>42391</v>
      </c>
      <c r="B607" t="str">
        <f>TEXT(Raw_Data!$A607, "MMM")</f>
        <v>Jan</v>
      </c>
      <c r="C607">
        <f>YEAR(Raw_Data!$A607)</f>
        <v>2016</v>
      </c>
      <c r="D607" t="s">
        <v>580</v>
      </c>
      <c r="E607" t="s">
        <v>32</v>
      </c>
      <c r="F607" t="s">
        <v>18</v>
      </c>
      <c r="G607">
        <v>5</v>
      </c>
      <c r="H607">
        <v>3229</v>
      </c>
      <c r="I607" s="1">
        <v>263494</v>
      </c>
      <c r="J607" s="1">
        <f>Raw_Data!$I607/Raw_Data!$H607</f>
        <v>81.602353669866829</v>
      </c>
    </row>
    <row r="608" spans="1:10" x14ac:dyDescent="0.3">
      <c r="A608" s="9">
        <v>41418</v>
      </c>
      <c r="B608" s="2" t="str">
        <f>TEXT(Raw_Data!$A608, "MMM")</f>
        <v>May</v>
      </c>
      <c r="C608" s="2">
        <f>YEAR(Raw_Data!$A608)</f>
        <v>2013</v>
      </c>
      <c r="D608" s="2" t="s">
        <v>581</v>
      </c>
      <c r="E608" s="2" t="s">
        <v>23</v>
      </c>
      <c r="F608" s="2" t="s">
        <v>16</v>
      </c>
      <c r="G608" s="2">
        <v>3</v>
      </c>
      <c r="H608" s="2">
        <v>2777</v>
      </c>
      <c r="I608" s="10">
        <v>743752</v>
      </c>
      <c r="J608" s="10">
        <f>Raw_Data!$I608/Raw_Data!$H608</f>
        <v>267.82571119913575</v>
      </c>
    </row>
    <row r="609" spans="1:10" x14ac:dyDescent="0.3">
      <c r="A609" s="8">
        <v>38185</v>
      </c>
      <c r="B609" t="str">
        <f>TEXT(Raw_Data!$A609, "MMM")</f>
        <v>Jul</v>
      </c>
      <c r="C609">
        <f>YEAR(Raw_Data!$A609)</f>
        <v>2004</v>
      </c>
      <c r="D609" t="s">
        <v>582</v>
      </c>
      <c r="E609" t="s">
        <v>13</v>
      </c>
      <c r="F609" t="s">
        <v>16</v>
      </c>
      <c r="G609">
        <v>2</v>
      </c>
      <c r="H609">
        <v>1275</v>
      </c>
      <c r="I609" s="1">
        <v>430290</v>
      </c>
      <c r="J609" s="1">
        <f>Raw_Data!$I609/Raw_Data!$H609</f>
        <v>337.48235294117649</v>
      </c>
    </row>
    <row r="610" spans="1:10" x14ac:dyDescent="0.3">
      <c r="A610" s="9">
        <v>41462</v>
      </c>
      <c r="B610" s="2" t="str">
        <f>TEXT(Raw_Data!$A610, "MMM")</f>
        <v>Jul</v>
      </c>
      <c r="C610" s="2">
        <f>YEAR(Raw_Data!$A610)</f>
        <v>2013</v>
      </c>
      <c r="D610" s="2" t="s">
        <v>583</v>
      </c>
      <c r="E610" s="2" t="s">
        <v>32</v>
      </c>
      <c r="F610" s="2" t="s">
        <v>27</v>
      </c>
      <c r="G610" s="2"/>
      <c r="H610" s="2">
        <v>2721</v>
      </c>
      <c r="I610" s="10">
        <v>562507</v>
      </c>
      <c r="J610" s="10">
        <f>Raw_Data!$I610/Raw_Data!$H610</f>
        <v>206.72804116133776</v>
      </c>
    </row>
    <row r="611" spans="1:10" x14ac:dyDescent="0.3">
      <c r="A611" s="8">
        <v>37102</v>
      </c>
      <c r="B611" t="str">
        <f>TEXT(Raw_Data!$A611, "MMM")</f>
        <v>Jul</v>
      </c>
      <c r="C611">
        <f>YEAR(Raw_Data!$A611)</f>
        <v>2001</v>
      </c>
      <c r="D611" t="s">
        <v>584</v>
      </c>
      <c r="E611" t="s">
        <v>25</v>
      </c>
      <c r="F611" t="s">
        <v>16</v>
      </c>
      <c r="G611">
        <v>2</v>
      </c>
      <c r="H611">
        <v>2022</v>
      </c>
      <c r="I611" s="1">
        <v>581414</v>
      </c>
      <c r="J611" s="1">
        <f>Raw_Data!$I611/Raw_Data!$H611</f>
        <v>287.54401582591493</v>
      </c>
    </row>
    <row r="612" spans="1:10" x14ac:dyDescent="0.3">
      <c r="A612" s="9">
        <v>42167</v>
      </c>
      <c r="B612" s="2" t="str">
        <f>TEXT(Raw_Data!$A612, "MMM")</f>
        <v>Jun</v>
      </c>
      <c r="C612" s="2">
        <f>YEAR(Raw_Data!$A612)</f>
        <v>2015</v>
      </c>
      <c r="D612" s="2" t="s">
        <v>585</v>
      </c>
      <c r="E612" s="2" t="s">
        <v>32</v>
      </c>
      <c r="F612" s="2" t="s">
        <v>16</v>
      </c>
      <c r="G612" s="2">
        <v>2</v>
      </c>
      <c r="H612" s="2">
        <v>1891</v>
      </c>
      <c r="I612" s="10">
        <v>403917</v>
      </c>
      <c r="J612" s="10">
        <f>Raw_Data!$I612/Raw_Data!$H612</f>
        <v>213.59968270756212</v>
      </c>
    </row>
    <row r="613" spans="1:10" x14ac:dyDescent="0.3">
      <c r="A613" s="8">
        <v>38266</v>
      </c>
      <c r="B613" t="str">
        <f>TEXT(Raw_Data!$A613, "MMM")</f>
        <v>Oct</v>
      </c>
      <c r="C613">
        <f>YEAR(Raw_Data!$A613)</f>
        <v>2004</v>
      </c>
      <c r="D613" t="s">
        <v>586</v>
      </c>
      <c r="E613" t="s">
        <v>32</v>
      </c>
      <c r="F613" t="s">
        <v>18</v>
      </c>
      <c r="H613">
        <v>2222</v>
      </c>
      <c r="I613" s="1">
        <v>548798</v>
      </c>
      <c r="J613" s="1">
        <f>Raw_Data!$I613/Raw_Data!$H613</f>
        <v>246.98379837983799</v>
      </c>
    </row>
    <row r="614" spans="1:10" x14ac:dyDescent="0.3">
      <c r="A614" s="9">
        <v>38862</v>
      </c>
      <c r="B614" s="2" t="str">
        <f>TEXT(Raw_Data!$A614, "MMM")</f>
        <v>May</v>
      </c>
      <c r="C614" s="2">
        <f>YEAR(Raw_Data!$A614)</f>
        <v>2006</v>
      </c>
      <c r="D614" s="2" t="s">
        <v>587</v>
      </c>
      <c r="E614" s="2" t="s">
        <v>15</v>
      </c>
      <c r="F614" s="2" t="s">
        <v>27</v>
      </c>
      <c r="G614" s="2">
        <v>3</v>
      </c>
      <c r="H614" s="2">
        <v>3225</v>
      </c>
      <c r="I614" s="10">
        <v>534369</v>
      </c>
      <c r="J614" s="10">
        <f>Raw_Data!$I614/Raw_Data!$H614</f>
        <v>165.69581395348837</v>
      </c>
    </row>
    <row r="615" spans="1:10" x14ac:dyDescent="0.3">
      <c r="A615" s="8">
        <v>41313</v>
      </c>
      <c r="B615" t="str">
        <f>TEXT(Raw_Data!$A615, "MMM")</f>
        <v>Feb</v>
      </c>
      <c r="C615">
        <f>YEAR(Raw_Data!$A615)</f>
        <v>2013</v>
      </c>
      <c r="D615" t="s">
        <v>588</v>
      </c>
      <c r="E615" t="s">
        <v>15</v>
      </c>
      <c r="F615" t="s">
        <v>27</v>
      </c>
      <c r="H615">
        <v>1570</v>
      </c>
      <c r="I615" s="1">
        <v>471585</v>
      </c>
      <c r="J615" s="1">
        <f>Raw_Data!$I615/Raw_Data!$H615</f>
        <v>300.37261146496814</v>
      </c>
    </row>
    <row r="616" spans="1:10" x14ac:dyDescent="0.3">
      <c r="A616" s="9">
        <v>41335</v>
      </c>
      <c r="B616" s="2" t="str">
        <f>TEXT(Raw_Data!$A616, "MMM")</f>
        <v>Mar</v>
      </c>
      <c r="C616" s="2">
        <f>YEAR(Raw_Data!$A616)</f>
        <v>2013</v>
      </c>
      <c r="D616" s="2" t="s">
        <v>589</v>
      </c>
      <c r="E616" s="2" t="s">
        <v>32</v>
      </c>
      <c r="F616" s="2" t="s">
        <v>11</v>
      </c>
      <c r="G616" s="2">
        <v>4</v>
      </c>
      <c r="H616" s="2">
        <v>813</v>
      </c>
      <c r="I616" s="10">
        <v>829405</v>
      </c>
      <c r="J616" s="10">
        <f>Raw_Data!$I616/Raw_Data!$H616</f>
        <v>1020.1783517835179</v>
      </c>
    </row>
    <row r="617" spans="1:10" x14ac:dyDescent="0.3">
      <c r="A617" s="8">
        <v>41745</v>
      </c>
      <c r="B617" t="str">
        <f>TEXT(Raw_Data!$A617, "MMM")</f>
        <v>Apr</v>
      </c>
      <c r="C617">
        <f>YEAR(Raw_Data!$A617)</f>
        <v>2014</v>
      </c>
      <c r="D617" t="s">
        <v>590</v>
      </c>
      <c r="E617" t="s">
        <v>32</v>
      </c>
      <c r="F617" t="s">
        <v>11</v>
      </c>
      <c r="G617">
        <v>5</v>
      </c>
      <c r="H617">
        <v>2944</v>
      </c>
      <c r="I617" s="1">
        <v>286963</v>
      </c>
      <c r="J617" s="1">
        <f>Raw_Data!$I617/Raw_Data!$H617</f>
        <v>97.473845108695656</v>
      </c>
    </row>
    <row r="618" spans="1:10" x14ac:dyDescent="0.3">
      <c r="A618" s="9">
        <v>41391</v>
      </c>
      <c r="B618" s="2" t="str">
        <f>TEXT(Raw_Data!$A618, "MMM")</f>
        <v>Apr</v>
      </c>
      <c r="C618" s="2">
        <f>YEAR(Raw_Data!$A618)</f>
        <v>2013</v>
      </c>
      <c r="D618" s="2" t="s">
        <v>591</v>
      </c>
      <c r="E618" s="2" t="s">
        <v>13</v>
      </c>
      <c r="F618" s="2" t="s">
        <v>27</v>
      </c>
      <c r="G618" s="2">
        <v>3</v>
      </c>
      <c r="H618" s="2">
        <v>1851</v>
      </c>
      <c r="I618" s="10">
        <v>843452</v>
      </c>
      <c r="J618" s="10">
        <f>Raw_Data!$I618/Raw_Data!$H618</f>
        <v>455.6736898973528</v>
      </c>
    </row>
    <row r="619" spans="1:10" x14ac:dyDescent="0.3">
      <c r="A619" s="8">
        <v>42858</v>
      </c>
      <c r="B619" t="str">
        <f>TEXT(Raw_Data!$A619, "MMM")</f>
        <v>May</v>
      </c>
      <c r="C619">
        <f>YEAR(Raw_Data!$A619)</f>
        <v>2017</v>
      </c>
      <c r="D619" t="s">
        <v>592</v>
      </c>
      <c r="E619" t="s">
        <v>15</v>
      </c>
      <c r="F619" t="s">
        <v>11</v>
      </c>
      <c r="G619">
        <v>3</v>
      </c>
      <c r="H619">
        <v>1151</v>
      </c>
      <c r="I619" s="1">
        <v>357152</v>
      </c>
      <c r="J619" s="1">
        <f>Raw_Data!$I619/Raw_Data!$H619</f>
        <v>310.29713292788881</v>
      </c>
    </row>
    <row r="620" spans="1:10" x14ac:dyDescent="0.3">
      <c r="A620" s="9">
        <v>38934</v>
      </c>
      <c r="B620" s="2" t="str">
        <f>TEXT(Raw_Data!$A620, "MMM")</f>
        <v>Aug</v>
      </c>
      <c r="C620" s="2">
        <f>YEAR(Raw_Data!$A620)</f>
        <v>2006</v>
      </c>
      <c r="D620" s="2" t="s">
        <v>593</v>
      </c>
      <c r="E620" s="2" t="s">
        <v>25</v>
      </c>
      <c r="F620" s="2" t="s">
        <v>11</v>
      </c>
      <c r="G620" s="2">
        <v>3</v>
      </c>
      <c r="H620" s="2">
        <v>1338</v>
      </c>
      <c r="I620" s="10">
        <v>192808</v>
      </c>
      <c r="J620" s="10">
        <f>Raw_Data!$I620/Raw_Data!$H620</f>
        <v>144.10164424514201</v>
      </c>
    </row>
    <row r="621" spans="1:10" x14ac:dyDescent="0.3">
      <c r="A621" s="8">
        <v>40979</v>
      </c>
      <c r="B621" t="str">
        <f>TEXT(Raw_Data!$A621, "MMM")</f>
        <v>Mar</v>
      </c>
      <c r="C621">
        <f>YEAR(Raw_Data!$A621)</f>
        <v>2012</v>
      </c>
      <c r="D621" t="s">
        <v>594</v>
      </c>
      <c r="E621" t="s">
        <v>29</v>
      </c>
      <c r="F621" t="s">
        <v>27</v>
      </c>
      <c r="G621">
        <v>3</v>
      </c>
      <c r="H621">
        <v>894</v>
      </c>
      <c r="I621" s="1">
        <v>491041</v>
      </c>
      <c r="J621" s="1">
        <f>Raw_Data!$I621/Raw_Data!$H621</f>
        <v>549.2628635346756</v>
      </c>
    </row>
    <row r="622" spans="1:10" x14ac:dyDescent="0.3">
      <c r="A622" s="9">
        <v>37683</v>
      </c>
      <c r="B622" s="2" t="str">
        <f>TEXT(Raw_Data!$A622, "MMM")</f>
        <v>Mar</v>
      </c>
      <c r="C622" s="2">
        <f>YEAR(Raw_Data!$A622)</f>
        <v>2003</v>
      </c>
      <c r="D622" s="2" t="s">
        <v>595</v>
      </c>
      <c r="E622" s="2" t="s">
        <v>15</v>
      </c>
      <c r="F622" s="2" t="s">
        <v>11</v>
      </c>
      <c r="G622" s="2">
        <v>2</v>
      </c>
      <c r="H622" s="2">
        <v>3130</v>
      </c>
      <c r="I622" s="10">
        <v>645933</v>
      </c>
      <c r="J622" s="10">
        <f>Raw_Data!$I622/Raw_Data!$H622</f>
        <v>206.36837060702877</v>
      </c>
    </row>
    <row r="623" spans="1:10" x14ac:dyDescent="0.3">
      <c r="A623" s="8">
        <v>43944</v>
      </c>
      <c r="B623" t="str">
        <f>TEXT(Raw_Data!$A623, "MMM")</f>
        <v>Apr</v>
      </c>
      <c r="C623">
        <f>YEAR(Raw_Data!$A623)</f>
        <v>2020</v>
      </c>
      <c r="D623" t="s">
        <v>596</v>
      </c>
      <c r="E623" t="s">
        <v>13</v>
      </c>
      <c r="F623" t="s">
        <v>11</v>
      </c>
      <c r="G623">
        <v>5</v>
      </c>
      <c r="H623">
        <v>3376</v>
      </c>
      <c r="I623" s="1">
        <v>783848</v>
      </c>
      <c r="J623" s="1">
        <f>Raw_Data!$I623/Raw_Data!$H623</f>
        <v>232.1824644549763</v>
      </c>
    </row>
    <row r="624" spans="1:10" x14ac:dyDescent="0.3">
      <c r="A624" s="9">
        <v>40490</v>
      </c>
      <c r="B624" s="2" t="str">
        <f>TEXT(Raw_Data!$A624, "MMM")</f>
        <v>Nov</v>
      </c>
      <c r="C624" s="2">
        <f>YEAR(Raw_Data!$A624)</f>
        <v>2010</v>
      </c>
      <c r="D624" s="2" t="s">
        <v>597</v>
      </c>
      <c r="E624" s="2" t="s">
        <v>25</v>
      </c>
      <c r="F624" s="2" t="s">
        <v>27</v>
      </c>
      <c r="G624" s="2"/>
      <c r="H624" s="2">
        <v>2699</v>
      </c>
      <c r="I624" s="10">
        <v>263573</v>
      </c>
      <c r="J624" s="10">
        <f>Raw_Data!$I624/Raw_Data!$H624</f>
        <v>97.655798443868093</v>
      </c>
    </row>
    <row r="625" spans="1:10" x14ac:dyDescent="0.3">
      <c r="A625" s="8">
        <v>39065</v>
      </c>
      <c r="B625" t="str">
        <f>TEXT(Raw_Data!$A625, "MMM")</f>
        <v>Dec</v>
      </c>
      <c r="C625">
        <f>YEAR(Raw_Data!$A625)</f>
        <v>2006</v>
      </c>
      <c r="D625" t="s">
        <v>598</v>
      </c>
      <c r="E625" t="s">
        <v>15</v>
      </c>
      <c r="F625" t="s">
        <v>16</v>
      </c>
      <c r="H625">
        <v>2517</v>
      </c>
      <c r="I625" s="1">
        <v>603205</v>
      </c>
      <c r="J625" s="1">
        <f>Raw_Data!$I625/Raw_Data!$H625</f>
        <v>239.6523639253079</v>
      </c>
    </row>
    <row r="626" spans="1:10" x14ac:dyDescent="0.3">
      <c r="A626" s="9">
        <v>43001</v>
      </c>
      <c r="B626" s="2" t="str">
        <f>TEXT(Raw_Data!$A626, "MMM")</f>
        <v>Sep</v>
      </c>
      <c r="C626" s="2">
        <f>YEAR(Raw_Data!$A626)</f>
        <v>2017</v>
      </c>
      <c r="D626" s="2" t="s">
        <v>599</v>
      </c>
      <c r="E626" s="2" t="s">
        <v>25</v>
      </c>
      <c r="F626" s="2" t="s">
        <v>11</v>
      </c>
      <c r="G626" s="2">
        <v>2</v>
      </c>
      <c r="H626" s="2">
        <v>3111</v>
      </c>
      <c r="I626" s="10">
        <v>448489</v>
      </c>
      <c r="J626" s="10">
        <f>Raw_Data!$I626/Raw_Data!$H626</f>
        <v>144.16232722597235</v>
      </c>
    </row>
    <row r="627" spans="1:10" x14ac:dyDescent="0.3">
      <c r="A627" s="8">
        <v>41794</v>
      </c>
      <c r="B627" t="str">
        <f>TEXT(Raw_Data!$A627, "MMM")</f>
        <v>Jun</v>
      </c>
      <c r="C627">
        <f>YEAR(Raw_Data!$A627)</f>
        <v>2014</v>
      </c>
      <c r="D627" t="s">
        <v>600</v>
      </c>
      <c r="E627" t="s">
        <v>25</v>
      </c>
      <c r="F627" t="s">
        <v>27</v>
      </c>
      <c r="G627">
        <v>3</v>
      </c>
      <c r="H627">
        <v>2506</v>
      </c>
      <c r="I627" s="1">
        <v>561830</v>
      </c>
      <c r="J627" s="1">
        <f>Raw_Data!$I627/Raw_Data!$H627</f>
        <v>224.19393455706305</v>
      </c>
    </row>
    <row r="628" spans="1:10" x14ac:dyDescent="0.3">
      <c r="A628" s="9">
        <v>38448</v>
      </c>
      <c r="B628" s="2" t="str">
        <f>TEXT(Raw_Data!$A628, "MMM")</f>
        <v>Apr</v>
      </c>
      <c r="C628" s="2">
        <f>YEAR(Raw_Data!$A628)</f>
        <v>2005</v>
      </c>
      <c r="D628" s="2" t="s">
        <v>601</v>
      </c>
      <c r="E628" s="2" t="s">
        <v>15</v>
      </c>
      <c r="F628" s="2" t="s">
        <v>16</v>
      </c>
      <c r="G628" s="2"/>
      <c r="H628" s="2">
        <v>853</v>
      </c>
      <c r="I628" s="10">
        <v>311114</v>
      </c>
      <c r="J628" s="10">
        <f>Raw_Data!$I628/Raw_Data!$H628</f>
        <v>364.72919109026964</v>
      </c>
    </row>
    <row r="629" spans="1:10" x14ac:dyDescent="0.3">
      <c r="A629" s="8">
        <v>36963</v>
      </c>
      <c r="B629" t="str">
        <f>TEXT(Raw_Data!$A629, "MMM")</f>
        <v>Mar</v>
      </c>
      <c r="C629">
        <f>YEAR(Raw_Data!$A629)</f>
        <v>2001</v>
      </c>
      <c r="D629" t="s">
        <v>602</v>
      </c>
      <c r="E629" t="s">
        <v>23</v>
      </c>
      <c r="F629" t="s">
        <v>11</v>
      </c>
      <c r="G629">
        <v>4</v>
      </c>
      <c r="H629">
        <v>1774</v>
      </c>
      <c r="I629" s="1">
        <v>727581</v>
      </c>
      <c r="J629" s="1">
        <f>Raw_Data!$I629/Raw_Data!$H629</f>
        <v>410.13585118376551</v>
      </c>
    </row>
    <row r="630" spans="1:10" x14ac:dyDescent="0.3">
      <c r="A630" s="9">
        <v>38193</v>
      </c>
      <c r="B630" s="2" t="str">
        <f>TEXT(Raw_Data!$A630, "MMM")</f>
        <v>Jul</v>
      </c>
      <c r="C630" s="2">
        <f>YEAR(Raw_Data!$A630)</f>
        <v>2004</v>
      </c>
      <c r="D630" s="2" t="s">
        <v>603</v>
      </c>
      <c r="E630" s="2" t="s">
        <v>29</v>
      </c>
      <c r="F630" s="2" t="s">
        <v>18</v>
      </c>
      <c r="G630" s="2"/>
      <c r="H630" s="2">
        <v>1995</v>
      </c>
      <c r="I630" s="10">
        <v>684404</v>
      </c>
      <c r="J630" s="10">
        <f>Raw_Data!$I630/Raw_Data!$H630</f>
        <v>343.059649122807</v>
      </c>
    </row>
    <row r="631" spans="1:10" x14ac:dyDescent="0.3">
      <c r="A631" s="8">
        <v>39555</v>
      </c>
      <c r="B631" t="str">
        <f>TEXT(Raw_Data!$A631, "MMM")</f>
        <v>Apr</v>
      </c>
      <c r="C631">
        <f>YEAR(Raw_Data!$A631)</f>
        <v>2008</v>
      </c>
      <c r="D631" t="s">
        <v>604</v>
      </c>
      <c r="E631" t="s">
        <v>29</v>
      </c>
      <c r="F631" t="s">
        <v>27</v>
      </c>
      <c r="G631">
        <v>2</v>
      </c>
      <c r="H631">
        <v>1373</v>
      </c>
      <c r="I631" s="1">
        <v>501914</v>
      </c>
      <c r="J631" s="1">
        <f>Raw_Data!$I631/Raw_Data!$H631</f>
        <v>365.56008739985435</v>
      </c>
    </row>
    <row r="632" spans="1:10" x14ac:dyDescent="0.3">
      <c r="A632" s="9">
        <v>39860</v>
      </c>
      <c r="B632" s="2" t="str">
        <f>TEXT(Raw_Data!$A632, "MMM")</f>
        <v>Feb</v>
      </c>
      <c r="C632" s="2">
        <f>YEAR(Raw_Data!$A632)</f>
        <v>2009</v>
      </c>
      <c r="D632" s="2" t="s">
        <v>605</v>
      </c>
      <c r="E632" s="2" t="s">
        <v>29</v>
      </c>
      <c r="F632" s="2" t="s">
        <v>11</v>
      </c>
      <c r="G632" s="2">
        <v>5</v>
      </c>
      <c r="H632" s="2">
        <v>1484</v>
      </c>
      <c r="I632" s="10">
        <v>526011</v>
      </c>
      <c r="J632" s="10">
        <f>Raw_Data!$I632/Raw_Data!$H632</f>
        <v>354.45485175202157</v>
      </c>
    </row>
    <row r="633" spans="1:10" x14ac:dyDescent="0.3">
      <c r="A633" s="8">
        <v>43282</v>
      </c>
      <c r="B633" t="str">
        <f>TEXT(Raw_Data!$A633, "MMM")</f>
        <v>Jul</v>
      </c>
      <c r="C633">
        <f>YEAR(Raw_Data!$A633)</f>
        <v>2018</v>
      </c>
      <c r="D633" t="s">
        <v>606</v>
      </c>
      <c r="E633" t="s">
        <v>23</v>
      </c>
      <c r="F633" t="s">
        <v>16</v>
      </c>
      <c r="G633">
        <v>2</v>
      </c>
      <c r="H633">
        <v>2978</v>
      </c>
      <c r="I633" s="1">
        <v>543397</v>
      </c>
      <c r="J633" s="1">
        <f>Raw_Data!$I633/Raw_Data!$H633</f>
        <v>182.4704499664204</v>
      </c>
    </row>
    <row r="634" spans="1:10" x14ac:dyDescent="0.3">
      <c r="A634" s="9">
        <v>38250</v>
      </c>
      <c r="B634" s="2" t="str">
        <f>TEXT(Raw_Data!$A634, "MMM")</f>
        <v>Sep</v>
      </c>
      <c r="C634" s="2">
        <f>YEAR(Raw_Data!$A634)</f>
        <v>2004</v>
      </c>
      <c r="D634" s="2" t="s">
        <v>607</v>
      </c>
      <c r="E634" s="2" t="s">
        <v>29</v>
      </c>
      <c r="F634" s="2" t="s">
        <v>27</v>
      </c>
      <c r="G634" s="2">
        <v>4</v>
      </c>
      <c r="H634" s="2">
        <v>3045</v>
      </c>
      <c r="I634" s="10">
        <v>350821</v>
      </c>
      <c r="J634" s="10">
        <f>Raw_Data!$I634/Raw_Data!$H634</f>
        <v>115.21215106732348</v>
      </c>
    </row>
    <row r="635" spans="1:10" x14ac:dyDescent="0.3">
      <c r="A635" s="8">
        <v>36916</v>
      </c>
      <c r="B635" t="str">
        <f>TEXT(Raw_Data!$A635, "MMM")</f>
        <v>Jan</v>
      </c>
      <c r="C635">
        <f>YEAR(Raw_Data!$A635)</f>
        <v>2001</v>
      </c>
      <c r="D635" t="s">
        <v>608</v>
      </c>
      <c r="E635" t="s">
        <v>25</v>
      </c>
      <c r="F635" t="s">
        <v>11</v>
      </c>
      <c r="H635">
        <v>3146</v>
      </c>
      <c r="I635" s="1">
        <v>172453</v>
      </c>
      <c r="J635" s="1">
        <f>Raw_Data!$I635/Raw_Data!$H635</f>
        <v>54.816592498410678</v>
      </c>
    </row>
    <row r="636" spans="1:10" x14ac:dyDescent="0.3">
      <c r="A636" s="9">
        <v>43161</v>
      </c>
      <c r="B636" s="2" t="str">
        <f>TEXT(Raw_Data!$A636, "MMM")</f>
        <v>Mar</v>
      </c>
      <c r="C636" s="2">
        <f>YEAR(Raw_Data!$A636)</f>
        <v>2018</v>
      </c>
      <c r="D636" s="2" t="s">
        <v>609</v>
      </c>
      <c r="E636" s="2" t="s">
        <v>15</v>
      </c>
      <c r="F636" s="2" t="s">
        <v>11</v>
      </c>
      <c r="G636" s="2">
        <v>3</v>
      </c>
      <c r="H636" s="2">
        <v>1674</v>
      </c>
      <c r="I636" s="10">
        <v>897525</v>
      </c>
      <c r="J636" s="10">
        <f>Raw_Data!$I636/Raw_Data!$H636</f>
        <v>536.1559139784946</v>
      </c>
    </row>
    <row r="637" spans="1:10" x14ac:dyDescent="0.3">
      <c r="A637" s="8">
        <v>38705</v>
      </c>
      <c r="B637" t="str">
        <f>TEXT(Raw_Data!$A637, "MMM")</f>
        <v>Dec</v>
      </c>
      <c r="C637">
        <f>YEAR(Raw_Data!$A637)</f>
        <v>2005</v>
      </c>
      <c r="D637" t="s">
        <v>205</v>
      </c>
      <c r="E637" t="s">
        <v>29</v>
      </c>
      <c r="F637" t="s">
        <v>11</v>
      </c>
      <c r="G637">
        <v>3</v>
      </c>
      <c r="H637">
        <v>1492</v>
      </c>
      <c r="I637" s="1">
        <v>336161</v>
      </c>
      <c r="J637" s="1">
        <f>Raw_Data!$I637/Raw_Data!$H637</f>
        <v>225.30898123324397</v>
      </c>
    </row>
    <row r="638" spans="1:10" x14ac:dyDescent="0.3">
      <c r="A638" s="9">
        <v>41860</v>
      </c>
      <c r="B638" s="2" t="str">
        <f>TEXT(Raw_Data!$A638, "MMM")</f>
        <v>Aug</v>
      </c>
      <c r="C638" s="2">
        <f>YEAR(Raw_Data!$A638)</f>
        <v>2014</v>
      </c>
      <c r="D638" s="2" t="s">
        <v>610</v>
      </c>
      <c r="E638" s="2" t="s">
        <v>15</v>
      </c>
      <c r="F638" s="2" t="s">
        <v>16</v>
      </c>
      <c r="G638" s="2">
        <v>5</v>
      </c>
      <c r="H638" s="2">
        <v>2834</v>
      </c>
      <c r="I638" s="10">
        <v>601384</v>
      </c>
      <c r="J638" s="10">
        <f>Raw_Data!$I638/Raw_Data!$H638</f>
        <v>212.20324629498941</v>
      </c>
    </row>
    <row r="639" spans="1:10" x14ac:dyDescent="0.3">
      <c r="A639" s="8">
        <v>43453</v>
      </c>
      <c r="B639" t="str">
        <f>TEXT(Raw_Data!$A639, "MMM")</f>
        <v>Dec</v>
      </c>
      <c r="C639">
        <f>YEAR(Raw_Data!$A639)</f>
        <v>2018</v>
      </c>
      <c r="D639" t="s">
        <v>611</v>
      </c>
      <c r="E639" t="s">
        <v>32</v>
      </c>
      <c r="F639" t="s">
        <v>11</v>
      </c>
      <c r="H639">
        <v>3457</v>
      </c>
      <c r="I639" s="1">
        <v>187872</v>
      </c>
      <c r="J639" s="1">
        <f>Raw_Data!$I639/Raw_Data!$H639</f>
        <v>54.345386172982352</v>
      </c>
    </row>
    <row r="640" spans="1:10" x14ac:dyDescent="0.3">
      <c r="A640" s="9">
        <v>38363</v>
      </c>
      <c r="B640" s="2" t="str">
        <f>TEXT(Raw_Data!$A640, "MMM")</f>
        <v>Jan</v>
      </c>
      <c r="C640" s="2">
        <f>YEAR(Raw_Data!$A640)</f>
        <v>2005</v>
      </c>
      <c r="D640" s="2" t="s">
        <v>612</v>
      </c>
      <c r="E640" s="2" t="s">
        <v>21</v>
      </c>
      <c r="F640" s="2" t="s">
        <v>18</v>
      </c>
      <c r="G640" s="2">
        <v>2</v>
      </c>
      <c r="H640" s="2">
        <v>2474</v>
      </c>
      <c r="I640" s="10">
        <v>488652</v>
      </c>
      <c r="J640" s="10">
        <f>Raw_Data!$I640/Raw_Data!$H640</f>
        <v>197.51495553759094</v>
      </c>
    </row>
    <row r="641" spans="1:10" x14ac:dyDescent="0.3">
      <c r="A641" s="8">
        <v>41346</v>
      </c>
      <c r="B641" t="str">
        <f>TEXT(Raw_Data!$A641, "MMM")</f>
        <v>Mar</v>
      </c>
      <c r="C641">
        <f>YEAR(Raw_Data!$A641)</f>
        <v>2013</v>
      </c>
      <c r="D641" t="s">
        <v>613</v>
      </c>
      <c r="E641" t="s">
        <v>25</v>
      </c>
      <c r="F641" t="s">
        <v>11</v>
      </c>
      <c r="G641">
        <v>2</v>
      </c>
      <c r="H641">
        <v>1509</v>
      </c>
      <c r="I641" s="1">
        <v>180632</v>
      </c>
      <c r="J641" s="1">
        <f>Raw_Data!$I641/Raw_Data!$H641</f>
        <v>119.70311464546057</v>
      </c>
    </row>
    <row r="642" spans="1:10" x14ac:dyDescent="0.3">
      <c r="A642" s="9">
        <v>39194</v>
      </c>
      <c r="B642" s="2" t="str">
        <f>TEXT(Raw_Data!$A642, "MMM")</f>
        <v>Apr</v>
      </c>
      <c r="C642" s="2">
        <f>YEAR(Raw_Data!$A642)</f>
        <v>2007</v>
      </c>
      <c r="D642" s="2" t="s">
        <v>614</v>
      </c>
      <c r="E642" s="2" t="s">
        <v>25</v>
      </c>
      <c r="F642" s="2" t="s">
        <v>11</v>
      </c>
      <c r="G642" s="2"/>
      <c r="H642" s="2">
        <v>2198</v>
      </c>
      <c r="I642" s="10">
        <v>628543</v>
      </c>
      <c r="J642" s="10">
        <f>Raw_Data!$I642/Raw_Data!$H642</f>
        <v>285.96132848043675</v>
      </c>
    </row>
    <row r="643" spans="1:10" x14ac:dyDescent="0.3">
      <c r="A643" s="8">
        <v>41937</v>
      </c>
      <c r="B643" t="str">
        <f>TEXT(Raw_Data!$A643, "MMM")</f>
        <v>Oct</v>
      </c>
      <c r="C643">
        <f>YEAR(Raw_Data!$A643)</f>
        <v>2014</v>
      </c>
      <c r="D643" t="s">
        <v>615</v>
      </c>
      <c r="E643" t="s">
        <v>32</v>
      </c>
      <c r="F643" t="s">
        <v>27</v>
      </c>
      <c r="G643">
        <v>5</v>
      </c>
      <c r="H643">
        <v>2456</v>
      </c>
      <c r="I643" s="1">
        <v>700794</v>
      </c>
      <c r="J643" s="1">
        <f>Raw_Data!$I643/Raw_Data!$H643</f>
        <v>285.33957654723127</v>
      </c>
    </row>
    <row r="644" spans="1:10" x14ac:dyDescent="0.3">
      <c r="A644" s="9">
        <v>43811</v>
      </c>
      <c r="B644" s="2" t="str">
        <f>TEXT(Raw_Data!$A644, "MMM")</f>
        <v>Dec</v>
      </c>
      <c r="C644" s="2">
        <f>YEAR(Raw_Data!$A644)</f>
        <v>2019</v>
      </c>
      <c r="D644" s="2" t="s">
        <v>558</v>
      </c>
      <c r="E644" s="2" t="s">
        <v>32</v>
      </c>
      <c r="F644" s="2" t="s">
        <v>18</v>
      </c>
      <c r="G644" s="2">
        <v>3</v>
      </c>
      <c r="H644" s="2">
        <v>1218</v>
      </c>
      <c r="I644" s="10">
        <v>247227</v>
      </c>
      <c r="J644" s="10">
        <f>Raw_Data!$I644/Raw_Data!$H644</f>
        <v>202.97783251231527</v>
      </c>
    </row>
    <row r="645" spans="1:10" x14ac:dyDescent="0.3">
      <c r="A645" s="8">
        <v>36961</v>
      </c>
      <c r="B645" t="str">
        <f>TEXT(Raw_Data!$A645, "MMM")</f>
        <v>Mar</v>
      </c>
      <c r="C645">
        <f>YEAR(Raw_Data!$A645)</f>
        <v>2001</v>
      </c>
      <c r="D645" t="s">
        <v>616</v>
      </c>
      <c r="E645" t="s">
        <v>25</v>
      </c>
      <c r="F645" t="s">
        <v>11</v>
      </c>
      <c r="H645">
        <v>1796</v>
      </c>
      <c r="I645" s="1">
        <v>519321</v>
      </c>
      <c r="J645" s="1">
        <f>Raw_Data!$I645/Raw_Data!$H645</f>
        <v>289.15423162583517</v>
      </c>
    </row>
    <row r="646" spans="1:10" x14ac:dyDescent="0.3">
      <c r="A646" s="9">
        <v>42010</v>
      </c>
      <c r="B646" s="2" t="str">
        <f>TEXT(Raw_Data!$A646, "MMM")</f>
        <v>Jan</v>
      </c>
      <c r="C646" s="2">
        <f>YEAR(Raw_Data!$A646)</f>
        <v>2015</v>
      </c>
      <c r="D646" s="2" t="s">
        <v>617</v>
      </c>
      <c r="E646" s="2" t="s">
        <v>25</v>
      </c>
      <c r="F646" s="2" t="s">
        <v>18</v>
      </c>
      <c r="G646" s="2">
        <v>3</v>
      </c>
      <c r="H646" s="2">
        <v>3381</v>
      </c>
      <c r="I646" s="10">
        <v>500609</v>
      </c>
      <c r="J646" s="10">
        <f>Raw_Data!$I646/Raw_Data!$H646</f>
        <v>148.06536527654541</v>
      </c>
    </row>
    <row r="647" spans="1:10" x14ac:dyDescent="0.3">
      <c r="A647" s="8">
        <v>43787</v>
      </c>
      <c r="B647" t="str">
        <f>TEXT(Raw_Data!$A647, "MMM")</f>
        <v>Nov</v>
      </c>
      <c r="C647">
        <f>YEAR(Raw_Data!$A647)</f>
        <v>2019</v>
      </c>
      <c r="D647" t="s">
        <v>119</v>
      </c>
      <c r="E647" t="s">
        <v>25</v>
      </c>
      <c r="F647" t="s">
        <v>16</v>
      </c>
      <c r="G647">
        <v>3</v>
      </c>
      <c r="H647">
        <v>2447</v>
      </c>
      <c r="I647" s="1">
        <v>210627</v>
      </c>
      <c r="J647" s="1">
        <f>Raw_Data!$I647/Raw_Data!$H647</f>
        <v>86.075602778912952</v>
      </c>
    </row>
    <row r="648" spans="1:10" x14ac:dyDescent="0.3">
      <c r="A648" s="9">
        <v>44009</v>
      </c>
      <c r="B648" s="2" t="str">
        <f>TEXT(Raw_Data!$A648, "MMM")</f>
        <v>Jun</v>
      </c>
      <c r="C648" s="2">
        <f>YEAR(Raw_Data!$A648)</f>
        <v>2020</v>
      </c>
      <c r="D648" s="2" t="s">
        <v>618</v>
      </c>
      <c r="E648" s="2" t="s">
        <v>21</v>
      </c>
      <c r="F648" s="2" t="s">
        <v>11</v>
      </c>
      <c r="G648" s="2">
        <v>5</v>
      </c>
      <c r="H648" s="2">
        <v>1326</v>
      </c>
      <c r="I648" s="10">
        <v>171243</v>
      </c>
      <c r="J648" s="10">
        <f>Raw_Data!$I648/Raw_Data!$H648</f>
        <v>129.14253393665157</v>
      </c>
    </row>
    <row r="649" spans="1:10" x14ac:dyDescent="0.3">
      <c r="A649" s="8">
        <v>37978</v>
      </c>
      <c r="B649" t="str">
        <f>TEXT(Raw_Data!$A649, "MMM")</f>
        <v>Dec</v>
      </c>
      <c r="C649">
        <f>YEAR(Raw_Data!$A649)</f>
        <v>2003</v>
      </c>
      <c r="D649" t="s">
        <v>619</v>
      </c>
      <c r="E649" t="s">
        <v>32</v>
      </c>
      <c r="F649" t="s">
        <v>16</v>
      </c>
      <c r="H649">
        <v>1854</v>
      </c>
      <c r="I649" s="1">
        <v>456939</v>
      </c>
      <c r="J649" s="1">
        <f>Raw_Data!$I649/Raw_Data!$H649</f>
        <v>246.46116504854368</v>
      </c>
    </row>
    <row r="650" spans="1:10" x14ac:dyDescent="0.3">
      <c r="A650" s="9">
        <v>42429</v>
      </c>
      <c r="B650" s="2" t="str">
        <f>TEXT(Raw_Data!$A650, "MMM")</f>
        <v>Feb</v>
      </c>
      <c r="C650" s="2">
        <f>YEAR(Raw_Data!$A650)</f>
        <v>2016</v>
      </c>
      <c r="D650" s="2" t="s">
        <v>340</v>
      </c>
      <c r="E650" s="2" t="s">
        <v>25</v>
      </c>
      <c r="F650" s="2" t="s">
        <v>11</v>
      </c>
      <c r="G650" s="2">
        <v>4</v>
      </c>
      <c r="H650" s="2">
        <v>2907</v>
      </c>
      <c r="I650" s="10">
        <v>245572</v>
      </c>
      <c r="J650" s="10">
        <f>Raw_Data!$I650/Raw_Data!$H650</f>
        <v>84.476092191262467</v>
      </c>
    </row>
    <row r="651" spans="1:10" x14ac:dyDescent="0.3">
      <c r="A651" s="8">
        <v>43486</v>
      </c>
      <c r="B651" t="str">
        <f>TEXT(Raw_Data!$A651, "MMM")</f>
        <v>Jan</v>
      </c>
      <c r="C651">
        <f>YEAR(Raw_Data!$A651)</f>
        <v>2019</v>
      </c>
      <c r="D651" t="s">
        <v>620</v>
      </c>
      <c r="E651" t="s">
        <v>32</v>
      </c>
      <c r="F651" t="s">
        <v>16</v>
      </c>
      <c r="G651">
        <v>3</v>
      </c>
      <c r="H651">
        <v>1284</v>
      </c>
      <c r="I651" s="1">
        <v>548964</v>
      </c>
      <c r="J651" s="1">
        <f>Raw_Data!$I651/Raw_Data!$H651</f>
        <v>427.54205607476638</v>
      </c>
    </row>
    <row r="652" spans="1:10" x14ac:dyDescent="0.3">
      <c r="A652" s="9">
        <v>39971</v>
      </c>
      <c r="B652" s="2" t="str">
        <f>TEXT(Raw_Data!$A652, "MMM")</f>
        <v>Jun</v>
      </c>
      <c r="C652" s="2">
        <f>YEAR(Raw_Data!$A652)</f>
        <v>2009</v>
      </c>
      <c r="D652" s="2" t="s">
        <v>621</v>
      </c>
      <c r="E652" s="2" t="s">
        <v>15</v>
      </c>
      <c r="F652" s="2" t="s">
        <v>27</v>
      </c>
      <c r="G652" s="2">
        <v>5</v>
      </c>
      <c r="H652" s="2">
        <v>1779</v>
      </c>
      <c r="I652" s="10">
        <v>392836</v>
      </c>
      <c r="J652" s="10">
        <f>Raw_Data!$I652/Raw_Data!$H652</f>
        <v>220.81843732433953</v>
      </c>
    </row>
    <row r="653" spans="1:10" x14ac:dyDescent="0.3">
      <c r="A653" s="8">
        <v>44053</v>
      </c>
      <c r="B653" t="str">
        <f>TEXT(Raw_Data!$A653, "MMM")</f>
        <v>Aug</v>
      </c>
      <c r="C653">
        <f>YEAR(Raw_Data!$A653)</f>
        <v>2020</v>
      </c>
      <c r="D653" t="s">
        <v>622</v>
      </c>
      <c r="E653" t="s">
        <v>32</v>
      </c>
      <c r="F653" t="s">
        <v>18</v>
      </c>
      <c r="G653">
        <v>3</v>
      </c>
      <c r="H653">
        <v>1029</v>
      </c>
      <c r="I653" s="1">
        <v>120644</v>
      </c>
      <c r="J653" s="1">
        <f>Raw_Data!$I653/Raw_Data!$H653</f>
        <v>117.24392614188532</v>
      </c>
    </row>
    <row r="654" spans="1:10" x14ac:dyDescent="0.3">
      <c r="A654" s="9">
        <v>41224</v>
      </c>
      <c r="B654" s="2" t="str">
        <f>TEXT(Raw_Data!$A654, "MMM")</f>
        <v>Nov</v>
      </c>
      <c r="C654" s="2">
        <f>YEAR(Raw_Data!$A654)</f>
        <v>2012</v>
      </c>
      <c r="D654" s="2" t="s">
        <v>612</v>
      </c>
      <c r="E654" s="2" t="s">
        <v>15</v>
      </c>
      <c r="F654" s="2" t="s">
        <v>18</v>
      </c>
      <c r="G654" s="2">
        <v>4</v>
      </c>
      <c r="H654" s="2">
        <v>1795</v>
      </c>
      <c r="I654" s="10">
        <v>800844</v>
      </c>
      <c r="J654" s="10">
        <f>Raw_Data!$I654/Raw_Data!$H654</f>
        <v>446.15264623955431</v>
      </c>
    </row>
    <row r="655" spans="1:10" x14ac:dyDescent="0.3">
      <c r="A655" s="8">
        <v>39193</v>
      </c>
      <c r="B655" t="str">
        <f>TEXT(Raw_Data!$A655, "MMM")</f>
        <v>Apr</v>
      </c>
      <c r="C655">
        <f>YEAR(Raw_Data!$A655)</f>
        <v>2007</v>
      </c>
      <c r="D655" t="s">
        <v>43</v>
      </c>
      <c r="E655" t="s">
        <v>29</v>
      </c>
      <c r="F655" t="s">
        <v>27</v>
      </c>
      <c r="H655">
        <v>1896</v>
      </c>
      <c r="I655" s="1">
        <v>402914</v>
      </c>
      <c r="J655" s="1">
        <f>Raw_Data!$I655/Raw_Data!$H655</f>
        <v>212.50738396624473</v>
      </c>
    </row>
    <row r="656" spans="1:10" x14ac:dyDescent="0.3">
      <c r="A656" s="9">
        <v>42262</v>
      </c>
      <c r="B656" s="2" t="str">
        <f>TEXT(Raw_Data!$A656, "MMM")</f>
        <v>Sep</v>
      </c>
      <c r="C656" s="2">
        <f>YEAR(Raw_Data!$A656)</f>
        <v>2015</v>
      </c>
      <c r="D656" s="2" t="s">
        <v>623</v>
      </c>
      <c r="E656" s="2" t="s">
        <v>25</v>
      </c>
      <c r="F656" s="2" t="s">
        <v>16</v>
      </c>
      <c r="G656" s="2">
        <v>2</v>
      </c>
      <c r="H656" s="2">
        <v>1293</v>
      </c>
      <c r="I656" s="10">
        <v>616925</v>
      </c>
      <c r="J656" s="10">
        <f>Raw_Data!$I656/Raw_Data!$H656</f>
        <v>477.12683681361176</v>
      </c>
    </row>
    <row r="657" spans="1:10" x14ac:dyDescent="0.3">
      <c r="A657" s="8">
        <v>43301</v>
      </c>
      <c r="B657" t="str">
        <f>TEXT(Raw_Data!$A657, "MMM")</f>
        <v>Jul</v>
      </c>
      <c r="C657">
        <f>YEAR(Raw_Data!$A657)</f>
        <v>2018</v>
      </c>
      <c r="D657" t="s">
        <v>624</v>
      </c>
      <c r="E657" t="s">
        <v>21</v>
      </c>
      <c r="F657" t="s">
        <v>16</v>
      </c>
      <c r="G657">
        <v>4</v>
      </c>
      <c r="H657">
        <v>1670</v>
      </c>
      <c r="I657" s="1">
        <v>238524</v>
      </c>
      <c r="J657" s="1">
        <f>Raw_Data!$I657/Raw_Data!$H657</f>
        <v>142.82874251497006</v>
      </c>
    </row>
    <row r="658" spans="1:10" x14ac:dyDescent="0.3">
      <c r="A658" s="9">
        <v>37657</v>
      </c>
      <c r="B658" s="2" t="str">
        <f>TEXT(Raw_Data!$A658, "MMM")</f>
        <v>Feb</v>
      </c>
      <c r="C658" s="2">
        <f>YEAR(Raw_Data!$A658)</f>
        <v>2003</v>
      </c>
      <c r="D658" s="2" t="s">
        <v>625</v>
      </c>
      <c r="E658" s="2" t="s">
        <v>23</v>
      </c>
      <c r="F658" s="2" t="s">
        <v>27</v>
      </c>
      <c r="G658" s="2"/>
      <c r="H658" s="2">
        <v>1347</v>
      </c>
      <c r="I658" s="10">
        <v>374695</v>
      </c>
      <c r="J658" s="10">
        <f>Raw_Data!$I658/Raw_Data!$H658</f>
        <v>278.17000742390496</v>
      </c>
    </row>
    <row r="659" spans="1:10" x14ac:dyDescent="0.3">
      <c r="A659" s="8">
        <v>38701</v>
      </c>
      <c r="B659" t="str">
        <f>TEXT(Raw_Data!$A659, "MMM")</f>
        <v>Dec</v>
      </c>
      <c r="C659">
        <f>YEAR(Raw_Data!$A659)</f>
        <v>2005</v>
      </c>
      <c r="D659" t="s">
        <v>543</v>
      </c>
      <c r="E659" t="s">
        <v>21</v>
      </c>
      <c r="F659" t="s">
        <v>11</v>
      </c>
      <c r="G659">
        <v>2</v>
      </c>
      <c r="H659">
        <v>1506</v>
      </c>
      <c r="I659" s="1">
        <v>370770</v>
      </c>
      <c r="J659" s="1">
        <f>Raw_Data!$I659/Raw_Data!$H659</f>
        <v>246.19521912350598</v>
      </c>
    </row>
    <row r="660" spans="1:10" x14ac:dyDescent="0.3">
      <c r="A660" s="9">
        <v>41505</v>
      </c>
      <c r="B660" s="2" t="str">
        <f>TEXT(Raw_Data!$A660, "MMM")</f>
        <v>Aug</v>
      </c>
      <c r="C660" s="2">
        <f>YEAR(Raw_Data!$A660)</f>
        <v>2013</v>
      </c>
      <c r="D660" s="2" t="s">
        <v>626</v>
      </c>
      <c r="E660" s="2" t="s">
        <v>32</v>
      </c>
      <c r="F660" s="2" t="s">
        <v>11</v>
      </c>
      <c r="G660" s="2"/>
      <c r="H660" s="2">
        <v>2156</v>
      </c>
      <c r="I660" s="10">
        <v>329585</v>
      </c>
      <c r="J660" s="10">
        <f>Raw_Data!$I660/Raw_Data!$H660</f>
        <v>152.8687384044527</v>
      </c>
    </row>
    <row r="661" spans="1:10" x14ac:dyDescent="0.3">
      <c r="A661" s="8">
        <v>39029</v>
      </c>
      <c r="B661" t="str">
        <f>TEXT(Raw_Data!$A661, "MMM")</f>
        <v>Nov</v>
      </c>
      <c r="C661">
        <f>YEAR(Raw_Data!$A661)</f>
        <v>2006</v>
      </c>
      <c r="D661" t="s">
        <v>627</v>
      </c>
      <c r="E661" t="s">
        <v>15</v>
      </c>
      <c r="F661" t="s">
        <v>16</v>
      </c>
      <c r="H661">
        <v>2752</v>
      </c>
      <c r="I661" s="1">
        <v>643680</v>
      </c>
      <c r="J661" s="1">
        <f>Raw_Data!$I661/Raw_Data!$H661</f>
        <v>233.8953488372093</v>
      </c>
    </row>
    <row r="662" spans="1:10" x14ac:dyDescent="0.3">
      <c r="A662" s="9">
        <v>39503</v>
      </c>
      <c r="B662" s="2" t="str">
        <f>TEXT(Raw_Data!$A662, "MMM")</f>
        <v>Feb</v>
      </c>
      <c r="C662" s="2">
        <f>YEAR(Raw_Data!$A662)</f>
        <v>2008</v>
      </c>
      <c r="D662" s="2" t="s">
        <v>628</v>
      </c>
      <c r="E662" s="2" t="s">
        <v>15</v>
      </c>
      <c r="F662" s="2" t="s">
        <v>27</v>
      </c>
      <c r="G662" s="2">
        <v>2</v>
      </c>
      <c r="H662" s="2">
        <v>2827</v>
      </c>
      <c r="I662" s="10">
        <v>880484</v>
      </c>
      <c r="J662" s="10">
        <f>Raw_Data!$I662/Raw_Data!$H662</f>
        <v>311.45525291828795</v>
      </c>
    </row>
    <row r="663" spans="1:10" x14ac:dyDescent="0.3">
      <c r="A663" s="8">
        <v>39994</v>
      </c>
      <c r="B663" t="str">
        <f>TEXT(Raw_Data!$A663, "MMM")</f>
        <v>Jun</v>
      </c>
      <c r="C663">
        <f>YEAR(Raw_Data!$A663)</f>
        <v>2009</v>
      </c>
      <c r="D663" t="s">
        <v>629</v>
      </c>
      <c r="E663" t="s">
        <v>13</v>
      </c>
      <c r="F663" t="s">
        <v>16</v>
      </c>
      <c r="G663">
        <v>2</v>
      </c>
      <c r="H663">
        <v>1397</v>
      </c>
      <c r="I663" s="1">
        <v>202616</v>
      </c>
      <c r="J663" s="1">
        <f>Raw_Data!$I663/Raw_Data!$H663</f>
        <v>145.03650680028633</v>
      </c>
    </row>
    <row r="664" spans="1:10" x14ac:dyDescent="0.3">
      <c r="A664" s="9">
        <v>41020</v>
      </c>
      <c r="B664" s="2" t="str">
        <f>TEXT(Raw_Data!$A664, "MMM")</f>
        <v>Apr</v>
      </c>
      <c r="C664" s="2">
        <f>YEAR(Raw_Data!$A664)</f>
        <v>2012</v>
      </c>
      <c r="D664" s="2" t="s">
        <v>630</v>
      </c>
      <c r="E664" s="2" t="s">
        <v>23</v>
      </c>
      <c r="F664" s="2" t="s">
        <v>11</v>
      </c>
      <c r="G664" s="2">
        <v>3</v>
      </c>
      <c r="H664" s="2">
        <v>3034</v>
      </c>
      <c r="I664" s="10">
        <v>826312</v>
      </c>
      <c r="J664" s="10">
        <f>Raw_Data!$I664/Raw_Data!$H664</f>
        <v>272.35069215557019</v>
      </c>
    </row>
    <row r="665" spans="1:10" x14ac:dyDescent="0.3">
      <c r="A665" s="8">
        <v>39472</v>
      </c>
      <c r="B665" t="str">
        <f>TEXT(Raw_Data!$A665, "MMM")</f>
        <v>Jan</v>
      </c>
      <c r="C665">
        <f>YEAR(Raw_Data!$A665)</f>
        <v>2008</v>
      </c>
      <c r="D665" t="s">
        <v>631</v>
      </c>
      <c r="E665" t="s">
        <v>15</v>
      </c>
      <c r="F665" t="s">
        <v>27</v>
      </c>
      <c r="G665">
        <v>3</v>
      </c>
      <c r="H665">
        <v>1098</v>
      </c>
      <c r="I665" s="1">
        <v>732284</v>
      </c>
      <c r="J665" s="1">
        <f>Raw_Data!$I665/Raw_Data!$H665</f>
        <v>666.92531876138435</v>
      </c>
    </row>
    <row r="666" spans="1:10" x14ac:dyDescent="0.3">
      <c r="A666" s="9">
        <v>40168</v>
      </c>
      <c r="B666" s="2" t="str">
        <f>TEXT(Raw_Data!$A666, "MMM")</f>
        <v>Dec</v>
      </c>
      <c r="C666" s="2">
        <f>YEAR(Raw_Data!$A666)</f>
        <v>2009</v>
      </c>
      <c r="D666" s="2" t="s">
        <v>632</v>
      </c>
      <c r="E666" s="2" t="s">
        <v>23</v>
      </c>
      <c r="F666" s="2" t="s">
        <v>16</v>
      </c>
      <c r="G666" s="2">
        <v>3</v>
      </c>
      <c r="H666" s="2">
        <v>2030</v>
      </c>
      <c r="I666" s="10">
        <v>861275</v>
      </c>
      <c r="J666" s="10">
        <f>Raw_Data!$I666/Raw_Data!$H666</f>
        <v>424.27339901477831</v>
      </c>
    </row>
    <row r="667" spans="1:10" x14ac:dyDescent="0.3">
      <c r="A667" s="8">
        <v>43930</v>
      </c>
      <c r="B667" t="str">
        <f>TEXT(Raw_Data!$A667, "MMM")</f>
        <v>Apr</v>
      </c>
      <c r="C667">
        <f>YEAR(Raw_Data!$A667)</f>
        <v>2020</v>
      </c>
      <c r="D667" t="s">
        <v>633</v>
      </c>
      <c r="E667" t="s">
        <v>21</v>
      </c>
      <c r="F667" t="s">
        <v>11</v>
      </c>
      <c r="G667">
        <v>3</v>
      </c>
      <c r="H667">
        <v>1591</v>
      </c>
      <c r="I667" s="1">
        <v>391334</v>
      </c>
      <c r="J667" s="1">
        <f>Raw_Data!$I667/Raw_Data!$H667</f>
        <v>245.96731615336267</v>
      </c>
    </row>
    <row r="668" spans="1:10" x14ac:dyDescent="0.3">
      <c r="A668" s="9">
        <v>41029</v>
      </c>
      <c r="B668" s="2" t="str">
        <f>TEXT(Raw_Data!$A668, "MMM")</f>
        <v>Apr</v>
      </c>
      <c r="C668" s="2">
        <f>YEAR(Raw_Data!$A668)</f>
        <v>2012</v>
      </c>
      <c r="D668" s="2" t="s">
        <v>634</v>
      </c>
      <c r="E668" s="2" t="s">
        <v>32</v>
      </c>
      <c r="F668" s="2" t="s">
        <v>18</v>
      </c>
      <c r="G668" s="2">
        <v>3</v>
      </c>
      <c r="H668" s="2">
        <v>2509</v>
      </c>
      <c r="I668" s="10">
        <v>310805</v>
      </c>
      <c r="J668" s="10">
        <f>Raw_Data!$I668/Raw_Data!$H668</f>
        <v>123.87604623355919</v>
      </c>
    </row>
    <row r="669" spans="1:10" x14ac:dyDescent="0.3">
      <c r="A669" s="8">
        <v>41609</v>
      </c>
      <c r="B669" t="str">
        <f>TEXT(Raw_Data!$A669, "MMM")</f>
        <v>Dec</v>
      </c>
      <c r="C669">
        <f>YEAR(Raw_Data!$A669)</f>
        <v>2013</v>
      </c>
      <c r="D669" t="s">
        <v>635</v>
      </c>
      <c r="E669" t="s">
        <v>32</v>
      </c>
      <c r="F669" t="s">
        <v>11</v>
      </c>
      <c r="H669">
        <v>2903</v>
      </c>
      <c r="I669" s="1">
        <v>629000</v>
      </c>
      <c r="J669" s="1">
        <f>Raw_Data!$I669/Raw_Data!$H669</f>
        <v>216.67240785394421</v>
      </c>
    </row>
    <row r="670" spans="1:10" x14ac:dyDescent="0.3">
      <c r="A670" s="9">
        <v>41129</v>
      </c>
      <c r="B670" s="2" t="str">
        <f>TEXT(Raw_Data!$A670, "MMM")</f>
        <v>Aug</v>
      </c>
      <c r="C670" s="2">
        <f>YEAR(Raw_Data!$A670)</f>
        <v>2012</v>
      </c>
      <c r="D670" s="2" t="s">
        <v>636</v>
      </c>
      <c r="E670" s="2" t="s">
        <v>29</v>
      </c>
      <c r="F670" s="2" t="s">
        <v>18</v>
      </c>
      <c r="G670" s="2">
        <v>2</v>
      </c>
      <c r="H670" s="2">
        <v>3038</v>
      </c>
      <c r="I670" s="10">
        <v>156144</v>
      </c>
      <c r="J670" s="10">
        <f>Raw_Data!$I670/Raw_Data!$H670</f>
        <v>51.396971691902564</v>
      </c>
    </row>
    <row r="671" spans="1:10" x14ac:dyDescent="0.3">
      <c r="A671" s="8">
        <v>39236</v>
      </c>
      <c r="B671" t="str">
        <f>TEXT(Raw_Data!$A671, "MMM")</f>
        <v>Jun</v>
      </c>
      <c r="C671">
        <f>YEAR(Raw_Data!$A671)</f>
        <v>2007</v>
      </c>
      <c r="D671" t="s">
        <v>637</v>
      </c>
      <c r="E671" t="s">
        <v>21</v>
      </c>
      <c r="F671" t="s">
        <v>16</v>
      </c>
      <c r="G671">
        <v>5</v>
      </c>
      <c r="H671">
        <v>1174</v>
      </c>
      <c r="I671" s="1">
        <v>109442</v>
      </c>
      <c r="J671" s="1">
        <f>Raw_Data!$I671/Raw_Data!$H671</f>
        <v>93.221465076660991</v>
      </c>
    </row>
    <row r="672" spans="1:10" x14ac:dyDescent="0.3">
      <c r="A672" s="9">
        <v>37834</v>
      </c>
      <c r="B672" s="2" t="str">
        <f>TEXT(Raw_Data!$A672, "MMM")</f>
        <v>Aug</v>
      </c>
      <c r="C672" s="2">
        <f>YEAR(Raw_Data!$A672)</f>
        <v>2003</v>
      </c>
      <c r="D672" s="2" t="s">
        <v>142</v>
      </c>
      <c r="E672" s="2" t="s">
        <v>23</v>
      </c>
      <c r="F672" s="2" t="s">
        <v>27</v>
      </c>
      <c r="G672" s="2">
        <v>4</v>
      </c>
      <c r="H672" s="2">
        <v>1568</v>
      </c>
      <c r="I672" s="10">
        <v>462819</v>
      </c>
      <c r="J672" s="10">
        <f>Raw_Data!$I672/Raw_Data!$H672</f>
        <v>295.16517857142856</v>
      </c>
    </row>
    <row r="673" spans="1:10" x14ac:dyDescent="0.3">
      <c r="A673" s="8">
        <v>38829</v>
      </c>
      <c r="B673" t="str">
        <f>TEXT(Raw_Data!$A673, "MMM")</f>
        <v>Apr</v>
      </c>
      <c r="C673">
        <f>YEAR(Raw_Data!$A673)</f>
        <v>2006</v>
      </c>
      <c r="D673" t="s">
        <v>638</v>
      </c>
      <c r="E673" t="s">
        <v>32</v>
      </c>
      <c r="F673" t="s">
        <v>11</v>
      </c>
      <c r="G673">
        <v>2</v>
      </c>
      <c r="H673">
        <v>1365</v>
      </c>
      <c r="I673" s="1">
        <v>602356</v>
      </c>
      <c r="J673" s="1">
        <f>Raw_Data!$I673/Raw_Data!$H673</f>
        <v>441.28644688644687</v>
      </c>
    </row>
    <row r="674" spans="1:10" x14ac:dyDescent="0.3">
      <c r="A674" s="9">
        <v>42811</v>
      </c>
      <c r="B674" s="2" t="str">
        <f>TEXT(Raw_Data!$A674, "MMM")</f>
        <v>Mar</v>
      </c>
      <c r="C674" s="2">
        <f>YEAR(Raw_Data!$A674)</f>
        <v>2017</v>
      </c>
      <c r="D674" s="2" t="s">
        <v>639</v>
      </c>
      <c r="E674" s="2" t="s">
        <v>21</v>
      </c>
      <c r="F674" s="2" t="s">
        <v>27</v>
      </c>
      <c r="G674" s="2"/>
      <c r="H674" s="2">
        <v>2294</v>
      </c>
      <c r="I674" s="10">
        <v>370204</v>
      </c>
      <c r="J674" s="10">
        <f>Raw_Data!$I674/Raw_Data!$H674</f>
        <v>161.37925021795991</v>
      </c>
    </row>
    <row r="675" spans="1:10" x14ac:dyDescent="0.3">
      <c r="A675" s="8">
        <v>43168</v>
      </c>
      <c r="B675" t="str">
        <f>TEXT(Raw_Data!$A675, "MMM")</f>
        <v>Mar</v>
      </c>
      <c r="C675">
        <f>YEAR(Raw_Data!$A675)</f>
        <v>2018</v>
      </c>
      <c r="D675" t="s">
        <v>153</v>
      </c>
      <c r="E675" t="s">
        <v>32</v>
      </c>
      <c r="F675" t="s">
        <v>18</v>
      </c>
      <c r="H675">
        <v>1169</v>
      </c>
      <c r="I675" s="1">
        <v>162673</v>
      </c>
      <c r="J675" s="1">
        <f>Raw_Data!$I675/Raw_Data!$H675</f>
        <v>139.1556886227545</v>
      </c>
    </row>
    <row r="676" spans="1:10" x14ac:dyDescent="0.3">
      <c r="A676" s="9">
        <v>40657</v>
      </c>
      <c r="B676" s="2" t="str">
        <f>TEXT(Raw_Data!$A676, "MMM")</f>
        <v>Apr</v>
      </c>
      <c r="C676" s="2">
        <f>YEAR(Raw_Data!$A676)</f>
        <v>2011</v>
      </c>
      <c r="D676" s="2" t="s">
        <v>640</v>
      </c>
      <c r="E676" s="2" t="s">
        <v>15</v>
      </c>
      <c r="F676" s="2" t="s">
        <v>27</v>
      </c>
      <c r="G676" s="2"/>
      <c r="H676" s="2">
        <v>2003</v>
      </c>
      <c r="I676" s="10">
        <v>121292</v>
      </c>
      <c r="J676" s="10">
        <f>Raw_Data!$I676/Raw_Data!$H676</f>
        <v>60.555167249126313</v>
      </c>
    </row>
    <row r="677" spans="1:10" x14ac:dyDescent="0.3">
      <c r="A677" s="8">
        <v>40865</v>
      </c>
      <c r="B677" t="str">
        <f>TEXT(Raw_Data!$A677, "MMM")</f>
        <v>Nov</v>
      </c>
      <c r="C677">
        <f>YEAR(Raw_Data!$A677)</f>
        <v>2011</v>
      </c>
      <c r="D677" t="s">
        <v>641</v>
      </c>
      <c r="E677" t="s">
        <v>32</v>
      </c>
      <c r="F677" t="s">
        <v>27</v>
      </c>
      <c r="G677">
        <v>2</v>
      </c>
      <c r="H677">
        <v>2376</v>
      </c>
      <c r="I677" s="1">
        <v>610668</v>
      </c>
      <c r="J677" s="1">
        <f>Raw_Data!$I677/Raw_Data!$H677</f>
        <v>257.0151515151515</v>
      </c>
    </row>
    <row r="678" spans="1:10" x14ac:dyDescent="0.3">
      <c r="A678" s="9">
        <v>40584</v>
      </c>
      <c r="B678" s="2" t="str">
        <f>TEXT(Raw_Data!$A678, "MMM")</f>
        <v>Feb</v>
      </c>
      <c r="C678" s="2">
        <f>YEAR(Raw_Data!$A678)</f>
        <v>2011</v>
      </c>
      <c r="D678" s="2" t="s">
        <v>642</v>
      </c>
      <c r="E678" s="2" t="s">
        <v>32</v>
      </c>
      <c r="F678" s="2" t="s">
        <v>18</v>
      </c>
      <c r="G678" s="2">
        <v>5</v>
      </c>
      <c r="H678" s="2">
        <v>3046</v>
      </c>
      <c r="I678" s="10">
        <v>411510</v>
      </c>
      <c r="J678" s="10">
        <f>Raw_Data!$I678/Raw_Data!$H678</f>
        <v>135.09848982271831</v>
      </c>
    </row>
    <row r="679" spans="1:10" x14ac:dyDescent="0.3">
      <c r="A679" s="8">
        <v>37786</v>
      </c>
      <c r="B679" t="str">
        <f>TEXT(Raw_Data!$A679, "MMM")</f>
        <v>Jun</v>
      </c>
      <c r="C679">
        <f>YEAR(Raw_Data!$A679)</f>
        <v>2003</v>
      </c>
      <c r="D679" t="s">
        <v>643</v>
      </c>
      <c r="E679" t="s">
        <v>15</v>
      </c>
      <c r="F679" t="s">
        <v>11</v>
      </c>
      <c r="H679">
        <v>2093</v>
      </c>
      <c r="I679" s="1">
        <v>256591</v>
      </c>
      <c r="J679" s="1">
        <f>Raw_Data!$I679/Raw_Data!$H679</f>
        <v>122.59483994266603</v>
      </c>
    </row>
    <row r="680" spans="1:10" x14ac:dyDescent="0.3">
      <c r="A680" s="9">
        <v>38547</v>
      </c>
      <c r="B680" s="2" t="str">
        <f>TEXT(Raw_Data!$A680, "MMM")</f>
        <v>Jul</v>
      </c>
      <c r="C680" s="2">
        <f>YEAR(Raw_Data!$A680)</f>
        <v>2005</v>
      </c>
      <c r="D680" s="2" t="s">
        <v>337</v>
      </c>
      <c r="E680" s="2" t="s">
        <v>25</v>
      </c>
      <c r="F680" s="2" t="s">
        <v>18</v>
      </c>
      <c r="G680" s="2">
        <v>3</v>
      </c>
      <c r="H680" s="2">
        <v>2774</v>
      </c>
      <c r="I680" s="10">
        <v>415815</v>
      </c>
      <c r="J680" s="10">
        <f>Raw_Data!$I680/Raw_Data!$H680</f>
        <v>149.89726027397259</v>
      </c>
    </row>
    <row r="681" spans="1:10" x14ac:dyDescent="0.3">
      <c r="A681" s="8">
        <v>37994</v>
      </c>
      <c r="B681" t="str">
        <f>TEXT(Raw_Data!$A681, "MMM")</f>
        <v>Jan</v>
      </c>
      <c r="C681">
        <f>YEAR(Raw_Data!$A681)</f>
        <v>2004</v>
      </c>
      <c r="D681" t="s">
        <v>644</v>
      </c>
      <c r="E681" t="s">
        <v>21</v>
      </c>
      <c r="F681" t="s">
        <v>16</v>
      </c>
      <c r="H681">
        <v>2902</v>
      </c>
      <c r="I681" s="1">
        <v>205917</v>
      </c>
      <c r="J681" s="1">
        <f>Raw_Data!$I681/Raw_Data!$H681</f>
        <v>70.956926257753267</v>
      </c>
    </row>
    <row r="682" spans="1:10" x14ac:dyDescent="0.3">
      <c r="A682" s="9">
        <v>43541</v>
      </c>
      <c r="B682" s="2" t="str">
        <f>TEXT(Raw_Data!$A682, "MMM")</f>
        <v>Mar</v>
      </c>
      <c r="C682" s="2">
        <f>YEAR(Raw_Data!$A682)</f>
        <v>2019</v>
      </c>
      <c r="D682" s="2" t="s">
        <v>260</v>
      </c>
      <c r="E682" s="2" t="s">
        <v>21</v>
      </c>
      <c r="F682" s="2" t="s">
        <v>11</v>
      </c>
      <c r="G682" s="2">
        <v>4</v>
      </c>
      <c r="H682" s="2">
        <v>2887</v>
      </c>
      <c r="I682" s="10">
        <v>268507</v>
      </c>
      <c r="J682" s="10">
        <f>Raw_Data!$I682/Raw_Data!$H682</f>
        <v>93.005542085209555</v>
      </c>
    </row>
    <row r="683" spans="1:10" x14ac:dyDescent="0.3">
      <c r="A683" s="8">
        <v>38340</v>
      </c>
      <c r="B683" t="str">
        <f>TEXT(Raw_Data!$A683, "MMM")</f>
        <v>Dec</v>
      </c>
      <c r="C683">
        <f>YEAR(Raw_Data!$A683)</f>
        <v>2004</v>
      </c>
      <c r="D683" t="s">
        <v>645</v>
      </c>
      <c r="E683" t="s">
        <v>32</v>
      </c>
      <c r="F683" t="s">
        <v>16</v>
      </c>
      <c r="G683">
        <v>5</v>
      </c>
      <c r="H683">
        <v>2417</v>
      </c>
      <c r="I683" s="1">
        <v>107048</v>
      </c>
      <c r="J683" s="1">
        <f>Raw_Data!$I683/Raw_Data!$H683</f>
        <v>44.289615225486138</v>
      </c>
    </row>
    <row r="684" spans="1:10" x14ac:dyDescent="0.3">
      <c r="A684" s="9">
        <v>40426</v>
      </c>
      <c r="B684" s="2" t="str">
        <f>TEXT(Raw_Data!$A684, "MMM")</f>
        <v>Sep</v>
      </c>
      <c r="C684" s="2">
        <f>YEAR(Raw_Data!$A684)</f>
        <v>2010</v>
      </c>
      <c r="D684" s="2" t="s">
        <v>646</v>
      </c>
      <c r="E684" s="2" t="s">
        <v>25</v>
      </c>
      <c r="F684" s="2" t="s">
        <v>27</v>
      </c>
      <c r="G684" s="2">
        <v>3</v>
      </c>
      <c r="H684" s="2">
        <v>1063</v>
      </c>
      <c r="I684" s="10">
        <v>665295</v>
      </c>
      <c r="J684" s="10">
        <f>Raw_Data!$I684/Raw_Data!$H684</f>
        <v>625.86547507055502</v>
      </c>
    </row>
    <row r="685" spans="1:10" x14ac:dyDescent="0.3">
      <c r="A685" s="8">
        <v>44126</v>
      </c>
      <c r="B685" t="str">
        <f>TEXT(Raw_Data!$A685, "MMM")</f>
        <v>Oct</v>
      </c>
      <c r="C685">
        <f>YEAR(Raw_Data!$A685)</f>
        <v>2020</v>
      </c>
      <c r="D685" t="s">
        <v>647</v>
      </c>
      <c r="E685" t="s">
        <v>23</v>
      </c>
      <c r="F685" t="s">
        <v>11</v>
      </c>
      <c r="G685">
        <v>4</v>
      </c>
      <c r="H685">
        <v>2625</v>
      </c>
      <c r="I685" s="1">
        <v>574580</v>
      </c>
      <c r="J685" s="1">
        <f>Raw_Data!$I685/Raw_Data!$H685</f>
        <v>218.88761904761904</v>
      </c>
    </row>
    <row r="686" spans="1:10" x14ac:dyDescent="0.3">
      <c r="A686" s="9">
        <v>41751</v>
      </c>
      <c r="B686" s="2" t="str">
        <f>TEXT(Raw_Data!$A686, "MMM")</f>
        <v>Apr</v>
      </c>
      <c r="C686" s="2">
        <f>YEAR(Raw_Data!$A686)</f>
        <v>2014</v>
      </c>
      <c r="D686" s="2" t="s">
        <v>648</v>
      </c>
      <c r="E686" s="2" t="s">
        <v>21</v>
      </c>
      <c r="F686" s="2" t="s">
        <v>16</v>
      </c>
      <c r="G686" s="2">
        <v>2</v>
      </c>
      <c r="H686" s="2">
        <v>1185</v>
      </c>
      <c r="I686" s="10">
        <v>247970</v>
      </c>
      <c r="J686" s="10">
        <f>Raw_Data!$I686/Raw_Data!$H686</f>
        <v>209.25738396624473</v>
      </c>
    </row>
    <row r="687" spans="1:10" x14ac:dyDescent="0.3">
      <c r="A687" s="8">
        <v>38344</v>
      </c>
      <c r="B687" t="str">
        <f>TEXT(Raw_Data!$A687, "MMM")</f>
        <v>Dec</v>
      </c>
      <c r="C687">
        <f>YEAR(Raw_Data!$A687)</f>
        <v>2004</v>
      </c>
      <c r="D687" t="s">
        <v>649</v>
      </c>
      <c r="E687" t="s">
        <v>21</v>
      </c>
      <c r="F687" t="s">
        <v>18</v>
      </c>
      <c r="G687">
        <v>2</v>
      </c>
      <c r="H687">
        <v>2064</v>
      </c>
      <c r="I687" s="1">
        <v>155614</v>
      </c>
      <c r="J687" s="1">
        <f>Raw_Data!$I687/Raw_Data!$H687</f>
        <v>75.394379844961236</v>
      </c>
    </row>
    <row r="688" spans="1:10" x14ac:dyDescent="0.3">
      <c r="A688" s="9">
        <v>41355</v>
      </c>
      <c r="B688" s="2" t="str">
        <f>TEXT(Raw_Data!$A688, "MMM")</f>
        <v>Mar</v>
      </c>
      <c r="C688" s="2">
        <f>YEAR(Raw_Data!$A688)</f>
        <v>2013</v>
      </c>
      <c r="D688" s="2" t="s">
        <v>650</v>
      </c>
      <c r="E688" s="2" t="s">
        <v>23</v>
      </c>
      <c r="F688" s="2" t="s">
        <v>11</v>
      </c>
      <c r="G688" s="2">
        <v>2</v>
      </c>
      <c r="H688" s="2">
        <v>1985</v>
      </c>
      <c r="I688" s="10">
        <v>621214</v>
      </c>
      <c r="J688" s="10">
        <f>Raw_Data!$I688/Raw_Data!$H688</f>
        <v>312.95415617128464</v>
      </c>
    </row>
    <row r="689" spans="1:10" x14ac:dyDescent="0.3">
      <c r="A689" s="8">
        <v>39360</v>
      </c>
      <c r="B689" t="str">
        <f>TEXT(Raw_Data!$A689, "MMM")</f>
        <v>Oct</v>
      </c>
      <c r="C689">
        <f>YEAR(Raw_Data!$A689)</f>
        <v>2007</v>
      </c>
      <c r="D689" t="s">
        <v>651</v>
      </c>
      <c r="E689" t="s">
        <v>32</v>
      </c>
      <c r="F689" t="s">
        <v>27</v>
      </c>
      <c r="G689">
        <v>5</v>
      </c>
      <c r="H689">
        <v>1427</v>
      </c>
      <c r="I689" s="1">
        <v>487561</v>
      </c>
      <c r="J689" s="1">
        <f>Raw_Data!$I689/Raw_Data!$H689</f>
        <v>341.66853538892781</v>
      </c>
    </row>
    <row r="690" spans="1:10" x14ac:dyDescent="0.3">
      <c r="A690" s="9">
        <v>40353</v>
      </c>
      <c r="B690" s="2" t="str">
        <f>TEXT(Raw_Data!$A690, "MMM")</f>
        <v>Jun</v>
      </c>
      <c r="C690" s="2">
        <f>YEAR(Raw_Data!$A690)</f>
        <v>2010</v>
      </c>
      <c r="D690" s="2" t="s">
        <v>652</v>
      </c>
      <c r="E690" s="2" t="s">
        <v>15</v>
      </c>
      <c r="F690" s="2" t="s">
        <v>18</v>
      </c>
      <c r="G690" s="2">
        <v>5</v>
      </c>
      <c r="H690" s="2">
        <v>2094</v>
      </c>
      <c r="I690" s="10">
        <v>607456</v>
      </c>
      <c r="J690" s="10">
        <f>Raw_Data!$I690/Raw_Data!$H690</f>
        <v>290.09360076408785</v>
      </c>
    </row>
    <row r="691" spans="1:10" x14ac:dyDescent="0.3">
      <c r="A691" s="8">
        <v>38420</v>
      </c>
      <c r="B691" t="str">
        <f>TEXT(Raw_Data!$A691, "MMM")</f>
        <v>Mar</v>
      </c>
      <c r="C691">
        <f>YEAR(Raw_Data!$A691)</f>
        <v>2005</v>
      </c>
      <c r="D691" t="s">
        <v>653</v>
      </c>
      <c r="E691" t="s">
        <v>32</v>
      </c>
      <c r="F691" t="s">
        <v>18</v>
      </c>
      <c r="G691">
        <v>4</v>
      </c>
      <c r="H691">
        <v>2946</v>
      </c>
      <c r="I691" s="1">
        <v>182433</v>
      </c>
      <c r="J691" s="1">
        <f>Raw_Data!$I691/Raw_Data!$H691</f>
        <v>61.925661914460285</v>
      </c>
    </row>
    <row r="692" spans="1:10" x14ac:dyDescent="0.3">
      <c r="A692" s="9">
        <v>40544</v>
      </c>
      <c r="B692" s="2" t="str">
        <f>TEXT(Raw_Data!$A692, "MMM")</f>
        <v>Jan</v>
      </c>
      <c r="C692" s="2">
        <f>YEAR(Raw_Data!$A692)</f>
        <v>2011</v>
      </c>
      <c r="D692" s="2" t="s">
        <v>654</v>
      </c>
      <c r="E692" s="2" t="s">
        <v>23</v>
      </c>
      <c r="F692" s="2" t="s">
        <v>11</v>
      </c>
      <c r="G692" s="2"/>
      <c r="H692" s="2">
        <v>3096</v>
      </c>
      <c r="I692" s="10">
        <v>725187</v>
      </c>
      <c r="J692" s="10">
        <f>Raw_Data!$I692/Raw_Data!$H692</f>
        <v>234.23352713178295</v>
      </c>
    </row>
    <row r="693" spans="1:10" x14ac:dyDescent="0.3">
      <c r="A693" s="8">
        <v>38037</v>
      </c>
      <c r="B693" t="str">
        <f>TEXT(Raw_Data!$A693, "MMM")</f>
        <v>Feb</v>
      </c>
      <c r="C693">
        <f>YEAR(Raw_Data!$A693)</f>
        <v>2004</v>
      </c>
      <c r="D693" t="s">
        <v>655</v>
      </c>
      <c r="E693" t="s">
        <v>25</v>
      </c>
      <c r="F693" t="s">
        <v>18</v>
      </c>
      <c r="H693">
        <v>3054</v>
      </c>
      <c r="I693" s="1">
        <v>135338</v>
      </c>
      <c r="J693" s="1">
        <f>Raw_Data!$I693/Raw_Data!$H693</f>
        <v>44.314996725605766</v>
      </c>
    </row>
    <row r="694" spans="1:10" x14ac:dyDescent="0.3">
      <c r="A694" s="9">
        <v>37750</v>
      </c>
      <c r="B694" s="2" t="str">
        <f>TEXT(Raw_Data!$A694, "MMM")</f>
        <v>May</v>
      </c>
      <c r="C694" s="2">
        <f>YEAR(Raw_Data!$A694)</f>
        <v>2003</v>
      </c>
      <c r="D694" s="2" t="s">
        <v>656</v>
      </c>
      <c r="E694" s="2" t="s">
        <v>25</v>
      </c>
      <c r="F694" s="2" t="s">
        <v>11</v>
      </c>
      <c r="G694" s="2">
        <v>2</v>
      </c>
      <c r="H694" s="2">
        <v>1846</v>
      </c>
      <c r="I694" s="10">
        <v>175236</v>
      </c>
      <c r="J694" s="10">
        <f>Raw_Data!$I694/Raw_Data!$H694</f>
        <v>94.927410617551459</v>
      </c>
    </row>
    <row r="695" spans="1:10" x14ac:dyDescent="0.3">
      <c r="A695" s="8">
        <v>41324</v>
      </c>
      <c r="B695" t="str">
        <f>TEXT(Raw_Data!$A695, "MMM")</f>
        <v>Feb</v>
      </c>
      <c r="C695">
        <f>YEAR(Raw_Data!$A695)</f>
        <v>2013</v>
      </c>
      <c r="D695" t="s">
        <v>657</v>
      </c>
      <c r="E695" t="s">
        <v>32</v>
      </c>
      <c r="F695" t="s">
        <v>16</v>
      </c>
      <c r="H695">
        <v>1340</v>
      </c>
      <c r="I695" s="1">
        <v>210847</v>
      </c>
      <c r="J695" s="1">
        <f>Raw_Data!$I695/Raw_Data!$H695</f>
        <v>157.34850746268657</v>
      </c>
    </row>
    <row r="696" spans="1:10" x14ac:dyDescent="0.3">
      <c r="A696" s="9">
        <v>40703</v>
      </c>
      <c r="B696" s="2" t="str">
        <f>TEXT(Raw_Data!$A696, "MMM")</f>
        <v>Jun</v>
      </c>
      <c r="C696" s="2">
        <f>YEAR(Raw_Data!$A696)</f>
        <v>2011</v>
      </c>
      <c r="D696" s="2" t="s">
        <v>658</v>
      </c>
      <c r="E696" s="2" t="s">
        <v>13</v>
      </c>
      <c r="F696" s="2" t="s">
        <v>16</v>
      </c>
      <c r="G696" s="2"/>
      <c r="H696" s="2">
        <v>1825</v>
      </c>
      <c r="I696" s="10">
        <v>747742</v>
      </c>
      <c r="J696" s="10">
        <f>Raw_Data!$I696/Raw_Data!$H696</f>
        <v>409.72164383561642</v>
      </c>
    </row>
    <row r="697" spans="1:10" x14ac:dyDescent="0.3">
      <c r="A697" s="8">
        <v>42020</v>
      </c>
      <c r="B697" t="str">
        <f>TEXT(Raw_Data!$A697, "MMM")</f>
        <v>Jan</v>
      </c>
      <c r="C697">
        <f>YEAR(Raw_Data!$A697)</f>
        <v>2015</v>
      </c>
      <c r="D697" t="s">
        <v>659</v>
      </c>
      <c r="E697" t="s">
        <v>15</v>
      </c>
      <c r="F697" t="s">
        <v>27</v>
      </c>
      <c r="G697">
        <v>4</v>
      </c>
      <c r="H697">
        <v>3137</v>
      </c>
      <c r="I697" s="1">
        <v>770260</v>
      </c>
      <c r="J697" s="1">
        <f>Raw_Data!$I697/Raw_Data!$H697</f>
        <v>245.54032515141856</v>
      </c>
    </row>
    <row r="698" spans="1:10" x14ac:dyDescent="0.3">
      <c r="A698" s="9">
        <v>42887</v>
      </c>
      <c r="B698" s="2" t="str">
        <f>TEXT(Raw_Data!$A698, "MMM")</f>
        <v>Jun</v>
      </c>
      <c r="C698" s="2">
        <f>YEAR(Raw_Data!$A698)</f>
        <v>2017</v>
      </c>
      <c r="D698" s="2" t="s">
        <v>660</v>
      </c>
      <c r="E698" s="2" t="s">
        <v>32</v>
      </c>
      <c r="F698" s="2" t="s">
        <v>16</v>
      </c>
      <c r="G698" s="2">
        <v>3</v>
      </c>
      <c r="H698" s="2">
        <v>3018</v>
      </c>
      <c r="I698" s="10">
        <v>660736</v>
      </c>
      <c r="J698" s="10">
        <f>Raw_Data!$I698/Raw_Data!$H698</f>
        <v>218.93174287607687</v>
      </c>
    </row>
    <row r="699" spans="1:10" x14ac:dyDescent="0.3">
      <c r="A699" s="8">
        <v>41310</v>
      </c>
      <c r="B699" t="str">
        <f>TEXT(Raw_Data!$A699, "MMM")</f>
        <v>Feb</v>
      </c>
      <c r="C699">
        <f>YEAR(Raw_Data!$A699)</f>
        <v>2013</v>
      </c>
      <c r="D699" t="s">
        <v>661</v>
      </c>
      <c r="E699" t="s">
        <v>13</v>
      </c>
      <c r="F699" t="s">
        <v>11</v>
      </c>
      <c r="G699">
        <v>5</v>
      </c>
      <c r="H699">
        <v>1385</v>
      </c>
      <c r="I699" s="1">
        <v>184949</v>
      </c>
      <c r="J699" s="1">
        <f>Raw_Data!$I699/Raw_Data!$H699</f>
        <v>133.53718411552347</v>
      </c>
    </row>
    <row r="700" spans="1:10" x14ac:dyDescent="0.3">
      <c r="A700" s="9">
        <v>38833</v>
      </c>
      <c r="B700" s="2" t="str">
        <f>TEXT(Raw_Data!$A700, "MMM")</f>
        <v>Apr</v>
      </c>
      <c r="C700" s="2">
        <f>YEAR(Raw_Data!$A700)</f>
        <v>2006</v>
      </c>
      <c r="D700" s="2" t="s">
        <v>662</v>
      </c>
      <c r="E700" s="2" t="s">
        <v>32</v>
      </c>
      <c r="F700" s="2" t="s">
        <v>27</v>
      </c>
      <c r="G700" s="2"/>
      <c r="H700" s="2">
        <v>1572</v>
      </c>
      <c r="I700" s="10">
        <v>825433</v>
      </c>
      <c r="J700" s="10">
        <f>Raw_Data!$I700/Raw_Data!$H700</f>
        <v>525.08460559796436</v>
      </c>
    </row>
    <row r="701" spans="1:10" x14ac:dyDescent="0.3">
      <c r="A701" s="8">
        <v>42687</v>
      </c>
      <c r="B701" t="str">
        <f>TEXT(Raw_Data!$A701, "MMM")</f>
        <v>Nov</v>
      </c>
      <c r="C701">
        <f>YEAR(Raw_Data!$A701)</f>
        <v>2016</v>
      </c>
      <c r="D701" t="s">
        <v>663</v>
      </c>
      <c r="E701" t="s">
        <v>32</v>
      </c>
      <c r="F701" t="s">
        <v>18</v>
      </c>
      <c r="H701">
        <v>1761</v>
      </c>
      <c r="I701" s="1">
        <v>453043</v>
      </c>
      <c r="J701" s="1">
        <f>Raw_Data!$I701/Raw_Data!$H701</f>
        <v>257.26462237365132</v>
      </c>
    </row>
    <row r="702" spans="1:10" x14ac:dyDescent="0.3">
      <c r="A702" s="9">
        <v>39784</v>
      </c>
      <c r="B702" s="2" t="str">
        <f>TEXT(Raw_Data!$A702, "MMM")</f>
        <v>Dec</v>
      </c>
      <c r="C702" s="2">
        <f>YEAR(Raw_Data!$A702)</f>
        <v>2008</v>
      </c>
      <c r="D702" s="2" t="s">
        <v>664</v>
      </c>
      <c r="E702" s="2" t="s">
        <v>29</v>
      </c>
      <c r="F702" s="2" t="s">
        <v>16</v>
      </c>
      <c r="G702" s="2">
        <v>4</v>
      </c>
      <c r="H702" s="2">
        <v>2059</v>
      </c>
      <c r="I702" s="10">
        <v>819802</v>
      </c>
      <c r="J702" s="10">
        <f>Raw_Data!$I702/Raw_Data!$H702</f>
        <v>398.15541525012139</v>
      </c>
    </row>
    <row r="703" spans="1:10" x14ac:dyDescent="0.3">
      <c r="A703" s="8">
        <v>37330</v>
      </c>
      <c r="B703" t="str">
        <f>TEXT(Raw_Data!$A703, "MMM")</f>
        <v>Mar</v>
      </c>
      <c r="C703">
        <f>YEAR(Raw_Data!$A703)</f>
        <v>2002</v>
      </c>
      <c r="D703" t="s">
        <v>665</v>
      </c>
      <c r="E703" t="s">
        <v>25</v>
      </c>
      <c r="F703" t="s">
        <v>27</v>
      </c>
      <c r="H703">
        <v>2212</v>
      </c>
      <c r="I703" s="1">
        <v>134004</v>
      </c>
      <c r="J703" s="1">
        <f>Raw_Data!$I703/Raw_Data!$H703</f>
        <v>60.580470162748647</v>
      </c>
    </row>
    <row r="704" spans="1:10" x14ac:dyDescent="0.3">
      <c r="A704" s="9">
        <v>42604</v>
      </c>
      <c r="B704" s="2" t="str">
        <f>TEXT(Raw_Data!$A704, "MMM")</f>
        <v>Aug</v>
      </c>
      <c r="C704" s="2">
        <f>YEAR(Raw_Data!$A704)</f>
        <v>2016</v>
      </c>
      <c r="D704" s="2" t="s">
        <v>666</v>
      </c>
      <c r="E704" s="2" t="s">
        <v>32</v>
      </c>
      <c r="F704" s="2" t="s">
        <v>18</v>
      </c>
      <c r="G704" s="2">
        <v>2</v>
      </c>
      <c r="H704" s="2">
        <v>1554</v>
      </c>
      <c r="I704" s="10">
        <v>465058</v>
      </c>
      <c r="J704" s="10">
        <f>Raw_Data!$I704/Raw_Data!$H704</f>
        <v>299.26512226512227</v>
      </c>
    </row>
    <row r="705" spans="1:10" x14ac:dyDescent="0.3">
      <c r="A705" s="8">
        <v>44118</v>
      </c>
      <c r="B705" t="str">
        <f>TEXT(Raw_Data!$A705, "MMM")</f>
        <v>Oct</v>
      </c>
      <c r="C705">
        <f>YEAR(Raw_Data!$A705)</f>
        <v>2020</v>
      </c>
      <c r="D705" t="s">
        <v>667</v>
      </c>
      <c r="E705" t="s">
        <v>29</v>
      </c>
      <c r="F705" t="s">
        <v>27</v>
      </c>
      <c r="G705">
        <v>2</v>
      </c>
      <c r="H705">
        <v>2512</v>
      </c>
      <c r="I705" s="1">
        <v>503173</v>
      </c>
      <c r="J705" s="1">
        <f>Raw_Data!$I705/Raw_Data!$H705</f>
        <v>200.30772292993632</v>
      </c>
    </row>
    <row r="706" spans="1:10" x14ac:dyDescent="0.3">
      <c r="A706" s="9">
        <v>37134</v>
      </c>
      <c r="B706" s="2" t="str">
        <f>TEXT(Raw_Data!$A706, "MMM")</f>
        <v>Aug</v>
      </c>
      <c r="C706" s="2">
        <f>YEAR(Raw_Data!$A706)</f>
        <v>2001</v>
      </c>
      <c r="D706" s="2" t="s">
        <v>668</v>
      </c>
      <c r="E706" s="2" t="s">
        <v>15</v>
      </c>
      <c r="F706" s="2" t="s">
        <v>18</v>
      </c>
      <c r="G706" s="2"/>
      <c r="H706" s="2">
        <v>2353</v>
      </c>
      <c r="I706" s="10">
        <v>449717</v>
      </c>
      <c r="J706" s="10">
        <f>Raw_Data!$I706/Raw_Data!$H706</f>
        <v>191.1249468763281</v>
      </c>
    </row>
    <row r="707" spans="1:10" x14ac:dyDescent="0.3">
      <c r="A707" s="8">
        <v>42870</v>
      </c>
      <c r="B707" t="str">
        <f>TEXT(Raw_Data!$A707, "MMM")</f>
        <v>May</v>
      </c>
      <c r="C707">
        <f>YEAR(Raw_Data!$A707)</f>
        <v>2017</v>
      </c>
      <c r="D707" t="s">
        <v>669</v>
      </c>
      <c r="E707" t="s">
        <v>13</v>
      </c>
      <c r="F707" t="s">
        <v>18</v>
      </c>
      <c r="G707">
        <v>4</v>
      </c>
      <c r="H707">
        <v>1681</v>
      </c>
      <c r="I707" s="1">
        <v>571827</v>
      </c>
      <c r="J707" s="1">
        <f>Raw_Data!$I707/Raw_Data!$H707</f>
        <v>340.17073170731709</v>
      </c>
    </row>
    <row r="708" spans="1:10" x14ac:dyDescent="0.3">
      <c r="A708" s="9">
        <v>39770</v>
      </c>
      <c r="B708" s="2" t="str">
        <f>TEXT(Raw_Data!$A708, "MMM")</f>
        <v>Nov</v>
      </c>
      <c r="C708" s="2">
        <f>YEAR(Raw_Data!$A708)</f>
        <v>2008</v>
      </c>
      <c r="D708" s="2" t="s">
        <v>670</v>
      </c>
      <c r="E708" s="2" t="s">
        <v>25</v>
      </c>
      <c r="F708" s="2" t="s">
        <v>11</v>
      </c>
      <c r="G708" s="2">
        <v>3</v>
      </c>
      <c r="H708" s="2">
        <v>2129</v>
      </c>
      <c r="I708" s="10">
        <v>162665</v>
      </c>
      <c r="J708" s="10">
        <f>Raw_Data!$I708/Raw_Data!$H708</f>
        <v>76.404415218412396</v>
      </c>
    </row>
    <row r="709" spans="1:10" x14ac:dyDescent="0.3">
      <c r="A709" s="8">
        <v>42358</v>
      </c>
      <c r="B709" t="str">
        <f>TEXT(Raw_Data!$A709, "MMM")</f>
        <v>Dec</v>
      </c>
      <c r="C709">
        <f>YEAR(Raw_Data!$A709)</f>
        <v>2015</v>
      </c>
      <c r="D709" t="s">
        <v>671</v>
      </c>
      <c r="E709" t="s">
        <v>23</v>
      </c>
      <c r="F709" t="s">
        <v>27</v>
      </c>
      <c r="H709">
        <v>3383</v>
      </c>
      <c r="I709" s="1">
        <v>326760</v>
      </c>
      <c r="J709" s="1">
        <f>Raw_Data!$I709/Raw_Data!$H709</f>
        <v>96.588826485368017</v>
      </c>
    </row>
    <row r="710" spans="1:10" x14ac:dyDescent="0.3">
      <c r="A710" s="9">
        <v>39202</v>
      </c>
      <c r="B710" s="2" t="str">
        <f>TEXT(Raw_Data!$A710, "MMM")</f>
        <v>Apr</v>
      </c>
      <c r="C710" s="2">
        <f>YEAR(Raw_Data!$A710)</f>
        <v>2007</v>
      </c>
      <c r="D710" s="2" t="s">
        <v>672</v>
      </c>
      <c r="E710" s="2" t="s">
        <v>13</v>
      </c>
      <c r="F710" s="2" t="s">
        <v>27</v>
      </c>
      <c r="G710" s="2">
        <v>5</v>
      </c>
      <c r="H710" s="2">
        <v>3071</v>
      </c>
      <c r="I710" s="10">
        <v>279478</v>
      </c>
      <c r="J710" s="10">
        <f>Raw_Data!$I710/Raw_Data!$H710</f>
        <v>91.005535656138065</v>
      </c>
    </row>
    <row r="711" spans="1:10" x14ac:dyDescent="0.3">
      <c r="A711" s="8">
        <v>38694</v>
      </c>
      <c r="B711" t="str">
        <f>TEXT(Raw_Data!$A711, "MMM")</f>
        <v>Dec</v>
      </c>
      <c r="C711">
        <f>YEAR(Raw_Data!$A711)</f>
        <v>2005</v>
      </c>
      <c r="D711" t="s">
        <v>673</v>
      </c>
      <c r="E711" t="s">
        <v>21</v>
      </c>
      <c r="F711" t="s">
        <v>27</v>
      </c>
      <c r="H711">
        <v>2889</v>
      </c>
      <c r="I711" s="1">
        <v>513220</v>
      </c>
      <c r="J711" s="1">
        <f>Raw_Data!$I711/Raw_Data!$H711</f>
        <v>177.64624437521633</v>
      </c>
    </row>
    <row r="712" spans="1:10" x14ac:dyDescent="0.3">
      <c r="A712" s="9">
        <v>42784</v>
      </c>
      <c r="B712" s="2" t="str">
        <f>TEXT(Raw_Data!$A712, "MMM")</f>
        <v>Feb</v>
      </c>
      <c r="C712" s="2">
        <f>YEAR(Raw_Data!$A712)</f>
        <v>2017</v>
      </c>
      <c r="D712" s="2" t="s">
        <v>366</v>
      </c>
      <c r="E712" s="2" t="s">
        <v>25</v>
      </c>
      <c r="F712" s="2" t="s">
        <v>16</v>
      </c>
      <c r="G712" s="2">
        <v>5</v>
      </c>
      <c r="H712" s="2">
        <v>2235</v>
      </c>
      <c r="I712" s="10">
        <v>248635</v>
      </c>
      <c r="J712" s="10">
        <f>Raw_Data!$I712/Raw_Data!$H712</f>
        <v>111.24608501118568</v>
      </c>
    </row>
    <row r="713" spans="1:10" x14ac:dyDescent="0.3">
      <c r="A713" s="8">
        <v>38463</v>
      </c>
      <c r="B713" t="str">
        <f>TEXT(Raw_Data!$A713, "MMM")</f>
        <v>Apr</v>
      </c>
      <c r="C713">
        <f>YEAR(Raw_Data!$A713)</f>
        <v>2005</v>
      </c>
      <c r="D713" t="s">
        <v>674</v>
      </c>
      <c r="E713" t="s">
        <v>13</v>
      </c>
      <c r="F713" t="s">
        <v>11</v>
      </c>
      <c r="G713">
        <v>2</v>
      </c>
      <c r="H713">
        <v>1780</v>
      </c>
      <c r="I713" s="1">
        <v>497365</v>
      </c>
      <c r="J713" s="1">
        <f>Raw_Data!$I713/Raw_Data!$H713</f>
        <v>279.41853932584269</v>
      </c>
    </row>
    <row r="714" spans="1:10" x14ac:dyDescent="0.3">
      <c r="A714" s="9">
        <v>41339</v>
      </c>
      <c r="B714" s="2" t="str">
        <f>TEXT(Raw_Data!$A714, "MMM")</f>
        <v>Mar</v>
      </c>
      <c r="C714" s="2">
        <f>YEAR(Raw_Data!$A714)</f>
        <v>2013</v>
      </c>
      <c r="D714" s="2" t="s">
        <v>675</v>
      </c>
      <c r="E714" s="2" t="s">
        <v>23</v>
      </c>
      <c r="F714" s="2" t="s">
        <v>27</v>
      </c>
      <c r="G714" s="2">
        <v>3</v>
      </c>
      <c r="H714" s="2">
        <v>2042</v>
      </c>
      <c r="I714" s="10">
        <v>396214</v>
      </c>
      <c r="J714" s="10">
        <f>Raw_Data!$I714/Raw_Data!$H714</f>
        <v>194.03232125367288</v>
      </c>
    </row>
    <row r="715" spans="1:10" x14ac:dyDescent="0.3">
      <c r="A715" s="8">
        <v>43807</v>
      </c>
      <c r="B715" t="str">
        <f>TEXT(Raw_Data!$A715, "MMM")</f>
        <v>Dec</v>
      </c>
      <c r="C715">
        <f>YEAR(Raw_Data!$A715)</f>
        <v>2019</v>
      </c>
      <c r="D715" t="s">
        <v>676</v>
      </c>
      <c r="E715" t="s">
        <v>32</v>
      </c>
      <c r="F715" t="s">
        <v>18</v>
      </c>
      <c r="H715">
        <v>2897</v>
      </c>
      <c r="I715" s="1">
        <v>706778</v>
      </c>
      <c r="J715" s="1">
        <f>Raw_Data!$I715/Raw_Data!$H715</f>
        <v>243.96893337935796</v>
      </c>
    </row>
    <row r="716" spans="1:10" x14ac:dyDescent="0.3">
      <c r="A716" s="9">
        <v>39634</v>
      </c>
      <c r="B716" s="2" t="str">
        <f>TEXT(Raw_Data!$A716, "MMM")</f>
        <v>Jul</v>
      </c>
      <c r="C716" s="2">
        <f>YEAR(Raw_Data!$A716)</f>
        <v>2008</v>
      </c>
      <c r="D716" s="2" t="s">
        <v>677</v>
      </c>
      <c r="E716" s="2" t="s">
        <v>25</v>
      </c>
      <c r="F716" s="2" t="s">
        <v>27</v>
      </c>
      <c r="G716" s="2"/>
      <c r="H716" s="2">
        <v>1082</v>
      </c>
      <c r="I716" s="10">
        <v>238418</v>
      </c>
      <c r="J716" s="10">
        <f>Raw_Data!$I716/Raw_Data!$H716</f>
        <v>220.34935304990759</v>
      </c>
    </row>
    <row r="717" spans="1:10" x14ac:dyDescent="0.3">
      <c r="A717" s="8">
        <v>38561</v>
      </c>
      <c r="B717" t="str">
        <f>TEXT(Raw_Data!$A717, "MMM")</f>
        <v>Jul</v>
      </c>
      <c r="C717">
        <f>YEAR(Raw_Data!$A717)</f>
        <v>2005</v>
      </c>
      <c r="D717" t="s">
        <v>678</v>
      </c>
      <c r="E717" t="s">
        <v>25</v>
      </c>
      <c r="F717" t="s">
        <v>11</v>
      </c>
      <c r="G717">
        <v>2</v>
      </c>
      <c r="H717">
        <v>3487</v>
      </c>
      <c r="I717" s="1">
        <v>618524</v>
      </c>
      <c r="J717" s="1">
        <f>Raw_Data!$I717/Raw_Data!$H717</f>
        <v>177.37998279323202</v>
      </c>
    </row>
    <row r="718" spans="1:10" x14ac:dyDescent="0.3">
      <c r="A718" s="9">
        <v>43604</v>
      </c>
      <c r="B718" s="2" t="str">
        <f>TEXT(Raw_Data!$A718, "MMM")</f>
        <v>May</v>
      </c>
      <c r="C718" s="2">
        <f>YEAR(Raw_Data!$A718)</f>
        <v>2019</v>
      </c>
      <c r="D718" s="2" t="s">
        <v>679</v>
      </c>
      <c r="E718" s="2" t="s">
        <v>29</v>
      </c>
      <c r="F718" s="2" t="s">
        <v>11</v>
      </c>
      <c r="G718" s="2"/>
      <c r="H718" s="2">
        <v>1501</v>
      </c>
      <c r="I718" s="10">
        <v>175217</v>
      </c>
      <c r="J718" s="10">
        <f>Raw_Data!$I718/Raw_Data!$H718</f>
        <v>116.73351099267155</v>
      </c>
    </row>
    <row r="719" spans="1:10" x14ac:dyDescent="0.3">
      <c r="A719" s="8">
        <v>43324</v>
      </c>
      <c r="B719" t="str">
        <f>TEXT(Raw_Data!$A719, "MMM")</f>
        <v>Aug</v>
      </c>
      <c r="C719">
        <f>YEAR(Raw_Data!$A719)</f>
        <v>2018</v>
      </c>
      <c r="D719" t="s">
        <v>680</v>
      </c>
      <c r="E719" t="s">
        <v>25</v>
      </c>
      <c r="F719" t="s">
        <v>11</v>
      </c>
      <c r="G719">
        <v>2</v>
      </c>
      <c r="H719">
        <v>2367</v>
      </c>
      <c r="I719" s="1">
        <v>400436</v>
      </c>
      <c r="J719" s="1">
        <f>Raw_Data!$I719/Raw_Data!$H719</f>
        <v>169.17448246725814</v>
      </c>
    </row>
    <row r="720" spans="1:10" x14ac:dyDescent="0.3">
      <c r="A720" s="9">
        <v>37115</v>
      </c>
      <c r="B720" s="2" t="str">
        <f>TEXT(Raw_Data!$A720, "MMM")</f>
        <v>Aug</v>
      </c>
      <c r="C720" s="2">
        <f>YEAR(Raw_Data!$A720)</f>
        <v>2001</v>
      </c>
      <c r="D720" s="2" t="s">
        <v>681</v>
      </c>
      <c r="E720" s="2" t="s">
        <v>21</v>
      </c>
      <c r="F720" s="2" t="s">
        <v>11</v>
      </c>
      <c r="G720" s="2">
        <v>4</v>
      </c>
      <c r="H720" s="2">
        <v>2529</v>
      </c>
      <c r="I720" s="10">
        <v>435702</v>
      </c>
      <c r="J720" s="10">
        <f>Raw_Data!$I720/Raw_Data!$H720</f>
        <v>172.28232502965599</v>
      </c>
    </row>
    <row r="721" spans="1:10" x14ac:dyDescent="0.3">
      <c r="A721" s="8">
        <v>44151</v>
      </c>
      <c r="B721" t="str">
        <f>TEXT(Raw_Data!$A721, "MMM")</f>
        <v>Nov</v>
      </c>
      <c r="C721">
        <f>YEAR(Raw_Data!$A721)</f>
        <v>2020</v>
      </c>
      <c r="D721" t="s">
        <v>682</v>
      </c>
      <c r="E721" t="s">
        <v>25</v>
      </c>
      <c r="F721" t="s">
        <v>16</v>
      </c>
      <c r="H721">
        <v>1116</v>
      </c>
      <c r="I721" s="1">
        <v>450484</v>
      </c>
      <c r="J721" s="1">
        <f>Raw_Data!$I721/Raw_Data!$H721</f>
        <v>403.65949820788529</v>
      </c>
    </row>
    <row r="722" spans="1:10" x14ac:dyDescent="0.3">
      <c r="A722" s="9">
        <v>38537</v>
      </c>
      <c r="B722" s="2" t="str">
        <f>TEXT(Raw_Data!$A722, "MMM")</f>
        <v>Jul</v>
      </c>
      <c r="C722" s="2">
        <f>YEAR(Raw_Data!$A722)</f>
        <v>2005</v>
      </c>
      <c r="D722" s="2" t="s">
        <v>683</v>
      </c>
      <c r="E722" s="2" t="s">
        <v>25</v>
      </c>
      <c r="F722" s="2" t="s">
        <v>11</v>
      </c>
      <c r="G722" s="2">
        <v>2</v>
      </c>
      <c r="H722" s="2">
        <v>2540</v>
      </c>
      <c r="I722" s="10">
        <v>542924</v>
      </c>
      <c r="J722" s="10">
        <f>Raw_Data!$I722/Raw_Data!$H722</f>
        <v>213.74960629921259</v>
      </c>
    </row>
    <row r="723" spans="1:10" x14ac:dyDescent="0.3">
      <c r="A723" s="8">
        <v>40720</v>
      </c>
      <c r="B723" t="str">
        <f>TEXT(Raw_Data!$A723, "MMM")</f>
        <v>Jun</v>
      </c>
      <c r="C723">
        <f>YEAR(Raw_Data!$A723)</f>
        <v>2011</v>
      </c>
      <c r="D723" t="s">
        <v>684</v>
      </c>
      <c r="E723" t="s">
        <v>25</v>
      </c>
      <c r="F723" t="s">
        <v>27</v>
      </c>
      <c r="H723">
        <v>3339</v>
      </c>
      <c r="I723" s="1">
        <v>713772</v>
      </c>
      <c r="J723" s="1">
        <f>Raw_Data!$I723/Raw_Data!$H723</f>
        <v>213.76819407008085</v>
      </c>
    </row>
    <row r="724" spans="1:10" x14ac:dyDescent="0.3">
      <c r="A724" s="9">
        <v>39432</v>
      </c>
      <c r="B724" s="2" t="str">
        <f>TEXT(Raw_Data!$A724, "MMM")</f>
        <v>Dec</v>
      </c>
      <c r="C724" s="2">
        <f>YEAR(Raw_Data!$A724)</f>
        <v>2007</v>
      </c>
      <c r="D724" s="2" t="s">
        <v>685</v>
      </c>
      <c r="E724" s="2" t="s">
        <v>21</v>
      </c>
      <c r="F724" s="2" t="s">
        <v>18</v>
      </c>
      <c r="G724" s="2">
        <v>3</v>
      </c>
      <c r="H724" s="2">
        <v>2887</v>
      </c>
      <c r="I724" s="10">
        <v>771878</v>
      </c>
      <c r="J724" s="10">
        <f>Raw_Data!$I724/Raw_Data!$H724</f>
        <v>267.36335296155181</v>
      </c>
    </row>
    <row r="725" spans="1:10" x14ac:dyDescent="0.3">
      <c r="A725" s="8">
        <v>37940</v>
      </c>
      <c r="B725" t="str">
        <f>TEXT(Raw_Data!$A725, "MMM")</f>
        <v>Nov</v>
      </c>
      <c r="C725">
        <f>YEAR(Raw_Data!$A725)</f>
        <v>2003</v>
      </c>
      <c r="D725" t="s">
        <v>686</v>
      </c>
      <c r="E725" t="s">
        <v>15</v>
      </c>
      <c r="F725" t="s">
        <v>16</v>
      </c>
      <c r="G725">
        <v>2</v>
      </c>
      <c r="H725">
        <v>1080</v>
      </c>
      <c r="I725" s="1">
        <v>310624</v>
      </c>
      <c r="J725" s="1">
        <f>Raw_Data!$I725/Raw_Data!$H725</f>
        <v>287.61481481481479</v>
      </c>
    </row>
    <row r="726" spans="1:10" x14ac:dyDescent="0.3">
      <c r="A726" s="9">
        <v>39476</v>
      </c>
      <c r="B726" s="2" t="str">
        <f>TEXT(Raw_Data!$A726, "MMM")</f>
        <v>Jan</v>
      </c>
      <c r="C726" s="2">
        <f>YEAR(Raw_Data!$A726)</f>
        <v>2008</v>
      </c>
      <c r="D726" s="2" t="s">
        <v>687</v>
      </c>
      <c r="E726" s="2" t="s">
        <v>15</v>
      </c>
      <c r="F726" s="2" t="s">
        <v>16</v>
      </c>
      <c r="G726" s="2">
        <v>5</v>
      </c>
      <c r="H726" s="2">
        <v>1340</v>
      </c>
      <c r="I726" s="10">
        <v>374509</v>
      </c>
      <c r="J726" s="10">
        <f>Raw_Data!$I726/Raw_Data!$H726</f>
        <v>279.48432835820893</v>
      </c>
    </row>
    <row r="727" spans="1:10" x14ac:dyDescent="0.3">
      <c r="A727" s="8">
        <v>37832</v>
      </c>
      <c r="B727" t="str">
        <f>TEXT(Raw_Data!$A727, "MMM")</f>
        <v>Jul</v>
      </c>
      <c r="C727">
        <f>YEAR(Raw_Data!$A727)</f>
        <v>2003</v>
      </c>
      <c r="D727" t="s">
        <v>688</v>
      </c>
      <c r="E727" t="s">
        <v>32</v>
      </c>
      <c r="F727" t="s">
        <v>27</v>
      </c>
      <c r="G727">
        <v>4</v>
      </c>
      <c r="H727">
        <v>1820</v>
      </c>
      <c r="I727" s="1">
        <v>438661</v>
      </c>
      <c r="J727" s="1">
        <f>Raw_Data!$I727/Raw_Data!$H727</f>
        <v>241.02252747252749</v>
      </c>
    </row>
    <row r="728" spans="1:10" x14ac:dyDescent="0.3">
      <c r="A728" s="9">
        <v>40884</v>
      </c>
      <c r="B728" s="2" t="str">
        <f>TEXT(Raw_Data!$A728, "MMM")</f>
        <v>Dec</v>
      </c>
      <c r="C728" s="2">
        <f>YEAR(Raw_Data!$A728)</f>
        <v>2011</v>
      </c>
      <c r="D728" s="2" t="s">
        <v>689</v>
      </c>
      <c r="E728" s="2" t="s">
        <v>15</v>
      </c>
      <c r="F728" s="2" t="s">
        <v>16</v>
      </c>
      <c r="G728" s="2">
        <v>5</v>
      </c>
      <c r="H728" s="2">
        <v>2352</v>
      </c>
      <c r="I728" s="10">
        <v>688442</v>
      </c>
      <c r="J728" s="10">
        <f>Raw_Data!$I728/Raw_Data!$H728</f>
        <v>292.7049319727891</v>
      </c>
    </row>
    <row r="729" spans="1:10" x14ac:dyDescent="0.3">
      <c r="A729" s="8">
        <v>37376</v>
      </c>
      <c r="B729" t="str">
        <f>TEXT(Raw_Data!$A729, "MMM")</f>
        <v>Apr</v>
      </c>
      <c r="C729">
        <f>YEAR(Raw_Data!$A729)</f>
        <v>2002</v>
      </c>
      <c r="D729" t="s">
        <v>690</v>
      </c>
      <c r="E729" t="s">
        <v>25</v>
      </c>
      <c r="F729" t="s">
        <v>11</v>
      </c>
      <c r="G729">
        <v>2</v>
      </c>
      <c r="H729">
        <v>1234</v>
      </c>
      <c r="I729" s="1">
        <v>392896</v>
      </c>
      <c r="J729" s="1">
        <f>Raw_Data!$I729/Raw_Data!$H729</f>
        <v>318.39222042139386</v>
      </c>
    </row>
    <row r="730" spans="1:10" x14ac:dyDescent="0.3">
      <c r="A730" s="9">
        <v>40134</v>
      </c>
      <c r="B730" s="2" t="str">
        <f>TEXT(Raw_Data!$A730, "MMM")</f>
        <v>Nov</v>
      </c>
      <c r="C730" s="2">
        <f>YEAR(Raw_Data!$A730)</f>
        <v>2009</v>
      </c>
      <c r="D730" s="2" t="s">
        <v>691</v>
      </c>
      <c r="E730" s="2" t="s">
        <v>15</v>
      </c>
      <c r="F730" s="2" t="s">
        <v>27</v>
      </c>
      <c r="G730" s="2">
        <v>4</v>
      </c>
      <c r="H730" s="2">
        <v>3240</v>
      </c>
      <c r="I730" s="10">
        <v>756699</v>
      </c>
      <c r="J730" s="10">
        <f>Raw_Data!$I730/Raw_Data!$H730</f>
        <v>233.54907407407407</v>
      </c>
    </row>
    <row r="731" spans="1:10" x14ac:dyDescent="0.3">
      <c r="A731" s="8">
        <v>43243</v>
      </c>
      <c r="B731" t="str">
        <f>TEXT(Raw_Data!$A731, "MMM")</f>
        <v>May</v>
      </c>
      <c r="C731">
        <f>YEAR(Raw_Data!$A731)</f>
        <v>2018</v>
      </c>
      <c r="D731" t="s">
        <v>692</v>
      </c>
      <c r="E731" t="s">
        <v>21</v>
      </c>
      <c r="F731" t="s">
        <v>11</v>
      </c>
      <c r="G731">
        <v>3</v>
      </c>
      <c r="H731">
        <v>3347</v>
      </c>
      <c r="I731" s="1">
        <v>655435</v>
      </c>
      <c r="J731" s="1">
        <f>Raw_Data!$I731/Raw_Data!$H731</f>
        <v>195.82760681207051</v>
      </c>
    </row>
    <row r="732" spans="1:10" x14ac:dyDescent="0.3">
      <c r="A732" s="9">
        <v>37537</v>
      </c>
      <c r="B732" s="2" t="str">
        <f>TEXT(Raw_Data!$A732, "MMM")</f>
        <v>Oct</v>
      </c>
      <c r="C732" s="2">
        <f>YEAR(Raw_Data!$A732)</f>
        <v>2002</v>
      </c>
      <c r="D732" s="2" t="s">
        <v>693</v>
      </c>
      <c r="E732" s="2" t="s">
        <v>29</v>
      </c>
      <c r="F732" s="2" t="s">
        <v>27</v>
      </c>
      <c r="G732" s="2"/>
      <c r="H732" s="2">
        <v>2688</v>
      </c>
      <c r="I732" s="10">
        <v>540979</v>
      </c>
      <c r="J732" s="10">
        <f>Raw_Data!$I732/Raw_Data!$H732</f>
        <v>201.25706845238096</v>
      </c>
    </row>
    <row r="733" spans="1:10" x14ac:dyDescent="0.3">
      <c r="A733" s="8">
        <v>41927</v>
      </c>
      <c r="B733" t="str">
        <f>TEXT(Raw_Data!$A733, "MMM")</f>
        <v>Oct</v>
      </c>
      <c r="C733">
        <f>YEAR(Raw_Data!$A733)</f>
        <v>2014</v>
      </c>
      <c r="D733" t="s">
        <v>694</v>
      </c>
      <c r="E733" t="s">
        <v>13</v>
      </c>
      <c r="F733" t="s">
        <v>18</v>
      </c>
      <c r="G733">
        <v>5</v>
      </c>
      <c r="H733">
        <v>2534</v>
      </c>
      <c r="I733" s="1">
        <v>743989</v>
      </c>
      <c r="J733" s="1">
        <f>Raw_Data!$I733/Raw_Data!$H733</f>
        <v>293.60260457774268</v>
      </c>
    </row>
    <row r="734" spans="1:10" x14ac:dyDescent="0.3">
      <c r="A734" s="9">
        <v>42599</v>
      </c>
      <c r="B734" s="2" t="str">
        <f>TEXT(Raw_Data!$A734, "MMM")</f>
        <v>Aug</v>
      </c>
      <c r="C734" s="2">
        <f>YEAR(Raw_Data!$A734)</f>
        <v>2016</v>
      </c>
      <c r="D734" s="2" t="s">
        <v>695</v>
      </c>
      <c r="E734" s="2" t="s">
        <v>15</v>
      </c>
      <c r="F734" s="2" t="s">
        <v>16</v>
      </c>
      <c r="G734" s="2">
        <v>5</v>
      </c>
      <c r="H734" s="2">
        <v>2722</v>
      </c>
      <c r="I734" s="10">
        <v>252083</v>
      </c>
      <c r="J734" s="10">
        <f>Raw_Data!$I734/Raw_Data!$H734</f>
        <v>92.609478324761199</v>
      </c>
    </row>
    <row r="735" spans="1:10" x14ac:dyDescent="0.3">
      <c r="A735" s="8">
        <v>37866</v>
      </c>
      <c r="B735" t="str">
        <f>TEXT(Raw_Data!$A735, "MMM")</f>
        <v>Sep</v>
      </c>
      <c r="C735">
        <f>YEAR(Raw_Data!$A735)</f>
        <v>2003</v>
      </c>
      <c r="D735" t="s">
        <v>696</v>
      </c>
      <c r="E735" t="s">
        <v>32</v>
      </c>
      <c r="F735" t="s">
        <v>27</v>
      </c>
      <c r="H735">
        <v>1095</v>
      </c>
      <c r="I735" s="1">
        <v>861785</v>
      </c>
      <c r="J735" s="1">
        <f>Raw_Data!$I735/Raw_Data!$H735</f>
        <v>787.01826484018261</v>
      </c>
    </row>
    <row r="736" spans="1:10" x14ac:dyDescent="0.3">
      <c r="A736" s="9">
        <v>38179</v>
      </c>
      <c r="B736" s="2" t="str">
        <f>TEXT(Raw_Data!$A736, "MMM")</f>
        <v>Jul</v>
      </c>
      <c r="C736" s="2">
        <f>YEAR(Raw_Data!$A736)</f>
        <v>2004</v>
      </c>
      <c r="D736" s="2" t="s">
        <v>697</v>
      </c>
      <c r="E736" s="2" t="s">
        <v>25</v>
      </c>
      <c r="F736" s="2" t="s">
        <v>27</v>
      </c>
      <c r="G736" s="2">
        <v>5</v>
      </c>
      <c r="H736" s="2">
        <v>3436</v>
      </c>
      <c r="I736" s="10">
        <v>381929</v>
      </c>
      <c r="J736" s="10">
        <f>Raw_Data!$I736/Raw_Data!$H736</f>
        <v>111.15512223515717</v>
      </c>
    </row>
    <row r="737" spans="1:10" x14ac:dyDescent="0.3">
      <c r="A737" s="8">
        <v>39411</v>
      </c>
      <c r="B737" t="str">
        <f>TEXT(Raw_Data!$A737, "MMM")</f>
        <v>Nov</v>
      </c>
      <c r="C737">
        <f>YEAR(Raw_Data!$A737)</f>
        <v>2007</v>
      </c>
      <c r="D737" t="s">
        <v>698</v>
      </c>
      <c r="E737" t="s">
        <v>21</v>
      </c>
      <c r="F737" t="s">
        <v>18</v>
      </c>
      <c r="G737">
        <v>4</v>
      </c>
      <c r="H737">
        <v>2379</v>
      </c>
      <c r="I737" s="1">
        <v>782470</v>
      </c>
      <c r="J737" s="1">
        <f>Raw_Data!$I737/Raw_Data!$H737</f>
        <v>328.90710382513663</v>
      </c>
    </row>
    <row r="738" spans="1:10" x14ac:dyDescent="0.3">
      <c r="A738" s="9">
        <v>43030</v>
      </c>
      <c r="B738" s="2" t="str">
        <f>TEXT(Raw_Data!$A738, "MMM")</f>
        <v>Oct</v>
      </c>
      <c r="C738" s="2">
        <f>YEAR(Raw_Data!$A738)</f>
        <v>2017</v>
      </c>
      <c r="D738" s="2" t="s">
        <v>699</v>
      </c>
      <c r="E738" s="2" t="s">
        <v>23</v>
      </c>
      <c r="F738" s="2" t="s">
        <v>27</v>
      </c>
      <c r="G738" s="2">
        <v>3</v>
      </c>
      <c r="H738" s="2">
        <v>3488</v>
      </c>
      <c r="I738" s="10">
        <v>285921</v>
      </c>
      <c r="J738" s="10">
        <f>Raw_Data!$I738/Raw_Data!$H738</f>
        <v>81.972763761467888</v>
      </c>
    </row>
    <row r="739" spans="1:10" x14ac:dyDescent="0.3">
      <c r="A739" s="8">
        <v>41843</v>
      </c>
      <c r="B739" t="str">
        <f>TEXT(Raw_Data!$A739, "MMM")</f>
        <v>Jul</v>
      </c>
      <c r="C739">
        <f>YEAR(Raw_Data!$A739)</f>
        <v>2014</v>
      </c>
      <c r="D739" t="s">
        <v>700</v>
      </c>
      <c r="E739" t="s">
        <v>15</v>
      </c>
      <c r="F739" t="s">
        <v>27</v>
      </c>
      <c r="G739">
        <v>4</v>
      </c>
      <c r="H739">
        <v>1623</v>
      </c>
      <c r="I739" s="1">
        <v>467550</v>
      </c>
      <c r="J739" s="1">
        <f>Raw_Data!$I739/Raw_Data!$H739</f>
        <v>288.07763401109059</v>
      </c>
    </row>
    <row r="740" spans="1:10" x14ac:dyDescent="0.3">
      <c r="A740" s="9">
        <v>37378</v>
      </c>
      <c r="B740" s="2" t="str">
        <f>TEXT(Raw_Data!$A740, "MMM")</f>
        <v>May</v>
      </c>
      <c r="C740" s="2">
        <f>YEAR(Raw_Data!$A740)</f>
        <v>2002</v>
      </c>
      <c r="D740" s="2" t="s">
        <v>335</v>
      </c>
      <c r="E740" s="2" t="s">
        <v>15</v>
      </c>
      <c r="F740" s="2" t="s">
        <v>16</v>
      </c>
      <c r="G740" s="2">
        <v>5</v>
      </c>
      <c r="H740" s="2">
        <v>1233</v>
      </c>
      <c r="I740" s="10">
        <v>360896</v>
      </c>
      <c r="J740" s="10">
        <f>Raw_Data!$I740/Raw_Data!$H740</f>
        <v>292.69748580697484</v>
      </c>
    </row>
    <row r="741" spans="1:10" x14ac:dyDescent="0.3">
      <c r="A741" s="8">
        <v>37595</v>
      </c>
      <c r="B741" t="str">
        <f>TEXT(Raw_Data!$A741, "MMM")</f>
        <v>Dec</v>
      </c>
      <c r="C741">
        <f>YEAR(Raw_Data!$A741)</f>
        <v>2002</v>
      </c>
      <c r="D741" t="s">
        <v>701</v>
      </c>
      <c r="E741" t="s">
        <v>25</v>
      </c>
      <c r="F741" t="s">
        <v>16</v>
      </c>
      <c r="G741">
        <v>2</v>
      </c>
      <c r="H741">
        <v>1194</v>
      </c>
      <c r="I741" s="1">
        <v>113629</v>
      </c>
      <c r="J741" s="1">
        <f>Raw_Data!$I741/Raw_Data!$H741</f>
        <v>95.166666666666671</v>
      </c>
    </row>
    <row r="742" spans="1:10" x14ac:dyDescent="0.3">
      <c r="A742" s="9">
        <v>41990</v>
      </c>
      <c r="B742" s="2" t="str">
        <f>TEXT(Raw_Data!$A742, "MMM")</f>
        <v>Dec</v>
      </c>
      <c r="C742" s="2">
        <f>YEAR(Raw_Data!$A742)</f>
        <v>2014</v>
      </c>
      <c r="D742" s="2" t="s">
        <v>702</v>
      </c>
      <c r="E742" s="2" t="s">
        <v>15</v>
      </c>
      <c r="F742" s="2" t="s">
        <v>11</v>
      </c>
      <c r="G742" s="2">
        <v>5</v>
      </c>
      <c r="H742" s="2">
        <v>2613</v>
      </c>
      <c r="I742" s="10">
        <v>188808</v>
      </c>
      <c r="J742" s="10">
        <f>Raw_Data!$I742/Raw_Data!$H742</f>
        <v>72.25717566016074</v>
      </c>
    </row>
    <row r="743" spans="1:10" x14ac:dyDescent="0.3">
      <c r="A743" s="8">
        <v>41122</v>
      </c>
      <c r="B743" t="str">
        <f>TEXT(Raw_Data!$A743, "MMM")</f>
        <v>Aug</v>
      </c>
      <c r="C743">
        <f>YEAR(Raw_Data!$A743)</f>
        <v>2012</v>
      </c>
      <c r="D743" t="s">
        <v>703</v>
      </c>
      <c r="E743" t="s">
        <v>15</v>
      </c>
      <c r="F743" t="s">
        <v>16</v>
      </c>
      <c r="G743">
        <v>5</v>
      </c>
      <c r="H743">
        <v>1676</v>
      </c>
      <c r="I743" s="1">
        <v>117242</v>
      </c>
      <c r="J743" s="1">
        <f>Raw_Data!$I743/Raw_Data!$H743</f>
        <v>69.953460620525064</v>
      </c>
    </row>
    <row r="744" spans="1:10" x14ac:dyDescent="0.3">
      <c r="A744" s="9">
        <v>43939</v>
      </c>
      <c r="B744" s="2" t="str">
        <f>TEXT(Raw_Data!$A744, "MMM")</f>
        <v>Apr</v>
      </c>
      <c r="C744" s="2">
        <f>YEAR(Raw_Data!$A744)</f>
        <v>2020</v>
      </c>
      <c r="D744" s="2" t="s">
        <v>704</v>
      </c>
      <c r="E744" s="2" t="s">
        <v>25</v>
      </c>
      <c r="F744" s="2" t="s">
        <v>18</v>
      </c>
      <c r="G744" s="2">
        <v>4</v>
      </c>
      <c r="H744" s="2">
        <v>1902</v>
      </c>
      <c r="I744" s="10">
        <v>308680</v>
      </c>
      <c r="J744" s="10">
        <f>Raw_Data!$I744/Raw_Data!$H744</f>
        <v>162.29232386961093</v>
      </c>
    </row>
    <row r="745" spans="1:10" x14ac:dyDescent="0.3">
      <c r="A745" s="8">
        <v>37402</v>
      </c>
      <c r="B745" t="str">
        <f>TEXT(Raw_Data!$A745, "MMM")</f>
        <v>May</v>
      </c>
      <c r="C745">
        <f>YEAR(Raw_Data!$A745)</f>
        <v>2002</v>
      </c>
      <c r="D745" t="s">
        <v>705</v>
      </c>
      <c r="E745" t="s">
        <v>23</v>
      </c>
      <c r="F745" t="s">
        <v>16</v>
      </c>
      <c r="H745">
        <v>1089</v>
      </c>
      <c r="I745" s="1">
        <v>880596</v>
      </c>
      <c r="J745" s="1">
        <f>Raw_Data!$I745/Raw_Data!$H745</f>
        <v>808.62809917355366</v>
      </c>
    </row>
    <row r="746" spans="1:10" x14ac:dyDescent="0.3">
      <c r="A746" s="9">
        <v>42581</v>
      </c>
      <c r="B746" s="2" t="str">
        <f>TEXT(Raw_Data!$A746, "MMM")</f>
        <v>Jul</v>
      </c>
      <c r="C746" s="2">
        <f>YEAR(Raw_Data!$A746)</f>
        <v>2016</v>
      </c>
      <c r="D746" s="2" t="s">
        <v>706</v>
      </c>
      <c r="E746" s="2" t="s">
        <v>13</v>
      </c>
      <c r="F746" s="2" t="s">
        <v>27</v>
      </c>
      <c r="G746" s="2">
        <v>3</v>
      </c>
      <c r="H746" s="2">
        <v>3279</v>
      </c>
      <c r="I746" s="10">
        <v>825683</v>
      </c>
      <c r="J746" s="10">
        <f>Raw_Data!$I746/Raw_Data!$H746</f>
        <v>251.80939310765478</v>
      </c>
    </row>
    <row r="747" spans="1:10" x14ac:dyDescent="0.3">
      <c r="A747" s="8">
        <v>42953</v>
      </c>
      <c r="B747" t="str">
        <f>TEXT(Raw_Data!$A747, "MMM")</f>
        <v>Aug</v>
      </c>
      <c r="C747">
        <f>YEAR(Raw_Data!$A747)</f>
        <v>2017</v>
      </c>
      <c r="D747" t="s">
        <v>707</v>
      </c>
      <c r="E747" t="s">
        <v>15</v>
      </c>
      <c r="F747" t="s">
        <v>11</v>
      </c>
      <c r="G747">
        <v>5</v>
      </c>
      <c r="H747">
        <v>1904</v>
      </c>
      <c r="I747" s="1">
        <v>568467</v>
      </c>
      <c r="J747" s="1">
        <f>Raw_Data!$I747/Raw_Data!$H747</f>
        <v>298.56460084033614</v>
      </c>
    </row>
    <row r="748" spans="1:10" x14ac:dyDescent="0.3">
      <c r="A748" s="9">
        <v>38221</v>
      </c>
      <c r="B748" s="2" t="str">
        <f>TEXT(Raw_Data!$A748, "MMM")</f>
        <v>Aug</v>
      </c>
      <c r="C748" s="2">
        <f>YEAR(Raw_Data!$A748)</f>
        <v>2004</v>
      </c>
      <c r="D748" s="2" t="s">
        <v>708</v>
      </c>
      <c r="E748" s="2" t="s">
        <v>15</v>
      </c>
      <c r="F748" s="2" t="s">
        <v>16</v>
      </c>
      <c r="G748" s="2">
        <v>3</v>
      </c>
      <c r="H748" s="2">
        <v>1722</v>
      </c>
      <c r="I748" s="10">
        <v>281396</v>
      </c>
      <c r="J748" s="10">
        <f>Raw_Data!$I748/Raw_Data!$H748</f>
        <v>163.41231126596981</v>
      </c>
    </row>
    <row r="749" spans="1:10" x14ac:dyDescent="0.3">
      <c r="A749" s="8">
        <v>43170</v>
      </c>
      <c r="B749" t="str">
        <f>TEXT(Raw_Data!$A749, "MMM")</f>
        <v>Mar</v>
      </c>
      <c r="C749">
        <f>YEAR(Raw_Data!$A749)</f>
        <v>2018</v>
      </c>
      <c r="D749" t="s">
        <v>709</v>
      </c>
      <c r="E749" t="s">
        <v>13</v>
      </c>
      <c r="F749" t="s">
        <v>18</v>
      </c>
      <c r="G749">
        <v>4</v>
      </c>
      <c r="H749">
        <v>2027</v>
      </c>
      <c r="I749" s="1">
        <v>519143</v>
      </c>
      <c r="J749" s="1">
        <f>Raw_Data!$I749/Raw_Data!$H749</f>
        <v>256.11396151948691</v>
      </c>
    </row>
    <row r="750" spans="1:10" x14ac:dyDescent="0.3">
      <c r="A750" s="9">
        <v>39132</v>
      </c>
      <c r="B750" s="2" t="str">
        <f>TEXT(Raw_Data!$A750, "MMM")</f>
        <v>Feb</v>
      </c>
      <c r="C750" s="2">
        <f>YEAR(Raw_Data!$A750)</f>
        <v>2007</v>
      </c>
      <c r="D750" s="2" t="s">
        <v>710</v>
      </c>
      <c r="E750" s="2" t="s">
        <v>25</v>
      </c>
      <c r="F750" s="2" t="s">
        <v>27</v>
      </c>
      <c r="G750" s="2">
        <v>3</v>
      </c>
      <c r="H750" s="2">
        <v>3497</v>
      </c>
      <c r="I750" s="10">
        <v>656772</v>
      </c>
      <c r="J750" s="10">
        <f>Raw_Data!$I750/Raw_Data!$H750</f>
        <v>187.81012296253931</v>
      </c>
    </row>
    <row r="751" spans="1:10" x14ac:dyDescent="0.3">
      <c r="A751" s="8">
        <v>41984</v>
      </c>
      <c r="B751" t="str">
        <f>TEXT(Raw_Data!$A751, "MMM")</f>
        <v>Dec</v>
      </c>
      <c r="C751">
        <f>YEAR(Raw_Data!$A751)</f>
        <v>2014</v>
      </c>
      <c r="D751" t="s">
        <v>711</v>
      </c>
      <c r="E751" t="s">
        <v>32</v>
      </c>
      <c r="F751" t="s">
        <v>11</v>
      </c>
      <c r="G751">
        <v>2</v>
      </c>
      <c r="H751">
        <v>1015</v>
      </c>
      <c r="I751" s="1">
        <v>422176</v>
      </c>
      <c r="J751" s="1">
        <f>Raw_Data!$I751/Raw_Data!$H751</f>
        <v>415.93694581280789</v>
      </c>
    </row>
    <row r="752" spans="1:10" x14ac:dyDescent="0.3">
      <c r="A752" s="9">
        <v>44182</v>
      </c>
      <c r="B752" s="2" t="str">
        <f>TEXT(Raw_Data!$A752, "MMM")</f>
        <v>Dec</v>
      </c>
      <c r="C752" s="2">
        <f>YEAR(Raw_Data!$A752)</f>
        <v>2020</v>
      </c>
      <c r="D752" s="2" t="s">
        <v>712</v>
      </c>
      <c r="E752" s="2" t="s">
        <v>32</v>
      </c>
      <c r="F752" s="2" t="s">
        <v>16</v>
      </c>
      <c r="G752" s="2">
        <v>2</v>
      </c>
      <c r="H752" s="2">
        <v>3213</v>
      </c>
      <c r="I752" s="10">
        <v>536613</v>
      </c>
      <c r="J752" s="10">
        <f>Raw_Data!$I752/Raw_Data!$H752</f>
        <v>167.01307189542484</v>
      </c>
    </row>
    <row r="753" spans="1:10" x14ac:dyDescent="0.3">
      <c r="A753" s="8">
        <v>37293</v>
      </c>
      <c r="B753" t="str">
        <f>TEXT(Raw_Data!$A753, "MMM")</f>
        <v>Feb</v>
      </c>
      <c r="C753">
        <f>YEAR(Raw_Data!$A753)</f>
        <v>2002</v>
      </c>
      <c r="D753" t="s">
        <v>237</v>
      </c>
      <c r="E753" t="s">
        <v>32</v>
      </c>
      <c r="F753" t="s">
        <v>27</v>
      </c>
      <c r="G753">
        <v>2</v>
      </c>
      <c r="H753">
        <v>2457</v>
      </c>
      <c r="I753" s="1">
        <v>432485</v>
      </c>
      <c r="J753" s="1">
        <f>Raw_Data!$I753/Raw_Data!$H753</f>
        <v>176.02157102157102</v>
      </c>
    </row>
    <row r="754" spans="1:10" x14ac:dyDescent="0.3">
      <c r="A754" s="9">
        <v>38233</v>
      </c>
      <c r="B754" s="2" t="str">
        <f>TEXT(Raw_Data!$A754, "MMM")</f>
        <v>Sep</v>
      </c>
      <c r="C754" s="2">
        <f>YEAR(Raw_Data!$A754)</f>
        <v>2004</v>
      </c>
      <c r="D754" s="2" t="s">
        <v>713</v>
      </c>
      <c r="E754" s="2" t="s">
        <v>29</v>
      </c>
      <c r="F754" s="2" t="s">
        <v>16</v>
      </c>
      <c r="G754" s="2">
        <v>4</v>
      </c>
      <c r="H754" s="2">
        <v>816</v>
      </c>
      <c r="I754" s="10">
        <v>609060</v>
      </c>
      <c r="J754" s="10">
        <f>Raw_Data!$I754/Raw_Data!$H754</f>
        <v>746.39705882352939</v>
      </c>
    </row>
    <row r="755" spans="1:10" x14ac:dyDescent="0.3">
      <c r="A755" s="8">
        <v>41582</v>
      </c>
      <c r="B755" t="str">
        <f>TEXT(Raw_Data!$A755, "MMM")</f>
        <v>Nov</v>
      </c>
      <c r="C755">
        <f>YEAR(Raw_Data!$A755)</f>
        <v>2013</v>
      </c>
      <c r="D755" t="s">
        <v>714</v>
      </c>
      <c r="E755" t="s">
        <v>15</v>
      </c>
      <c r="F755" t="s">
        <v>18</v>
      </c>
      <c r="G755">
        <v>5</v>
      </c>
      <c r="H755">
        <v>2905</v>
      </c>
      <c r="I755" s="1">
        <v>374863</v>
      </c>
      <c r="J755" s="1">
        <f>Raw_Data!$I755/Raw_Data!$H755</f>
        <v>129.0406196213425</v>
      </c>
    </row>
    <row r="756" spans="1:10" x14ac:dyDescent="0.3">
      <c r="A756" s="9">
        <v>38101</v>
      </c>
      <c r="B756" s="2" t="str">
        <f>TEXT(Raw_Data!$A756, "MMM")</f>
        <v>Apr</v>
      </c>
      <c r="C756" s="2">
        <f>YEAR(Raw_Data!$A756)</f>
        <v>2004</v>
      </c>
      <c r="D756" s="2" t="s">
        <v>715</v>
      </c>
      <c r="E756" s="2" t="s">
        <v>29</v>
      </c>
      <c r="F756" s="2" t="s">
        <v>11</v>
      </c>
      <c r="G756" s="2">
        <v>2</v>
      </c>
      <c r="H756" s="2">
        <v>1137</v>
      </c>
      <c r="I756" s="10">
        <v>712913</v>
      </c>
      <c r="J756" s="10">
        <f>Raw_Data!$I756/Raw_Data!$H756</f>
        <v>627.01231310466142</v>
      </c>
    </row>
    <row r="757" spans="1:10" x14ac:dyDescent="0.3">
      <c r="A757" s="8">
        <v>41173</v>
      </c>
      <c r="B757" t="str">
        <f>TEXT(Raw_Data!$A757, "MMM")</f>
        <v>Sep</v>
      </c>
      <c r="C757">
        <f>YEAR(Raw_Data!$A757)</f>
        <v>2012</v>
      </c>
      <c r="D757" t="s">
        <v>716</v>
      </c>
      <c r="E757" t="s">
        <v>32</v>
      </c>
      <c r="F757" t="s">
        <v>27</v>
      </c>
      <c r="G757">
        <v>5</v>
      </c>
      <c r="H757">
        <v>1220</v>
      </c>
      <c r="I757" s="1">
        <v>254298</v>
      </c>
      <c r="J757" s="1">
        <f>Raw_Data!$I757/Raw_Data!$H757</f>
        <v>208.44098360655738</v>
      </c>
    </row>
    <row r="758" spans="1:10" x14ac:dyDescent="0.3">
      <c r="A758" s="9">
        <v>41168</v>
      </c>
      <c r="B758" s="2" t="str">
        <f>TEXT(Raw_Data!$A758, "MMM")</f>
        <v>Sep</v>
      </c>
      <c r="C758" s="2">
        <f>YEAR(Raw_Data!$A758)</f>
        <v>2012</v>
      </c>
      <c r="D758" s="2" t="s">
        <v>717</v>
      </c>
      <c r="E758" s="2" t="s">
        <v>25</v>
      </c>
      <c r="F758" s="2" t="s">
        <v>18</v>
      </c>
      <c r="G758" s="2"/>
      <c r="H758" s="2">
        <v>1361</v>
      </c>
      <c r="I758" s="10">
        <v>708728</v>
      </c>
      <c r="J758" s="10">
        <f>Raw_Data!$I758/Raw_Data!$H758</f>
        <v>520.74063188831747</v>
      </c>
    </row>
    <row r="759" spans="1:10" x14ac:dyDescent="0.3">
      <c r="A759" s="8">
        <v>43838</v>
      </c>
      <c r="B759" t="str">
        <f>TEXT(Raw_Data!$A759, "MMM")</f>
        <v>Jan</v>
      </c>
      <c r="C759">
        <f>YEAR(Raw_Data!$A759)</f>
        <v>2020</v>
      </c>
      <c r="D759" t="s">
        <v>360</v>
      </c>
      <c r="E759" t="s">
        <v>15</v>
      </c>
      <c r="F759" t="s">
        <v>27</v>
      </c>
      <c r="H759">
        <v>3250</v>
      </c>
      <c r="I759" s="1">
        <v>357347</v>
      </c>
      <c r="J759" s="1">
        <f>Raw_Data!$I759/Raw_Data!$H759</f>
        <v>109.95292307692307</v>
      </c>
    </row>
    <row r="760" spans="1:10" x14ac:dyDescent="0.3">
      <c r="A760" s="9">
        <v>36957</v>
      </c>
      <c r="B760" s="2" t="str">
        <f>TEXT(Raw_Data!$A760, "MMM")</f>
        <v>Mar</v>
      </c>
      <c r="C760" s="2">
        <f>YEAR(Raw_Data!$A760)</f>
        <v>2001</v>
      </c>
      <c r="D760" s="2" t="s">
        <v>700</v>
      </c>
      <c r="E760" s="2" t="s">
        <v>15</v>
      </c>
      <c r="F760" s="2" t="s">
        <v>27</v>
      </c>
      <c r="G760" s="2"/>
      <c r="H760" s="2">
        <v>2038</v>
      </c>
      <c r="I760" s="10">
        <v>174453</v>
      </c>
      <c r="J760" s="10">
        <f>Raw_Data!$I760/Raw_Data!$H760</f>
        <v>85.60009813542689</v>
      </c>
    </row>
    <row r="761" spans="1:10" x14ac:dyDescent="0.3">
      <c r="A761" s="8">
        <v>40387</v>
      </c>
      <c r="B761" t="str">
        <f>TEXT(Raw_Data!$A761, "MMM")</f>
        <v>Jul</v>
      </c>
      <c r="C761">
        <f>YEAR(Raw_Data!$A761)</f>
        <v>2010</v>
      </c>
      <c r="D761" t="s">
        <v>718</v>
      </c>
      <c r="E761" t="s">
        <v>32</v>
      </c>
      <c r="F761" t="s">
        <v>27</v>
      </c>
      <c r="G761">
        <v>2</v>
      </c>
      <c r="H761">
        <v>2172</v>
      </c>
      <c r="I761" s="1">
        <v>132381</v>
      </c>
      <c r="J761" s="1">
        <f>Raw_Data!$I761/Raw_Data!$H761</f>
        <v>60.94889502762431</v>
      </c>
    </row>
    <row r="762" spans="1:10" x14ac:dyDescent="0.3">
      <c r="A762" s="9">
        <v>40820</v>
      </c>
      <c r="B762" s="2" t="str">
        <f>TEXT(Raw_Data!$A762, "MMM")</f>
        <v>Oct</v>
      </c>
      <c r="C762" s="2">
        <f>YEAR(Raw_Data!$A762)</f>
        <v>2011</v>
      </c>
      <c r="D762" s="2" t="s">
        <v>719</v>
      </c>
      <c r="E762" s="2" t="s">
        <v>23</v>
      </c>
      <c r="F762" s="2" t="s">
        <v>16</v>
      </c>
      <c r="G762" s="2"/>
      <c r="H762" s="2">
        <v>3155</v>
      </c>
      <c r="I762" s="10">
        <v>204449</v>
      </c>
      <c r="J762" s="10">
        <f>Raw_Data!$I762/Raw_Data!$H762</f>
        <v>64.80158478605388</v>
      </c>
    </row>
    <row r="763" spans="1:10" x14ac:dyDescent="0.3">
      <c r="A763" s="8">
        <v>39652</v>
      </c>
      <c r="B763" t="str">
        <f>TEXT(Raw_Data!$A763, "MMM")</f>
        <v>Jul</v>
      </c>
      <c r="C763">
        <f>YEAR(Raw_Data!$A763)</f>
        <v>2008</v>
      </c>
      <c r="D763" t="s">
        <v>720</v>
      </c>
      <c r="E763" t="s">
        <v>25</v>
      </c>
      <c r="F763" t="s">
        <v>27</v>
      </c>
      <c r="G763">
        <v>4</v>
      </c>
      <c r="H763">
        <v>1159</v>
      </c>
      <c r="I763" s="1">
        <v>638916</v>
      </c>
      <c r="J763" s="1">
        <f>Raw_Data!$I763/Raw_Data!$H763</f>
        <v>551.26488352027604</v>
      </c>
    </row>
    <row r="764" spans="1:10" x14ac:dyDescent="0.3">
      <c r="A764" s="9">
        <v>44074</v>
      </c>
      <c r="B764" s="2" t="str">
        <f>TEXT(Raw_Data!$A764, "MMM")</f>
        <v>Aug</v>
      </c>
      <c r="C764" s="2">
        <f>YEAR(Raw_Data!$A764)</f>
        <v>2020</v>
      </c>
      <c r="D764" s="2" t="s">
        <v>721</v>
      </c>
      <c r="E764" s="2" t="s">
        <v>25</v>
      </c>
      <c r="F764" s="2" t="s">
        <v>16</v>
      </c>
      <c r="G764" s="2">
        <v>3</v>
      </c>
      <c r="H764" s="2">
        <v>802</v>
      </c>
      <c r="I764" s="10">
        <v>863061</v>
      </c>
      <c r="J764" s="10">
        <f>Raw_Data!$I764/Raw_Data!$H764</f>
        <v>1076.1359102244389</v>
      </c>
    </row>
    <row r="765" spans="1:10" x14ac:dyDescent="0.3">
      <c r="A765" s="8">
        <v>42632</v>
      </c>
      <c r="B765" t="str">
        <f>TEXT(Raw_Data!$A765, "MMM")</f>
        <v>Sep</v>
      </c>
      <c r="C765">
        <f>YEAR(Raw_Data!$A765)</f>
        <v>2016</v>
      </c>
      <c r="D765" t="s">
        <v>722</v>
      </c>
      <c r="E765" t="s">
        <v>13</v>
      </c>
      <c r="F765" t="s">
        <v>16</v>
      </c>
      <c r="G765">
        <v>5</v>
      </c>
      <c r="H765">
        <v>1873</v>
      </c>
      <c r="I765" s="1">
        <v>776986</v>
      </c>
      <c r="J765" s="1">
        <f>Raw_Data!$I765/Raw_Data!$H765</f>
        <v>414.83502402562732</v>
      </c>
    </row>
    <row r="766" spans="1:10" x14ac:dyDescent="0.3">
      <c r="A766" s="9">
        <v>41370</v>
      </c>
      <c r="B766" s="2" t="str">
        <f>TEXT(Raw_Data!$A766, "MMM")</f>
        <v>Apr</v>
      </c>
      <c r="C766" s="2">
        <f>YEAR(Raw_Data!$A766)</f>
        <v>2013</v>
      </c>
      <c r="D766" s="2" t="s">
        <v>723</v>
      </c>
      <c r="E766" s="2" t="s">
        <v>15</v>
      </c>
      <c r="F766" s="2" t="s">
        <v>11</v>
      </c>
      <c r="G766" s="2">
        <v>3</v>
      </c>
      <c r="H766" s="2">
        <v>2858</v>
      </c>
      <c r="I766" s="10">
        <v>149990</v>
      </c>
      <c r="J766" s="10">
        <f>Raw_Data!$I766/Raw_Data!$H766</f>
        <v>52.480755773268022</v>
      </c>
    </row>
    <row r="767" spans="1:10" x14ac:dyDescent="0.3">
      <c r="A767" s="8">
        <v>43227</v>
      </c>
      <c r="B767" t="str">
        <f>TEXT(Raw_Data!$A767, "MMM")</f>
        <v>May</v>
      </c>
      <c r="C767">
        <f>YEAR(Raw_Data!$A767)</f>
        <v>2018</v>
      </c>
      <c r="D767" t="s">
        <v>724</v>
      </c>
      <c r="E767" t="s">
        <v>25</v>
      </c>
      <c r="F767" t="s">
        <v>27</v>
      </c>
      <c r="G767">
        <v>3</v>
      </c>
      <c r="H767">
        <v>2496</v>
      </c>
      <c r="I767" s="1">
        <v>721905</v>
      </c>
      <c r="J767" s="1">
        <f>Raw_Data!$I767/Raw_Data!$H767</f>
        <v>289.22475961538464</v>
      </c>
    </row>
    <row r="768" spans="1:10" x14ac:dyDescent="0.3">
      <c r="A768" s="9">
        <v>37329</v>
      </c>
      <c r="B768" s="2" t="str">
        <f>TEXT(Raw_Data!$A768, "MMM")</f>
        <v>Mar</v>
      </c>
      <c r="C768" s="2">
        <f>YEAR(Raw_Data!$A768)</f>
        <v>2002</v>
      </c>
      <c r="D768" s="2" t="s">
        <v>725</v>
      </c>
      <c r="E768" s="2" t="s">
        <v>29</v>
      </c>
      <c r="F768" s="2" t="s">
        <v>27</v>
      </c>
      <c r="G768" s="2">
        <v>3</v>
      </c>
      <c r="H768" s="2">
        <v>986</v>
      </c>
      <c r="I768" s="10">
        <v>418736</v>
      </c>
      <c r="J768" s="10">
        <f>Raw_Data!$I768/Raw_Data!$H768</f>
        <v>424.68154158215009</v>
      </c>
    </row>
    <row r="769" spans="1:10" x14ac:dyDescent="0.3">
      <c r="A769" s="8">
        <v>38319</v>
      </c>
      <c r="B769" t="str">
        <f>TEXT(Raw_Data!$A769, "MMM")</f>
        <v>Nov</v>
      </c>
      <c r="C769">
        <f>YEAR(Raw_Data!$A769)</f>
        <v>2004</v>
      </c>
      <c r="D769" t="s">
        <v>726</v>
      </c>
      <c r="E769" t="s">
        <v>21</v>
      </c>
      <c r="F769" t="s">
        <v>16</v>
      </c>
      <c r="G769">
        <v>3</v>
      </c>
      <c r="H769">
        <v>2681</v>
      </c>
      <c r="I769" s="1">
        <v>722352</v>
      </c>
      <c r="J769" s="1">
        <f>Raw_Data!$I769/Raw_Data!$H769</f>
        <v>269.43379336068631</v>
      </c>
    </row>
    <row r="770" spans="1:10" x14ac:dyDescent="0.3">
      <c r="A770" s="9">
        <v>39855</v>
      </c>
      <c r="B770" s="2" t="str">
        <f>TEXT(Raw_Data!$A770, "MMM")</f>
        <v>Feb</v>
      </c>
      <c r="C770" s="2">
        <f>YEAR(Raw_Data!$A770)</f>
        <v>2009</v>
      </c>
      <c r="D770" s="2" t="s">
        <v>727</v>
      </c>
      <c r="E770" s="2" t="s">
        <v>15</v>
      </c>
      <c r="F770" s="2" t="s">
        <v>18</v>
      </c>
      <c r="G770" s="2"/>
      <c r="H770" s="2">
        <v>915</v>
      </c>
      <c r="I770" s="10">
        <v>713409</v>
      </c>
      <c r="J770" s="10">
        <f>Raw_Data!$I770/Raw_Data!$H770</f>
        <v>779.68196721311472</v>
      </c>
    </row>
    <row r="771" spans="1:10" x14ac:dyDescent="0.3">
      <c r="A771" s="8">
        <v>42044</v>
      </c>
      <c r="B771" t="str">
        <f>TEXT(Raw_Data!$A771, "MMM")</f>
        <v>Feb</v>
      </c>
      <c r="C771">
        <f>YEAR(Raw_Data!$A771)</f>
        <v>2015</v>
      </c>
      <c r="D771" t="s">
        <v>728</v>
      </c>
      <c r="E771" t="s">
        <v>23</v>
      </c>
      <c r="F771" t="s">
        <v>18</v>
      </c>
      <c r="G771">
        <v>4</v>
      </c>
      <c r="H771">
        <v>2621</v>
      </c>
      <c r="I771" s="1">
        <v>681078</v>
      </c>
      <c r="J771" s="1">
        <f>Raw_Data!$I771/Raw_Data!$H771</f>
        <v>259.85425410148798</v>
      </c>
    </row>
    <row r="772" spans="1:10" x14ac:dyDescent="0.3">
      <c r="A772" s="9">
        <v>38944</v>
      </c>
      <c r="B772" s="2" t="str">
        <f>TEXT(Raw_Data!$A772, "MMM")</f>
        <v>Aug</v>
      </c>
      <c r="C772" s="2">
        <f>YEAR(Raw_Data!$A772)</f>
        <v>2006</v>
      </c>
      <c r="D772" s="2" t="s">
        <v>729</v>
      </c>
      <c r="E772" s="2" t="s">
        <v>32</v>
      </c>
      <c r="F772" s="2" t="s">
        <v>18</v>
      </c>
      <c r="G772" s="2">
        <v>2</v>
      </c>
      <c r="H772" s="2">
        <v>1956</v>
      </c>
      <c r="I772" s="10">
        <v>165821</v>
      </c>
      <c r="J772" s="10">
        <f>Raw_Data!$I772/Raw_Data!$H772</f>
        <v>84.775562372188134</v>
      </c>
    </row>
    <row r="773" spans="1:10" x14ac:dyDescent="0.3">
      <c r="A773" s="8">
        <v>40207</v>
      </c>
      <c r="B773" t="str">
        <f>TEXT(Raw_Data!$A773, "MMM")</f>
        <v>Jan</v>
      </c>
      <c r="C773">
        <f>YEAR(Raw_Data!$A773)</f>
        <v>2010</v>
      </c>
      <c r="D773" t="s">
        <v>295</v>
      </c>
      <c r="E773" t="s">
        <v>32</v>
      </c>
      <c r="F773" t="s">
        <v>11</v>
      </c>
      <c r="G773">
        <v>2</v>
      </c>
      <c r="H773">
        <v>3081</v>
      </c>
      <c r="I773" s="1">
        <v>559049</v>
      </c>
      <c r="J773" s="1">
        <f>Raw_Data!$I773/Raw_Data!$H773</f>
        <v>181.45050308341447</v>
      </c>
    </row>
    <row r="774" spans="1:10" x14ac:dyDescent="0.3">
      <c r="A774" s="9">
        <v>44185</v>
      </c>
      <c r="B774" s="2" t="str">
        <f>TEXT(Raw_Data!$A774, "MMM")</f>
        <v>Dec</v>
      </c>
      <c r="C774" s="2">
        <f>YEAR(Raw_Data!$A774)</f>
        <v>2020</v>
      </c>
      <c r="D774" s="2" t="s">
        <v>730</v>
      </c>
      <c r="E774" s="2" t="s">
        <v>25</v>
      </c>
      <c r="F774" s="2" t="s">
        <v>16</v>
      </c>
      <c r="G774" s="2"/>
      <c r="H774" s="2">
        <v>1725</v>
      </c>
      <c r="I774" s="10">
        <v>125181</v>
      </c>
      <c r="J774" s="10">
        <f>Raw_Data!$I774/Raw_Data!$H774</f>
        <v>72.568695652173915</v>
      </c>
    </row>
    <row r="775" spans="1:10" x14ac:dyDescent="0.3">
      <c r="A775" s="8">
        <v>38092</v>
      </c>
      <c r="B775" t="str">
        <f>TEXT(Raw_Data!$A775, "MMM")</f>
        <v>Apr</v>
      </c>
      <c r="C775">
        <f>YEAR(Raw_Data!$A775)</f>
        <v>2004</v>
      </c>
      <c r="D775" t="s">
        <v>731</v>
      </c>
      <c r="E775" t="s">
        <v>21</v>
      </c>
      <c r="F775" t="s">
        <v>16</v>
      </c>
      <c r="H775">
        <v>2736</v>
      </c>
      <c r="I775" s="1">
        <v>515248</v>
      </c>
      <c r="J775" s="1">
        <f>Raw_Data!$I775/Raw_Data!$H775</f>
        <v>188.32163742690059</v>
      </c>
    </row>
    <row r="776" spans="1:10" x14ac:dyDescent="0.3">
      <c r="A776" s="9">
        <v>44011</v>
      </c>
      <c r="B776" s="2" t="str">
        <f>TEXT(Raw_Data!$A776, "MMM")</f>
        <v>Jun</v>
      </c>
      <c r="C776" s="2">
        <f>YEAR(Raw_Data!$A776)</f>
        <v>2020</v>
      </c>
      <c r="D776" s="2" t="s">
        <v>313</v>
      </c>
      <c r="E776" s="2" t="s">
        <v>32</v>
      </c>
      <c r="F776" s="2" t="s">
        <v>18</v>
      </c>
      <c r="G776" s="2"/>
      <c r="H776" s="2">
        <v>3462</v>
      </c>
      <c r="I776" s="10">
        <v>233947</v>
      </c>
      <c r="J776" s="10">
        <f>Raw_Data!$I776/Raw_Data!$H776</f>
        <v>67.575678798382441</v>
      </c>
    </row>
    <row r="777" spans="1:10" x14ac:dyDescent="0.3">
      <c r="A777" s="8">
        <v>44110</v>
      </c>
      <c r="B777" t="str">
        <f>TEXT(Raw_Data!$A777, "MMM")</f>
        <v>Oct</v>
      </c>
      <c r="C777">
        <f>YEAR(Raw_Data!$A777)</f>
        <v>2020</v>
      </c>
      <c r="D777" t="s">
        <v>732</v>
      </c>
      <c r="E777" t="s">
        <v>23</v>
      </c>
      <c r="F777" t="s">
        <v>18</v>
      </c>
      <c r="G777">
        <v>4</v>
      </c>
      <c r="H777">
        <v>1719</v>
      </c>
      <c r="I777" s="1">
        <v>619917</v>
      </c>
      <c r="J777" s="1">
        <f>Raw_Data!$I777/Raw_Data!$H777</f>
        <v>360.62652705061083</v>
      </c>
    </row>
    <row r="778" spans="1:10" x14ac:dyDescent="0.3">
      <c r="A778" s="9">
        <v>43181</v>
      </c>
      <c r="B778" s="2" t="str">
        <f>TEXT(Raw_Data!$A778, "MMM")</f>
        <v>Mar</v>
      </c>
      <c r="C778" s="2">
        <f>YEAR(Raw_Data!$A778)</f>
        <v>2018</v>
      </c>
      <c r="D778" s="2" t="s">
        <v>102</v>
      </c>
      <c r="E778" s="2" t="s">
        <v>32</v>
      </c>
      <c r="F778" s="2" t="s">
        <v>27</v>
      </c>
      <c r="G778" s="2">
        <v>5</v>
      </c>
      <c r="H778" s="2">
        <v>3426</v>
      </c>
      <c r="I778" s="10">
        <v>360414</v>
      </c>
      <c r="J778" s="10">
        <f>Raw_Data!$I778/Raw_Data!$H778</f>
        <v>105.19964973730298</v>
      </c>
    </row>
    <row r="779" spans="1:10" x14ac:dyDescent="0.3">
      <c r="A779" s="8">
        <v>38129</v>
      </c>
      <c r="B779" t="str">
        <f>TEXT(Raw_Data!$A779, "MMM")</f>
        <v>May</v>
      </c>
      <c r="C779">
        <f>YEAR(Raw_Data!$A779)</f>
        <v>2004</v>
      </c>
      <c r="D779" t="s">
        <v>733</v>
      </c>
      <c r="E779" t="s">
        <v>15</v>
      </c>
      <c r="F779" t="s">
        <v>11</v>
      </c>
      <c r="G779">
        <v>4</v>
      </c>
      <c r="H779">
        <v>1283</v>
      </c>
      <c r="I779" s="1">
        <v>616182</v>
      </c>
      <c r="J779" s="1">
        <f>Raw_Data!$I779/Raw_Data!$H779</f>
        <v>480.26656274356975</v>
      </c>
    </row>
    <row r="780" spans="1:10" x14ac:dyDescent="0.3">
      <c r="A780" s="9">
        <v>40838</v>
      </c>
      <c r="B780" s="2" t="str">
        <f>TEXT(Raw_Data!$A780, "MMM")</f>
        <v>Oct</v>
      </c>
      <c r="C780" s="2">
        <f>YEAR(Raw_Data!$A780)</f>
        <v>2011</v>
      </c>
      <c r="D780" s="2" t="s">
        <v>160</v>
      </c>
      <c r="E780" s="2" t="s">
        <v>32</v>
      </c>
      <c r="F780" s="2" t="s">
        <v>18</v>
      </c>
      <c r="G780" s="2">
        <v>4</v>
      </c>
      <c r="H780" s="2">
        <v>2158</v>
      </c>
      <c r="I780" s="10">
        <v>599370</v>
      </c>
      <c r="J780" s="10">
        <f>Raw_Data!$I780/Raw_Data!$H780</f>
        <v>277.74328081556996</v>
      </c>
    </row>
    <row r="781" spans="1:10" x14ac:dyDescent="0.3">
      <c r="A781" s="8">
        <v>37316</v>
      </c>
      <c r="B781" t="str">
        <f>TEXT(Raw_Data!$A781, "MMM")</f>
        <v>Mar</v>
      </c>
      <c r="C781">
        <f>YEAR(Raw_Data!$A781)</f>
        <v>2002</v>
      </c>
      <c r="D781" t="s">
        <v>734</v>
      </c>
      <c r="E781" t="s">
        <v>15</v>
      </c>
      <c r="F781" t="s">
        <v>11</v>
      </c>
      <c r="H781">
        <v>1893</v>
      </c>
      <c r="I781" s="1">
        <v>776895</v>
      </c>
      <c r="J781" s="1">
        <f>Raw_Data!$I781/Raw_Data!$H781</f>
        <v>410.40412044374011</v>
      </c>
    </row>
    <row r="782" spans="1:10" x14ac:dyDescent="0.3">
      <c r="A782" s="9">
        <v>38522</v>
      </c>
      <c r="B782" s="2" t="str">
        <f>TEXT(Raw_Data!$A782, "MMM")</f>
        <v>Jun</v>
      </c>
      <c r="C782" s="2">
        <f>YEAR(Raw_Data!$A782)</f>
        <v>2005</v>
      </c>
      <c r="D782" s="2" t="s">
        <v>735</v>
      </c>
      <c r="E782" s="2" t="s">
        <v>32</v>
      </c>
      <c r="F782" s="2" t="s">
        <v>27</v>
      </c>
      <c r="G782" s="2"/>
      <c r="H782" s="2">
        <v>2642</v>
      </c>
      <c r="I782" s="10">
        <v>463698</v>
      </c>
      <c r="J782" s="10">
        <f>Raw_Data!$I782/Raw_Data!$H782</f>
        <v>175.51021953065859</v>
      </c>
    </row>
    <row r="783" spans="1:10" x14ac:dyDescent="0.3">
      <c r="A783" s="8">
        <v>37033</v>
      </c>
      <c r="B783" t="str">
        <f>TEXT(Raw_Data!$A783, "MMM")</f>
        <v>May</v>
      </c>
      <c r="C783">
        <f>YEAR(Raw_Data!$A783)</f>
        <v>2001</v>
      </c>
      <c r="D783" t="s">
        <v>736</v>
      </c>
      <c r="E783" t="s">
        <v>23</v>
      </c>
      <c r="F783" t="s">
        <v>27</v>
      </c>
      <c r="G783">
        <v>4</v>
      </c>
      <c r="H783">
        <v>2928</v>
      </c>
      <c r="I783" s="1">
        <v>702187</v>
      </c>
      <c r="J783" s="1">
        <f>Raw_Data!$I783/Raw_Data!$H783</f>
        <v>239.81796448087431</v>
      </c>
    </row>
    <row r="784" spans="1:10" x14ac:dyDescent="0.3">
      <c r="A784" s="9">
        <v>41600</v>
      </c>
      <c r="B784" s="2" t="str">
        <f>TEXT(Raw_Data!$A784, "MMM")</f>
        <v>Nov</v>
      </c>
      <c r="C784" s="2">
        <f>YEAR(Raw_Data!$A784)</f>
        <v>2013</v>
      </c>
      <c r="D784" s="2" t="s">
        <v>737</v>
      </c>
      <c r="E784" s="2" t="s">
        <v>25</v>
      </c>
      <c r="F784" s="2" t="s">
        <v>27</v>
      </c>
      <c r="G784" s="2"/>
      <c r="H784" s="2">
        <v>1585</v>
      </c>
      <c r="I784" s="10">
        <v>625024</v>
      </c>
      <c r="J784" s="10">
        <f>Raw_Data!$I784/Raw_Data!$H784</f>
        <v>394.33690851735014</v>
      </c>
    </row>
    <row r="785" spans="1:10" x14ac:dyDescent="0.3">
      <c r="A785" s="8">
        <v>43628</v>
      </c>
      <c r="B785" t="str">
        <f>TEXT(Raw_Data!$A785, "MMM")</f>
        <v>Jun</v>
      </c>
      <c r="C785">
        <f>YEAR(Raw_Data!$A785)</f>
        <v>2019</v>
      </c>
      <c r="D785" t="s">
        <v>738</v>
      </c>
      <c r="E785" t="s">
        <v>15</v>
      </c>
      <c r="F785" t="s">
        <v>11</v>
      </c>
      <c r="G785">
        <v>2</v>
      </c>
      <c r="H785">
        <v>2010</v>
      </c>
      <c r="I785" s="1">
        <v>114598</v>
      </c>
      <c r="J785" s="1">
        <f>Raw_Data!$I785/Raw_Data!$H785</f>
        <v>57.013930348258704</v>
      </c>
    </row>
    <row r="786" spans="1:10" x14ac:dyDescent="0.3">
      <c r="A786" s="9">
        <v>37809</v>
      </c>
      <c r="B786" s="2" t="str">
        <f>TEXT(Raw_Data!$A786, "MMM")</f>
        <v>Jul</v>
      </c>
      <c r="C786" s="2">
        <f>YEAR(Raw_Data!$A786)</f>
        <v>2003</v>
      </c>
      <c r="D786" s="2" t="s">
        <v>739</v>
      </c>
      <c r="E786" s="2" t="s">
        <v>15</v>
      </c>
      <c r="F786" s="2" t="s">
        <v>16</v>
      </c>
      <c r="G786" s="2">
        <v>4</v>
      </c>
      <c r="H786" s="2">
        <v>1296</v>
      </c>
      <c r="I786" s="10">
        <v>474902</v>
      </c>
      <c r="J786" s="10">
        <f>Raw_Data!$I786/Raw_Data!$H786</f>
        <v>366.43672839506172</v>
      </c>
    </row>
    <row r="787" spans="1:10" x14ac:dyDescent="0.3">
      <c r="A787" s="8">
        <v>39240</v>
      </c>
      <c r="B787" t="str">
        <f>TEXT(Raw_Data!$A787, "MMM")</f>
        <v>Jun</v>
      </c>
      <c r="C787">
        <f>YEAR(Raw_Data!$A787)</f>
        <v>2007</v>
      </c>
      <c r="D787" t="s">
        <v>740</v>
      </c>
      <c r="E787" t="s">
        <v>13</v>
      </c>
      <c r="F787" t="s">
        <v>18</v>
      </c>
      <c r="G787">
        <v>3</v>
      </c>
      <c r="H787">
        <v>3422</v>
      </c>
      <c r="I787" s="1">
        <v>672628</v>
      </c>
      <c r="J787" s="1">
        <f>Raw_Data!$I787/Raw_Data!$H787</f>
        <v>196.55990648743426</v>
      </c>
    </row>
    <row r="788" spans="1:10" x14ac:dyDescent="0.3">
      <c r="A788" s="9">
        <v>38425</v>
      </c>
      <c r="B788" s="2" t="str">
        <f>TEXT(Raw_Data!$A788, "MMM")</f>
        <v>Mar</v>
      </c>
      <c r="C788" s="2">
        <f>YEAR(Raw_Data!$A788)</f>
        <v>2005</v>
      </c>
      <c r="D788" s="2" t="s">
        <v>741</v>
      </c>
      <c r="E788" s="2" t="s">
        <v>25</v>
      </c>
      <c r="F788" s="2" t="s">
        <v>16</v>
      </c>
      <c r="G788" s="2">
        <v>3</v>
      </c>
      <c r="H788" s="2">
        <v>3343</v>
      </c>
      <c r="I788" s="10">
        <v>617242</v>
      </c>
      <c r="J788" s="10">
        <f>Raw_Data!$I788/Raw_Data!$H788</f>
        <v>184.6371522584505</v>
      </c>
    </row>
    <row r="789" spans="1:10" x14ac:dyDescent="0.3">
      <c r="A789" s="8">
        <v>39960</v>
      </c>
      <c r="B789" t="str">
        <f>TEXT(Raw_Data!$A789, "MMM")</f>
        <v>May</v>
      </c>
      <c r="C789">
        <f>YEAR(Raw_Data!$A789)</f>
        <v>2009</v>
      </c>
      <c r="D789" t="s">
        <v>742</v>
      </c>
      <c r="E789" t="s">
        <v>32</v>
      </c>
      <c r="F789" t="s">
        <v>18</v>
      </c>
      <c r="G789">
        <v>5</v>
      </c>
      <c r="H789">
        <v>1909</v>
      </c>
      <c r="I789" s="1">
        <v>481346</v>
      </c>
      <c r="J789" s="1">
        <f>Raw_Data!$I789/Raw_Data!$H789</f>
        <v>252.14562598218961</v>
      </c>
    </row>
    <row r="790" spans="1:10" x14ac:dyDescent="0.3">
      <c r="A790" s="9">
        <v>43306</v>
      </c>
      <c r="B790" s="2" t="str">
        <f>TEXT(Raw_Data!$A790, "MMM")</f>
        <v>Jul</v>
      </c>
      <c r="C790" s="2">
        <f>YEAR(Raw_Data!$A790)</f>
        <v>2018</v>
      </c>
      <c r="D790" s="2" t="s">
        <v>743</v>
      </c>
      <c r="E790" s="2" t="s">
        <v>32</v>
      </c>
      <c r="F790" s="2" t="s">
        <v>16</v>
      </c>
      <c r="G790" s="2">
        <v>2</v>
      </c>
      <c r="H790" s="2">
        <v>2354</v>
      </c>
      <c r="I790" s="10">
        <v>478699</v>
      </c>
      <c r="J790" s="10">
        <f>Raw_Data!$I790/Raw_Data!$H790</f>
        <v>203.35556499575191</v>
      </c>
    </row>
    <row r="791" spans="1:10" x14ac:dyDescent="0.3">
      <c r="A791" s="8">
        <v>41042</v>
      </c>
      <c r="B791" t="str">
        <f>TEXT(Raw_Data!$A791, "MMM")</f>
        <v>May</v>
      </c>
      <c r="C791">
        <f>YEAR(Raw_Data!$A791)</f>
        <v>2012</v>
      </c>
      <c r="D791" t="s">
        <v>744</v>
      </c>
      <c r="E791" t="s">
        <v>25</v>
      </c>
      <c r="F791" t="s">
        <v>11</v>
      </c>
      <c r="G791">
        <v>4</v>
      </c>
      <c r="H791">
        <v>2711</v>
      </c>
      <c r="I791" s="1">
        <v>556835</v>
      </c>
      <c r="J791" s="1">
        <f>Raw_Data!$I791/Raw_Data!$H791</f>
        <v>205.39837698266322</v>
      </c>
    </row>
    <row r="792" spans="1:10" x14ac:dyDescent="0.3">
      <c r="A792" s="9">
        <v>39309</v>
      </c>
      <c r="B792" s="2" t="str">
        <f>TEXT(Raw_Data!$A792, "MMM")</f>
        <v>Aug</v>
      </c>
      <c r="C792" s="2">
        <f>YEAR(Raw_Data!$A792)</f>
        <v>2007</v>
      </c>
      <c r="D792" s="2" t="s">
        <v>81</v>
      </c>
      <c r="E792" s="2" t="s">
        <v>29</v>
      </c>
      <c r="F792" s="2" t="s">
        <v>18</v>
      </c>
      <c r="G792" s="2">
        <v>4</v>
      </c>
      <c r="H792" s="2">
        <v>961</v>
      </c>
      <c r="I792" s="10">
        <v>629306</v>
      </c>
      <c r="J792" s="10">
        <f>Raw_Data!$I792/Raw_Data!$H792</f>
        <v>654.8449531737773</v>
      </c>
    </row>
    <row r="793" spans="1:10" x14ac:dyDescent="0.3">
      <c r="A793" s="8">
        <v>39110</v>
      </c>
      <c r="B793" t="str">
        <f>TEXT(Raw_Data!$A793, "MMM")</f>
        <v>Jan</v>
      </c>
      <c r="C793">
        <f>YEAR(Raw_Data!$A793)</f>
        <v>2007</v>
      </c>
      <c r="D793" t="s">
        <v>136</v>
      </c>
      <c r="E793" t="s">
        <v>23</v>
      </c>
      <c r="F793" t="s">
        <v>11</v>
      </c>
      <c r="G793">
        <v>4</v>
      </c>
      <c r="H793">
        <v>1360</v>
      </c>
      <c r="I793" s="1">
        <v>589831</v>
      </c>
      <c r="J793" s="1">
        <f>Raw_Data!$I793/Raw_Data!$H793</f>
        <v>433.69926470588234</v>
      </c>
    </row>
    <row r="794" spans="1:10" x14ac:dyDescent="0.3">
      <c r="A794" s="9">
        <v>37113</v>
      </c>
      <c r="B794" s="2" t="str">
        <f>TEXT(Raw_Data!$A794, "MMM")</f>
        <v>Aug</v>
      </c>
      <c r="C794" s="2">
        <f>YEAR(Raw_Data!$A794)</f>
        <v>2001</v>
      </c>
      <c r="D794" s="2" t="s">
        <v>745</v>
      </c>
      <c r="E794" s="2" t="s">
        <v>25</v>
      </c>
      <c r="F794" s="2" t="s">
        <v>27</v>
      </c>
      <c r="G794" s="2">
        <v>3</v>
      </c>
      <c r="H794" s="2">
        <v>1318</v>
      </c>
      <c r="I794" s="10">
        <v>137023</v>
      </c>
      <c r="J794" s="10">
        <f>Raw_Data!$I794/Raw_Data!$H794</f>
        <v>103.96282245827011</v>
      </c>
    </row>
    <row r="795" spans="1:10" x14ac:dyDescent="0.3">
      <c r="A795" s="8">
        <v>40724</v>
      </c>
      <c r="B795" t="str">
        <f>TEXT(Raw_Data!$A795, "MMM")</f>
        <v>Jun</v>
      </c>
      <c r="C795">
        <f>YEAR(Raw_Data!$A795)</f>
        <v>2011</v>
      </c>
      <c r="D795" t="s">
        <v>746</v>
      </c>
      <c r="E795" t="s">
        <v>25</v>
      </c>
      <c r="F795" t="s">
        <v>18</v>
      </c>
      <c r="G795">
        <v>3</v>
      </c>
      <c r="H795">
        <v>2068</v>
      </c>
      <c r="I795" s="1">
        <v>561838</v>
      </c>
      <c r="J795" s="1">
        <f>Raw_Data!$I795/Raw_Data!$H795</f>
        <v>271.68181818181819</v>
      </c>
    </row>
    <row r="796" spans="1:10" x14ac:dyDescent="0.3">
      <c r="A796" s="9">
        <v>43501</v>
      </c>
      <c r="B796" s="2" t="str">
        <f>TEXT(Raw_Data!$A796, "MMM")</f>
        <v>Feb</v>
      </c>
      <c r="C796" s="2">
        <f>YEAR(Raw_Data!$A796)</f>
        <v>2019</v>
      </c>
      <c r="D796" s="2" t="s">
        <v>747</v>
      </c>
      <c r="E796" s="2" t="s">
        <v>25</v>
      </c>
      <c r="F796" s="2" t="s">
        <v>27</v>
      </c>
      <c r="G796" s="2">
        <v>4</v>
      </c>
      <c r="H796" s="2">
        <v>2264</v>
      </c>
      <c r="I796" s="10">
        <v>409836</v>
      </c>
      <c r="J796" s="10">
        <f>Raw_Data!$I796/Raw_Data!$H796</f>
        <v>181.02296819787986</v>
      </c>
    </row>
    <row r="797" spans="1:10" x14ac:dyDescent="0.3">
      <c r="A797" s="8">
        <v>38809</v>
      </c>
      <c r="B797" t="str">
        <f>TEXT(Raw_Data!$A797, "MMM")</f>
        <v>Apr</v>
      </c>
      <c r="C797">
        <f>YEAR(Raw_Data!$A797)</f>
        <v>2006</v>
      </c>
      <c r="D797" t="s">
        <v>748</v>
      </c>
      <c r="E797" t="s">
        <v>15</v>
      </c>
      <c r="F797" t="s">
        <v>27</v>
      </c>
      <c r="G797">
        <v>2</v>
      </c>
      <c r="H797">
        <v>3451</v>
      </c>
      <c r="I797" s="1">
        <v>739795</v>
      </c>
      <c r="J797" s="1">
        <f>Raw_Data!$I797/Raw_Data!$H797</f>
        <v>214.3711967545639</v>
      </c>
    </row>
    <row r="798" spans="1:10" x14ac:dyDescent="0.3">
      <c r="A798" s="9">
        <v>41411</v>
      </c>
      <c r="B798" s="2" t="str">
        <f>TEXT(Raw_Data!$A798, "MMM")</f>
        <v>May</v>
      </c>
      <c r="C798" s="2">
        <f>YEAR(Raw_Data!$A798)</f>
        <v>2013</v>
      </c>
      <c r="D798" s="2" t="s">
        <v>749</v>
      </c>
      <c r="E798" s="2" t="s">
        <v>25</v>
      </c>
      <c r="F798" s="2" t="s">
        <v>27</v>
      </c>
      <c r="G798" s="2">
        <v>3</v>
      </c>
      <c r="H798" s="2">
        <v>2732</v>
      </c>
      <c r="I798" s="10">
        <v>158328</v>
      </c>
      <c r="J798" s="10">
        <f>Raw_Data!$I798/Raw_Data!$H798</f>
        <v>57.95314787701318</v>
      </c>
    </row>
    <row r="799" spans="1:10" x14ac:dyDescent="0.3">
      <c r="A799" s="8">
        <v>42730</v>
      </c>
      <c r="B799" t="str">
        <f>TEXT(Raw_Data!$A799, "MMM")</f>
        <v>Dec</v>
      </c>
      <c r="C799">
        <f>YEAR(Raw_Data!$A799)</f>
        <v>2016</v>
      </c>
      <c r="D799" t="s">
        <v>750</v>
      </c>
      <c r="E799" t="s">
        <v>13</v>
      </c>
      <c r="F799" t="s">
        <v>16</v>
      </c>
      <c r="G799">
        <v>5</v>
      </c>
      <c r="H799">
        <v>1818</v>
      </c>
      <c r="I799" s="1">
        <v>647226</v>
      </c>
      <c r="J799" s="1">
        <f>Raw_Data!$I799/Raw_Data!$H799</f>
        <v>356.00990099009903</v>
      </c>
    </row>
    <row r="800" spans="1:10" x14ac:dyDescent="0.3">
      <c r="A800" s="9">
        <v>43432</v>
      </c>
      <c r="B800" s="2" t="str">
        <f>TEXT(Raw_Data!$A800, "MMM")</f>
        <v>Nov</v>
      </c>
      <c r="C800" s="2">
        <f>YEAR(Raw_Data!$A800)</f>
        <v>2018</v>
      </c>
      <c r="D800" s="2" t="s">
        <v>751</v>
      </c>
      <c r="E800" s="2" t="s">
        <v>15</v>
      </c>
      <c r="F800" s="2" t="s">
        <v>11</v>
      </c>
      <c r="G800" s="2">
        <v>3</v>
      </c>
      <c r="H800" s="2">
        <v>2488</v>
      </c>
      <c r="I800" s="10">
        <v>407933</v>
      </c>
      <c r="J800" s="10">
        <f>Raw_Data!$I800/Raw_Data!$H800</f>
        <v>163.96020900321543</v>
      </c>
    </row>
    <row r="801" spans="1:10" x14ac:dyDescent="0.3">
      <c r="A801" s="8">
        <v>38386</v>
      </c>
      <c r="B801" t="str">
        <f>TEXT(Raw_Data!$A801, "MMM")</f>
        <v>Feb</v>
      </c>
      <c r="C801">
        <f>YEAR(Raw_Data!$A801)</f>
        <v>2005</v>
      </c>
      <c r="D801" t="s">
        <v>752</v>
      </c>
      <c r="E801" t="s">
        <v>32</v>
      </c>
      <c r="F801" t="s">
        <v>11</v>
      </c>
      <c r="G801">
        <v>2</v>
      </c>
      <c r="H801">
        <v>1105</v>
      </c>
      <c r="I801" s="1">
        <v>826460</v>
      </c>
      <c r="J801" s="1">
        <f>Raw_Data!$I801/Raw_Data!$H801</f>
        <v>747.92760180995469</v>
      </c>
    </row>
    <row r="802" spans="1:10" x14ac:dyDescent="0.3">
      <c r="A802" s="9">
        <v>44191</v>
      </c>
      <c r="B802" s="2" t="str">
        <f>TEXT(Raw_Data!$A802, "MMM")</f>
        <v>Dec</v>
      </c>
      <c r="C802" s="2">
        <f>YEAR(Raw_Data!$A802)</f>
        <v>2020</v>
      </c>
      <c r="D802" s="2" t="s">
        <v>753</v>
      </c>
      <c r="E802" s="2" t="s">
        <v>15</v>
      </c>
      <c r="F802" s="2" t="s">
        <v>11</v>
      </c>
      <c r="G802" s="2">
        <v>5</v>
      </c>
      <c r="H802" s="2">
        <v>2561</v>
      </c>
      <c r="I802" s="10">
        <v>565311</v>
      </c>
      <c r="J802" s="10">
        <f>Raw_Data!$I802/Raw_Data!$H802</f>
        <v>220.73838344396719</v>
      </c>
    </row>
    <row r="803" spans="1:10" x14ac:dyDescent="0.3">
      <c r="A803" s="8">
        <v>39642</v>
      </c>
      <c r="B803" t="str">
        <f>TEXT(Raw_Data!$A803, "MMM")</f>
        <v>Jul</v>
      </c>
      <c r="C803">
        <f>YEAR(Raw_Data!$A803)</f>
        <v>2008</v>
      </c>
      <c r="D803" t="s">
        <v>754</v>
      </c>
      <c r="E803" t="s">
        <v>29</v>
      </c>
      <c r="F803" t="s">
        <v>11</v>
      </c>
      <c r="H803">
        <v>1461</v>
      </c>
      <c r="I803" s="1">
        <v>219780</v>
      </c>
      <c r="J803" s="1">
        <f>Raw_Data!$I803/Raw_Data!$H803</f>
        <v>150.43121149897331</v>
      </c>
    </row>
    <row r="804" spans="1:10" x14ac:dyDescent="0.3">
      <c r="A804" s="9">
        <v>40224</v>
      </c>
      <c r="B804" s="2" t="str">
        <f>TEXT(Raw_Data!$A804, "MMM")</f>
        <v>Feb</v>
      </c>
      <c r="C804" s="2">
        <f>YEAR(Raw_Data!$A804)</f>
        <v>2010</v>
      </c>
      <c r="D804" s="2" t="s">
        <v>513</v>
      </c>
      <c r="E804" s="2" t="s">
        <v>32</v>
      </c>
      <c r="F804" s="2" t="s">
        <v>11</v>
      </c>
      <c r="G804" s="2">
        <v>4</v>
      </c>
      <c r="H804" s="2">
        <v>2056</v>
      </c>
      <c r="I804" s="10">
        <v>717881</v>
      </c>
      <c r="J804" s="10">
        <f>Raw_Data!$I804/Raw_Data!$H804</f>
        <v>349.16391050583655</v>
      </c>
    </row>
    <row r="805" spans="1:10" x14ac:dyDescent="0.3">
      <c r="A805" s="8">
        <v>37584</v>
      </c>
      <c r="B805" t="str">
        <f>TEXT(Raw_Data!$A805, "MMM")</f>
        <v>Nov</v>
      </c>
      <c r="C805">
        <f>YEAR(Raw_Data!$A805)</f>
        <v>2002</v>
      </c>
      <c r="D805" t="s">
        <v>755</v>
      </c>
      <c r="E805" t="s">
        <v>25</v>
      </c>
      <c r="F805" t="s">
        <v>27</v>
      </c>
      <c r="G805">
        <v>3</v>
      </c>
      <c r="H805">
        <v>2300</v>
      </c>
      <c r="I805" s="1">
        <v>823399</v>
      </c>
      <c r="J805" s="1">
        <f>Raw_Data!$I805/Raw_Data!$H805</f>
        <v>357.99956521739131</v>
      </c>
    </row>
    <row r="806" spans="1:10" x14ac:dyDescent="0.3">
      <c r="A806" s="9">
        <v>37309</v>
      </c>
      <c r="B806" s="2" t="str">
        <f>TEXT(Raw_Data!$A806, "MMM")</f>
        <v>Feb</v>
      </c>
      <c r="C806" s="2">
        <f>YEAR(Raw_Data!$A806)</f>
        <v>2002</v>
      </c>
      <c r="D806" s="2" t="s">
        <v>756</v>
      </c>
      <c r="E806" s="2" t="s">
        <v>23</v>
      </c>
      <c r="F806" s="2" t="s">
        <v>16</v>
      </c>
      <c r="G806" s="2">
        <v>4</v>
      </c>
      <c r="H806" s="2">
        <v>3273</v>
      </c>
      <c r="I806" s="10">
        <v>888827</v>
      </c>
      <c r="J806" s="10">
        <f>Raw_Data!$I806/Raw_Data!$H806</f>
        <v>271.5633974946532</v>
      </c>
    </row>
    <row r="807" spans="1:10" x14ac:dyDescent="0.3">
      <c r="A807" s="8">
        <v>40503</v>
      </c>
      <c r="B807" t="str">
        <f>TEXT(Raw_Data!$A807, "MMM")</f>
        <v>Nov</v>
      </c>
      <c r="C807">
        <f>YEAR(Raw_Data!$A807)</f>
        <v>2010</v>
      </c>
      <c r="D807" t="s">
        <v>757</v>
      </c>
      <c r="E807" t="s">
        <v>23</v>
      </c>
      <c r="F807" t="s">
        <v>11</v>
      </c>
      <c r="G807">
        <v>2</v>
      </c>
      <c r="H807">
        <v>964</v>
      </c>
      <c r="I807" s="1">
        <v>709160</v>
      </c>
      <c r="J807" s="1">
        <f>Raw_Data!$I807/Raw_Data!$H807</f>
        <v>735.64315352697099</v>
      </c>
    </row>
    <row r="808" spans="1:10" x14ac:dyDescent="0.3">
      <c r="A808" s="9">
        <v>41516</v>
      </c>
      <c r="B808" s="2" t="str">
        <f>TEXT(Raw_Data!$A808, "MMM")</f>
        <v>Aug</v>
      </c>
      <c r="C808" s="2">
        <f>YEAR(Raw_Data!$A808)</f>
        <v>2013</v>
      </c>
      <c r="D808" s="2" t="s">
        <v>758</v>
      </c>
      <c r="E808" s="2" t="s">
        <v>32</v>
      </c>
      <c r="F808" s="2" t="s">
        <v>11</v>
      </c>
      <c r="G808" s="2">
        <v>4</v>
      </c>
      <c r="H808" s="2">
        <v>2883</v>
      </c>
      <c r="I808" s="10">
        <v>359211</v>
      </c>
      <c r="J808" s="10">
        <f>Raw_Data!$I808/Raw_Data!$H808</f>
        <v>124.59625390218523</v>
      </c>
    </row>
    <row r="809" spans="1:10" x14ac:dyDescent="0.3">
      <c r="A809" s="8">
        <v>43827</v>
      </c>
      <c r="B809" t="str">
        <f>TEXT(Raw_Data!$A809, "MMM")</f>
        <v>Dec</v>
      </c>
      <c r="C809">
        <f>YEAR(Raw_Data!$A809)</f>
        <v>2019</v>
      </c>
      <c r="D809" t="s">
        <v>345</v>
      </c>
      <c r="E809" t="s">
        <v>23</v>
      </c>
      <c r="F809" t="s">
        <v>18</v>
      </c>
      <c r="H809">
        <v>1975</v>
      </c>
      <c r="I809" s="1">
        <v>493778</v>
      </c>
      <c r="J809" s="1">
        <f>Raw_Data!$I809/Raw_Data!$H809</f>
        <v>250.01417721518987</v>
      </c>
    </row>
    <row r="810" spans="1:10" x14ac:dyDescent="0.3">
      <c r="A810" s="9">
        <v>42990</v>
      </c>
      <c r="B810" s="2" t="str">
        <f>TEXT(Raw_Data!$A810, "MMM")</f>
        <v>Sep</v>
      </c>
      <c r="C810" s="2">
        <f>YEAR(Raw_Data!$A810)</f>
        <v>2017</v>
      </c>
      <c r="D810" s="2" t="s">
        <v>720</v>
      </c>
      <c r="E810" s="2" t="s">
        <v>29</v>
      </c>
      <c r="F810" s="2" t="s">
        <v>27</v>
      </c>
      <c r="G810" s="2">
        <v>5</v>
      </c>
      <c r="H810" s="2">
        <v>1004</v>
      </c>
      <c r="I810" s="10">
        <v>139066</v>
      </c>
      <c r="J810" s="10">
        <f>Raw_Data!$I810/Raw_Data!$H810</f>
        <v>138.51195219123505</v>
      </c>
    </row>
    <row r="811" spans="1:10" x14ac:dyDescent="0.3">
      <c r="A811" s="8">
        <v>38098</v>
      </c>
      <c r="B811" t="str">
        <f>TEXT(Raw_Data!$A811, "MMM")</f>
        <v>Apr</v>
      </c>
      <c r="C811">
        <f>YEAR(Raw_Data!$A811)</f>
        <v>2004</v>
      </c>
      <c r="D811" t="s">
        <v>759</v>
      </c>
      <c r="E811" t="s">
        <v>32</v>
      </c>
      <c r="F811" t="s">
        <v>16</v>
      </c>
      <c r="G811">
        <v>5</v>
      </c>
      <c r="H811">
        <v>1461</v>
      </c>
      <c r="I811" s="1">
        <v>417675</v>
      </c>
      <c r="J811" s="1">
        <f>Raw_Data!$I811/Raw_Data!$H811</f>
        <v>285.88295687885011</v>
      </c>
    </row>
    <row r="812" spans="1:10" x14ac:dyDescent="0.3">
      <c r="A812" s="9">
        <v>39967</v>
      </c>
      <c r="B812" s="2" t="str">
        <f>TEXT(Raw_Data!$A812, "MMM")</f>
        <v>Jun</v>
      </c>
      <c r="C812" s="2">
        <f>YEAR(Raw_Data!$A812)</f>
        <v>2009</v>
      </c>
      <c r="D812" s="2" t="s">
        <v>760</v>
      </c>
      <c r="E812" s="2" t="s">
        <v>23</v>
      </c>
      <c r="F812" s="2" t="s">
        <v>16</v>
      </c>
      <c r="G812" s="2">
        <v>5</v>
      </c>
      <c r="H812" s="2">
        <v>2320</v>
      </c>
      <c r="I812" s="10">
        <v>569169</v>
      </c>
      <c r="J812" s="10">
        <f>Raw_Data!$I812/Raw_Data!$H812</f>
        <v>245.33146551724138</v>
      </c>
    </row>
    <row r="813" spans="1:10" x14ac:dyDescent="0.3">
      <c r="A813" s="8">
        <v>40801</v>
      </c>
      <c r="B813" t="str">
        <f>TEXT(Raw_Data!$A813, "MMM")</f>
        <v>Sep</v>
      </c>
      <c r="C813">
        <f>YEAR(Raw_Data!$A813)</f>
        <v>2011</v>
      </c>
      <c r="D813" t="s">
        <v>761</v>
      </c>
      <c r="E813" t="s">
        <v>29</v>
      </c>
      <c r="F813" t="s">
        <v>27</v>
      </c>
      <c r="G813">
        <v>4</v>
      </c>
      <c r="H813">
        <v>989</v>
      </c>
      <c r="I813" s="1">
        <v>476691</v>
      </c>
      <c r="J813" s="1">
        <f>Raw_Data!$I813/Raw_Data!$H813</f>
        <v>481.99292214357939</v>
      </c>
    </row>
    <row r="814" spans="1:10" x14ac:dyDescent="0.3">
      <c r="A814" s="9">
        <v>37072</v>
      </c>
      <c r="B814" s="2" t="str">
        <f>TEXT(Raw_Data!$A814, "MMM")</f>
        <v>Jun</v>
      </c>
      <c r="C814" s="2">
        <f>YEAR(Raw_Data!$A814)</f>
        <v>2001</v>
      </c>
      <c r="D814" s="2" t="s">
        <v>762</v>
      </c>
      <c r="E814" s="2" t="s">
        <v>23</v>
      </c>
      <c r="F814" s="2" t="s">
        <v>18</v>
      </c>
      <c r="G814" s="2">
        <v>2</v>
      </c>
      <c r="H814" s="2">
        <v>984</v>
      </c>
      <c r="I814" s="10">
        <v>805500</v>
      </c>
      <c r="J814" s="10">
        <f>Raw_Data!$I814/Raw_Data!$H814</f>
        <v>818.59756097560978</v>
      </c>
    </row>
    <row r="815" spans="1:10" x14ac:dyDescent="0.3">
      <c r="A815" s="8">
        <v>40944</v>
      </c>
      <c r="B815" t="str">
        <f>TEXT(Raw_Data!$A815, "MMM")</f>
        <v>Feb</v>
      </c>
      <c r="C815">
        <f>YEAR(Raw_Data!$A815)</f>
        <v>2012</v>
      </c>
      <c r="D815" t="s">
        <v>763</v>
      </c>
      <c r="E815" t="s">
        <v>15</v>
      </c>
      <c r="F815" t="s">
        <v>18</v>
      </c>
      <c r="G815">
        <v>2</v>
      </c>
      <c r="H815">
        <v>2361</v>
      </c>
      <c r="I815" s="1">
        <v>325997</v>
      </c>
      <c r="J815" s="1">
        <f>Raw_Data!$I815/Raw_Data!$H815</f>
        <v>138.07581533248623</v>
      </c>
    </row>
    <row r="816" spans="1:10" x14ac:dyDescent="0.3">
      <c r="A816" s="9">
        <v>38785</v>
      </c>
      <c r="B816" s="2" t="str">
        <f>TEXT(Raw_Data!$A816, "MMM")</f>
        <v>Mar</v>
      </c>
      <c r="C816" s="2">
        <f>YEAR(Raw_Data!$A816)</f>
        <v>2006</v>
      </c>
      <c r="D816" s="2" t="s">
        <v>764</v>
      </c>
      <c r="E816" s="2" t="s">
        <v>13</v>
      </c>
      <c r="F816" s="2" t="s">
        <v>27</v>
      </c>
      <c r="G816" s="2"/>
      <c r="H816" s="2">
        <v>992</v>
      </c>
      <c r="I816" s="10">
        <v>859377</v>
      </c>
      <c r="J816" s="10">
        <f>Raw_Data!$I816/Raw_Data!$H816</f>
        <v>866.30745967741939</v>
      </c>
    </row>
    <row r="817" spans="1:10" x14ac:dyDescent="0.3">
      <c r="A817" s="8">
        <v>41537</v>
      </c>
      <c r="B817" t="str">
        <f>TEXT(Raw_Data!$A817, "MMM")</f>
        <v>Sep</v>
      </c>
      <c r="C817">
        <f>YEAR(Raw_Data!$A817)</f>
        <v>2013</v>
      </c>
      <c r="D817" t="s">
        <v>765</v>
      </c>
      <c r="E817" t="s">
        <v>32</v>
      </c>
      <c r="F817" t="s">
        <v>16</v>
      </c>
      <c r="G817">
        <v>4</v>
      </c>
      <c r="H817">
        <v>1062</v>
      </c>
      <c r="I817" s="1">
        <v>857727</v>
      </c>
      <c r="J817" s="1">
        <f>Raw_Data!$I817/Raw_Data!$H817</f>
        <v>807.65254237288138</v>
      </c>
    </row>
    <row r="818" spans="1:10" x14ac:dyDescent="0.3">
      <c r="A818" s="9">
        <v>42468</v>
      </c>
      <c r="B818" s="2" t="str">
        <f>TEXT(Raw_Data!$A818, "MMM")</f>
        <v>Apr</v>
      </c>
      <c r="C818" s="2">
        <f>YEAR(Raw_Data!$A818)</f>
        <v>2016</v>
      </c>
      <c r="D818" s="2" t="s">
        <v>766</v>
      </c>
      <c r="E818" s="2" t="s">
        <v>29</v>
      </c>
      <c r="F818" s="2" t="s">
        <v>18</v>
      </c>
      <c r="G818" s="2">
        <v>4</v>
      </c>
      <c r="H818" s="2">
        <v>2080</v>
      </c>
      <c r="I818" s="10">
        <v>236131</v>
      </c>
      <c r="J818" s="10">
        <f>Raw_Data!$I818/Raw_Data!$H818</f>
        <v>113.52451923076923</v>
      </c>
    </row>
    <row r="819" spans="1:10" x14ac:dyDescent="0.3">
      <c r="A819" s="8">
        <v>38037</v>
      </c>
      <c r="B819" t="str">
        <f>TEXT(Raw_Data!$A819, "MMM")</f>
        <v>Feb</v>
      </c>
      <c r="C819">
        <f>YEAR(Raw_Data!$A819)</f>
        <v>2004</v>
      </c>
      <c r="D819" t="s">
        <v>767</v>
      </c>
      <c r="E819" t="s">
        <v>13</v>
      </c>
      <c r="F819" t="s">
        <v>18</v>
      </c>
      <c r="G819">
        <v>3</v>
      </c>
      <c r="H819">
        <v>1759</v>
      </c>
      <c r="I819" s="1">
        <v>491893</v>
      </c>
      <c r="J819" s="1">
        <f>Raw_Data!$I819/Raw_Data!$H819</f>
        <v>279.64354747015352</v>
      </c>
    </row>
    <row r="820" spans="1:10" x14ac:dyDescent="0.3">
      <c r="A820" s="9">
        <v>41272</v>
      </c>
      <c r="B820" s="2" t="str">
        <f>TEXT(Raw_Data!$A820, "MMM")</f>
        <v>Dec</v>
      </c>
      <c r="C820" s="2">
        <f>YEAR(Raw_Data!$A820)</f>
        <v>2012</v>
      </c>
      <c r="D820" s="2" t="s">
        <v>768</v>
      </c>
      <c r="E820" s="2" t="s">
        <v>25</v>
      </c>
      <c r="F820" s="2" t="s">
        <v>11</v>
      </c>
      <c r="G820" s="2">
        <v>4</v>
      </c>
      <c r="H820" s="2">
        <v>1618</v>
      </c>
      <c r="I820" s="10">
        <v>105053</v>
      </c>
      <c r="J820" s="10">
        <f>Raw_Data!$I820/Raw_Data!$H820</f>
        <v>64.927688504326326</v>
      </c>
    </row>
    <row r="821" spans="1:10" x14ac:dyDescent="0.3">
      <c r="A821" s="8">
        <v>43297</v>
      </c>
      <c r="B821" t="str">
        <f>TEXT(Raw_Data!$A821, "MMM")</f>
        <v>Jul</v>
      </c>
      <c r="C821">
        <f>YEAR(Raw_Data!$A821)</f>
        <v>2018</v>
      </c>
      <c r="D821" t="s">
        <v>769</v>
      </c>
      <c r="E821" t="s">
        <v>13</v>
      </c>
      <c r="F821" t="s">
        <v>16</v>
      </c>
      <c r="H821">
        <v>863</v>
      </c>
      <c r="I821" s="1">
        <v>337432</v>
      </c>
      <c r="J821" s="1">
        <f>Raw_Data!$I821/Raw_Data!$H821</f>
        <v>390.99884125144843</v>
      </c>
    </row>
    <row r="822" spans="1:10" x14ac:dyDescent="0.3">
      <c r="A822" s="9">
        <v>42736</v>
      </c>
      <c r="B822" s="2" t="str">
        <f>TEXT(Raw_Data!$A822, "MMM")</f>
        <v>Jan</v>
      </c>
      <c r="C822" s="2">
        <f>YEAR(Raw_Data!$A822)</f>
        <v>2017</v>
      </c>
      <c r="D822" s="2" t="s">
        <v>770</v>
      </c>
      <c r="E822" s="2" t="s">
        <v>29</v>
      </c>
      <c r="F822" s="2" t="s">
        <v>18</v>
      </c>
      <c r="G822" s="2">
        <v>4</v>
      </c>
      <c r="H822" s="2">
        <v>3205</v>
      </c>
      <c r="I822" s="10">
        <v>291641</v>
      </c>
      <c r="J822" s="10">
        <f>Raw_Data!$I822/Raw_Data!$H822</f>
        <v>90.995631825273009</v>
      </c>
    </row>
    <row r="823" spans="1:10" x14ac:dyDescent="0.3">
      <c r="A823" s="8">
        <v>37296</v>
      </c>
      <c r="B823" t="str">
        <f>TEXT(Raw_Data!$A823, "MMM")</f>
        <v>Feb</v>
      </c>
      <c r="C823">
        <f>YEAR(Raw_Data!$A823)</f>
        <v>2002</v>
      </c>
      <c r="D823" t="s">
        <v>771</v>
      </c>
      <c r="E823" t="s">
        <v>25</v>
      </c>
      <c r="F823" t="s">
        <v>27</v>
      </c>
      <c r="G823">
        <v>5</v>
      </c>
      <c r="H823">
        <v>1741</v>
      </c>
      <c r="I823" s="1">
        <v>297138</v>
      </c>
      <c r="J823" s="1">
        <f>Raw_Data!$I823/Raw_Data!$H823</f>
        <v>170.67087880528433</v>
      </c>
    </row>
    <row r="824" spans="1:10" x14ac:dyDescent="0.3">
      <c r="A824" s="9">
        <v>41050</v>
      </c>
      <c r="B824" s="2" t="str">
        <f>TEXT(Raw_Data!$A824, "MMM")</f>
        <v>May</v>
      </c>
      <c r="C824" s="2">
        <f>YEAR(Raw_Data!$A824)</f>
        <v>2012</v>
      </c>
      <c r="D824" s="2" t="s">
        <v>772</v>
      </c>
      <c r="E824" s="2" t="s">
        <v>32</v>
      </c>
      <c r="F824" s="2" t="s">
        <v>18</v>
      </c>
      <c r="G824" s="2">
        <v>4</v>
      </c>
      <c r="H824" s="2">
        <v>2898</v>
      </c>
      <c r="I824" s="10">
        <v>269129</v>
      </c>
      <c r="J824" s="10">
        <f>Raw_Data!$I824/Raw_Data!$H824</f>
        <v>92.867149758454104</v>
      </c>
    </row>
    <row r="825" spans="1:10" x14ac:dyDescent="0.3">
      <c r="A825" s="8">
        <v>42306</v>
      </c>
      <c r="B825" t="str">
        <f>TEXT(Raw_Data!$A825, "MMM")</f>
        <v>Oct</v>
      </c>
      <c r="C825">
        <f>YEAR(Raw_Data!$A825)</f>
        <v>2015</v>
      </c>
      <c r="D825" t="s">
        <v>773</v>
      </c>
      <c r="E825" t="s">
        <v>21</v>
      </c>
      <c r="F825" t="s">
        <v>27</v>
      </c>
      <c r="G825">
        <v>5</v>
      </c>
      <c r="H825">
        <v>1699</v>
      </c>
      <c r="I825" s="1">
        <v>550610</v>
      </c>
      <c r="J825" s="1">
        <f>Raw_Data!$I825/Raw_Data!$H825</f>
        <v>324.07886992348438</v>
      </c>
    </row>
    <row r="826" spans="1:10" x14ac:dyDescent="0.3">
      <c r="A826" s="9">
        <v>38646</v>
      </c>
      <c r="B826" s="2" t="str">
        <f>TEXT(Raw_Data!$A826, "MMM")</f>
        <v>Oct</v>
      </c>
      <c r="C826" s="2">
        <f>YEAR(Raw_Data!$A826)</f>
        <v>2005</v>
      </c>
      <c r="D826" s="2" t="s">
        <v>774</v>
      </c>
      <c r="E826" s="2" t="s">
        <v>29</v>
      </c>
      <c r="F826" s="2" t="s">
        <v>27</v>
      </c>
      <c r="G826" s="2">
        <v>2</v>
      </c>
      <c r="H826" s="2">
        <v>1455</v>
      </c>
      <c r="I826" s="10">
        <v>196300</v>
      </c>
      <c r="J826" s="10">
        <f>Raw_Data!$I826/Raw_Data!$H826</f>
        <v>134.91408934707903</v>
      </c>
    </row>
    <row r="827" spans="1:10" x14ac:dyDescent="0.3">
      <c r="A827" s="8">
        <v>39071</v>
      </c>
      <c r="B827" t="str">
        <f>TEXT(Raw_Data!$A827, "MMM")</f>
        <v>Dec</v>
      </c>
      <c r="C827">
        <f>YEAR(Raw_Data!$A827)</f>
        <v>2006</v>
      </c>
      <c r="D827" t="s">
        <v>775</v>
      </c>
      <c r="E827" t="s">
        <v>13</v>
      </c>
      <c r="F827" t="s">
        <v>16</v>
      </c>
      <c r="G827">
        <v>2</v>
      </c>
      <c r="H827">
        <v>1720</v>
      </c>
      <c r="I827" s="1"/>
      <c r="J827" s="1">
        <f>Raw_Data!$I827/Raw_Data!$H827</f>
        <v>0</v>
      </c>
    </row>
    <row r="828" spans="1:10" x14ac:dyDescent="0.3">
      <c r="A828" s="9">
        <v>41837</v>
      </c>
      <c r="B828" s="2" t="str">
        <f>TEXT(Raw_Data!$A828, "MMM")</f>
        <v>Jul</v>
      </c>
      <c r="C828" s="2">
        <f>YEAR(Raw_Data!$A828)</f>
        <v>2014</v>
      </c>
      <c r="D828" s="2" t="s">
        <v>776</v>
      </c>
      <c r="E828" s="2" t="s">
        <v>25</v>
      </c>
      <c r="F828" s="2" t="s">
        <v>11</v>
      </c>
      <c r="G828" s="2">
        <v>5</v>
      </c>
      <c r="H828" s="2">
        <v>2165</v>
      </c>
      <c r="I828" s="10">
        <v>449376</v>
      </c>
      <c r="J828" s="10">
        <f>Raw_Data!$I828/Raw_Data!$H828</f>
        <v>207.56397228637414</v>
      </c>
    </row>
    <row r="829" spans="1:10" x14ac:dyDescent="0.3">
      <c r="A829" s="8">
        <v>41680</v>
      </c>
      <c r="B829" t="str">
        <f>TEXT(Raw_Data!$A829, "MMM")</f>
        <v>Feb</v>
      </c>
      <c r="C829">
        <f>YEAR(Raw_Data!$A829)</f>
        <v>2014</v>
      </c>
      <c r="D829" t="s">
        <v>777</v>
      </c>
      <c r="E829" t="s">
        <v>15</v>
      </c>
      <c r="F829" t="s">
        <v>27</v>
      </c>
      <c r="G829">
        <v>3</v>
      </c>
      <c r="H829">
        <v>2714</v>
      </c>
      <c r="I829" s="1"/>
      <c r="J829" s="1">
        <f>Raw_Data!$I829/Raw_Data!$H829</f>
        <v>0</v>
      </c>
    </row>
    <row r="830" spans="1:10" x14ac:dyDescent="0.3">
      <c r="A830" s="9">
        <v>42275</v>
      </c>
      <c r="B830" s="2" t="str">
        <f>TEXT(Raw_Data!$A830, "MMM")</f>
        <v>Sep</v>
      </c>
      <c r="C830" s="2">
        <f>YEAR(Raw_Data!$A830)</f>
        <v>2015</v>
      </c>
      <c r="D830" s="2" t="s">
        <v>287</v>
      </c>
      <c r="E830" s="2" t="s">
        <v>32</v>
      </c>
      <c r="F830" s="2" t="s">
        <v>27</v>
      </c>
      <c r="G830" s="2"/>
      <c r="H830" s="2">
        <v>1274</v>
      </c>
      <c r="I830" s="10">
        <v>797085</v>
      </c>
      <c r="J830" s="10">
        <f>Raw_Data!$I830/Raw_Data!$H830</f>
        <v>625.65541601255882</v>
      </c>
    </row>
    <row r="831" spans="1:10" x14ac:dyDescent="0.3">
      <c r="A831" s="8">
        <v>40554</v>
      </c>
      <c r="B831" t="str">
        <f>TEXT(Raw_Data!$A831, "MMM")</f>
        <v>Jan</v>
      </c>
      <c r="C831">
        <f>YEAR(Raw_Data!$A831)</f>
        <v>2011</v>
      </c>
      <c r="D831" t="s">
        <v>460</v>
      </c>
      <c r="E831" t="s">
        <v>32</v>
      </c>
      <c r="F831" t="s">
        <v>18</v>
      </c>
      <c r="G831">
        <v>3</v>
      </c>
      <c r="H831">
        <v>1936</v>
      </c>
      <c r="I831" s="1">
        <v>105523</v>
      </c>
      <c r="J831" s="1">
        <f>Raw_Data!$I831/Raw_Data!$H831</f>
        <v>54.50568181818182</v>
      </c>
    </row>
    <row r="832" spans="1:10" x14ac:dyDescent="0.3">
      <c r="A832" s="9">
        <v>40367</v>
      </c>
      <c r="B832" s="2" t="str">
        <f>TEXT(Raw_Data!$A832, "MMM")</f>
        <v>Jul</v>
      </c>
      <c r="C832" s="2">
        <f>YEAR(Raw_Data!$A832)</f>
        <v>2010</v>
      </c>
      <c r="D832" s="2" t="s">
        <v>778</v>
      </c>
      <c r="E832" s="2" t="s">
        <v>21</v>
      </c>
      <c r="F832" s="2" t="s">
        <v>16</v>
      </c>
      <c r="G832" s="2"/>
      <c r="H832" s="2">
        <v>2476</v>
      </c>
      <c r="I832" s="10">
        <v>740435</v>
      </c>
      <c r="J832" s="10">
        <f>Raw_Data!$I832/Raw_Data!$H832</f>
        <v>299.04483037156706</v>
      </c>
    </row>
    <row r="833" spans="1:10" x14ac:dyDescent="0.3">
      <c r="A833" s="8">
        <v>39979</v>
      </c>
      <c r="B833" t="str">
        <f>TEXT(Raw_Data!$A833, "MMM")</f>
        <v>Jun</v>
      </c>
      <c r="C833">
        <f>YEAR(Raw_Data!$A833)</f>
        <v>2009</v>
      </c>
      <c r="D833" t="s">
        <v>779</v>
      </c>
      <c r="E833" t="s">
        <v>15</v>
      </c>
      <c r="F833" t="s">
        <v>11</v>
      </c>
      <c r="H833">
        <v>2964</v>
      </c>
      <c r="I833" s="1">
        <v>328347</v>
      </c>
      <c r="J833" s="1">
        <f>Raw_Data!$I833/Raw_Data!$H833</f>
        <v>110.77834008097166</v>
      </c>
    </row>
    <row r="834" spans="1:10" x14ac:dyDescent="0.3">
      <c r="A834" s="9">
        <v>41126</v>
      </c>
      <c r="B834" s="2" t="str">
        <f>TEXT(Raw_Data!$A834, "MMM")</f>
        <v>Aug</v>
      </c>
      <c r="C834" s="2">
        <f>YEAR(Raw_Data!$A834)</f>
        <v>2012</v>
      </c>
      <c r="D834" s="2" t="s">
        <v>780</v>
      </c>
      <c r="E834" s="2" t="s">
        <v>25</v>
      </c>
      <c r="F834" s="2" t="s">
        <v>27</v>
      </c>
      <c r="G834" s="2">
        <v>4</v>
      </c>
      <c r="H834" s="2">
        <v>3013</v>
      </c>
      <c r="I834" s="10">
        <v>632199</v>
      </c>
      <c r="J834" s="10">
        <f>Raw_Data!$I834/Raw_Data!$H834</f>
        <v>209.82376369067376</v>
      </c>
    </row>
    <row r="835" spans="1:10" x14ac:dyDescent="0.3">
      <c r="A835" s="8">
        <v>39407</v>
      </c>
      <c r="B835" t="str">
        <f>TEXT(Raw_Data!$A835, "MMM")</f>
        <v>Nov</v>
      </c>
      <c r="C835">
        <f>YEAR(Raw_Data!$A835)</f>
        <v>2007</v>
      </c>
      <c r="D835" t="s">
        <v>781</v>
      </c>
      <c r="E835" t="s">
        <v>21</v>
      </c>
      <c r="F835" t="s">
        <v>16</v>
      </c>
      <c r="G835">
        <v>4</v>
      </c>
      <c r="H835">
        <v>1195</v>
      </c>
      <c r="I835" s="1">
        <v>737109</v>
      </c>
      <c r="J835" s="1">
        <f>Raw_Data!$I835/Raw_Data!$H835</f>
        <v>616.82761506276154</v>
      </c>
    </row>
    <row r="836" spans="1:10" x14ac:dyDescent="0.3">
      <c r="A836" s="9">
        <v>41206</v>
      </c>
      <c r="B836" s="2" t="str">
        <f>TEXT(Raw_Data!$A836, "MMM")</f>
        <v>Oct</v>
      </c>
      <c r="C836" s="2">
        <f>YEAR(Raw_Data!$A836)</f>
        <v>2012</v>
      </c>
      <c r="D836" s="2" t="s">
        <v>541</v>
      </c>
      <c r="E836" s="2" t="s">
        <v>15</v>
      </c>
      <c r="F836" s="2" t="s">
        <v>16</v>
      </c>
      <c r="G836" s="2"/>
      <c r="H836" s="2">
        <v>883</v>
      </c>
      <c r="I836" s="10">
        <v>529474</v>
      </c>
      <c r="J836" s="10">
        <f>Raw_Data!$I836/Raw_Data!$H836</f>
        <v>599.63080407701023</v>
      </c>
    </row>
    <row r="837" spans="1:10" x14ac:dyDescent="0.3">
      <c r="A837" s="8">
        <v>37138</v>
      </c>
      <c r="B837" t="str">
        <f>TEXT(Raw_Data!$A837, "MMM")</f>
        <v>Sep</v>
      </c>
      <c r="C837">
        <f>YEAR(Raw_Data!$A837)</f>
        <v>2001</v>
      </c>
      <c r="D837" t="s">
        <v>782</v>
      </c>
      <c r="E837" t="s">
        <v>21</v>
      </c>
      <c r="F837" t="s">
        <v>16</v>
      </c>
      <c r="G837">
        <v>5</v>
      </c>
      <c r="H837">
        <v>988</v>
      </c>
      <c r="I837" s="1">
        <v>312061</v>
      </c>
      <c r="J837" s="1">
        <f>Raw_Data!$I837/Raw_Data!$H837</f>
        <v>315.85121457489879</v>
      </c>
    </row>
    <row r="838" spans="1:10" x14ac:dyDescent="0.3">
      <c r="A838" s="9">
        <v>41282</v>
      </c>
      <c r="B838" s="2" t="str">
        <f>TEXT(Raw_Data!$A838, "MMM")</f>
        <v>Jan</v>
      </c>
      <c r="C838" s="2">
        <f>YEAR(Raw_Data!$A838)</f>
        <v>2013</v>
      </c>
      <c r="D838" s="2" t="s">
        <v>783</v>
      </c>
      <c r="E838" s="2" t="s">
        <v>25</v>
      </c>
      <c r="F838" s="2" t="s">
        <v>16</v>
      </c>
      <c r="G838" s="2">
        <v>2</v>
      </c>
      <c r="H838" s="2">
        <v>1922</v>
      </c>
      <c r="I838" s="10">
        <v>388893</v>
      </c>
      <c r="J838" s="10">
        <f>Raw_Data!$I838/Raw_Data!$H838</f>
        <v>202.33766909469304</v>
      </c>
    </row>
    <row r="839" spans="1:10" x14ac:dyDescent="0.3">
      <c r="A839" s="8">
        <v>43472</v>
      </c>
      <c r="B839" t="str">
        <f>TEXT(Raw_Data!$A839, "MMM")</f>
        <v>Jan</v>
      </c>
      <c r="C839">
        <f>YEAR(Raw_Data!$A839)</f>
        <v>2019</v>
      </c>
      <c r="D839" t="s">
        <v>784</v>
      </c>
      <c r="E839" t="s">
        <v>13</v>
      </c>
      <c r="F839" t="s">
        <v>16</v>
      </c>
      <c r="G839">
        <v>2</v>
      </c>
      <c r="H839">
        <v>2115</v>
      </c>
      <c r="I839" s="1">
        <v>896350</v>
      </c>
      <c r="J839" s="1">
        <f>Raw_Data!$I839/Raw_Data!$H839</f>
        <v>423.80614657210401</v>
      </c>
    </row>
    <row r="840" spans="1:10" x14ac:dyDescent="0.3">
      <c r="A840" s="9">
        <v>43467</v>
      </c>
      <c r="B840" s="2" t="str">
        <f>TEXT(Raw_Data!$A840, "MMM")</f>
        <v>Jan</v>
      </c>
      <c r="C840" s="2">
        <f>YEAR(Raw_Data!$A840)</f>
        <v>2019</v>
      </c>
      <c r="D840" s="2" t="s">
        <v>785</v>
      </c>
      <c r="E840" s="2" t="s">
        <v>25</v>
      </c>
      <c r="F840" s="2" t="s">
        <v>27</v>
      </c>
      <c r="G840" s="2">
        <v>3</v>
      </c>
      <c r="H840" s="2">
        <v>2403</v>
      </c>
      <c r="I840" s="10">
        <v>526485</v>
      </c>
      <c r="J840" s="10">
        <f>Raw_Data!$I840/Raw_Data!$H840</f>
        <v>219.0948813982522</v>
      </c>
    </row>
    <row r="841" spans="1:10" x14ac:dyDescent="0.3">
      <c r="A841" s="8">
        <v>39161</v>
      </c>
      <c r="B841" t="str">
        <f>TEXT(Raw_Data!$A841, "MMM")</f>
        <v>Mar</v>
      </c>
      <c r="C841">
        <f>YEAR(Raw_Data!$A841)</f>
        <v>2007</v>
      </c>
      <c r="D841" t="s">
        <v>786</v>
      </c>
      <c r="E841" t="s">
        <v>25</v>
      </c>
      <c r="F841" t="s">
        <v>18</v>
      </c>
      <c r="G841">
        <v>2</v>
      </c>
      <c r="H841">
        <v>2989</v>
      </c>
      <c r="I841" s="1">
        <v>105690</v>
      </c>
      <c r="J841" s="1">
        <f>Raw_Data!$I841/Raw_Data!$H841</f>
        <v>35.359652057544331</v>
      </c>
    </row>
    <row r="842" spans="1:10" x14ac:dyDescent="0.3">
      <c r="A842" s="9">
        <v>38929</v>
      </c>
      <c r="B842" s="2" t="str">
        <f>TEXT(Raw_Data!$A842, "MMM")</f>
        <v>Jul</v>
      </c>
      <c r="C842" s="2">
        <f>YEAR(Raw_Data!$A842)</f>
        <v>2006</v>
      </c>
      <c r="D842" s="2" t="s">
        <v>787</v>
      </c>
      <c r="E842" s="2" t="s">
        <v>25</v>
      </c>
      <c r="F842" s="2" t="s">
        <v>18</v>
      </c>
      <c r="G842" s="2">
        <v>4</v>
      </c>
      <c r="H842" s="2">
        <v>2954</v>
      </c>
      <c r="I842" s="10">
        <v>470602</v>
      </c>
      <c r="J842" s="10">
        <f>Raw_Data!$I842/Raw_Data!$H842</f>
        <v>159.31008801624915</v>
      </c>
    </row>
    <row r="843" spans="1:10" x14ac:dyDescent="0.3">
      <c r="A843" s="8">
        <v>42679</v>
      </c>
      <c r="B843" t="str">
        <f>TEXT(Raw_Data!$A843, "MMM")</f>
        <v>Nov</v>
      </c>
      <c r="C843">
        <f>YEAR(Raw_Data!$A843)</f>
        <v>2016</v>
      </c>
      <c r="D843" t="s">
        <v>788</v>
      </c>
      <c r="E843" t="s">
        <v>25</v>
      </c>
      <c r="F843" t="s">
        <v>18</v>
      </c>
      <c r="H843">
        <v>3498</v>
      </c>
      <c r="I843" s="1">
        <v>353233</v>
      </c>
      <c r="J843" s="1">
        <f>Raw_Data!$I843/Raw_Data!$H843</f>
        <v>100.98141795311606</v>
      </c>
    </row>
    <row r="844" spans="1:10" x14ac:dyDescent="0.3">
      <c r="A844" s="9">
        <v>40420</v>
      </c>
      <c r="B844" s="2" t="str">
        <f>TEXT(Raw_Data!$A844, "MMM")</f>
        <v>Aug</v>
      </c>
      <c r="C844" s="2">
        <f>YEAR(Raw_Data!$A844)</f>
        <v>2010</v>
      </c>
      <c r="D844" s="2" t="s">
        <v>789</v>
      </c>
      <c r="E844" s="2" t="s">
        <v>25</v>
      </c>
      <c r="F844" s="2" t="s">
        <v>16</v>
      </c>
      <c r="G844" s="2">
        <v>4</v>
      </c>
      <c r="H844" s="2">
        <v>1766</v>
      </c>
      <c r="I844" s="10">
        <v>622752</v>
      </c>
      <c r="J844" s="10">
        <f>Raw_Data!$I844/Raw_Data!$H844</f>
        <v>352.63420158550394</v>
      </c>
    </row>
    <row r="845" spans="1:10" x14ac:dyDescent="0.3">
      <c r="A845" s="8">
        <v>37247</v>
      </c>
      <c r="B845" t="str">
        <f>TEXT(Raw_Data!$A845, "MMM")</f>
        <v>Dec</v>
      </c>
      <c r="C845">
        <f>YEAR(Raw_Data!$A845)</f>
        <v>2001</v>
      </c>
      <c r="D845" t="s">
        <v>790</v>
      </c>
      <c r="E845" t="s">
        <v>21</v>
      </c>
      <c r="F845" t="s">
        <v>27</v>
      </c>
      <c r="H845">
        <v>2026</v>
      </c>
      <c r="I845" s="1">
        <v>610887</v>
      </c>
      <c r="J845" s="1">
        <f>Raw_Data!$I845/Raw_Data!$H845</f>
        <v>301.52369200394867</v>
      </c>
    </row>
    <row r="846" spans="1:10" x14ac:dyDescent="0.3">
      <c r="A846" s="9">
        <v>42878</v>
      </c>
      <c r="B846" s="2" t="str">
        <f>TEXT(Raw_Data!$A846, "MMM")</f>
        <v>May</v>
      </c>
      <c r="C846" s="2">
        <f>YEAR(Raw_Data!$A846)</f>
        <v>2017</v>
      </c>
      <c r="D846" s="2" t="s">
        <v>480</v>
      </c>
      <c r="E846" s="2" t="s">
        <v>29</v>
      </c>
      <c r="F846" s="2" t="s">
        <v>27</v>
      </c>
      <c r="G846" s="2">
        <v>5</v>
      </c>
      <c r="H846" s="2">
        <v>2258</v>
      </c>
      <c r="I846" s="10">
        <v>542927</v>
      </c>
      <c r="J846" s="10">
        <f>Raw_Data!$I846/Raw_Data!$H846</f>
        <v>240.44596988485387</v>
      </c>
    </row>
    <row r="847" spans="1:10" x14ac:dyDescent="0.3">
      <c r="A847" s="8">
        <v>37939</v>
      </c>
      <c r="B847" t="str">
        <f>TEXT(Raw_Data!$A847, "MMM")</f>
        <v>Nov</v>
      </c>
      <c r="C847">
        <f>YEAR(Raw_Data!$A847)</f>
        <v>2003</v>
      </c>
      <c r="D847" t="s">
        <v>791</v>
      </c>
      <c r="E847" t="s">
        <v>25</v>
      </c>
      <c r="F847" t="s">
        <v>18</v>
      </c>
      <c r="G847">
        <v>3</v>
      </c>
      <c r="H847">
        <v>1405</v>
      </c>
      <c r="I847" s="1">
        <v>352998</v>
      </c>
      <c r="J847" s="1">
        <f>Raw_Data!$I847/Raw_Data!$H847</f>
        <v>251.24412811387901</v>
      </c>
    </row>
    <row r="848" spans="1:10" x14ac:dyDescent="0.3">
      <c r="A848" s="9">
        <v>43846</v>
      </c>
      <c r="B848" s="2" t="str">
        <f>TEXT(Raw_Data!$A848, "MMM")</f>
        <v>Jan</v>
      </c>
      <c r="C848" s="2">
        <f>YEAR(Raw_Data!$A848)</f>
        <v>2020</v>
      </c>
      <c r="D848" s="2" t="s">
        <v>431</v>
      </c>
      <c r="E848" s="2" t="s">
        <v>25</v>
      </c>
      <c r="F848" s="2" t="s">
        <v>11</v>
      </c>
      <c r="G848" s="2">
        <v>2</v>
      </c>
      <c r="H848" s="2">
        <v>2413</v>
      </c>
      <c r="I848" s="10">
        <v>506304</v>
      </c>
      <c r="J848" s="10">
        <f>Raw_Data!$I848/Raw_Data!$H848</f>
        <v>209.82345627849151</v>
      </c>
    </row>
    <row r="849" spans="1:10" x14ac:dyDescent="0.3">
      <c r="A849" s="8">
        <v>37686</v>
      </c>
      <c r="B849" t="str">
        <f>TEXT(Raw_Data!$A849, "MMM")</f>
        <v>Mar</v>
      </c>
      <c r="C849">
        <f>YEAR(Raw_Data!$A849)</f>
        <v>2003</v>
      </c>
      <c r="D849" t="s">
        <v>792</v>
      </c>
      <c r="E849" t="s">
        <v>32</v>
      </c>
      <c r="F849" t="s">
        <v>27</v>
      </c>
      <c r="G849">
        <v>2</v>
      </c>
      <c r="H849">
        <v>1505</v>
      </c>
      <c r="I849" s="1">
        <v>807628</v>
      </c>
      <c r="J849" s="1">
        <f>Raw_Data!$I849/Raw_Data!$H849</f>
        <v>536.62990033222593</v>
      </c>
    </row>
    <row r="850" spans="1:10" x14ac:dyDescent="0.3">
      <c r="A850" s="9">
        <v>41589</v>
      </c>
      <c r="B850" s="2" t="str">
        <f>TEXT(Raw_Data!$A850, "MMM")</f>
        <v>Nov</v>
      </c>
      <c r="C850" s="2">
        <f>YEAR(Raw_Data!$A850)</f>
        <v>2013</v>
      </c>
      <c r="D850" s="2" t="s">
        <v>793</v>
      </c>
      <c r="E850" s="2" t="s">
        <v>32</v>
      </c>
      <c r="F850" s="2" t="s">
        <v>27</v>
      </c>
      <c r="G850" s="2">
        <v>4</v>
      </c>
      <c r="H850" s="2">
        <v>3084</v>
      </c>
      <c r="I850" s="10">
        <v>757355</v>
      </c>
      <c r="J850" s="10">
        <f>Raw_Data!$I850/Raw_Data!$H850</f>
        <v>245.57555123216602</v>
      </c>
    </row>
    <row r="851" spans="1:10" x14ac:dyDescent="0.3">
      <c r="A851" s="8">
        <v>38939</v>
      </c>
      <c r="B851" t="str">
        <f>TEXT(Raw_Data!$A851, "MMM")</f>
        <v>Aug</v>
      </c>
      <c r="C851">
        <f>YEAR(Raw_Data!$A851)</f>
        <v>2006</v>
      </c>
      <c r="D851" t="s">
        <v>616</v>
      </c>
      <c r="E851" t="s">
        <v>15</v>
      </c>
      <c r="F851" t="s">
        <v>18</v>
      </c>
      <c r="G851">
        <v>5</v>
      </c>
      <c r="H851">
        <v>1795</v>
      </c>
      <c r="I851" s="1">
        <v>115959</v>
      </c>
      <c r="J851" s="1">
        <f>Raw_Data!$I851/Raw_Data!$H851</f>
        <v>64.60111420612813</v>
      </c>
    </row>
    <row r="852" spans="1:10" x14ac:dyDescent="0.3">
      <c r="A852" s="9">
        <v>37689</v>
      </c>
      <c r="B852" s="2" t="str">
        <f>TEXT(Raw_Data!$A852, "MMM")</f>
        <v>Mar</v>
      </c>
      <c r="C852" s="2">
        <f>YEAR(Raw_Data!$A852)</f>
        <v>2003</v>
      </c>
      <c r="D852" s="2" t="s">
        <v>794</v>
      </c>
      <c r="E852" s="2" t="s">
        <v>23</v>
      </c>
      <c r="F852" s="2" t="s">
        <v>18</v>
      </c>
      <c r="G852" s="2">
        <v>5</v>
      </c>
      <c r="H852" s="2">
        <v>903</v>
      </c>
      <c r="I852" s="10">
        <v>128957</v>
      </c>
      <c r="J852" s="10">
        <f>Raw_Data!$I852/Raw_Data!$H852</f>
        <v>142.8095238095238</v>
      </c>
    </row>
    <row r="853" spans="1:10" x14ac:dyDescent="0.3">
      <c r="A853" s="8">
        <v>40106</v>
      </c>
      <c r="B853" t="str">
        <f>TEXT(Raw_Data!$A853, "MMM")</f>
        <v>Oct</v>
      </c>
      <c r="C853">
        <f>YEAR(Raw_Data!$A853)</f>
        <v>2009</v>
      </c>
      <c r="D853" t="s">
        <v>658</v>
      </c>
      <c r="E853" t="s">
        <v>25</v>
      </c>
      <c r="F853" t="s">
        <v>16</v>
      </c>
      <c r="G853">
        <v>4</v>
      </c>
      <c r="H853">
        <v>2744</v>
      </c>
      <c r="I853" s="1">
        <v>639854</v>
      </c>
      <c r="J853" s="1">
        <f>Raw_Data!$I853/Raw_Data!$H853</f>
        <v>233.182944606414</v>
      </c>
    </row>
    <row r="854" spans="1:10" x14ac:dyDescent="0.3">
      <c r="A854" s="9">
        <v>39291</v>
      </c>
      <c r="B854" s="2" t="str">
        <f>TEXT(Raw_Data!$A854, "MMM")</f>
        <v>Jul</v>
      </c>
      <c r="C854" s="2">
        <f>YEAR(Raw_Data!$A854)</f>
        <v>2007</v>
      </c>
      <c r="D854" s="2" t="s">
        <v>795</v>
      </c>
      <c r="E854" s="2" t="s">
        <v>29</v>
      </c>
      <c r="F854" s="2" t="s">
        <v>18</v>
      </c>
      <c r="G854" s="2">
        <v>5</v>
      </c>
      <c r="H854" s="2">
        <v>2818</v>
      </c>
      <c r="I854" s="10">
        <v>407297</v>
      </c>
      <c r="J854" s="10">
        <f>Raw_Data!$I854/Raw_Data!$H854</f>
        <v>144.53406671398156</v>
      </c>
    </row>
    <row r="855" spans="1:10" x14ac:dyDescent="0.3">
      <c r="A855" s="8">
        <v>43148</v>
      </c>
      <c r="B855" t="str">
        <f>TEXT(Raw_Data!$A855, "MMM")</f>
        <v>Feb</v>
      </c>
      <c r="C855">
        <f>YEAR(Raw_Data!$A855)</f>
        <v>2018</v>
      </c>
      <c r="D855" t="s">
        <v>369</v>
      </c>
      <c r="E855" t="s">
        <v>15</v>
      </c>
      <c r="F855" t="s">
        <v>18</v>
      </c>
      <c r="G855">
        <v>2</v>
      </c>
      <c r="H855">
        <v>1459</v>
      </c>
      <c r="I855" s="1">
        <v>106468</v>
      </c>
      <c r="J855" s="1">
        <f>Raw_Data!$I855/Raw_Data!$H855</f>
        <v>72.973269362577113</v>
      </c>
    </row>
    <row r="856" spans="1:10" x14ac:dyDescent="0.3">
      <c r="A856" s="9">
        <v>37726</v>
      </c>
      <c r="B856" s="2" t="str">
        <f>TEXT(Raw_Data!$A856, "MMM")</f>
        <v>Apr</v>
      </c>
      <c r="C856" s="2">
        <f>YEAR(Raw_Data!$A856)</f>
        <v>2003</v>
      </c>
      <c r="D856" s="2" t="s">
        <v>796</v>
      </c>
      <c r="E856" s="2" t="s">
        <v>23</v>
      </c>
      <c r="F856" s="2" t="s">
        <v>11</v>
      </c>
      <c r="G856" s="2">
        <v>5</v>
      </c>
      <c r="H856" s="2">
        <v>1413</v>
      </c>
      <c r="I856" s="10">
        <v>493256</v>
      </c>
      <c r="J856" s="10">
        <f>Raw_Data!$I856/Raw_Data!$H856</f>
        <v>349.08421797593775</v>
      </c>
    </row>
    <row r="857" spans="1:10" x14ac:dyDescent="0.3">
      <c r="A857" s="8">
        <v>41493</v>
      </c>
      <c r="B857" t="str">
        <f>TEXT(Raw_Data!$A857, "MMM")</f>
        <v>Aug</v>
      </c>
      <c r="C857">
        <f>YEAR(Raw_Data!$A857)</f>
        <v>2013</v>
      </c>
      <c r="D857" t="s">
        <v>797</v>
      </c>
      <c r="E857" t="s">
        <v>32</v>
      </c>
      <c r="F857" t="s">
        <v>18</v>
      </c>
      <c r="G857">
        <v>4</v>
      </c>
      <c r="H857">
        <v>2083</v>
      </c>
      <c r="I857" s="1">
        <v>101109</v>
      </c>
      <c r="J857" s="1">
        <f>Raw_Data!$I857/Raw_Data!$H857</f>
        <v>48.540086413826209</v>
      </c>
    </row>
    <row r="858" spans="1:10" x14ac:dyDescent="0.3">
      <c r="A858" s="9">
        <v>40922</v>
      </c>
      <c r="B858" s="2" t="str">
        <f>TEXT(Raw_Data!$A858, "MMM")</f>
        <v>Jan</v>
      </c>
      <c r="C858" s="2">
        <f>YEAR(Raw_Data!$A858)</f>
        <v>2012</v>
      </c>
      <c r="D858" s="2" t="s">
        <v>798</v>
      </c>
      <c r="E858" s="2" t="s">
        <v>15</v>
      </c>
      <c r="F858" s="2" t="s">
        <v>11</v>
      </c>
      <c r="G858" s="2"/>
      <c r="H858" s="2">
        <v>1857</v>
      </c>
      <c r="I858" s="10">
        <v>144225</v>
      </c>
      <c r="J858" s="10">
        <f>Raw_Data!$I858/Raw_Data!$H858</f>
        <v>77.665589660743137</v>
      </c>
    </row>
    <row r="859" spans="1:10" x14ac:dyDescent="0.3">
      <c r="A859" s="8">
        <v>39559</v>
      </c>
      <c r="B859" t="str">
        <f>TEXT(Raw_Data!$A859, "MMM")</f>
        <v>Apr</v>
      </c>
      <c r="C859">
        <f>YEAR(Raw_Data!$A859)</f>
        <v>2008</v>
      </c>
      <c r="D859" t="s">
        <v>799</v>
      </c>
      <c r="E859" t="s">
        <v>32</v>
      </c>
      <c r="F859" t="s">
        <v>16</v>
      </c>
      <c r="H859">
        <v>1819</v>
      </c>
      <c r="I859" s="1">
        <v>230780</v>
      </c>
      <c r="J859" s="1">
        <f>Raw_Data!$I859/Raw_Data!$H859</f>
        <v>126.87190764156129</v>
      </c>
    </row>
    <row r="860" spans="1:10" x14ac:dyDescent="0.3">
      <c r="A860" s="9">
        <v>37198</v>
      </c>
      <c r="B860" s="2" t="str">
        <f>TEXT(Raw_Data!$A860, "MMM")</f>
        <v>Nov</v>
      </c>
      <c r="C860" s="2">
        <f>YEAR(Raw_Data!$A860)</f>
        <v>2001</v>
      </c>
      <c r="D860" s="2" t="s">
        <v>800</v>
      </c>
      <c r="E860" s="2" t="s">
        <v>32</v>
      </c>
      <c r="F860" s="2" t="s">
        <v>27</v>
      </c>
      <c r="G860" s="2">
        <v>4</v>
      </c>
      <c r="H860" s="2">
        <v>1033</v>
      </c>
      <c r="I860" s="10"/>
      <c r="J860" s="10">
        <f>Raw_Data!$I860/Raw_Data!$H860</f>
        <v>0</v>
      </c>
    </row>
    <row r="861" spans="1:10" x14ac:dyDescent="0.3">
      <c r="A861" s="8">
        <v>38981</v>
      </c>
      <c r="B861" t="str">
        <f>TEXT(Raw_Data!$A861, "MMM")</f>
        <v>Sep</v>
      </c>
      <c r="C861">
        <f>YEAR(Raw_Data!$A861)</f>
        <v>2006</v>
      </c>
      <c r="D861" t="s">
        <v>355</v>
      </c>
      <c r="E861" t="s">
        <v>21</v>
      </c>
      <c r="F861" t="s">
        <v>27</v>
      </c>
      <c r="G861">
        <v>4</v>
      </c>
      <c r="H861">
        <v>1298</v>
      </c>
      <c r="I861" s="1">
        <v>437100</v>
      </c>
      <c r="J861" s="1">
        <f>Raw_Data!$I861/Raw_Data!$H861</f>
        <v>336.74884437596302</v>
      </c>
    </row>
    <row r="862" spans="1:10" x14ac:dyDescent="0.3">
      <c r="A862" s="9">
        <v>39379</v>
      </c>
      <c r="B862" s="2" t="str">
        <f>TEXT(Raw_Data!$A862, "MMM")</f>
        <v>Oct</v>
      </c>
      <c r="C862" s="2">
        <f>YEAR(Raw_Data!$A862)</f>
        <v>2007</v>
      </c>
      <c r="D862" s="2" t="s">
        <v>645</v>
      </c>
      <c r="E862" s="2" t="s">
        <v>23</v>
      </c>
      <c r="F862" s="2" t="s">
        <v>16</v>
      </c>
      <c r="G862" s="2"/>
      <c r="H862" s="2">
        <v>1303</v>
      </c>
      <c r="I862" s="10">
        <v>134289</v>
      </c>
      <c r="J862" s="10">
        <f>Raw_Data!$I862/Raw_Data!$H862</f>
        <v>103.06139677666923</v>
      </c>
    </row>
    <row r="863" spans="1:10" x14ac:dyDescent="0.3">
      <c r="A863" s="8">
        <v>37186</v>
      </c>
      <c r="B863" t="str">
        <f>TEXT(Raw_Data!$A863, "MMM")</f>
        <v>Oct</v>
      </c>
      <c r="C863">
        <f>YEAR(Raw_Data!$A863)</f>
        <v>2001</v>
      </c>
      <c r="D863" t="s">
        <v>87</v>
      </c>
      <c r="E863" t="s">
        <v>21</v>
      </c>
      <c r="F863" t="s">
        <v>27</v>
      </c>
      <c r="G863">
        <v>5</v>
      </c>
      <c r="H863">
        <v>1810</v>
      </c>
      <c r="I863" s="1">
        <v>779996</v>
      </c>
      <c r="J863" s="1">
        <f>Raw_Data!$I863/Raw_Data!$H863</f>
        <v>430.93701657458564</v>
      </c>
    </row>
    <row r="864" spans="1:10" x14ac:dyDescent="0.3">
      <c r="A864" s="9">
        <v>41898</v>
      </c>
      <c r="B864" s="2" t="str">
        <f>TEXT(Raw_Data!$A864, "MMM")</f>
        <v>Sep</v>
      </c>
      <c r="C864" s="2">
        <f>YEAR(Raw_Data!$A864)</f>
        <v>2014</v>
      </c>
      <c r="D864" s="2" t="s">
        <v>801</v>
      </c>
      <c r="E864" s="2" t="s">
        <v>15</v>
      </c>
      <c r="F864" s="2" t="s">
        <v>18</v>
      </c>
      <c r="G864" s="2">
        <v>5</v>
      </c>
      <c r="H864" s="2">
        <v>2538</v>
      </c>
      <c r="I864" s="10">
        <v>224366</v>
      </c>
      <c r="J864" s="10">
        <f>Raw_Data!$I864/Raw_Data!$H864</f>
        <v>88.402679275019707</v>
      </c>
    </row>
    <row r="865" spans="1:10" x14ac:dyDescent="0.3">
      <c r="A865" s="8">
        <v>37829</v>
      </c>
      <c r="B865" t="str">
        <f>TEXT(Raw_Data!$A865, "MMM")</f>
        <v>Jul</v>
      </c>
      <c r="C865">
        <f>YEAR(Raw_Data!$A865)</f>
        <v>2003</v>
      </c>
      <c r="D865" t="s">
        <v>802</v>
      </c>
      <c r="E865" t="s">
        <v>29</v>
      </c>
      <c r="F865" t="s">
        <v>16</v>
      </c>
      <c r="H865">
        <v>1455</v>
      </c>
      <c r="I865" s="1">
        <v>555338</v>
      </c>
      <c r="J865" s="1">
        <f>Raw_Data!$I865/Raw_Data!$H865</f>
        <v>381.67560137457042</v>
      </c>
    </row>
    <row r="866" spans="1:10" x14ac:dyDescent="0.3">
      <c r="A866" s="9">
        <v>40055</v>
      </c>
      <c r="B866" s="2" t="str">
        <f>TEXT(Raw_Data!$A866, "MMM")</f>
        <v>Aug</v>
      </c>
      <c r="C866" s="2">
        <f>YEAR(Raw_Data!$A866)</f>
        <v>2009</v>
      </c>
      <c r="D866" s="2" t="s">
        <v>85</v>
      </c>
      <c r="E866" s="2" t="s">
        <v>15</v>
      </c>
      <c r="F866" s="2" t="s">
        <v>18</v>
      </c>
      <c r="G866" s="2">
        <v>5</v>
      </c>
      <c r="H866" s="2">
        <v>1582</v>
      </c>
      <c r="I866" s="10">
        <v>174251</v>
      </c>
      <c r="J866" s="10">
        <f>Raw_Data!$I866/Raw_Data!$H866</f>
        <v>110.14601769911505</v>
      </c>
    </row>
    <row r="867" spans="1:10" x14ac:dyDescent="0.3">
      <c r="A867" s="8">
        <v>42914</v>
      </c>
      <c r="B867" t="str">
        <f>TEXT(Raw_Data!$A867, "MMM")</f>
        <v>Jun</v>
      </c>
      <c r="C867">
        <f>YEAR(Raw_Data!$A867)</f>
        <v>2017</v>
      </c>
      <c r="D867" t="s">
        <v>788</v>
      </c>
      <c r="E867" t="s">
        <v>25</v>
      </c>
      <c r="F867" t="s">
        <v>11</v>
      </c>
      <c r="G867">
        <v>3</v>
      </c>
      <c r="H867">
        <v>2161</v>
      </c>
      <c r="I867" s="1">
        <v>145303</v>
      </c>
      <c r="J867" s="1">
        <f>Raw_Data!$I867/Raw_Data!$H867</f>
        <v>67.238778343359556</v>
      </c>
    </row>
    <row r="868" spans="1:10" x14ac:dyDescent="0.3">
      <c r="A868" s="9">
        <v>38260</v>
      </c>
      <c r="B868" s="2" t="str">
        <f>TEXT(Raw_Data!$A868, "MMM")</f>
        <v>Sep</v>
      </c>
      <c r="C868" s="2">
        <f>YEAR(Raw_Data!$A868)</f>
        <v>2004</v>
      </c>
      <c r="D868" s="2" t="s">
        <v>803</v>
      </c>
      <c r="E868" s="2" t="s">
        <v>23</v>
      </c>
      <c r="F868" s="2" t="s">
        <v>11</v>
      </c>
      <c r="G868" s="2">
        <v>2</v>
      </c>
      <c r="H868" s="2">
        <v>2278</v>
      </c>
      <c r="I868" s="10">
        <v>491536</v>
      </c>
      <c r="J868" s="10">
        <f>Raw_Data!$I868/Raw_Data!$H868</f>
        <v>215.77524143985951</v>
      </c>
    </row>
    <row r="869" spans="1:10" x14ac:dyDescent="0.3">
      <c r="A869" s="8">
        <v>38667</v>
      </c>
      <c r="B869" t="str">
        <f>TEXT(Raw_Data!$A869, "MMM")</f>
        <v>Nov</v>
      </c>
      <c r="C869">
        <f>YEAR(Raw_Data!$A869)</f>
        <v>2005</v>
      </c>
      <c r="D869" t="s">
        <v>804</v>
      </c>
      <c r="E869" t="s">
        <v>15</v>
      </c>
      <c r="F869" t="s">
        <v>27</v>
      </c>
      <c r="G869">
        <v>5</v>
      </c>
      <c r="H869">
        <v>3110</v>
      </c>
      <c r="I869" s="1">
        <v>878491</v>
      </c>
      <c r="J869" s="1">
        <f>Raw_Data!$I869/Raw_Data!$H869</f>
        <v>282.47299035369775</v>
      </c>
    </row>
    <row r="870" spans="1:10" x14ac:dyDescent="0.3">
      <c r="A870" s="9">
        <v>39023</v>
      </c>
      <c r="B870" s="2" t="str">
        <f>TEXT(Raw_Data!$A870, "MMM")</f>
        <v>Nov</v>
      </c>
      <c r="C870" s="2">
        <f>YEAR(Raw_Data!$A870)</f>
        <v>2006</v>
      </c>
      <c r="D870" s="2" t="s">
        <v>805</v>
      </c>
      <c r="E870" s="2" t="s">
        <v>21</v>
      </c>
      <c r="F870" s="2" t="s">
        <v>18</v>
      </c>
      <c r="G870" s="2">
        <v>5</v>
      </c>
      <c r="H870" s="2">
        <v>2819</v>
      </c>
      <c r="I870" s="10">
        <v>502788</v>
      </c>
      <c r="J870" s="10">
        <f>Raw_Data!$I870/Raw_Data!$H870</f>
        <v>178.35686413621852</v>
      </c>
    </row>
    <row r="871" spans="1:10" x14ac:dyDescent="0.3">
      <c r="A871" s="8">
        <v>42019</v>
      </c>
      <c r="B871" t="str">
        <f>TEXT(Raw_Data!$A871, "MMM")</f>
        <v>Jan</v>
      </c>
      <c r="C871">
        <f>YEAR(Raw_Data!$A871)</f>
        <v>2015</v>
      </c>
      <c r="D871" t="s">
        <v>81</v>
      </c>
      <c r="E871" t="s">
        <v>32</v>
      </c>
      <c r="F871" t="s">
        <v>11</v>
      </c>
      <c r="G871">
        <v>4</v>
      </c>
      <c r="H871">
        <v>3157</v>
      </c>
      <c r="I871" s="1">
        <v>697037</v>
      </c>
      <c r="J871" s="1">
        <f>Raw_Data!$I871/Raw_Data!$H871</f>
        <v>220.79094076655053</v>
      </c>
    </row>
    <row r="872" spans="1:10" x14ac:dyDescent="0.3">
      <c r="A872" s="9">
        <v>43567</v>
      </c>
      <c r="B872" s="2" t="str">
        <f>TEXT(Raw_Data!$A872, "MMM")</f>
        <v>Apr</v>
      </c>
      <c r="C872" s="2">
        <f>YEAR(Raw_Data!$A872)</f>
        <v>2019</v>
      </c>
      <c r="D872" s="2" t="s">
        <v>450</v>
      </c>
      <c r="E872" s="2" t="s">
        <v>25</v>
      </c>
      <c r="F872" s="2" t="s">
        <v>27</v>
      </c>
      <c r="G872" s="2">
        <v>2</v>
      </c>
      <c r="H872" s="2">
        <v>1311</v>
      </c>
      <c r="I872" s="10">
        <v>221981</v>
      </c>
      <c r="J872" s="10">
        <f>Raw_Data!$I872/Raw_Data!$H872</f>
        <v>169.32189168573609</v>
      </c>
    </row>
    <row r="873" spans="1:10" x14ac:dyDescent="0.3">
      <c r="A873" s="8">
        <v>41174</v>
      </c>
      <c r="B873" t="str">
        <f>TEXT(Raw_Data!$A873, "MMM")</f>
        <v>Sep</v>
      </c>
      <c r="C873">
        <f>YEAR(Raw_Data!$A873)</f>
        <v>2012</v>
      </c>
      <c r="D873" t="s">
        <v>806</v>
      </c>
      <c r="E873" t="s">
        <v>29</v>
      </c>
      <c r="F873" t="s">
        <v>27</v>
      </c>
      <c r="H873">
        <v>1188</v>
      </c>
      <c r="I873" s="1">
        <v>372048</v>
      </c>
      <c r="J873" s="1">
        <f>Raw_Data!$I873/Raw_Data!$H873</f>
        <v>313.17171717171715</v>
      </c>
    </row>
    <row r="874" spans="1:10" x14ac:dyDescent="0.3">
      <c r="A874" s="9">
        <v>39823</v>
      </c>
      <c r="B874" s="2" t="str">
        <f>TEXT(Raw_Data!$A874, "MMM")</f>
        <v>Jan</v>
      </c>
      <c r="C874" s="2">
        <f>YEAR(Raw_Data!$A874)</f>
        <v>2009</v>
      </c>
      <c r="D874" s="2" t="s">
        <v>807</v>
      </c>
      <c r="E874" s="2" t="s">
        <v>29</v>
      </c>
      <c r="F874" s="2" t="s">
        <v>16</v>
      </c>
      <c r="G874" s="2">
        <v>5</v>
      </c>
      <c r="H874" s="2">
        <v>2289</v>
      </c>
      <c r="I874" s="10">
        <v>427057</v>
      </c>
      <c r="J874" s="10">
        <f>Raw_Data!$I874/Raw_Data!$H874</f>
        <v>186.56924421144603</v>
      </c>
    </row>
    <row r="875" spans="1:10" x14ac:dyDescent="0.3">
      <c r="A875" s="8">
        <v>37397</v>
      </c>
      <c r="B875" t="str">
        <f>TEXT(Raw_Data!$A875, "MMM")</f>
        <v>May</v>
      </c>
      <c r="C875">
        <f>YEAR(Raw_Data!$A875)</f>
        <v>2002</v>
      </c>
      <c r="D875" t="s">
        <v>37</v>
      </c>
      <c r="E875" t="s">
        <v>32</v>
      </c>
      <c r="F875" t="s">
        <v>11</v>
      </c>
      <c r="G875">
        <v>2</v>
      </c>
      <c r="H875">
        <v>3114</v>
      </c>
      <c r="I875" s="1">
        <v>531177</v>
      </c>
      <c r="J875" s="1">
        <f>Raw_Data!$I875/Raw_Data!$H875</f>
        <v>170.57707129094413</v>
      </c>
    </row>
    <row r="876" spans="1:10" x14ac:dyDescent="0.3">
      <c r="A876" s="9">
        <v>40360</v>
      </c>
      <c r="B876" s="2" t="str">
        <f>TEXT(Raw_Data!$A876, "MMM")</f>
        <v>Jul</v>
      </c>
      <c r="C876" s="2">
        <f>YEAR(Raw_Data!$A876)</f>
        <v>2010</v>
      </c>
      <c r="D876" s="2" t="s">
        <v>808</v>
      </c>
      <c r="E876" s="2" t="s">
        <v>21</v>
      </c>
      <c r="F876" s="2" t="s">
        <v>27</v>
      </c>
      <c r="G876" s="2"/>
      <c r="H876" s="2">
        <v>1487</v>
      </c>
      <c r="I876" s="10">
        <v>519559</v>
      </c>
      <c r="J876" s="10">
        <f>Raw_Data!$I876/Raw_Data!$H876</f>
        <v>349.40080699394753</v>
      </c>
    </row>
    <row r="877" spans="1:10" x14ac:dyDescent="0.3">
      <c r="A877" s="8">
        <v>37373</v>
      </c>
      <c r="B877" t="str">
        <f>TEXT(Raw_Data!$A877, "MMM")</f>
        <v>Apr</v>
      </c>
      <c r="C877">
        <f>YEAR(Raw_Data!$A877)</f>
        <v>2002</v>
      </c>
      <c r="D877" t="s">
        <v>809</v>
      </c>
      <c r="E877" t="s">
        <v>32</v>
      </c>
      <c r="F877" t="s">
        <v>11</v>
      </c>
      <c r="G877">
        <v>2</v>
      </c>
      <c r="H877">
        <v>2024</v>
      </c>
      <c r="I877" s="1">
        <v>815840</v>
      </c>
      <c r="J877" s="1">
        <f>Raw_Data!$I877/Raw_Data!$H877</f>
        <v>403.08300395256919</v>
      </c>
    </row>
    <row r="878" spans="1:10" x14ac:dyDescent="0.3">
      <c r="A878" s="9">
        <v>37486</v>
      </c>
      <c r="B878" s="2" t="str">
        <f>TEXT(Raw_Data!$A878, "MMM")</f>
        <v>Aug</v>
      </c>
      <c r="C878" s="2">
        <f>YEAR(Raw_Data!$A878)</f>
        <v>2002</v>
      </c>
      <c r="D878" s="2" t="s">
        <v>216</v>
      </c>
      <c r="E878" s="2" t="s">
        <v>29</v>
      </c>
      <c r="F878" s="2" t="s">
        <v>18</v>
      </c>
      <c r="G878" s="2"/>
      <c r="H878" s="2">
        <v>1442</v>
      </c>
      <c r="I878" s="10">
        <v>205157</v>
      </c>
      <c r="J878" s="10">
        <f>Raw_Data!$I878/Raw_Data!$H878</f>
        <v>142.27253814147019</v>
      </c>
    </row>
    <row r="879" spans="1:10" x14ac:dyDescent="0.3">
      <c r="A879" s="8">
        <v>37627</v>
      </c>
      <c r="B879" t="str">
        <f>TEXT(Raw_Data!$A879, "MMM")</f>
        <v>Jan</v>
      </c>
      <c r="C879">
        <f>YEAR(Raw_Data!$A879)</f>
        <v>2003</v>
      </c>
      <c r="D879" t="s">
        <v>102</v>
      </c>
      <c r="E879" t="s">
        <v>15</v>
      </c>
      <c r="F879" t="s">
        <v>11</v>
      </c>
      <c r="H879">
        <v>2165</v>
      </c>
      <c r="I879" s="1">
        <v>305184</v>
      </c>
      <c r="J879" s="1">
        <f>Raw_Data!$I879/Raw_Data!$H879</f>
        <v>140.96258660508084</v>
      </c>
    </row>
    <row r="880" spans="1:10" x14ac:dyDescent="0.3">
      <c r="A880" s="9">
        <v>41584</v>
      </c>
      <c r="B880" s="2" t="str">
        <f>TEXT(Raw_Data!$A880, "MMM")</f>
        <v>Nov</v>
      </c>
      <c r="C880" s="2">
        <f>YEAR(Raw_Data!$A880)</f>
        <v>2013</v>
      </c>
      <c r="D880" s="2" t="s">
        <v>810</v>
      </c>
      <c r="E880" s="2" t="s">
        <v>21</v>
      </c>
      <c r="F880" s="2" t="s">
        <v>16</v>
      </c>
      <c r="G880" s="2">
        <v>5</v>
      </c>
      <c r="H880" s="2">
        <v>1594</v>
      </c>
      <c r="I880" s="10">
        <v>254866</v>
      </c>
      <c r="J880" s="10">
        <f>Raw_Data!$I880/Raw_Data!$H880</f>
        <v>159.89084065244668</v>
      </c>
    </row>
    <row r="881" spans="1:10" x14ac:dyDescent="0.3">
      <c r="A881" s="8">
        <v>40115</v>
      </c>
      <c r="B881" t="str">
        <f>TEXT(Raw_Data!$A881, "MMM")</f>
        <v>Oct</v>
      </c>
      <c r="C881">
        <f>YEAR(Raw_Data!$A881)</f>
        <v>2009</v>
      </c>
      <c r="D881" t="s">
        <v>811</v>
      </c>
      <c r="E881" t="s">
        <v>25</v>
      </c>
      <c r="F881" t="s">
        <v>16</v>
      </c>
      <c r="G881">
        <v>4</v>
      </c>
      <c r="H881">
        <v>1214</v>
      </c>
      <c r="I881" s="1">
        <v>214591</v>
      </c>
      <c r="J881" s="1">
        <f>Raw_Data!$I881/Raw_Data!$H881</f>
        <v>176.76359143327841</v>
      </c>
    </row>
    <row r="882" spans="1:10" x14ac:dyDescent="0.3">
      <c r="A882" s="9">
        <v>42169</v>
      </c>
      <c r="B882" s="2" t="str">
        <f>TEXT(Raw_Data!$A882, "MMM")</f>
        <v>Jun</v>
      </c>
      <c r="C882" s="2">
        <f>YEAR(Raw_Data!$A882)</f>
        <v>2015</v>
      </c>
      <c r="D882" s="2" t="s">
        <v>812</v>
      </c>
      <c r="E882" s="2" t="s">
        <v>21</v>
      </c>
      <c r="F882" s="2" t="s">
        <v>11</v>
      </c>
      <c r="G882" s="2">
        <v>5</v>
      </c>
      <c r="H882" s="2">
        <v>1310</v>
      </c>
      <c r="I882" s="10">
        <v>305788</v>
      </c>
      <c r="J882" s="10">
        <f>Raw_Data!$I882/Raw_Data!$H882</f>
        <v>233.42595419847328</v>
      </c>
    </row>
    <row r="883" spans="1:10" x14ac:dyDescent="0.3">
      <c r="A883" s="8">
        <v>41961</v>
      </c>
      <c r="B883" t="str">
        <f>TEXT(Raw_Data!$A883, "MMM")</f>
        <v>Nov</v>
      </c>
      <c r="C883">
        <f>YEAR(Raw_Data!$A883)</f>
        <v>2014</v>
      </c>
      <c r="D883" t="s">
        <v>813</v>
      </c>
      <c r="E883" t="s">
        <v>23</v>
      </c>
      <c r="F883" t="s">
        <v>18</v>
      </c>
      <c r="G883">
        <v>5</v>
      </c>
      <c r="H883">
        <v>3240</v>
      </c>
      <c r="I883" s="1">
        <v>846936</v>
      </c>
      <c r="J883" s="1">
        <f>Raw_Data!$I883/Raw_Data!$H883</f>
        <v>261.39999999999998</v>
      </c>
    </row>
    <row r="884" spans="1:10" x14ac:dyDescent="0.3">
      <c r="A884" s="9">
        <v>42804</v>
      </c>
      <c r="B884" s="2" t="str">
        <f>TEXT(Raw_Data!$A884, "MMM")</f>
        <v>Mar</v>
      </c>
      <c r="C884" s="2">
        <f>YEAR(Raw_Data!$A884)</f>
        <v>2017</v>
      </c>
      <c r="D884" s="2" t="s">
        <v>814</v>
      </c>
      <c r="E884" s="2" t="s">
        <v>15</v>
      </c>
      <c r="F884" s="2" t="s">
        <v>18</v>
      </c>
      <c r="G884" s="2"/>
      <c r="H884" s="2">
        <v>2226</v>
      </c>
      <c r="I884" s="10">
        <v>664966</v>
      </c>
      <c r="J884" s="10">
        <f>Raw_Data!$I884/Raw_Data!$H884</f>
        <v>298.72686433063791</v>
      </c>
    </row>
    <row r="885" spans="1:10" x14ac:dyDescent="0.3">
      <c r="A885" s="8">
        <v>38530</v>
      </c>
      <c r="B885" t="str">
        <f>TEXT(Raw_Data!$A885, "MMM")</f>
        <v>Jun</v>
      </c>
      <c r="C885">
        <f>YEAR(Raw_Data!$A885)</f>
        <v>2005</v>
      </c>
      <c r="D885" t="s">
        <v>815</v>
      </c>
      <c r="E885" t="s">
        <v>15</v>
      </c>
      <c r="F885" t="s">
        <v>16</v>
      </c>
      <c r="G885">
        <v>4</v>
      </c>
      <c r="H885">
        <v>3411</v>
      </c>
      <c r="I885" s="1">
        <v>726021</v>
      </c>
      <c r="J885" s="1">
        <f>Raw_Data!$I885/Raw_Data!$H885</f>
        <v>212.84696569920845</v>
      </c>
    </row>
    <row r="886" spans="1:10" x14ac:dyDescent="0.3">
      <c r="A886" s="9">
        <v>41160</v>
      </c>
      <c r="B886" s="2" t="str">
        <f>TEXT(Raw_Data!$A886, "MMM")</f>
        <v>Sep</v>
      </c>
      <c r="C886" s="2">
        <f>YEAR(Raw_Data!$A886)</f>
        <v>2012</v>
      </c>
      <c r="D886" s="2" t="s">
        <v>816</v>
      </c>
      <c r="E886" s="2" t="s">
        <v>25</v>
      </c>
      <c r="F886" s="2" t="s">
        <v>16</v>
      </c>
      <c r="G886" s="2">
        <v>2</v>
      </c>
      <c r="H886" s="2">
        <v>2038</v>
      </c>
      <c r="I886" s="10">
        <v>519835</v>
      </c>
      <c r="J886" s="10">
        <f>Raw_Data!$I886/Raw_Data!$H886</f>
        <v>255.0711481844946</v>
      </c>
    </row>
    <row r="887" spans="1:10" x14ac:dyDescent="0.3">
      <c r="A887" s="8">
        <v>39721</v>
      </c>
      <c r="B887" t="str">
        <f>TEXT(Raw_Data!$A887, "MMM")</f>
        <v>Sep</v>
      </c>
      <c r="C887">
        <f>YEAR(Raw_Data!$A887)</f>
        <v>2008</v>
      </c>
      <c r="D887" t="s">
        <v>817</v>
      </c>
      <c r="E887" t="s">
        <v>32</v>
      </c>
      <c r="F887" t="s">
        <v>11</v>
      </c>
      <c r="G887">
        <v>5</v>
      </c>
      <c r="H887">
        <v>2335</v>
      </c>
      <c r="I887" s="1">
        <v>556686</v>
      </c>
      <c r="J887" s="1">
        <f>Raw_Data!$I887/Raw_Data!$H887</f>
        <v>238.40942184154176</v>
      </c>
    </row>
    <row r="888" spans="1:10" x14ac:dyDescent="0.3">
      <c r="A888" s="9">
        <v>37342</v>
      </c>
      <c r="B888" s="2" t="str">
        <f>TEXT(Raw_Data!$A888, "MMM")</f>
        <v>Mar</v>
      </c>
      <c r="C888" s="2">
        <f>YEAR(Raw_Data!$A888)</f>
        <v>2002</v>
      </c>
      <c r="D888" s="2" t="s">
        <v>818</v>
      </c>
      <c r="E888" s="2" t="s">
        <v>15</v>
      </c>
      <c r="F888" s="2" t="s">
        <v>18</v>
      </c>
      <c r="G888" s="2">
        <v>3</v>
      </c>
      <c r="H888" s="2">
        <v>2955</v>
      </c>
      <c r="I888" s="10">
        <v>668573</v>
      </c>
      <c r="J888" s="10">
        <f>Raw_Data!$I888/Raw_Data!$H888</f>
        <v>226.25143824027072</v>
      </c>
    </row>
    <row r="889" spans="1:10" x14ac:dyDescent="0.3">
      <c r="A889" s="8">
        <v>41852</v>
      </c>
      <c r="B889" t="str">
        <f>TEXT(Raw_Data!$A889, "MMM")</f>
        <v>Aug</v>
      </c>
      <c r="C889">
        <f>YEAR(Raw_Data!$A889)</f>
        <v>2014</v>
      </c>
      <c r="D889" t="s">
        <v>819</v>
      </c>
      <c r="E889" t="s">
        <v>25</v>
      </c>
      <c r="F889" t="s">
        <v>11</v>
      </c>
      <c r="H889">
        <v>1839</v>
      </c>
      <c r="I889" s="1">
        <v>820625</v>
      </c>
      <c r="J889" s="1">
        <f>Raw_Data!$I889/Raw_Data!$H889</f>
        <v>446.23436650353455</v>
      </c>
    </row>
    <row r="890" spans="1:10" x14ac:dyDescent="0.3">
      <c r="A890" s="9">
        <v>43666</v>
      </c>
      <c r="B890" s="2" t="str">
        <f>TEXT(Raw_Data!$A890, "MMM")</f>
        <v>Jul</v>
      </c>
      <c r="C890" s="2">
        <f>YEAR(Raw_Data!$A890)</f>
        <v>2019</v>
      </c>
      <c r="D890" s="2" t="s">
        <v>820</v>
      </c>
      <c r="E890" s="2" t="s">
        <v>29</v>
      </c>
      <c r="F890" s="2" t="s">
        <v>16</v>
      </c>
      <c r="G890" s="2"/>
      <c r="H890" s="2">
        <v>2815</v>
      </c>
      <c r="I890" s="10">
        <v>316242</v>
      </c>
      <c r="J890" s="10">
        <f>Raw_Data!$I890/Raw_Data!$H890</f>
        <v>112.34174067495559</v>
      </c>
    </row>
    <row r="891" spans="1:10" x14ac:dyDescent="0.3">
      <c r="A891" s="8">
        <v>44154</v>
      </c>
      <c r="B891" t="str">
        <f>TEXT(Raw_Data!$A891, "MMM")</f>
        <v>Nov</v>
      </c>
      <c r="C891">
        <f>YEAR(Raw_Data!$A891)</f>
        <v>2020</v>
      </c>
      <c r="D891" t="s">
        <v>409</v>
      </c>
      <c r="E891" t="s">
        <v>21</v>
      </c>
      <c r="F891" t="s">
        <v>18</v>
      </c>
      <c r="H891">
        <v>2667</v>
      </c>
      <c r="I891" s="1">
        <v>401991</v>
      </c>
      <c r="J891" s="1">
        <f>Raw_Data!$I891/Raw_Data!$H891</f>
        <v>150.72778402699663</v>
      </c>
    </row>
    <row r="892" spans="1:10" x14ac:dyDescent="0.3">
      <c r="A892" s="9">
        <v>40992</v>
      </c>
      <c r="B892" s="2" t="str">
        <f>TEXT(Raw_Data!$A892, "MMM")</f>
        <v>Mar</v>
      </c>
      <c r="C892" s="2">
        <f>YEAR(Raw_Data!$A892)</f>
        <v>2012</v>
      </c>
      <c r="D892" s="2" t="s">
        <v>821</v>
      </c>
      <c r="E892" s="2" t="s">
        <v>25</v>
      </c>
      <c r="F892" s="2" t="s">
        <v>11</v>
      </c>
      <c r="G892" s="2"/>
      <c r="H892" s="2">
        <v>1992</v>
      </c>
      <c r="I892" s="10">
        <v>741325</v>
      </c>
      <c r="J892" s="10">
        <f>Raw_Data!$I892/Raw_Data!$H892</f>
        <v>372.15110441767069</v>
      </c>
    </row>
    <row r="893" spans="1:10" x14ac:dyDescent="0.3">
      <c r="A893" s="8">
        <v>39854</v>
      </c>
      <c r="B893" t="str">
        <f>TEXT(Raw_Data!$A893, "MMM")</f>
        <v>Feb</v>
      </c>
      <c r="C893">
        <f>YEAR(Raw_Data!$A893)</f>
        <v>2009</v>
      </c>
      <c r="D893" t="s">
        <v>813</v>
      </c>
      <c r="E893" t="s">
        <v>32</v>
      </c>
      <c r="F893" t="s">
        <v>27</v>
      </c>
      <c r="H893">
        <v>3386</v>
      </c>
      <c r="I893" s="1">
        <v>756598</v>
      </c>
      <c r="J893" s="1">
        <f>Raw_Data!$I893/Raw_Data!$H893</f>
        <v>223.4489072652097</v>
      </c>
    </row>
    <row r="894" spans="1:10" x14ac:dyDescent="0.3">
      <c r="A894" s="9">
        <v>43908</v>
      </c>
      <c r="B894" s="2" t="str">
        <f>TEXT(Raw_Data!$A894, "MMM")</f>
        <v>Mar</v>
      </c>
      <c r="C894" s="2">
        <f>YEAR(Raw_Data!$A894)</f>
        <v>2020</v>
      </c>
      <c r="D894" s="2" t="s">
        <v>822</v>
      </c>
      <c r="E894" s="2" t="s">
        <v>13</v>
      </c>
      <c r="F894" s="2" t="s">
        <v>18</v>
      </c>
      <c r="G894" s="2"/>
      <c r="H894" s="2">
        <v>1731</v>
      </c>
      <c r="I894" s="10">
        <v>135311</v>
      </c>
      <c r="J894" s="10">
        <f>Raw_Data!$I894/Raw_Data!$H894</f>
        <v>78.169266320046219</v>
      </c>
    </row>
    <row r="895" spans="1:10" x14ac:dyDescent="0.3">
      <c r="A895" s="8">
        <v>38385</v>
      </c>
      <c r="B895" t="str">
        <f>TEXT(Raw_Data!$A895, "MMM")</f>
        <v>Feb</v>
      </c>
      <c r="C895">
        <f>YEAR(Raw_Data!$A895)</f>
        <v>2005</v>
      </c>
      <c r="D895" t="s">
        <v>823</v>
      </c>
      <c r="E895" t="s">
        <v>32</v>
      </c>
      <c r="F895" t="s">
        <v>16</v>
      </c>
      <c r="G895">
        <v>5</v>
      </c>
      <c r="H895">
        <v>1463</v>
      </c>
      <c r="I895" s="1">
        <v>207512</v>
      </c>
      <c r="J895" s="1">
        <f>Raw_Data!$I895/Raw_Data!$H895</f>
        <v>141.84005468215994</v>
      </c>
    </row>
    <row r="896" spans="1:10" x14ac:dyDescent="0.3">
      <c r="A896" s="9">
        <v>40487</v>
      </c>
      <c r="B896" s="2" t="str">
        <f>TEXT(Raw_Data!$A896, "MMM")</f>
        <v>Nov</v>
      </c>
      <c r="C896" s="2">
        <f>YEAR(Raw_Data!$A896)</f>
        <v>2010</v>
      </c>
      <c r="D896" s="2" t="s">
        <v>824</v>
      </c>
      <c r="E896" s="2" t="s">
        <v>15</v>
      </c>
      <c r="F896" s="2" t="s">
        <v>27</v>
      </c>
      <c r="G896" s="2"/>
      <c r="H896" s="2">
        <v>2712</v>
      </c>
      <c r="I896" s="10">
        <v>301750</v>
      </c>
      <c r="J896" s="10">
        <f>Raw_Data!$I896/Raw_Data!$H896</f>
        <v>111.26474926253687</v>
      </c>
    </row>
    <row r="897" spans="1:10" x14ac:dyDescent="0.3">
      <c r="A897" s="8">
        <v>36935</v>
      </c>
      <c r="B897" t="str">
        <f>TEXT(Raw_Data!$A897, "MMM")</f>
        <v>Feb</v>
      </c>
      <c r="C897">
        <f>YEAR(Raw_Data!$A897)</f>
        <v>2001</v>
      </c>
      <c r="D897" t="s">
        <v>807</v>
      </c>
      <c r="E897" t="s">
        <v>15</v>
      </c>
      <c r="F897" t="s">
        <v>16</v>
      </c>
      <c r="G897">
        <v>4</v>
      </c>
      <c r="H897">
        <v>963</v>
      </c>
      <c r="I897" s="1">
        <v>889474</v>
      </c>
      <c r="J897" s="1">
        <f>Raw_Data!$I897/Raw_Data!$H897</f>
        <v>923.64901349948082</v>
      </c>
    </row>
    <row r="898" spans="1:10" x14ac:dyDescent="0.3">
      <c r="A898" s="9">
        <v>42519</v>
      </c>
      <c r="B898" s="2" t="str">
        <f>TEXT(Raw_Data!$A898, "MMM")</f>
        <v>May</v>
      </c>
      <c r="C898" s="2">
        <f>YEAR(Raw_Data!$A898)</f>
        <v>2016</v>
      </c>
      <c r="D898" s="2" t="s">
        <v>825</v>
      </c>
      <c r="E898" s="2" t="s">
        <v>15</v>
      </c>
      <c r="F898" s="2" t="s">
        <v>27</v>
      </c>
      <c r="G898" s="2">
        <v>5</v>
      </c>
      <c r="H898" s="2">
        <v>2762</v>
      </c>
      <c r="I898" s="10">
        <v>757061</v>
      </c>
      <c r="J898" s="10">
        <f>Raw_Data!$I898/Raw_Data!$H898</f>
        <v>274.09884141926142</v>
      </c>
    </row>
    <row r="899" spans="1:10" x14ac:dyDescent="0.3">
      <c r="A899" s="8">
        <v>43882</v>
      </c>
      <c r="B899" t="str">
        <f>TEXT(Raw_Data!$A899, "MMM")</f>
        <v>Feb</v>
      </c>
      <c r="C899">
        <f>YEAR(Raw_Data!$A899)</f>
        <v>2020</v>
      </c>
      <c r="D899" t="s">
        <v>826</v>
      </c>
      <c r="E899" t="s">
        <v>32</v>
      </c>
      <c r="F899" t="s">
        <v>18</v>
      </c>
      <c r="G899">
        <v>5</v>
      </c>
      <c r="H899">
        <v>2531</v>
      </c>
      <c r="I899" s="1">
        <v>463501</v>
      </c>
      <c r="J899" s="1">
        <f>Raw_Data!$I899/Raw_Data!$H899</f>
        <v>183.1295930462268</v>
      </c>
    </row>
    <row r="900" spans="1:10" x14ac:dyDescent="0.3">
      <c r="A900" s="9">
        <v>38300</v>
      </c>
      <c r="B900" s="2" t="str">
        <f>TEXT(Raw_Data!$A900, "MMM")</f>
        <v>Nov</v>
      </c>
      <c r="C900" s="2">
        <f>YEAR(Raw_Data!$A900)</f>
        <v>2004</v>
      </c>
      <c r="D900" s="2" t="s">
        <v>532</v>
      </c>
      <c r="E900" s="2" t="s">
        <v>21</v>
      </c>
      <c r="F900" s="2" t="s">
        <v>18</v>
      </c>
      <c r="G900" s="2">
        <v>2</v>
      </c>
      <c r="H900" s="2">
        <v>2948</v>
      </c>
      <c r="I900" s="10">
        <v>179206</v>
      </c>
      <c r="J900" s="10">
        <f>Raw_Data!$I900/Raw_Data!$H900</f>
        <v>60.78900949796472</v>
      </c>
    </row>
    <row r="901" spans="1:10" x14ac:dyDescent="0.3">
      <c r="A901" s="8">
        <v>40435</v>
      </c>
      <c r="B901" t="str">
        <f>TEXT(Raw_Data!$A901, "MMM")</f>
        <v>Sep</v>
      </c>
      <c r="C901">
        <f>YEAR(Raw_Data!$A901)</f>
        <v>2010</v>
      </c>
      <c r="D901" t="s">
        <v>827</v>
      </c>
      <c r="E901" t="s">
        <v>25</v>
      </c>
      <c r="F901" t="s">
        <v>11</v>
      </c>
      <c r="H901">
        <v>1837</v>
      </c>
      <c r="I901" s="1">
        <v>152281</v>
      </c>
      <c r="J901" s="1">
        <f>Raw_Data!$I901/Raw_Data!$H901</f>
        <v>82.896570495372885</v>
      </c>
    </row>
    <row r="902" spans="1:10" x14ac:dyDescent="0.3">
      <c r="A902" s="9">
        <v>43776</v>
      </c>
      <c r="B902" s="2" t="str">
        <f>TEXT(Raw_Data!$A902, "MMM")</f>
        <v>Nov</v>
      </c>
      <c r="C902" s="2">
        <f>YEAR(Raw_Data!$A902)</f>
        <v>2019</v>
      </c>
      <c r="D902" s="2" t="s">
        <v>828</v>
      </c>
      <c r="E902" s="2" t="s">
        <v>32</v>
      </c>
      <c r="F902" s="2" t="s">
        <v>11</v>
      </c>
      <c r="G902" s="2">
        <v>4</v>
      </c>
      <c r="H902" s="2">
        <v>1432</v>
      </c>
      <c r="I902" s="10">
        <v>671715</v>
      </c>
      <c r="J902" s="10">
        <f>Raw_Data!$I902/Raw_Data!$H902</f>
        <v>469.07472067039106</v>
      </c>
    </row>
    <row r="903" spans="1:10" x14ac:dyDescent="0.3">
      <c r="A903" s="8">
        <v>40644</v>
      </c>
      <c r="B903" t="str">
        <f>TEXT(Raw_Data!$A903, "MMM")</f>
        <v>Apr</v>
      </c>
      <c r="C903">
        <f>YEAR(Raw_Data!$A903)</f>
        <v>2011</v>
      </c>
      <c r="D903" t="s">
        <v>829</v>
      </c>
      <c r="E903" t="s">
        <v>32</v>
      </c>
      <c r="F903" t="s">
        <v>16</v>
      </c>
      <c r="H903">
        <v>2299</v>
      </c>
      <c r="I903" s="1">
        <v>495674</v>
      </c>
      <c r="J903" s="1">
        <f>Raw_Data!$I903/Raw_Data!$H903</f>
        <v>215.60417572857764</v>
      </c>
    </row>
    <row r="904" spans="1:10" x14ac:dyDescent="0.3">
      <c r="A904" s="9">
        <v>41956</v>
      </c>
      <c r="B904" s="2" t="str">
        <f>TEXT(Raw_Data!$A904, "MMM")</f>
        <v>Nov</v>
      </c>
      <c r="C904" s="2">
        <f>YEAR(Raw_Data!$A904)</f>
        <v>2014</v>
      </c>
      <c r="D904" s="2" t="s">
        <v>830</v>
      </c>
      <c r="E904" s="2" t="s">
        <v>29</v>
      </c>
      <c r="F904" s="2" t="s">
        <v>27</v>
      </c>
      <c r="G904" s="2">
        <v>3</v>
      </c>
      <c r="H904" s="2">
        <v>3245</v>
      </c>
      <c r="I904" s="10">
        <v>206691</v>
      </c>
      <c r="J904" s="10">
        <f>Raw_Data!$I904/Raw_Data!$H904</f>
        <v>63.695223420647146</v>
      </c>
    </row>
    <row r="905" spans="1:10" x14ac:dyDescent="0.3">
      <c r="A905" s="8">
        <v>37695</v>
      </c>
      <c r="B905" t="str">
        <f>TEXT(Raw_Data!$A905, "MMM")</f>
        <v>Mar</v>
      </c>
      <c r="C905">
        <f>YEAR(Raw_Data!$A905)</f>
        <v>2003</v>
      </c>
      <c r="D905" t="s">
        <v>831</v>
      </c>
      <c r="E905" t="s">
        <v>21</v>
      </c>
      <c r="F905" t="s">
        <v>16</v>
      </c>
      <c r="H905">
        <v>1087</v>
      </c>
      <c r="I905" s="1">
        <v>683456</v>
      </c>
      <c r="J905" s="1">
        <f>Raw_Data!$I905/Raw_Data!$H905</f>
        <v>628.75436982520694</v>
      </c>
    </row>
    <row r="906" spans="1:10" x14ac:dyDescent="0.3">
      <c r="A906" s="9">
        <v>41589</v>
      </c>
      <c r="B906" s="2" t="str">
        <f>TEXT(Raw_Data!$A906, "MMM")</f>
        <v>Nov</v>
      </c>
      <c r="C906" s="2">
        <f>YEAR(Raw_Data!$A906)</f>
        <v>2013</v>
      </c>
      <c r="D906" s="2" t="s">
        <v>98</v>
      </c>
      <c r="E906" s="2" t="s">
        <v>21</v>
      </c>
      <c r="F906" s="2" t="s">
        <v>16</v>
      </c>
      <c r="G906" s="2"/>
      <c r="H906" s="2">
        <v>3426</v>
      </c>
      <c r="I906" s="10">
        <v>141561</v>
      </c>
      <c r="J906" s="10">
        <f>Raw_Data!$I906/Raw_Data!$H906</f>
        <v>41.319614711033275</v>
      </c>
    </row>
    <row r="907" spans="1:10" x14ac:dyDescent="0.3">
      <c r="A907" s="8">
        <v>37002</v>
      </c>
      <c r="B907" t="str">
        <f>TEXT(Raw_Data!$A907, "MMM")</f>
        <v>Apr</v>
      </c>
      <c r="C907">
        <f>YEAR(Raw_Data!$A907)</f>
        <v>2001</v>
      </c>
      <c r="D907" t="s">
        <v>409</v>
      </c>
      <c r="E907" t="s">
        <v>32</v>
      </c>
      <c r="F907" t="s">
        <v>18</v>
      </c>
      <c r="G907">
        <v>4</v>
      </c>
      <c r="H907">
        <v>1518</v>
      </c>
      <c r="I907" s="1">
        <v>272005</v>
      </c>
      <c r="J907" s="1">
        <f>Raw_Data!$I907/Raw_Data!$H907</f>
        <v>179.18642951251647</v>
      </c>
    </row>
    <row r="908" spans="1:10" x14ac:dyDescent="0.3">
      <c r="A908" s="9">
        <v>41621</v>
      </c>
      <c r="B908" s="2" t="str">
        <f>TEXT(Raw_Data!$A908, "MMM")</f>
        <v>Dec</v>
      </c>
      <c r="C908" s="2">
        <f>YEAR(Raw_Data!$A908)</f>
        <v>2013</v>
      </c>
      <c r="D908" s="2" t="s">
        <v>832</v>
      </c>
      <c r="E908" s="2" t="s">
        <v>15</v>
      </c>
      <c r="F908" s="2" t="s">
        <v>27</v>
      </c>
      <c r="G908" s="2">
        <v>5</v>
      </c>
      <c r="H908" s="2">
        <v>2741</v>
      </c>
      <c r="I908" s="10"/>
      <c r="J908" s="10">
        <f>Raw_Data!$I908/Raw_Data!$H908</f>
        <v>0</v>
      </c>
    </row>
    <row r="909" spans="1:10" x14ac:dyDescent="0.3">
      <c r="A909" s="8">
        <v>37023</v>
      </c>
      <c r="B909" t="str">
        <f>TEXT(Raw_Data!$A909, "MMM")</f>
        <v>May</v>
      </c>
      <c r="C909">
        <f>YEAR(Raw_Data!$A909)</f>
        <v>2001</v>
      </c>
      <c r="D909" t="s">
        <v>833</v>
      </c>
      <c r="E909" t="s">
        <v>32</v>
      </c>
      <c r="F909" t="s">
        <v>27</v>
      </c>
      <c r="H909">
        <v>2302</v>
      </c>
      <c r="I909" s="1">
        <v>680190</v>
      </c>
      <c r="J909" s="1">
        <f>Raw_Data!$I909/Raw_Data!$H909</f>
        <v>295.47784535186793</v>
      </c>
    </row>
    <row r="910" spans="1:10" x14ac:dyDescent="0.3">
      <c r="A910" s="9">
        <v>40175</v>
      </c>
      <c r="B910" s="2" t="str">
        <f>TEXT(Raw_Data!$A910, "MMM")</f>
        <v>Dec</v>
      </c>
      <c r="C910" s="2">
        <f>YEAR(Raw_Data!$A910)</f>
        <v>2009</v>
      </c>
      <c r="D910" s="2" t="s">
        <v>834</v>
      </c>
      <c r="E910" s="2" t="s">
        <v>15</v>
      </c>
      <c r="F910" s="2" t="s">
        <v>18</v>
      </c>
      <c r="G910" s="2">
        <v>3</v>
      </c>
      <c r="H910" s="2">
        <v>1425</v>
      </c>
      <c r="I910" s="10">
        <v>823739</v>
      </c>
      <c r="J910" s="10">
        <f>Raw_Data!$I910/Raw_Data!$H910</f>
        <v>578.06245614035083</v>
      </c>
    </row>
    <row r="911" spans="1:10" x14ac:dyDescent="0.3">
      <c r="A911" s="8">
        <v>37063</v>
      </c>
      <c r="B911" t="str">
        <f>TEXT(Raw_Data!$A911, "MMM")</f>
        <v>Jun</v>
      </c>
      <c r="C911">
        <f>YEAR(Raw_Data!$A911)</f>
        <v>2001</v>
      </c>
      <c r="D911" t="s">
        <v>835</v>
      </c>
      <c r="E911" t="s">
        <v>25</v>
      </c>
      <c r="F911" t="s">
        <v>11</v>
      </c>
      <c r="H911">
        <v>2702</v>
      </c>
      <c r="I911" s="1">
        <v>632677</v>
      </c>
      <c r="J911" s="1">
        <f>Raw_Data!$I911/Raw_Data!$H911</f>
        <v>234.15136935603257</v>
      </c>
    </row>
    <row r="912" spans="1:10" x14ac:dyDescent="0.3">
      <c r="A912" s="9">
        <v>38292</v>
      </c>
      <c r="B912" s="2" t="str">
        <f>TEXT(Raw_Data!$A912, "MMM")</f>
        <v>Nov</v>
      </c>
      <c r="C912" s="2">
        <f>YEAR(Raw_Data!$A912)</f>
        <v>2004</v>
      </c>
      <c r="D912" s="2" t="s">
        <v>836</v>
      </c>
      <c r="E912" s="2" t="s">
        <v>29</v>
      </c>
      <c r="F912" s="2" t="s">
        <v>27</v>
      </c>
      <c r="G912" s="2">
        <v>3</v>
      </c>
      <c r="H912" s="2">
        <v>1759</v>
      </c>
      <c r="I912" s="10">
        <v>718465</v>
      </c>
      <c r="J912" s="10">
        <f>Raw_Data!$I912/Raw_Data!$H912</f>
        <v>408.45082433200685</v>
      </c>
    </row>
    <row r="913" spans="1:10" x14ac:dyDescent="0.3">
      <c r="A913" s="8">
        <v>42464</v>
      </c>
      <c r="B913" t="str">
        <f>TEXT(Raw_Data!$A913, "MMM")</f>
        <v>Apr</v>
      </c>
      <c r="C913">
        <f>YEAR(Raw_Data!$A913)</f>
        <v>2016</v>
      </c>
      <c r="D913" t="s">
        <v>837</v>
      </c>
      <c r="E913" t="s">
        <v>15</v>
      </c>
      <c r="F913" t="s">
        <v>27</v>
      </c>
      <c r="H913">
        <v>3330</v>
      </c>
      <c r="I913" s="1">
        <v>417519</v>
      </c>
      <c r="J913" s="1">
        <f>Raw_Data!$I913/Raw_Data!$H913</f>
        <v>125.38108108108108</v>
      </c>
    </row>
    <row r="914" spans="1:10" x14ac:dyDescent="0.3">
      <c r="A914" s="9">
        <v>41033</v>
      </c>
      <c r="B914" s="2" t="str">
        <f>TEXT(Raw_Data!$A914, "MMM")</f>
        <v>May</v>
      </c>
      <c r="C914" s="2">
        <f>YEAR(Raw_Data!$A914)</f>
        <v>2012</v>
      </c>
      <c r="D914" s="2" t="s">
        <v>838</v>
      </c>
      <c r="E914" s="2" t="s">
        <v>32</v>
      </c>
      <c r="F914" s="2" t="s">
        <v>18</v>
      </c>
      <c r="G914" s="2"/>
      <c r="H914" s="2">
        <v>3311</v>
      </c>
      <c r="I914" s="10">
        <v>884364</v>
      </c>
      <c r="J914" s="10">
        <f>Raw_Data!$I914/Raw_Data!$H914</f>
        <v>267.09876170341289</v>
      </c>
    </row>
    <row r="915" spans="1:10" x14ac:dyDescent="0.3">
      <c r="A915" s="8">
        <v>37644</v>
      </c>
      <c r="B915" t="str">
        <f>TEXT(Raw_Data!$A915, "MMM")</f>
        <v>Jan</v>
      </c>
      <c r="C915">
        <f>YEAR(Raw_Data!$A915)</f>
        <v>2003</v>
      </c>
      <c r="D915" t="s">
        <v>839</v>
      </c>
      <c r="E915" t="s">
        <v>25</v>
      </c>
      <c r="F915" t="s">
        <v>16</v>
      </c>
      <c r="G915">
        <v>4</v>
      </c>
      <c r="H915">
        <v>3475</v>
      </c>
      <c r="I915" s="1">
        <v>204983</v>
      </c>
      <c r="J915" s="1">
        <f>Raw_Data!$I915/Raw_Data!$H915</f>
        <v>58.987913669064746</v>
      </c>
    </row>
    <row r="916" spans="1:10" x14ac:dyDescent="0.3">
      <c r="A916" s="9">
        <v>42018</v>
      </c>
      <c r="B916" s="2" t="str">
        <f>TEXT(Raw_Data!$A916, "MMM")</f>
        <v>Jan</v>
      </c>
      <c r="C916" s="2">
        <f>YEAR(Raw_Data!$A916)</f>
        <v>2015</v>
      </c>
      <c r="D916" s="2" t="s">
        <v>840</v>
      </c>
      <c r="E916" s="2" t="s">
        <v>23</v>
      </c>
      <c r="F916" s="2" t="s">
        <v>16</v>
      </c>
      <c r="G916" s="2">
        <v>3</v>
      </c>
      <c r="H916" s="2">
        <v>3033</v>
      </c>
      <c r="I916" s="10">
        <v>549839</v>
      </c>
      <c r="J916" s="10">
        <f>Raw_Data!$I916/Raw_Data!$H916</f>
        <v>181.28552588196504</v>
      </c>
    </row>
    <row r="917" spans="1:10" x14ac:dyDescent="0.3">
      <c r="A917" s="8">
        <v>39112</v>
      </c>
      <c r="B917" t="str">
        <f>TEXT(Raw_Data!$A917, "MMM")</f>
        <v>Jan</v>
      </c>
      <c r="C917">
        <f>YEAR(Raw_Data!$A917)</f>
        <v>2007</v>
      </c>
      <c r="D917" t="s">
        <v>52</v>
      </c>
      <c r="E917" t="s">
        <v>23</v>
      </c>
      <c r="F917" t="s">
        <v>11</v>
      </c>
      <c r="G917">
        <v>4</v>
      </c>
      <c r="H917">
        <v>2381</v>
      </c>
      <c r="I917" s="1">
        <v>677299</v>
      </c>
      <c r="J917" s="1">
        <f>Raw_Data!$I917/Raw_Data!$H917</f>
        <v>284.45989080218396</v>
      </c>
    </row>
    <row r="918" spans="1:10" x14ac:dyDescent="0.3">
      <c r="A918" s="9">
        <v>42164</v>
      </c>
      <c r="B918" s="2" t="str">
        <f>TEXT(Raw_Data!$A918, "MMM")</f>
        <v>Jun</v>
      </c>
      <c r="C918" s="2">
        <f>YEAR(Raw_Data!$A918)</f>
        <v>2015</v>
      </c>
      <c r="D918" s="2" t="s">
        <v>841</v>
      </c>
      <c r="E918" s="2" t="s">
        <v>29</v>
      </c>
      <c r="F918" s="2" t="s">
        <v>11</v>
      </c>
      <c r="G918" s="2">
        <v>5</v>
      </c>
      <c r="H918" s="2">
        <v>1798</v>
      </c>
      <c r="I918" s="10">
        <v>374280</v>
      </c>
      <c r="J918" s="10">
        <f>Raw_Data!$I918/Raw_Data!$H918</f>
        <v>208.16462736373748</v>
      </c>
    </row>
    <row r="919" spans="1:10" x14ac:dyDescent="0.3">
      <c r="A919" s="8">
        <v>38460</v>
      </c>
      <c r="B919" t="str">
        <f>TEXT(Raw_Data!$A919, "MMM")</f>
        <v>Apr</v>
      </c>
      <c r="C919">
        <f>YEAR(Raw_Data!$A919)</f>
        <v>2005</v>
      </c>
      <c r="D919" t="s">
        <v>842</v>
      </c>
      <c r="E919" t="s">
        <v>25</v>
      </c>
      <c r="F919" t="s">
        <v>11</v>
      </c>
      <c r="G919">
        <v>5</v>
      </c>
      <c r="H919">
        <v>2618</v>
      </c>
      <c r="I919" s="1">
        <v>307891</v>
      </c>
      <c r="J919" s="1">
        <f>Raw_Data!$I919/Raw_Data!$H919</f>
        <v>117.60542398777693</v>
      </c>
    </row>
    <row r="920" spans="1:10" x14ac:dyDescent="0.3">
      <c r="A920" s="9">
        <v>37525</v>
      </c>
      <c r="B920" s="2" t="str">
        <f>TEXT(Raw_Data!$A920, "MMM")</f>
        <v>Sep</v>
      </c>
      <c r="C920" s="2">
        <f>YEAR(Raw_Data!$A920)</f>
        <v>2002</v>
      </c>
      <c r="D920" s="2" t="s">
        <v>843</v>
      </c>
      <c r="E920" s="2" t="s">
        <v>21</v>
      </c>
      <c r="F920" s="2" t="s">
        <v>16</v>
      </c>
      <c r="G920" s="2">
        <v>5</v>
      </c>
      <c r="H920" s="2">
        <v>1808</v>
      </c>
      <c r="I920" s="10">
        <v>436756</v>
      </c>
      <c r="J920" s="10">
        <f>Raw_Data!$I920/Raw_Data!$H920</f>
        <v>241.56858407079645</v>
      </c>
    </row>
    <row r="921" spans="1:10" x14ac:dyDescent="0.3">
      <c r="A921" s="8">
        <v>36911</v>
      </c>
      <c r="B921" t="str">
        <f>TEXT(Raw_Data!$A921, "MMM")</f>
        <v>Jan</v>
      </c>
      <c r="C921">
        <f>YEAR(Raw_Data!$A921)</f>
        <v>2001</v>
      </c>
      <c r="D921" t="s">
        <v>844</v>
      </c>
      <c r="E921" t="s">
        <v>21</v>
      </c>
      <c r="F921" t="s">
        <v>16</v>
      </c>
      <c r="G921">
        <v>3</v>
      </c>
      <c r="H921">
        <v>2798</v>
      </c>
      <c r="I921" s="1">
        <v>823845</v>
      </c>
      <c r="J921" s="1">
        <f>Raw_Data!$I921/Raw_Data!$H921</f>
        <v>294.44067190850609</v>
      </c>
    </row>
    <row r="922" spans="1:10" x14ac:dyDescent="0.3">
      <c r="A922" s="9">
        <v>40712</v>
      </c>
      <c r="B922" s="2" t="str">
        <f>TEXT(Raw_Data!$A922, "MMM")</f>
        <v>Jun</v>
      </c>
      <c r="C922" s="2">
        <f>YEAR(Raw_Data!$A922)</f>
        <v>2011</v>
      </c>
      <c r="D922" s="2" t="s">
        <v>845</v>
      </c>
      <c r="E922" s="2" t="s">
        <v>21</v>
      </c>
      <c r="F922" s="2" t="s">
        <v>18</v>
      </c>
      <c r="G922" s="2">
        <v>2</v>
      </c>
      <c r="H922" s="2">
        <v>3413</v>
      </c>
      <c r="I922" s="10">
        <v>107386</v>
      </c>
      <c r="J922" s="10">
        <f>Raw_Data!$I922/Raw_Data!$H922</f>
        <v>31.463814825666567</v>
      </c>
    </row>
    <row r="923" spans="1:10" x14ac:dyDescent="0.3">
      <c r="A923" s="8">
        <v>38833</v>
      </c>
      <c r="B923" t="str">
        <f>TEXT(Raw_Data!$A923, "MMM")</f>
        <v>Apr</v>
      </c>
      <c r="C923">
        <f>YEAR(Raw_Data!$A923)</f>
        <v>2006</v>
      </c>
      <c r="D923" t="s">
        <v>846</v>
      </c>
      <c r="E923" t="s">
        <v>32</v>
      </c>
      <c r="F923" t="s">
        <v>11</v>
      </c>
      <c r="H923">
        <v>1331</v>
      </c>
      <c r="I923" s="1">
        <v>125274</v>
      </c>
      <c r="J923" s="1">
        <f>Raw_Data!$I923/Raw_Data!$H923</f>
        <v>94.120210368144257</v>
      </c>
    </row>
    <row r="924" spans="1:10" x14ac:dyDescent="0.3">
      <c r="A924" s="9">
        <v>38840</v>
      </c>
      <c r="B924" s="2" t="str">
        <f>TEXT(Raw_Data!$A924, "MMM")</f>
        <v>May</v>
      </c>
      <c r="C924" s="2">
        <f>YEAR(Raw_Data!$A924)</f>
        <v>2006</v>
      </c>
      <c r="D924" s="2" t="s">
        <v>847</v>
      </c>
      <c r="E924" s="2" t="s">
        <v>13</v>
      </c>
      <c r="F924" s="2" t="s">
        <v>18</v>
      </c>
      <c r="G924" s="2">
        <v>5</v>
      </c>
      <c r="H924" s="2">
        <v>1642</v>
      </c>
      <c r="I924" s="10">
        <v>668996</v>
      </c>
      <c r="J924" s="10">
        <f>Raw_Data!$I924/Raw_Data!$H924</f>
        <v>407.42752740560292</v>
      </c>
    </row>
    <row r="925" spans="1:10" x14ac:dyDescent="0.3">
      <c r="A925" s="8">
        <v>41397</v>
      </c>
      <c r="B925" t="str">
        <f>TEXT(Raw_Data!$A925, "MMM")</f>
        <v>May</v>
      </c>
      <c r="C925">
        <f>YEAR(Raw_Data!$A925)</f>
        <v>2013</v>
      </c>
      <c r="D925" t="s">
        <v>327</v>
      </c>
      <c r="E925" t="s">
        <v>23</v>
      </c>
      <c r="F925" t="s">
        <v>11</v>
      </c>
      <c r="G925">
        <v>4</v>
      </c>
      <c r="H925">
        <v>1095</v>
      </c>
      <c r="I925" s="1"/>
      <c r="J925" s="1">
        <f>Raw_Data!$I925/Raw_Data!$H925</f>
        <v>0</v>
      </c>
    </row>
    <row r="926" spans="1:10" x14ac:dyDescent="0.3">
      <c r="A926" s="9">
        <v>37395</v>
      </c>
      <c r="B926" s="2" t="str">
        <f>TEXT(Raw_Data!$A926, "MMM")</f>
        <v>May</v>
      </c>
      <c r="C926" s="2">
        <f>YEAR(Raw_Data!$A926)</f>
        <v>2002</v>
      </c>
      <c r="D926" s="2" t="s">
        <v>848</v>
      </c>
      <c r="E926" s="2" t="s">
        <v>21</v>
      </c>
      <c r="F926" s="2" t="s">
        <v>11</v>
      </c>
      <c r="G926" s="2">
        <v>2</v>
      </c>
      <c r="H926" s="2">
        <v>1256</v>
      </c>
      <c r="I926" s="10">
        <v>549364</v>
      </c>
      <c r="J926" s="10">
        <f>Raw_Data!$I926/Raw_Data!$H926</f>
        <v>437.39171974522293</v>
      </c>
    </row>
    <row r="927" spans="1:10" x14ac:dyDescent="0.3">
      <c r="A927" s="8">
        <v>39970</v>
      </c>
      <c r="B927" t="str">
        <f>TEXT(Raw_Data!$A927, "MMM")</f>
        <v>Jun</v>
      </c>
      <c r="C927">
        <f>YEAR(Raw_Data!$A927)</f>
        <v>2009</v>
      </c>
      <c r="D927" t="s">
        <v>849</v>
      </c>
      <c r="E927" t="s">
        <v>15</v>
      </c>
      <c r="F927" t="s">
        <v>18</v>
      </c>
      <c r="H927">
        <v>1906</v>
      </c>
      <c r="I927" s="1">
        <v>700017</v>
      </c>
      <c r="J927" s="1">
        <f>Raw_Data!$I927/Raw_Data!$H927</f>
        <v>367.27019937040922</v>
      </c>
    </row>
    <row r="928" spans="1:10" x14ac:dyDescent="0.3">
      <c r="A928" s="9">
        <v>40895</v>
      </c>
      <c r="B928" s="2" t="str">
        <f>TEXT(Raw_Data!$A928, "MMM")</f>
        <v>Dec</v>
      </c>
      <c r="C928" s="2">
        <f>YEAR(Raw_Data!$A928)</f>
        <v>2011</v>
      </c>
      <c r="D928" s="2" t="s">
        <v>850</v>
      </c>
      <c r="E928" s="2" t="s">
        <v>29</v>
      </c>
      <c r="F928" s="2" t="s">
        <v>11</v>
      </c>
      <c r="G928" s="2">
        <v>4</v>
      </c>
      <c r="H928" s="2">
        <v>860</v>
      </c>
      <c r="I928" s="10">
        <v>316554</v>
      </c>
      <c r="J928" s="10">
        <f>Raw_Data!$I928/Raw_Data!$H928</f>
        <v>368.0860465116279</v>
      </c>
    </row>
    <row r="929" spans="1:10" x14ac:dyDescent="0.3">
      <c r="A929" s="8">
        <v>38402</v>
      </c>
      <c r="B929" t="str">
        <f>TEXT(Raw_Data!$A929, "MMM")</f>
        <v>Feb</v>
      </c>
      <c r="C929">
        <f>YEAR(Raw_Data!$A929)</f>
        <v>2005</v>
      </c>
      <c r="D929" t="s">
        <v>851</v>
      </c>
      <c r="E929" t="s">
        <v>15</v>
      </c>
      <c r="F929" t="s">
        <v>18</v>
      </c>
      <c r="G929">
        <v>5</v>
      </c>
      <c r="H929">
        <v>2752</v>
      </c>
      <c r="I929" s="1">
        <v>131007</v>
      </c>
      <c r="J929" s="1">
        <f>Raw_Data!$I929/Raw_Data!$H929</f>
        <v>47.604287790697676</v>
      </c>
    </row>
    <row r="930" spans="1:10" x14ac:dyDescent="0.3">
      <c r="A930" s="9">
        <v>43878</v>
      </c>
      <c r="B930" s="2" t="str">
        <f>TEXT(Raw_Data!$A930, "MMM")</f>
        <v>Feb</v>
      </c>
      <c r="C930" s="2">
        <f>YEAR(Raw_Data!$A930)</f>
        <v>2020</v>
      </c>
      <c r="D930" s="2" t="s">
        <v>852</v>
      </c>
      <c r="E930" s="2" t="s">
        <v>29</v>
      </c>
      <c r="F930" s="2" t="s">
        <v>18</v>
      </c>
      <c r="G930" s="2"/>
      <c r="H930" s="2">
        <v>3158</v>
      </c>
      <c r="I930" s="10">
        <v>434317</v>
      </c>
      <c r="J930" s="10">
        <f>Raw_Data!$I930/Raw_Data!$H930</f>
        <v>137.52913236225459</v>
      </c>
    </row>
    <row r="931" spans="1:10" x14ac:dyDescent="0.3">
      <c r="A931" s="8">
        <v>38383</v>
      </c>
      <c r="B931" t="str">
        <f>TEXT(Raw_Data!$A931, "MMM")</f>
        <v>Jan</v>
      </c>
      <c r="C931">
        <f>YEAR(Raw_Data!$A931)</f>
        <v>2005</v>
      </c>
      <c r="D931" t="s">
        <v>853</v>
      </c>
      <c r="E931" t="s">
        <v>21</v>
      </c>
      <c r="F931" t="s">
        <v>16</v>
      </c>
      <c r="H931">
        <v>944</v>
      </c>
      <c r="I931" s="1">
        <v>814331</v>
      </c>
      <c r="J931" s="1">
        <f>Raw_Data!$I931/Raw_Data!$H931</f>
        <v>862.63877118644064</v>
      </c>
    </row>
    <row r="932" spans="1:10" x14ac:dyDescent="0.3">
      <c r="A932" s="9">
        <v>41148</v>
      </c>
      <c r="B932" s="2" t="str">
        <f>TEXT(Raw_Data!$A932, "MMM")</f>
        <v>Aug</v>
      </c>
      <c r="C932" s="2">
        <f>YEAR(Raw_Data!$A932)</f>
        <v>2012</v>
      </c>
      <c r="D932" s="2" t="s">
        <v>854</v>
      </c>
      <c r="E932" s="2" t="s">
        <v>15</v>
      </c>
      <c r="F932" s="2" t="s">
        <v>16</v>
      </c>
      <c r="G932" s="2">
        <v>3</v>
      </c>
      <c r="H932" s="2">
        <v>1447</v>
      </c>
      <c r="I932" s="10">
        <v>125160</v>
      </c>
      <c r="J932" s="10">
        <f>Raw_Data!$I932/Raw_Data!$H932</f>
        <v>86.496199032481002</v>
      </c>
    </row>
    <row r="933" spans="1:10" x14ac:dyDescent="0.3">
      <c r="A933" s="8">
        <v>39000</v>
      </c>
      <c r="B933" t="str">
        <f>TEXT(Raw_Data!$A933, "MMM")</f>
        <v>Oct</v>
      </c>
      <c r="C933">
        <f>YEAR(Raw_Data!$A933)</f>
        <v>2006</v>
      </c>
      <c r="D933" t="s">
        <v>855</v>
      </c>
      <c r="E933" t="s">
        <v>29</v>
      </c>
      <c r="F933" t="s">
        <v>18</v>
      </c>
      <c r="G933">
        <v>4</v>
      </c>
      <c r="H933">
        <v>1723</v>
      </c>
      <c r="I933" s="1">
        <v>848475</v>
      </c>
      <c r="J933" s="1">
        <f>Raw_Data!$I933/Raw_Data!$H933</f>
        <v>492.44051073708647</v>
      </c>
    </row>
    <row r="934" spans="1:10" x14ac:dyDescent="0.3">
      <c r="A934" s="9">
        <v>41139</v>
      </c>
      <c r="B934" s="2" t="str">
        <f>TEXT(Raw_Data!$A934, "MMM")</f>
        <v>Aug</v>
      </c>
      <c r="C934" s="2">
        <f>YEAR(Raw_Data!$A934)</f>
        <v>2012</v>
      </c>
      <c r="D934" s="2" t="s">
        <v>856</v>
      </c>
      <c r="E934" s="2" t="s">
        <v>21</v>
      </c>
      <c r="F934" s="2" t="s">
        <v>11</v>
      </c>
      <c r="G934" s="2">
        <v>4</v>
      </c>
      <c r="H934" s="2">
        <v>1658</v>
      </c>
      <c r="I934" s="10">
        <v>202819</v>
      </c>
      <c r="J934" s="10">
        <f>Raw_Data!$I934/Raw_Data!$H934</f>
        <v>122.32750301568154</v>
      </c>
    </row>
    <row r="935" spans="1:10" x14ac:dyDescent="0.3">
      <c r="A935" s="8">
        <v>43339</v>
      </c>
      <c r="B935" t="str">
        <f>TEXT(Raw_Data!$A935, "MMM")</f>
        <v>Aug</v>
      </c>
      <c r="C935">
        <f>YEAR(Raw_Data!$A935)</f>
        <v>2018</v>
      </c>
      <c r="D935" t="s">
        <v>133</v>
      </c>
      <c r="E935" t="s">
        <v>23</v>
      </c>
      <c r="F935" t="s">
        <v>16</v>
      </c>
      <c r="G935">
        <v>2</v>
      </c>
      <c r="H935">
        <v>3434</v>
      </c>
      <c r="I935" s="1">
        <v>819696</v>
      </c>
      <c r="J935" s="1">
        <f>Raw_Data!$I935/Raw_Data!$H935</f>
        <v>238.70005824111823</v>
      </c>
    </row>
    <row r="936" spans="1:10" x14ac:dyDescent="0.3">
      <c r="A936" s="9">
        <v>38743</v>
      </c>
      <c r="B936" s="2" t="str">
        <f>TEXT(Raw_Data!$A936, "MMM")</f>
        <v>Jan</v>
      </c>
      <c r="C936" s="2">
        <f>YEAR(Raw_Data!$A936)</f>
        <v>2006</v>
      </c>
      <c r="D936" s="2" t="s">
        <v>393</v>
      </c>
      <c r="E936" s="2" t="s">
        <v>25</v>
      </c>
      <c r="F936" s="2" t="s">
        <v>11</v>
      </c>
      <c r="G936" s="2">
        <v>3</v>
      </c>
      <c r="H936" s="2">
        <v>2988</v>
      </c>
      <c r="I936" s="10">
        <v>663573</v>
      </c>
      <c r="J936" s="10">
        <f>Raw_Data!$I936/Raw_Data!$H936</f>
        <v>222.07931726907631</v>
      </c>
    </row>
    <row r="937" spans="1:10" x14ac:dyDescent="0.3">
      <c r="A937" s="8">
        <v>36981</v>
      </c>
      <c r="B937" t="str">
        <f>TEXT(Raw_Data!$A937, "MMM")</f>
        <v>Mar</v>
      </c>
      <c r="C937">
        <f>YEAR(Raw_Data!$A937)</f>
        <v>2001</v>
      </c>
      <c r="D937" t="s">
        <v>857</v>
      </c>
      <c r="E937" t="s">
        <v>13</v>
      </c>
      <c r="F937" t="s">
        <v>27</v>
      </c>
      <c r="H937">
        <v>1646</v>
      </c>
      <c r="I937" s="1">
        <v>891429</v>
      </c>
      <c r="J937" s="1">
        <f>Raw_Data!$I937/Raw_Data!$H937</f>
        <v>541.57290400972056</v>
      </c>
    </row>
    <row r="938" spans="1:10" x14ac:dyDescent="0.3">
      <c r="A938" s="9">
        <v>40769</v>
      </c>
      <c r="B938" s="2" t="str">
        <f>TEXT(Raw_Data!$A938, "MMM")</f>
        <v>Aug</v>
      </c>
      <c r="C938" s="2">
        <f>YEAR(Raw_Data!$A938)</f>
        <v>2011</v>
      </c>
      <c r="D938" s="2" t="s">
        <v>858</v>
      </c>
      <c r="E938" s="2" t="s">
        <v>32</v>
      </c>
      <c r="F938" s="2" t="s">
        <v>11</v>
      </c>
      <c r="G938" s="2"/>
      <c r="H938" s="2">
        <v>3153</v>
      </c>
      <c r="I938" s="10">
        <v>694271</v>
      </c>
      <c r="J938" s="10">
        <f>Raw_Data!$I938/Raw_Data!$H938</f>
        <v>220.19378369806535</v>
      </c>
    </row>
    <row r="939" spans="1:10" x14ac:dyDescent="0.3">
      <c r="A939" s="8">
        <v>41971</v>
      </c>
      <c r="B939" t="str">
        <f>TEXT(Raw_Data!$A939, "MMM")</f>
        <v>Nov</v>
      </c>
      <c r="C939">
        <f>YEAR(Raw_Data!$A939)</f>
        <v>2014</v>
      </c>
      <c r="D939" t="s">
        <v>859</v>
      </c>
      <c r="E939" t="s">
        <v>15</v>
      </c>
      <c r="F939" t="s">
        <v>18</v>
      </c>
      <c r="G939">
        <v>4</v>
      </c>
      <c r="H939">
        <v>2252</v>
      </c>
      <c r="I939" s="1">
        <v>378737</v>
      </c>
      <c r="J939" s="1">
        <f>Raw_Data!$I939/Raw_Data!$H939</f>
        <v>168.17806394316165</v>
      </c>
    </row>
    <row r="940" spans="1:10" x14ac:dyDescent="0.3">
      <c r="A940" s="9">
        <v>39197</v>
      </c>
      <c r="B940" s="2" t="str">
        <f>TEXT(Raw_Data!$A940, "MMM")</f>
        <v>Apr</v>
      </c>
      <c r="C940" s="2">
        <f>YEAR(Raw_Data!$A940)</f>
        <v>2007</v>
      </c>
      <c r="D940" s="2" t="s">
        <v>860</v>
      </c>
      <c r="E940" s="2" t="s">
        <v>29</v>
      </c>
      <c r="F940" s="2" t="s">
        <v>18</v>
      </c>
      <c r="G940" s="2">
        <v>3</v>
      </c>
      <c r="H940" s="2">
        <v>2912</v>
      </c>
      <c r="I940" s="10">
        <v>827230</v>
      </c>
      <c r="J940" s="10">
        <f>Raw_Data!$I940/Raw_Data!$H940</f>
        <v>284.07623626373629</v>
      </c>
    </row>
    <row r="941" spans="1:10" x14ac:dyDescent="0.3">
      <c r="A941" s="8">
        <v>43557</v>
      </c>
      <c r="B941" t="str">
        <f>TEXT(Raw_Data!$A941, "MMM")</f>
        <v>Apr</v>
      </c>
      <c r="C941">
        <f>YEAR(Raw_Data!$A941)</f>
        <v>2019</v>
      </c>
      <c r="D941" t="s">
        <v>697</v>
      </c>
      <c r="E941" t="s">
        <v>32</v>
      </c>
      <c r="F941" t="s">
        <v>18</v>
      </c>
      <c r="G941">
        <v>5</v>
      </c>
      <c r="H941">
        <v>1603</v>
      </c>
      <c r="I941" s="1">
        <v>344532</v>
      </c>
      <c r="J941" s="1">
        <f>Raw_Data!$I941/Raw_Data!$H941</f>
        <v>214.92950717404867</v>
      </c>
    </row>
    <row r="942" spans="1:10" x14ac:dyDescent="0.3">
      <c r="A942" s="9">
        <v>37485</v>
      </c>
      <c r="B942" s="2" t="str">
        <f>TEXT(Raw_Data!$A942, "MMM")</f>
        <v>Aug</v>
      </c>
      <c r="C942" s="2">
        <f>YEAR(Raw_Data!$A942)</f>
        <v>2002</v>
      </c>
      <c r="D942" s="2" t="s">
        <v>861</v>
      </c>
      <c r="E942" s="2" t="s">
        <v>15</v>
      </c>
      <c r="F942" s="2" t="s">
        <v>11</v>
      </c>
      <c r="G942" s="2"/>
      <c r="H942" s="2">
        <v>1957</v>
      </c>
      <c r="I942" s="10">
        <v>280206</v>
      </c>
      <c r="J942" s="10">
        <f>Raw_Data!$I942/Raw_Data!$H942</f>
        <v>143.18140010219724</v>
      </c>
    </row>
    <row r="943" spans="1:10" x14ac:dyDescent="0.3">
      <c r="A943" s="8">
        <v>40635</v>
      </c>
      <c r="B943" t="str">
        <f>TEXT(Raw_Data!$A943, "MMM")</f>
        <v>Apr</v>
      </c>
      <c r="C943">
        <f>YEAR(Raw_Data!$A943)</f>
        <v>2011</v>
      </c>
      <c r="D943" t="s">
        <v>862</v>
      </c>
      <c r="E943" t="s">
        <v>23</v>
      </c>
      <c r="F943" t="s">
        <v>18</v>
      </c>
      <c r="H943">
        <v>1813</v>
      </c>
      <c r="I943" s="1">
        <v>153273</v>
      </c>
      <c r="J943" s="1">
        <f>Raw_Data!$I943/Raw_Data!$H943</f>
        <v>84.541092112520687</v>
      </c>
    </row>
    <row r="944" spans="1:10" x14ac:dyDescent="0.3">
      <c r="A944" s="9">
        <v>39353</v>
      </c>
      <c r="B944" s="2" t="str">
        <f>TEXT(Raw_Data!$A944, "MMM")</f>
        <v>Sep</v>
      </c>
      <c r="C944" s="2">
        <f>YEAR(Raw_Data!$A944)</f>
        <v>2007</v>
      </c>
      <c r="D944" s="2" t="s">
        <v>863</v>
      </c>
      <c r="E944" s="2" t="s">
        <v>13</v>
      </c>
      <c r="F944" s="2" t="s">
        <v>16</v>
      </c>
      <c r="G944" s="2">
        <v>3</v>
      </c>
      <c r="H944" s="2">
        <v>2261</v>
      </c>
      <c r="I944" s="10">
        <v>101650</v>
      </c>
      <c r="J944" s="10">
        <f>Raw_Data!$I944/Raw_Data!$H944</f>
        <v>44.957983193277308</v>
      </c>
    </row>
    <row r="945" spans="1:10" x14ac:dyDescent="0.3">
      <c r="A945" s="8">
        <v>39099</v>
      </c>
      <c r="B945" t="str">
        <f>TEXT(Raw_Data!$A945, "MMM")</f>
        <v>Jan</v>
      </c>
      <c r="C945">
        <f>YEAR(Raw_Data!$A945)</f>
        <v>2007</v>
      </c>
      <c r="D945" t="s">
        <v>288</v>
      </c>
      <c r="E945" t="s">
        <v>21</v>
      </c>
      <c r="F945" t="s">
        <v>18</v>
      </c>
      <c r="H945">
        <v>2729</v>
      </c>
      <c r="I945" s="1"/>
      <c r="J945" s="1">
        <f>Raw_Data!$I945/Raw_Data!$H945</f>
        <v>0</v>
      </c>
    </row>
    <row r="946" spans="1:10" x14ac:dyDescent="0.3">
      <c r="A946" s="9">
        <v>37603</v>
      </c>
      <c r="B946" s="2" t="str">
        <f>TEXT(Raw_Data!$A946, "MMM")</f>
        <v>Dec</v>
      </c>
      <c r="C946" s="2">
        <f>YEAR(Raw_Data!$A946)</f>
        <v>2002</v>
      </c>
      <c r="D946" s="2" t="s">
        <v>370</v>
      </c>
      <c r="E946" s="2" t="s">
        <v>21</v>
      </c>
      <c r="F946" s="2" t="s">
        <v>11</v>
      </c>
      <c r="G946" s="2"/>
      <c r="H946" s="2">
        <v>1306</v>
      </c>
      <c r="I946" s="10">
        <v>699719</v>
      </c>
      <c r="J946" s="10">
        <f>Raw_Data!$I946/Raw_Data!$H946</f>
        <v>535.7725880551302</v>
      </c>
    </row>
    <row r="947" spans="1:10" x14ac:dyDescent="0.3">
      <c r="A947" s="8">
        <v>37316</v>
      </c>
      <c r="B947" t="str">
        <f>TEXT(Raw_Data!$A947, "MMM")</f>
        <v>Mar</v>
      </c>
      <c r="C947">
        <f>YEAR(Raw_Data!$A947)</f>
        <v>2002</v>
      </c>
      <c r="D947" t="s">
        <v>864</v>
      </c>
      <c r="E947" t="s">
        <v>15</v>
      </c>
      <c r="F947" t="s">
        <v>27</v>
      </c>
      <c r="G947">
        <v>2</v>
      </c>
      <c r="H947">
        <v>842</v>
      </c>
      <c r="I947" s="1">
        <v>516057</v>
      </c>
      <c r="J947" s="1">
        <f>Raw_Data!$I947/Raw_Data!$H947</f>
        <v>612.89429928741094</v>
      </c>
    </row>
    <row r="948" spans="1:10" x14ac:dyDescent="0.3">
      <c r="A948" s="9">
        <v>38039</v>
      </c>
      <c r="B948" s="2" t="str">
        <f>TEXT(Raw_Data!$A948, "MMM")</f>
        <v>Feb</v>
      </c>
      <c r="C948" s="2">
        <f>YEAR(Raw_Data!$A948)</f>
        <v>2004</v>
      </c>
      <c r="D948" s="2" t="s">
        <v>687</v>
      </c>
      <c r="E948" s="2" t="s">
        <v>13</v>
      </c>
      <c r="F948" s="2" t="s">
        <v>16</v>
      </c>
      <c r="G948" s="2">
        <v>5</v>
      </c>
      <c r="H948" s="2">
        <v>1036</v>
      </c>
      <c r="I948" s="10">
        <v>638921</v>
      </c>
      <c r="J948" s="10">
        <f>Raw_Data!$I948/Raw_Data!$H948</f>
        <v>616.71911196911196</v>
      </c>
    </row>
    <row r="949" spans="1:10" x14ac:dyDescent="0.3">
      <c r="A949" s="8">
        <v>42549</v>
      </c>
      <c r="B949" t="str">
        <f>TEXT(Raw_Data!$A949, "MMM")</f>
        <v>Jun</v>
      </c>
      <c r="C949">
        <f>YEAR(Raw_Data!$A949)</f>
        <v>2016</v>
      </c>
      <c r="D949" t="s">
        <v>169</v>
      </c>
      <c r="E949" t="s">
        <v>32</v>
      </c>
      <c r="F949" t="s">
        <v>27</v>
      </c>
      <c r="G949">
        <v>3</v>
      </c>
      <c r="H949">
        <v>1064</v>
      </c>
      <c r="I949" s="1">
        <v>496442</v>
      </c>
      <c r="J949" s="1">
        <f>Raw_Data!$I949/Raw_Data!$H949</f>
        <v>466.58082706766919</v>
      </c>
    </row>
    <row r="950" spans="1:10" x14ac:dyDescent="0.3">
      <c r="A950" s="9">
        <v>43662</v>
      </c>
      <c r="B950" s="2" t="str">
        <f>TEXT(Raw_Data!$A950, "MMM")</f>
        <v>Jul</v>
      </c>
      <c r="C950" s="2">
        <f>YEAR(Raw_Data!$A950)</f>
        <v>2019</v>
      </c>
      <c r="D950" s="2" t="s">
        <v>865</v>
      </c>
      <c r="E950" s="2" t="s">
        <v>29</v>
      </c>
      <c r="F950" s="2" t="s">
        <v>11</v>
      </c>
      <c r="G950" s="2">
        <v>5</v>
      </c>
      <c r="H950" s="2">
        <v>2041</v>
      </c>
      <c r="I950" s="10">
        <v>146895</v>
      </c>
      <c r="J950" s="10">
        <f>Raw_Data!$I950/Raw_Data!$H950</f>
        <v>71.97207251347379</v>
      </c>
    </row>
    <row r="951" spans="1:10" x14ac:dyDescent="0.3">
      <c r="A951" s="8">
        <v>39987</v>
      </c>
      <c r="B951" t="str">
        <f>TEXT(Raw_Data!$A951, "MMM")</f>
        <v>Jun</v>
      </c>
      <c r="C951">
        <f>YEAR(Raw_Data!$A951)</f>
        <v>2009</v>
      </c>
      <c r="D951" t="s">
        <v>89</v>
      </c>
      <c r="E951" t="s">
        <v>32</v>
      </c>
      <c r="F951" t="s">
        <v>16</v>
      </c>
      <c r="H951">
        <v>1716</v>
      </c>
      <c r="I951" s="1">
        <v>304734</v>
      </c>
      <c r="J951" s="1">
        <f>Raw_Data!$I951/Raw_Data!$H951</f>
        <v>177.58391608391608</v>
      </c>
    </row>
    <row r="952" spans="1:10" x14ac:dyDescent="0.3">
      <c r="A952" s="9">
        <v>37678</v>
      </c>
      <c r="B952" s="2" t="str">
        <f>TEXT(Raw_Data!$A952, "MMM")</f>
        <v>Feb</v>
      </c>
      <c r="C952" s="2">
        <f>YEAR(Raw_Data!$A952)</f>
        <v>2003</v>
      </c>
      <c r="D952" s="2" t="s">
        <v>866</v>
      </c>
      <c r="E952" s="2" t="s">
        <v>15</v>
      </c>
      <c r="F952" s="2" t="s">
        <v>11</v>
      </c>
      <c r="G952" s="2"/>
      <c r="H952" s="2">
        <v>2580</v>
      </c>
      <c r="I952" s="10">
        <v>176184</v>
      </c>
      <c r="J952" s="10">
        <f>Raw_Data!$I952/Raw_Data!$H952</f>
        <v>68.288372093023256</v>
      </c>
    </row>
    <row r="953" spans="1:10" x14ac:dyDescent="0.3">
      <c r="A953" s="8">
        <v>39638</v>
      </c>
      <c r="B953" t="str">
        <f>TEXT(Raw_Data!$A953, "MMM")</f>
        <v>Jul</v>
      </c>
      <c r="C953">
        <f>YEAR(Raw_Data!$A953)</f>
        <v>2008</v>
      </c>
      <c r="D953" t="s">
        <v>867</v>
      </c>
      <c r="E953" t="s">
        <v>25</v>
      </c>
      <c r="F953" t="s">
        <v>11</v>
      </c>
      <c r="H953">
        <v>3424</v>
      </c>
      <c r="I953" s="1">
        <v>646879</v>
      </c>
      <c r="J953" s="1">
        <f>Raw_Data!$I953/Raw_Data!$H953</f>
        <v>188.92494158878506</v>
      </c>
    </row>
    <row r="954" spans="1:10" x14ac:dyDescent="0.3">
      <c r="A954" s="9">
        <v>40533</v>
      </c>
      <c r="B954" s="2" t="str">
        <f>TEXT(Raw_Data!$A954, "MMM")</f>
        <v>Dec</v>
      </c>
      <c r="C954" s="2">
        <f>YEAR(Raw_Data!$A954)</f>
        <v>2010</v>
      </c>
      <c r="D954" s="2" t="s">
        <v>868</v>
      </c>
      <c r="E954" s="2" t="s">
        <v>15</v>
      </c>
      <c r="F954" s="2" t="s">
        <v>18</v>
      </c>
      <c r="G954" s="2"/>
      <c r="H954" s="2">
        <v>2653</v>
      </c>
      <c r="I954" s="10">
        <v>184421</v>
      </c>
      <c r="J954" s="10">
        <f>Raw_Data!$I954/Raw_Data!$H954</f>
        <v>69.514134941575577</v>
      </c>
    </row>
    <row r="955" spans="1:10" x14ac:dyDescent="0.3">
      <c r="A955" s="8">
        <v>42384</v>
      </c>
      <c r="B955" t="str">
        <f>TEXT(Raw_Data!$A955, "MMM")</f>
        <v>Jan</v>
      </c>
      <c r="C955">
        <f>YEAR(Raw_Data!$A955)</f>
        <v>2016</v>
      </c>
      <c r="D955" t="s">
        <v>869</v>
      </c>
      <c r="E955" t="s">
        <v>25</v>
      </c>
      <c r="F955" t="s">
        <v>11</v>
      </c>
      <c r="H955">
        <v>3271</v>
      </c>
      <c r="I955" s="1">
        <v>525307</v>
      </c>
      <c r="J955" s="1">
        <f>Raw_Data!$I955/Raw_Data!$H955</f>
        <v>160.59523081626415</v>
      </c>
    </row>
    <row r="956" spans="1:10" x14ac:dyDescent="0.3">
      <c r="A956" s="9">
        <v>40022</v>
      </c>
      <c r="B956" s="2" t="str">
        <f>TEXT(Raw_Data!$A956, "MMM")</f>
        <v>Jul</v>
      </c>
      <c r="C956" s="2">
        <f>YEAR(Raw_Data!$A956)</f>
        <v>2009</v>
      </c>
      <c r="D956" s="2" t="s">
        <v>870</v>
      </c>
      <c r="E956" s="2" t="s">
        <v>21</v>
      </c>
      <c r="F956" s="2" t="s">
        <v>18</v>
      </c>
      <c r="G956" s="2"/>
      <c r="H956" s="2">
        <v>1805</v>
      </c>
      <c r="I956" s="10">
        <v>624089</v>
      </c>
      <c r="J956" s="10">
        <f>Raw_Data!$I956/Raw_Data!$H956</f>
        <v>345.75567867036011</v>
      </c>
    </row>
    <row r="957" spans="1:10" x14ac:dyDescent="0.3">
      <c r="A957" s="8">
        <v>43428</v>
      </c>
      <c r="B957" t="str">
        <f>TEXT(Raw_Data!$A957, "MMM")</f>
        <v>Nov</v>
      </c>
      <c r="C957">
        <f>YEAR(Raw_Data!$A957)</f>
        <v>2018</v>
      </c>
      <c r="D957" t="s">
        <v>871</v>
      </c>
      <c r="E957" t="s">
        <v>25</v>
      </c>
      <c r="F957" t="s">
        <v>27</v>
      </c>
      <c r="G957">
        <v>4</v>
      </c>
      <c r="H957">
        <v>1939</v>
      </c>
      <c r="I957" s="1">
        <v>830496</v>
      </c>
      <c r="J957" s="1">
        <f>Raw_Data!$I957/Raw_Data!$H957</f>
        <v>428.31150077359462</v>
      </c>
    </row>
    <row r="958" spans="1:10" x14ac:dyDescent="0.3">
      <c r="A958" s="9">
        <v>37791</v>
      </c>
      <c r="B958" s="2" t="str">
        <f>TEXT(Raw_Data!$A958, "MMM")</f>
        <v>Jun</v>
      </c>
      <c r="C958" s="2">
        <f>YEAR(Raw_Data!$A958)</f>
        <v>2003</v>
      </c>
      <c r="D958" s="2" t="s">
        <v>872</v>
      </c>
      <c r="E958" s="2" t="s">
        <v>32</v>
      </c>
      <c r="F958" s="2" t="s">
        <v>16</v>
      </c>
      <c r="G958" s="2"/>
      <c r="H958" s="2">
        <v>1884</v>
      </c>
      <c r="I958" s="10">
        <v>207464</v>
      </c>
      <c r="J958" s="10">
        <f>Raw_Data!$I958/Raw_Data!$H958</f>
        <v>110.11889596602973</v>
      </c>
    </row>
    <row r="959" spans="1:10" x14ac:dyDescent="0.3">
      <c r="A959" s="8">
        <v>39185</v>
      </c>
      <c r="B959" t="str">
        <f>TEXT(Raw_Data!$A959, "MMM")</f>
        <v>Apr</v>
      </c>
      <c r="C959">
        <f>YEAR(Raw_Data!$A959)</f>
        <v>2007</v>
      </c>
      <c r="D959" t="s">
        <v>873</v>
      </c>
      <c r="E959" t="s">
        <v>15</v>
      </c>
      <c r="F959" t="s">
        <v>11</v>
      </c>
      <c r="G959">
        <v>4</v>
      </c>
      <c r="H959">
        <v>963</v>
      </c>
      <c r="I959" s="1">
        <v>577039</v>
      </c>
      <c r="J959" s="1">
        <f>Raw_Data!$I959/Raw_Data!$H959</f>
        <v>599.20976116303223</v>
      </c>
    </row>
    <row r="960" spans="1:10" x14ac:dyDescent="0.3">
      <c r="A960" s="9">
        <v>37953</v>
      </c>
      <c r="B960" s="2" t="str">
        <f>TEXT(Raw_Data!$A960, "MMM")</f>
        <v>Nov</v>
      </c>
      <c r="C960" s="2">
        <f>YEAR(Raw_Data!$A960)</f>
        <v>2003</v>
      </c>
      <c r="D960" s="2" t="s">
        <v>609</v>
      </c>
      <c r="E960" s="2" t="s">
        <v>21</v>
      </c>
      <c r="F960" s="2" t="s">
        <v>18</v>
      </c>
      <c r="G960" s="2"/>
      <c r="H960" s="2">
        <v>859</v>
      </c>
      <c r="I960" s="10">
        <v>703379</v>
      </c>
      <c r="J960" s="10">
        <f>Raw_Data!$I960/Raw_Data!$H960</f>
        <v>818.83469150174619</v>
      </c>
    </row>
    <row r="961" spans="1:10" x14ac:dyDescent="0.3">
      <c r="A961" s="8">
        <v>43486</v>
      </c>
      <c r="B961" t="str">
        <f>TEXT(Raw_Data!$A961, "MMM")</f>
        <v>Jan</v>
      </c>
      <c r="C961">
        <f>YEAR(Raw_Data!$A961)</f>
        <v>2019</v>
      </c>
      <c r="D961" t="s">
        <v>874</v>
      </c>
      <c r="E961" t="s">
        <v>23</v>
      </c>
      <c r="F961" t="s">
        <v>18</v>
      </c>
      <c r="G961">
        <v>3</v>
      </c>
      <c r="H961">
        <v>1755</v>
      </c>
      <c r="I961" s="1">
        <v>688362</v>
      </c>
      <c r="J961" s="1">
        <f>Raw_Data!$I961/Raw_Data!$H961</f>
        <v>392.22905982905985</v>
      </c>
    </row>
    <row r="962" spans="1:10" x14ac:dyDescent="0.3">
      <c r="A962" s="9">
        <v>43603</v>
      </c>
      <c r="B962" s="2" t="str">
        <f>TEXT(Raw_Data!$A962, "MMM")</f>
        <v>May</v>
      </c>
      <c r="C962" s="2">
        <f>YEAR(Raw_Data!$A962)</f>
        <v>2019</v>
      </c>
      <c r="D962" s="2" t="s">
        <v>875</v>
      </c>
      <c r="E962" s="2" t="s">
        <v>32</v>
      </c>
      <c r="F962" s="2" t="s">
        <v>18</v>
      </c>
      <c r="G962" s="2">
        <v>3</v>
      </c>
      <c r="H962" s="2">
        <v>1515</v>
      </c>
      <c r="I962" s="10">
        <v>534136</v>
      </c>
      <c r="J962" s="10">
        <f>Raw_Data!$I962/Raw_Data!$H962</f>
        <v>352.56501650165018</v>
      </c>
    </row>
    <row r="963" spans="1:10" x14ac:dyDescent="0.3">
      <c r="A963" s="8">
        <v>38989</v>
      </c>
      <c r="B963" t="str">
        <f>TEXT(Raw_Data!$A963, "MMM")</f>
        <v>Sep</v>
      </c>
      <c r="C963">
        <f>YEAR(Raw_Data!$A963)</f>
        <v>2006</v>
      </c>
      <c r="D963" t="s">
        <v>876</v>
      </c>
      <c r="E963" t="s">
        <v>13</v>
      </c>
      <c r="F963" t="s">
        <v>11</v>
      </c>
      <c r="H963">
        <v>1893</v>
      </c>
      <c r="I963" s="1">
        <v>840843</v>
      </c>
      <c r="J963" s="1">
        <f>Raw_Data!$I963/Raw_Data!$H963</f>
        <v>444.1854199683043</v>
      </c>
    </row>
    <row r="964" spans="1:10" x14ac:dyDescent="0.3">
      <c r="A964" s="9">
        <v>38403</v>
      </c>
      <c r="B964" s="2" t="str">
        <f>TEXT(Raw_Data!$A964, "MMM")</f>
        <v>Feb</v>
      </c>
      <c r="C964" s="2">
        <f>YEAR(Raw_Data!$A964)</f>
        <v>2005</v>
      </c>
      <c r="D964" s="2" t="s">
        <v>877</v>
      </c>
      <c r="E964" s="2" t="s">
        <v>29</v>
      </c>
      <c r="F964" s="2" t="s">
        <v>16</v>
      </c>
      <c r="G964" s="2">
        <v>5</v>
      </c>
      <c r="H964" s="2">
        <v>2911</v>
      </c>
      <c r="I964" s="10">
        <v>427195</v>
      </c>
      <c r="J964" s="10">
        <f>Raw_Data!$I964/Raw_Data!$H964</f>
        <v>146.75197526623154</v>
      </c>
    </row>
    <row r="965" spans="1:10" x14ac:dyDescent="0.3">
      <c r="A965" s="8">
        <v>39742</v>
      </c>
      <c r="B965" t="str">
        <f>TEXT(Raw_Data!$A965, "MMM")</f>
        <v>Oct</v>
      </c>
      <c r="C965">
        <f>YEAR(Raw_Data!$A965)</f>
        <v>2008</v>
      </c>
      <c r="D965" t="s">
        <v>878</v>
      </c>
      <c r="E965" t="s">
        <v>25</v>
      </c>
      <c r="F965" t="s">
        <v>18</v>
      </c>
      <c r="G965">
        <v>2</v>
      </c>
      <c r="H965">
        <v>3115</v>
      </c>
      <c r="I965" s="1">
        <v>348972</v>
      </c>
      <c r="J965" s="1">
        <f>Raw_Data!$I965/Raw_Data!$H965</f>
        <v>112.02953451043339</v>
      </c>
    </row>
    <row r="966" spans="1:10" x14ac:dyDescent="0.3">
      <c r="A966" s="9">
        <v>43296</v>
      </c>
      <c r="B966" s="2" t="str">
        <f>TEXT(Raw_Data!$A966, "MMM")</f>
        <v>Jul</v>
      </c>
      <c r="C966" s="2">
        <f>YEAR(Raw_Data!$A966)</f>
        <v>2018</v>
      </c>
      <c r="D966" s="2" t="s">
        <v>879</v>
      </c>
      <c r="E966" s="2" t="s">
        <v>32</v>
      </c>
      <c r="F966" s="2" t="s">
        <v>16</v>
      </c>
      <c r="G966" s="2">
        <v>5</v>
      </c>
      <c r="H966" s="2">
        <v>3047</v>
      </c>
      <c r="I966" s="10">
        <v>209840</v>
      </c>
      <c r="J966" s="10">
        <f>Raw_Data!$I966/Raw_Data!$H966</f>
        <v>68.867738759435511</v>
      </c>
    </row>
    <row r="967" spans="1:10" x14ac:dyDescent="0.3">
      <c r="A967" s="8">
        <v>41559</v>
      </c>
      <c r="B967" t="str">
        <f>TEXT(Raw_Data!$A967, "MMM")</f>
        <v>Oct</v>
      </c>
      <c r="C967">
        <f>YEAR(Raw_Data!$A967)</f>
        <v>2013</v>
      </c>
      <c r="D967" t="s">
        <v>880</v>
      </c>
      <c r="E967" t="s">
        <v>13</v>
      </c>
      <c r="F967" t="s">
        <v>11</v>
      </c>
      <c r="G967">
        <v>5</v>
      </c>
      <c r="H967">
        <v>3090</v>
      </c>
      <c r="I967" s="1">
        <v>135601</v>
      </c>
      <c r="J967" s="1">
        <f>Raw_Data!$I967/Raw_Data!$H967</f>
        <v>43.88381877022654</v>
      </c>
    </row>
    <row r="968" spans="1:10" x14ac:dyDescent="0.3">
      <c r="A968" s="9">
        <v>40902</v>
      </c>
      <c r="B968" s="2" t="str">
        <f>TEXT(Raw_Data!$A968, "MMM")</f>
        <v>Dec</v>
      </c>
      <c r="C968" s="2">
        <f>YEAR(Raw_Data!$A968)</f>
        <v>2011</v>
      </c>
      <c r="D968" s="2" t="s">
        <v>881</v>
      </c>
      <c r="E968" s="2" t="s">
        <v>15</v>
      </c>
      <c r="F968" s="2" t="s">
        <v>18</v>
      </c>
      <c r="G968" s="2">
        <v>2</v>
      </c>
      <c r="H968" s="2">
        <v>1282</v>
      </c>
      <c r="I968" s="10">
        <v>179140</v>
      </c>
      <c r="J968" s="10">
        <f>Raw_Data!$I968/Raw_Data!$H968</f>
        <v>139.73478939157567</v>
      </c>
    </row>
    <row r="969" spans="1:10" x14ac:dyDescent="0.3">
      <c r="A969" s="8">
        <v>42019</v>
      </c>
      <c r="B969" t="str">
        <f>TEXT(Raw_Data!$A969, "MMM")</f>
        <v>Jan</v>
      </c>
      <c r="C969">
        <f>YEAR(Raw_Data!$A969)</f>
        <v>2015</v>
      </c>
      <c r="D969" t="s">
        <v>882</v>
      </c>
      <c r="E969" t="s">
        <v>25</v>
      </c>
      <c r="F969" t="s">
        <v>18</v>
      </c>
      <c r="G969">
        <v>2</v>
      </c>
      <c r="H969">
        <v>1173</v>
      </c>
      <c r="I969" s="1">
        <v>584336</v>
      </c>
      <c r="J969" s="1">
        <f>Raw_Data!$I969/Raw_Data!$H969</f>
        <v>498.15515771526003</v>
      </c>
    </row>
    <row r="970" spans="1:10" x14ac:dyDescent="0.3">
      <c r="A970" s="9">
        <v>39567</v>
      </c>
      <c r="B970" s="2" t="str">
        <f>TEXT(Raw_Data!$A970, "MMM")</f>
        <v>Apr</v>
      </c>
      <c r="C970" s="2">
        <f>YEAR(Raw_Data!$A970)</f>
        <v>2008</v>
      </c>
      <c r="D970" s="2" t="s">
        <v>883</v>
      </c>
      <c r="E970" s="2" t="s">
        <v>13</v>
      </c>
      <c r="F970" s="2" t="s">
        <v>27</v>
      </c>
      <c r="G970" s="2"/>
      <c r="H970" s="2">
        <v>2935</v>
      </c>
      <c r="I970" s="10">
        <v>172779</v>
      </c>
      <c r="J970" s="10">
        <f>Raw_Data!$I970/Raw_Data!$H970</f>
        <v>58.868483816013629</v>
      </c>
    </row>
    <row r="971" spans="1:10" x14ac:dyDescent="0.3">
      <c r="A971" s="8">
        <v>38492</v>
      </c>
      <c r="B971" t="str">
        <f>TEXT(Raw_Data!$A971, "MMM")</f>
        <v>May</v>
      </c>
      <c r="C971">
        <f>YEAR(Raw_Data!$A971)</f>
        <v>2005</v>
      </c>
      <c r="D971" t="s">
        <v>884</v>
      </c>
      <c r="E971" t="s">
        <v>23</v>
      </c>
      <c r="F971" t="s">
        <v>16</v>
      </c>
      <c r="G971">
        <v>3</v>
      </c>
      <c r="H971">
        <v>1992</v>
      </c>
      <c r="I971" s="1">
        <v>299048</v>
      </c>
      <c r="J971" s="1">
        <f>Raw_Data!$I971/Raw_Data!$H971</f>
        <v>150.12449799196787</v>
      </c>
    </row>
    <row r="972" spans="1:10" x14ac:dyDescent="0.3">
      <c r="A972" s="9">
        <v>37017</v>
      </c>
      <c r="B972" s="2" t="str">
        <f>TEXT(Raw_Data!$A972, "MMM")</f>
        <v>May</v>
      </c>
      <c r="C972" s="2">
        <f>YEAR(Raw_Data!$A972)</f>
        <v>2001</v>
      </c>
      <c r="D972" s="2" t="s">
        <v>885</v>
      </c>
      <c r="E972" s="2" t="s">
        <v>15</v>
      </c>
      <c r="F972" s="2" t="s">
        <v>11</v>
      </c>
      <c r="G972" s="2"/>
      <c r="H972" s="2">
        <v>1043</v>
      </c>
      <c r="I972" s="10">
        <v>216032</v>
      </c>
      <c r="J972" s="10">
        <f>Raw_Data!$I972/Raw_Data!$H972</f>
        <v>207.12559923298178</v>
      </c>
    </row>
    <row r="973" spans="1:10" x14ac:dyDescent="0.3">
      <c r="A973" s="8">
        <v>42789</v>
      </c>
      <c r="B973" t="str">
        <f>TEXT(Raw_Data!$A973, "MMM")</f>
        <v>Feb</v>
      </c>
      <c r="C973">
        <f>YEAR(Raw_Data!$A973)</f>
        <v>2017</v>
      </c>
      <c r="D973" t="s">
        <v>886</v>
      </c>
      <c r="E973" t="s">
        <v>25</v>
      </c>
      <c r="F973" t="s">
        <v>27</v>
      </c>
      <c r="G973">
        <v>4</v>
      </c>
      <c r="H973">
        <v>1948</v>
      </c>
      <c r="I973" s="1">
        <v>627116</v>
      </c>
      <c r="J973" s="1">
        <f>Raw_Data!$I973/Raw_Data!$H973</f>
        <v>321.9281314168378</v>
      </c>
    </row>
    <row r="974" spans="1:10" x14ac:dyDescent="0.3">
      <c r="A974" s="9">
        <v>39378</v>
      </c>
      <c r="B974" s="2" t="str">
        <f>TEXT(Raw_Data!$A974, "MMM")</f>
        <v>Oct</v>
      </c>
      <c r="C974" s="2">
        <f>YEAR(Raw_Data!$A974)</f>
        <v>2007</v>
      </c>
      <c r="D974" s="2" t="s">
        <v>887</v>
      </c>
      <c r="E974" s="2" t="s">
        <v>23</v>
      </c>
      <c r="F974" s="2" t="s">
        <v>18</v>
      </c>
      <c r="G974" s="2"/>
      <c r="H974" s="2">
        <v>2006</v>
      </c>
      <c r="I974" s="10">
        <v>557401</v>
      </c>
      <c r="J974" s="10">
        <f>Raw_Data!$I974/Raw_Data!$H974</f>
        <v>277.86689930209371</v>
      </c>
    </row>
    <row r="975" spans="1:10" x14ac:dyDescent="0.3">
      <c r="A975" s="8">
        <v>37465</v>
      </c>
      <c r="B975" t="str">
        <f>TEXT(Raw_Data!$A975, "MMM")</f>
        <v>Jul</v>
      </c>
      <c r="C975">
        <f>YEAR(Raw_Data!$A975)</f>
        <v>2002</v>
      </c>
      <c r="D975" t="s">
        <v>888</v>
      </c>
      <c r="E975" t="s">
        <v>15</v>
      </c>
      <c r="F975" t="s">
        <v>16</v>
      </c>
      <c r="G975">
        <v>4</v>
      </c>
      <c r="H975">
        <v>1408</v>
      </c>
      <c r="I975" s="1">
        <v>181258</v>
      </c>
      <c r="J975" s="1">
        <f>Raw_Data!$I975/Raw_Data!$H975</f>
        <v>128.734375</v>
      </c>
    </row>
    <row r="976" spans="1:10" x14ac:dyDescent="0.3">
      <c r="A976" s="9">
        <v>42024</v>
      </c>
      <c r="B976" s="2" t="str">
        <f>TEXT(Raw_Data!$A976, "MMM")</f>
        <v>Jan</v>
      </c>
      <c r="C976" s="2">
        <f>YEAR(Raw_Data!$A976)</f>
        <v>2015</v>
      </c>
      <c r="D976" s="2" t="s">
        <v>889</v>
      </c>
      <c r="E976" s="2" t="s">
        <v>21</v>
      </c>
      <c r="F976" s="2" t="s">
        <v>16</v>
      </c>
      <c r="G976" s="2">
        <v>5</v>
      </c>
      <c r="H976" s="2">
        <v>2249</v>
      </c>
      <c r="I976" s="10">
        <v>862975</v>
      </c>
      <c r="J976" s="10">
        <f>Raw_Data!$I976/Raw_Data!$H976</f>
        <v>383.71498443752779</v>
      </c>
    </row>
    <row r="977" spans="1:10" x14ac:dyDescent="0.3">
      <c r="A977" s="8">
        <v>37274</v>
      </c>
      <c r="B977" t="str">
        <f>TEXT(Raw_Data!$A977, "MMM")</f>
        <v>Jan</v>
      </c>
      <c r="C977">
        <f>YEAR(Raw_Data!$A977)</f>
        <v>2002</v>
      </c>
      <c r="D977" t="s">
        <v>301</v>
      </c>
      <c r="E977" t="s">
        <v>21</v>
      </c>
      <c r="F977" t="s">
        <v>11</v>
      </c>
      <c r="H977">
        <v>1029</v>
      </c>
      <c r="I977" s="1">
        <v>236043</v>
      </c>
      <c r="J977" s="1">
        <f>Raw_Data!$I977/Raw_Data!$H977</f>
        <v>229.39067055393585</v>
      </c>
    </row>
    <row r="978" spans="1:10" x14ac:dyDescent="0.3">
      <c r="A978" s="9">
        <v>39747</v>
      </c>
      <c r="B978" s="2" t="str">
        <f>TEXT(Raw_Data!$A978, "MMM")</f>
        <v>Oct</v>
      </c>
      <c r="C978" s="2">
        <f>YEAR(Raw_Data!$A978)</f>
        <v>2008</v>
      </c>
      <c r="D978" s="2" t="s">
        <v>890</v>
      </c>
      <c r="E978" s="2" t="s">
        <v>21</v>
      </c>
      <c r="F978" s="2" t="s">
        <v>11</v>
      </c>
      <c r="G978" s="2"/>
      <c r="H978" s="2">
        <v>3094</v>
      </c>
      <c r="I978" s="10">
        <v>495674</v>
      </c>
      <c r="J978" s="10">
        <f>Raw_Data!$I978/Raw_Data!$H978</f>
        <v>160.20491273432449</v>
      </c>
    </row>
    <row r="979" spans="1:10" x14ac:dyDescent="0.3">
      <c r="A979" s="8">
        <v>39173</v>
      </c>
      <c r="B979" t="str">
        <f>TEXT(Raw_Data!$A979, "MMM")</f>
        <v>Apr</v>
      </c>
      <c r="C979">
        <f>YEAR(Raw_Data!$A979)</f>
        <v>2007</v>
      </c>
      <c r="D979" t="s">
        <v>891</v>
      </c>
      <c r="E979" t="s">
        <v>21</v>
      </c>
      <c r="F979" t="s">
        <v>18</v>
      </c>
      <c r="G979">
        <v>2</v>
      </c>
      <c r="H979">
        <v>2333</v>
      </c>
      <c r="I979" s="1">
        <v>692767</v>
      </c>
      <c r="J979" s="1">
        <f>Raw_Data!$I979/Raw_Data!$H979</f>
        <v>296.94256322331762</v>
      </c>
    </row>
    <row r="980" spans="1:10" x14ac:dyDescent="0.3">
      <c r="A980" s="9">
        <v>39169</v>
      </c>
      <c r="B980" s="2" t="str">
        <f>TEXT(Raw_Data!$A980, "MMM")</f>
        <v>Mar</v>
      </c>
      <c r="C980" s="2">
        <f>YEAR(Raw_Data!$A980)</f>
        <v>2007</v>
      </c>
      <c r="D980" s="2" t="s">
        <v>892</v>
      </c>
      <c r="E980" s="2" t="s">
        <v>32</v>
      </c>
      <c r="F980" s="2" t="s">
        <v>11</v>
      </c>
      <c r="G980" s="2">
        <v>4</v>
      </c>
      <c r="H980" s="2">
        <v>1470</v>
      </c>
      <c r="I980" s="10">
        <v>884977</v>
      </c>
      <c r="J980" s="10">
        <f>Raw_Data!$I980/Raw_Data!$H980</f>
        <v>602.02517006802725</v>
      </c>
    </row>
    <row r="981" spans="1:10" x14ac:dyDescent="0.3">
      <c r="A981" s="8">
        <v>39203</v>
      </c>
      <c r="B981" t="str">
        <f>TEXT(Raw_Data!$A981, "MMM")</f>
        <v>May</v>
      </c>
      <c r="C981">
        <f>YEAR(Raw_Data!$A981)</f>
        <v>2007</v>
      </c>
      <c r="D981" t="s">
        <v>893</v>
      </c>
      <c r="E981" t="s">
        <v>29</v>
      </c>
      <c r="F981" t="s">
        <v>11</v>
      </c>
      <c r="H981">
        <v>2695</v>
      </c>
      <c r="I981" s="1">
        <v>862743</v>
      </c>
      <c r="J981" s="1">
        <f>Raw_Data!$I981/Raw_Data!$H981</f>
        <v>320.12727272727273</v>
      </c>
    </row>
    <row r="982" spans="1:10" x14ac:dyDescent="0.3">
      <c r="A982" s="9">
        <v>36932</v>
      </c>
      <c r="B982" s="2" t="str">
        <f>TEXT(Raw_Data!$A982, "MMM")</f>
        <v>Feb</v>
      </c>
      <c r="C982" s="2">
        <f>YEAR(Raw_Data!$A982)</f>
        <v>2001</v>
      </c>
      <c r="D982" s="2" t="s">
        <v>894</v>
      </c>
      <c r="E982" s="2" t="s">
        <v>25</v>
      </c>
      <c r="F982" s="2" t="s">
        <v>11</v>
      </c>
      <c r="G982" s="2"/>
      <c r="H982" s="2">
        <v>3038</v>
      </c>
      <c r="I982" s="10">
        <v>790315</v>
      </c>
      <c r="J982" s="10">
        <f>Raw_Data!$I982/Raw_Data!$H982</f>
        <v>260.14318630678076</v>
      </c>
    </row>
    <row r="983" spans="1:10" x14ac:dyDescent="0.3">
      <c r="A983" s="8">
        <v>41144</v>
      </c>
      <c r="B983" t="str">
        <f>TEXT(Raw_Data!$A983, "MMM")</f>
        <v>Aug</v>
      </c>
      <c r="C983">
        <f>YEAR(Raw_Data!$A983)</f>
        <v>2012</v>
      </c>
      <c r="D983" t="s">
        <v>828</v>
      </c>
      <c r="E983" t="s">
        <v>32</v>
      </c>
      <c r="F983" t="s">
        <v>18</v>
      </c>
      <c r="G983">
        <v>4</v>
      </c>
      <c r="H983">
        <v>2495</v>
      </c>
      <c r="I983" s="1">
        <v>241391</v>
      </c>
      <c r="J983" s="1">
        <f>Raw_Data!$I983/Raw_Data!$H983</f>
        <v>96.749899799599191</v>
      </c>
    </row>
    <row r="984" spans="1:10" x14ac:dyDescent="0.3">
      <c r="A984" s="9">
        <v>43006</v>
      </c>
      <c r="B984" s="2" t="str">
        <f>TEXT(Raw_Data!$A984, "MMM")</f>
        <v>Sep</v>
      </c>
      <c r="C984" s="2">
        <f>YEAR(Raw_Data!$A984)</f>
        <v>2017</v>
      </c>
      <c r="D984" s="2" t="s">
        <v>483</v>
      </c>
      <c r="E984" s="2" t="s">
        <v>13</v>
      </c>
      <c r="F984" s="2" t="s">
        <v>11</v>
      </c>
      <c r="G984" s="2">
        <v>4</v>
      </c>
      <c r="H984" s="2">
        <v>1097</v>
      </c>
      <c r="I984" s="10">
        <v>433168</v>
      </c>
      <c r="J984" s="10">
        <f>Raw_Data!$I984/Raw_Data!$H984</f>
        <v>394.86599817684595</v>
      </c>
    </row>
    <row r="985" spans="1:10" x14ac:dyDescent="0.3">
      <c r="A985" s="8">
        <v>40802</v>
      </c>
      <c r="B985" t="str">
        <f>TEXT(Raw_Data!$A985, "MMM")</f>
        <v>Sep</v>
      </c>
      <c r="C985">
        <f>YEAR(Raw_Data!$A985)</f>
        <v>2011</v>
      </c>
      <c r="D985" t="s">
        <v>895</v>
      </c>
      <c r="E985" t="s">
        <v>25</v>
      </c>
      <c r="F985" t="s">
        <v>27</v>
      </c>
      <c r="H985">
        <v>3032</v>
      </c>
      <c r="I985" s="1">
        <v>878620</v>
      </c>
      <c r="J985" s="1">
        <f>Raw_Data!$I985/Raw_Data!$H985</f>
        <v>289.78232189973613</v>
      </c>
    </row>
    <row r="986" spans="1:10" x14ac:dyDescent="0.3">
      <c r="A986" s="9">
        <v>43997</v>
      </c>
      <c r="B986" s="2" t="str">
        <f>TEXT(Raw_Data!$A986, "MMM")</f>
        <v>Jun</v>
      </c>
      <c r="C986" s="2">
        <f>YEAR(Raw_Data!$A986)</f>
        <v>2020</v>
      </c>
      <c r="D986" s="2" t="s">
        <v>489</v>
      </c>
      <c r="E986" s="2" t="s">
        <v>23</v>
      </c>
      <c r="F986" s="2" t="s">
        <v>11</v>
      </c>
      <c r="G986" s="2"/>
      <c r="H986" s="2">
        <v>963</v>
      </c>
      <c r="I986" s="10">
        <v>899763</v>
      </c>
      <c r="J986" s="10">
        <f>Raw_Data!$I986/Raw_Data!$H986</f>
        <v>934.33333333333337</v>
      </c>
    </row>
    <row r="987" spans="1:10" x14ac:dyDescent="0.3">
      <c r="A987" s="8">
        <v>37522</v>
      </c>
      <c r="B987" t="str">
        <f>TEXT(Raw_Data!$A987, "MMM")</f>
        <v>Sep</v>
      </c>
      <c r="C987">
        <f>YEAR(Raw_Data!$A987)</f>
        <v>2002</v>
      </c>
      <c r="D987" t="s">
        <v>896</v>
      </c>
      <c r="E987" t="s">
        <v>25</v>
      </c>
      <c r="F987" t="s">
        <v>16</v>
      </c>
      <c r="G987">
        <v>3</v>
      </c>
      <c r="H987">
        <v>1928</v>
      </c>
      <c r="I987" s="1">
        <v>606708</v>
      </c>
      <c r="J987" s="1">
        <f>Raw_Data!$I987/Raw_Data!$H987</f>
        <v>314.68257261410787</v>
      </c>
    </row>
    <row r="988" spans="1:10" x14ac:dyDescent="0.3">
      <c r="A988" s="9">
        <v>37804</v>
      </c>
      <c r="B988" s="2" t="str">
        <f>TEXT(Raw_Data!$A988, "MMM")</f>
        <v>Jul</v>
      </c>
      <c r="C988" s="2">
        <f>YEAR(Raw_Data!$A988)</f>
        <v>2003</v>
      </c>
      <c r="D988" s="2" t="s">
        <v>897</v>
      </c>
      <c r="E988" s="2" t="s">
        <v>21</v>
      </c>
      <c r="F988" s="2" t="s">
        <v>18</v>
      </c>
      <c r="G988" s="2"/>
      <c r="H988" s="2">
        <v>2656</v>
      </c>
      <c r="I988" s="10">
        <v>356646</v>
      </c>
      <c r="J988" s="10">
        <f>Raw_Data!$I988/Raw_Data!$H988</f>
        <v>134.27936746987953</v>
      </c>
    </row>
    <row r="989" spans="1:10" x14ac:dyDescent="0.3">
      <c r="A989" s="8">
        <v>43845</v>
      </c>
      <c r="B989" t="str">
        <f>TEXT(Raw_Data!$A989, "MMM")</f>
        <v>Jan</v>
      </c>
      <c r="C989">
        <f>YEAR(Raw_Data!$A989)</f>
        <v>2020</v>
      </c>
      <c r="D989" t="s">
        <v>898</v>
      </c>
      <c r="E989" t="s">
        <v>13</v>
      </c>
      <c r="F989" t="s">
        <v>27</v>
      </c>
      <c r="G989">
        <v>2</v>
      </c>
      <c r="H989">
        <v>2578</v>
      </c>
      <c r="I989" s="1">
        <v>289181</v>
      </c>
      <c r="J989" s="1">
        <f>Raw_Data!$I989/Raw_Data!$H989</f>
        <v>112.17261442979054</v>
      </c>
    </row>
    <row r="990" spans="1:10" x14ac:dyDescent="0.3">
      <c r="A990" s="9">
        <v>38300</v>
      </c>
      <c r="B990" s="2" t="str">
        <f>TEXT(Raw_Data!$A990, "MMM")</f>
        <v>Nov</v>
      </c>
      <c r="C990" s="2">
        <f>YEAR(Raw_Data!$A990)</f>
        <v>2004</v>
      </c>
      <c r="D990" s="2" t="s">
        <v>899</v>
      </c>
      <c r="E990" s="2" t="s">
        <v>15</v>
      </c>
      <c r="F990" s="2" t="s">
        <v>16</v>
      </c>
      <c r="G990" s="2"/>
      <c r="H990" s="2">
        <v>3420</v>
      </c>
      <c r="I990" s="10">
        <v>479650</v>
      </c>
      <c r="J990" s="10">
        <f>Raw_Data!$I990/Raw_Data!$H990</f>
        <v>140.2485380116959</v>
      </c>
    </row>
    <row r="991" spans="1:10" x14ac:dyDescent="0.3">
      <c r="A991" s="8">
        <v>40796</v>
      </c>
      <c r="B991" t="str">
        <f>TEXT(Raw_Data!$A991, "MMM")</f>
        <v>Sep</v>
      </c>
      <c r="C991">
        <f>YEAR(Raw_Data!$A991)</f>
        <v>2011</v>
      </c>
      <c r="D991" t="s">
        <v>900</v>
      </c>
      <c r="E991" t="s">
        <v>25</v>
      </c>
      <c r="F991" t="s">
        <v>11</v>
      </c>
      <c r="H991">
        <v>846</v>
      </c>
      <c r="I991" s="1">
        <v>392652</v>
      </c>
      <c r="J991" s="1">
        <f>Raw_Data!$I991/Raw_Data!$H991</f>
        <v>464.12765957446811</v>
      </c>
    </row>
    <row r="992" spans="1:10" x14ac:dyDescent="0.3">
      <c r="A992" s="9">
        <v>39286</v>
      </c>
      <c r="B992" s="2" t="str">
        <f>TEXT(Raw_Data!$A992, "MMM")</f>
        <v>Jul</v>
      </c>
      <c r="C992" s="2">
        <f>YEAR(Raw_Data!$A992)</f>
        <v>2007</v>
      </c>
      <c r="D992" s="2" t="s">
        <v>901</v>
      </c>
      <c r="E992" s="2" t="s">
        <v>32</v>
      </c>
      <c r="F992" s="2" t="s">
        <v>16</v>
      </c>
      <c r="G992" s="2"/>
      <c r="H992" s="2">
        <v>2788</v>
      </c>
      <c r="I992" s="10">
        <v>853254</v>
      </c>
      <c r="J992" s="10">
        <f>Raw_Data!$I992/Raw_Data!$H992</f>
        <v>306.04519368723101</v>
      </c>
    </row>
    <row r="993" spans="1:10" x14ac:dyDescent="0.3">
      <c r="A993" s="8">
        <v>39993</v>
      </c>
      <c r="B993" t="str">
        <f>TEXT(Raw_Data!$A993, "MMM")</f>
        <v>Jun</v>
      </c>
      <c r="C993">
        <f>YEAR(Raw_Data!$A993)</f>
        <v>2009</v>
      </c>
      <c r="D993" t="s">
        <v>658</v>
      </c>
      <c r="E993" t="s">
        <v>13</v>
      </c>
      <c r="F993" t="s">
        <v>27</v>
      </c>
      <c r="H993">
        <v>2244</v>
      </c>
      <c r="I993" s="1">
        <v>569626</v>
      </c>
      <c r="J993" s="1">
        <f>Raw_Data!$I993/Raw_Data!$H993</f>
        <v>253.84402852049911</v>
      </c>
    </row>
    <row r="994" spans="1:10" x14ac:dyDescent="0.3">
      <c r="A994" s="9">
        <v>41914</v>
      </c>
      <c r="B994" s="2" t="str">
        <f>TEXT(Raw_Data!$A994, "MMM")</f>
        <v>Oct</v>
      </c>
      <c r="C994" s="2">
        <f>YEAR(Raw_Data!$A994)</f>
        <v>2014</v>
      </c>
      <c r="D994" s="2" t="s">
        <v>499</v>
      </c>
      <c r="E994" s="2" t="s">
        <v>29</v>
      </c>
      <c r="F994" s="2" t="s">
        <v>16</v>
      </c>
      <c r="G994" s="2"/>
      <c r="H994" s="2">
        <v>3198</v>
      </c>
      <c r="I994" s="10">
        <v>352834</v>
      </c>
      <c r="J994" s="10">
        <f>Raw_Data!$I994/Raw_Data!$H994</f>
        <v>110.32958098811757</v>
      </c>
    </row>
    <row r="995" spans="1:10" x14ac:dyDescent="0.3">
      <c r="A995" s="8">
        <v>40765</v>
      </c>
      <c r="B995" t="str">
        <f>TEXT(Raw_Data!$A995, "MMM")</f>
        <v>Aug</v>
      </c>
      <c r="C995">
        <f>YEAR(Raw_Data!$A995)</f>
        <v>2011</v>
      </c>
      <c r="D995" t="s">
        <v>902</v>
      </c>
      <c r="E995" t="s">
        <v>29</v>
      </c>
      <c r="F995" t="s">
        <v>16</v>
      </c>
      <c r="H995">
        <v>1381</v>
      </c>
      <c r="I995" s="1">
        <v>813954</v>
      </c>
      <c r="J995" s="1">
        <f>Raw_Data!$I995/Raw_Data!$H995</f>
        <v>589.39464156408394</v>
      </c>
    </row>
    <row r="996" spans="1:10" x14ac:dyDescent="0.3">
      <c r="A996" s="9">
        <v>43442</v>
      </c>
      <c r="B996" s="2" t="str">
        <f>TEXT(Raw_Data!$A996, "MMM")</f>
        <v>Dec</v>
      </c>
      <c r="C996" s="2">
        <f>YEAR(Raw_Data!$A996)</f>
        <v>2018</v>
      </c>
      <c r="D996" s="2" t="s">
        <v>778</v>
      </c>
      <c r="E996" s="2" t="s">
        <v>21</v>
      </c>
      <c r="F996" s="2" t="s">
        <v>27</v>
      </c>
      <c r="G996" s="2">
        <v>5</v>
      </c>
      <c r="H996" s="2">
        <v>2564</v>
      </c>
      <c r="I996" s="10">
        <v>761974</v>
      </c>
      <c r="J996" s="10">
        <f>Raw_Data!$I996/Raw_Data!$H996</f>
        <v>297.18174726989082</v>
      </c>
    </row>
    <row r="997" spans="1:10" x14ac:dyDescent="0.3">
      <c r="A997" s="8">
        <v>40840</v>
      </c>
      <c r="B997" t="str">
        <f>TEXT(Raw_Data!$A997, "MMM")</f>
        <v>Oct</v>
      </c>
      <c r="C997">
        <f>YEAR(Raw_Data!$A997)</f>
        <v>2011</v>
      </c>
      <c r="D997" t="s">
        <v>903</v>
      </c>
      <c r="E997" t="s">
        <v>13</v>
      </c>
      <c r="F997" t="s">
        <v>27</v>
      </c>
      <c r="G997">
        <v>2</v>
      </c>
      <c r="H997">
        <v>1421</v>
      </c>
      <c r="I997" s="1">
        <v>761360</v>
      </c>
      <c r="J997" s="1">
        <f>Raw_Data!$I997/Raw_Data!$H997</f>
        <v>535.79169598874034</v>
      </c>
    </row>
    <row r="998" spans="1:10" x14ac:dyDescent="0.3">
      <c r="A998" s="9">
        <v>40493</v>
      </c>
      <c r="B998" s="2" t="str">
        <f>TEXT(Raw_Data!$A998, "MMM")</f>
        <v>Nov</v>
      </c>
      <c r="C998" s="2">
        <f>YEAR(Raw_Data!$A998)</f>
        <v>2010</v>
      </c>
      <c r="D998" s="2" t="s">
        <v>456</v>
      </c>
      <c r="E998" s="2" t="s">
        <v>23</v>
      </c>
      <c r="F998" s="2" t="s">
        <v>18</v>
      </c>
      <c r="G998" s="2">
        <v>2</v>
      </c>
      <c r="H998" s="2">
        <v>1693</v>
      </c>
      <c r="I998" s="10">
        <v>845617</v>
      </c>
      <c r="J998" s="10">
        <f>Raw_Data!$I998/Raw_Data!$H998</f>
        <v>499.47844063792087</v>
      </c>
    </row>
    <row r="999" spans="1:10" x14ac:dyDescent="0.3">
      <c r="A999" s="8">
        <v>38111</v>
      </c>
      <c r="B999" t="str">
        <f>TEXT(Raw_Data!$A999, "MMM")</f>
        <v>May</v>
      </c>
      <c r="C999">
        <f>YEAR(Raw_Data!$A999)</f>
        <v>2004</v>
      </c>
      <c r="D999" t="s">
        <v>904</v>
      </c>
      <c r="E999" t="s">
        <v>13</v>
      </c>
      <c r="F999" t="s">
        <v>27</v>
      </c>
      <c r="G999">
        <v>3</v>
      </c>
      <c r="H999">
        <v>2079</v>
      </c>
      <c r="I999" s="1">
        <v>595168</v>
      </c>
      <c r="J999" s="1">
        <f>Raw_Data!$I999/Raw_Data!$H999</f>
        <v>286.27609427609428</v>
      </c>
    </row>
    <row r="1000" spans="1:10" x14ac:dyDescent="0.3">
      <c r="A1000" s="9">
        <v>43946</v>
      </c>
      <c r="B1000" s="2" t="str">
        <f>TEXT(Raw_Data!$A1000, "MMM")</f>
        <v>Apr</v>
      </c>
      <c r="C1000" s="2">
        <f>YEAR(Raw_Data!$A1000)</f>
        <v>2020</v>
      </c>
      <c r="D1000" s="2" t="s">
        <v>905</v>
      </c>
      <c r="E1000" s="2" t="s">
        <v>32</v>
      </c>
      <c r="F1000" s="2" t="s">
        <v>27</v>
      </c>
      <c r="G1000" s="2"/>
      <c r="H1000" s="2">
        <v>1788</v>
      </c>
      <c r="I1000" s="10">
        <v>220931</v>
      </c>
      <c r="J1000" s="10">
        <f>Raw_Data!$I1000/Raw_Data!$H1000</f>
        <v>123.56319910514542</v>
      </c>
    </row>
    <row r="1001" spans="1:10" x14ac:dyDescent="0.3">
      <c r="A1001" s="8">
        <v>40768</v>
      </c>
      <c r="B1001" t="str">
        <f>TEXT(Raw_Data!$A1001, "MMM")</f>
        <v>Aug</v>
      </c>
      <c r="C1001">
        <f>YEAR(Raw_Data!$A1001)</f>
        <v>2011</v>
      </c>
      <c r="D1001" t="s">
        <v>906</v>
      </c>
      <c r="E1001" t="s">
        <v>23</v>
      </c>
      <c r="F1001" t="s">
        <v>18</v>
      </c>
      <c r="G1001">
        <v>3</v>
      </c>
      <c r="H1001">
        <v>1389</v>
      </c>
      <c r="I1001" s="1">
        <v>235340</v>
      </c>
      <c r="J1001" s="1">
        <f>Raw_Data!$I1001/Raw_Data!$H1001</f>
        <v>169.43124550035998</v>
      </c>
    </row>
    <row r="1002" spans="1:10" x14ac:dyDescent="0.3">
      <c r="A1002" s="9">
        <v>42191</v>
      </c>
      <c r="B1002" s="2" t="str">
        <f>TEXT(Raw_Data!$A1002, "MMM")</f>
        <v>Jul</v>
      </c>
      <c r="C1002" s="2">
        <f>YEAR(Raw_Data!$A1002)</f>
        <v>2015</v>
      </c>
      <c r="D1002" s="2" t="s">
        <v>907</v>
      </c>
      <c r="E1002" s="2" t="s">
        <v>23</v>
      </c>
      <c r="F1002" s="2" t="s">
        <v>11</v>
      </c>
      <c r="G1002" s="2">
        <v>2</v>
      </c>
      <c r="H1002" s="2">
        <v>3146</v>
      </c>
      <c r="I1002" s="10">
        <v>831668</v>
      </c>
      <c r="J1002" s="10">
        <f>Raw_Data!$I1002/Raw_Data!$H1002</f>
        <v>264.35727908455181</v>
      </c>
    </row>
    <row r="1003" spans="1:10" x14ac:dyDescent="0.3">
      <c r="A1003" s="8">
        <v>38694</v>
      </c>
      <c r="B1003" t="str">
        <f>TEXT(Raw_Data!$A1003, "MMM")</f>
        <v>Dec</v>
      </c>
      <c r="C1003">
        <f>YEAR(Raw_Data!$A1003)</f>
        <v>2005</v>
      </c>
      <c r="D1003" t="s">
        <v>908</v>
      </c>
      <c r="E1003" t="s">
        <v>29</v>
      </c>
      <c r="F1003" t="s">
        <v>27</v>
      </c>
      <c r="H1003">
        <v>900</v>
      </c>
      <c r="I1003" s="1">
        <v>715719</v>
      </c>
      <c r="J1003" s="1">
        <f>Raw_Data!$I1003/Raw_Data!$H1003</f>
        <v>795.24333333333334</v>
      </c>
    </row>
    <row r="1004" spans="1:10" x14ac:dyDescent="0.3">
      <c r="A1004" s="9">
        <v>40042</v>
      </c>
      <c r="B1004" s="2" t="str">
        <f>TEXT(Raw_Data!$A1004, "MMM")</f>
        <v>Aug</v>
      </c>
      <c r="C1004" s="2">
        <f>YEAR(Raw_Data!$A1004)</f>
        <v>2009</v>
      </c>
      <c r="D1004" s="2" t="s">
        <v>486</v>
      </c>
      <c r="E1004" s="2" t="s">
        <v>32</v>
      </c>
      <c r="F1004" s="2" t="s">
        <v>18</v>
      </c>
      <c r="G1004" s="2"/>
      <c r="H1004" s="2">
        <v>2812</v>
      </c>
      <c r="I1004" s="10">
        <v>162829</v>
      </c>
      <c r="J1004" s="10">
        <f>Raw_Data!$I1004/Raw_Data!$H1004</f>
        <v>57.905049786628737</v>
      </c>
    </row>
    <row r="1005" spans="1:10" x14ac:dyDescent="0.3">
      <c r="A1005" s="8">
        <v>39292</v>
      </c>
      <c r="B1005" t="str">
        <f>TEXT(Raw_Data!$A1005, "MMM")</f>
        <v>Jul</v>
      </c>
      <c r="C1005">
        <f>YEAR(Raw_Data!$A1005)</f>
        <v>2007</v>
      </c>
      <c r="D1005" t="s">
        <v>909</v>
      </c>
      <c r="E1005" t="s">
        <v>29</v>
      </c>
      <c r="F1005" t="s">
        <v>27</v>
      </c>
      <c r="G1005">
        <v>3</v>
      </c>
      <c r="H1005">
        <v>3161</v>
      </c>
      <c r="I1005" s="1">
        <v>778732</v>
      </c>
      <c r="J1005" s="1">
        <f>Raw_Data!$I1005/Raw_Data!$H1005</f>
        <v>246.35621638721923</v>
      </c>
    </row>
    <row r="1006" spans="1:10" x14ac:dyDescent="0.3">
      <c r="A1006" s="9">
        <v>43392</v>
      </c>
      <c r="B1006" s="2" t="str">
        <f>TEXT(Raw_Data!$A1006, "MMM")</f>
        <v>Oct</v>
      </c>
      <c r="C1006" s="2">
        <f>YEAR(Raw_Data!$A1006)</f>
        <v>2018</v>
      </c>
      <c r="D1006" s="2" t="s">
        <v>910</v>
      </c>
      <c r="E1006" s="2" t="s">
        <v>25</v>
      </c>
      <c r="F1006" s="2" t="s">
        <v>18</v>
      </c>
      <c r="G1006" s="2">
        <v>2</v>
      </c>
      <c r="H1006" s="2">
        <v>1618</v>
      </c>
      <c r="I1006" s="10"/>
      <c r="J1006" s="10">
        <f>Raw_Data!$I1006/Raw_Data!$H1006</f>
        <v>0</v>
      </c>
    </row>
    <row r="1007" spans="1:10" x14ac:dyDescent="0.3">
      <c r="A1007" s="8">
        <v>38786</v>
      </c>
      <c r="B1007" t="str">
        <f>TEXT(Raw_Data!$A1007, "MMM")</f>
        <v>Mar</v>
      </c>
      <c r="C1007">
        <f>YEAR(Raw_Data!$A1007)</f>
        <v>2006</v>
      </c>
      <c r="D1007" t="s">
        <v>911</v>
      </c>
      <c r="E1007" t="s">
        <v>25</v>
      </c>
      <c r="F1007" t="s">
        <v>18</v>
      </c>
      <c r="G1007">
        <v>3</v>
      </c>
      <c r="H1007">
        <v>3495</v>
      </c>
      <c r="I1007" s="1">
        <v>157807</v>
      </c>
      <c r="J1007" s="1">
        <f>Raw_Data!$I1007/Raw_Data!$H1007</f>
        <v>45.15221745350501</v>
      </c>
    </row>
    <row r="1008" spans="1:10" x14ac:dyDescent="0.3">
      <c r="A1008" s="9">
        <v>44109</v>
      </c>
      <c r="B1008" s="2" t="str">
        <f>TEXT(Raw_Data!$A1008, "MMM")</f>
        <v>Oct</v>
      </c>
      <c r="C1008" s="2">
        <f>YEAR(Raw_Data!$A1008)</f>
        <v>2020</v>
      </c>
      <c r="D1008" s="2" t="s">
        <v>912</v>
      </c>
      <c r="E1008" s="2" t="s">
        <v>23</v>
      </c>
      <c r="F1008" s="2" t="s">
        <v>18</v>
      </c>
      <c r="G1008" s="2">
        <v>2</v>
      </c>
      <c r="H1008" s="2">
        <v>2122</v>
      </c>
      <c r="I1008" s="10">
        <v>512606</v>
      </c>
      <c r="J1008" s="10">
        <f>Raw_Data!$I1008/Raw_Data!$H1008</f>
        <v>241.56738925541941</v>
      </c>
    </row>
    <row r="1009" spans="1:10" x14ac:dyDescent="0.3">
      <c r="A1009" s="8">
        <v>37841</v>
      </c>
      <c r="B1009" t="str">
        <f>TEXT(Raw_Data!$A1009, "MMM")</f>
        <v>Aug</v>
      </c>
      <c r="C1009">
        <f>YEAR(Raw_Data!$A1009)</f>
        <v>2003</v>
      </c>
      <c r="D1009" t="s">
        <v>913</v>
      </c>
      <c r="E1009" t="s">
        <v>23</v>
      </c>
      <c r="F1009" t="s">
        <v>18</v>
      </c>
      <c r="H1009">
        <v>1347</v>
      </c>
      <c r="I1009" s="1">
        <v>763893</v>
      </c>
      <c r="J1009" s="1">
        <f>Raw_Data!$I1009/Raw_Data!$H1009</f>
        <v>567.10690423162589</v>
      </c>
    </row>
    <row r="1010" spans="1:10" x14ac:dyDescent="0.3">
      <c r="A1010" s="9">
        <v>40327</v>
      </c>
      <c r="B1010" s="2" t="str">
        <f>TEXT(Raw_Data!$A1010, "MMM")</f>
        <v>May</v>
      </c>
      <c r="C1010" s="2">
        <f>YEAR(Raw_Data!$A1010)</f>
        <v>2010</v>
      </c>
      <c r="D1010" s="2" t="s">
        <v>914</v>
      </c>
      <c r="E1010" s="2" t="s">
        <v>15</v>
      </c>
      <c r="F1010" s="2" t="s">
        <v>27</v>
      </c>
      <c r="G1010" s="2"/>
      <c r="H1010" s="2">
        <v>1499</v>
      </c>
      <c r="I1010" s="10">
        <v>692055</v>
      </c>
      <c r="J1010" s="10">
        <f>Raw_Data!$I1010/Raw_Data!$H1010</f>
        <v>461.67778519012677</v>
      </c>
    </row>
    <row r="1011" spans="1:10" x14ac:dyDescent="0.3">
      <c r="A1011" s="8">
        <v>43000</v>
      </c>
      <c r="B1011" t="str">
        <f>TEXT(Raw_Data!$A1011, "MMM")</f>
        <v>Sep</v>
      </c>
      <c r="C1011">
        <f>YEAR(Raw_Data!$A1011)</f>
        <v>2017</v>
      </c>
      <c r="D1011" t="s">
        <v>915</v>
      </c>
      <c r="E1011" t="s">
        <v>25</v>
      </c>
      <c r="F1011" t="s">
        <v>11</v>
      </c>
      <c r="G1011">
        <v>3</v>
      </c>
      <c r="H1011">
        <v>3388</v>
      </c>
      <c r="I1011" s="1">
        <v>216935</v>
      </c>
      <c r="J1011" s="1">
        <f>Raw_Data!$I1011/Raw_Data!$H1011</f>
        <v>64.030401416765059</v>
      </c>
    </row>
    <row r="1012" spans="1:10" x14ac:dyDescent="0.3">
      <c r="A1012" s="9">
        <v>42847</v>
      </c>
      <c r="B1012" s="2" t="str">
        <f>TEXT(Raw_Data!$A1012, "MMM")</f>
        <v>Apr</v>
      </c>
      <c r="C1012" s="2">
        <f>YEAR(Raw_Data!$A1012)</f>
        <v>2017</v>
      </c>
      <c r="D1012" s="2" t="s">
        <v>916</v>
      </c>
      <c r="E1012" s="2" t="s">
        <v>15</v>
      </c>
      <c r="F1012" s="2" t="s">
        <v>16</v>
      </c>
      <c r="G1012" s="2">
        <v>2</v>
      </c>
      <c r="H1012" s="2">
        <v>1344</v>
      </c>
      <c r="I1012" s="10">
        <v>384200</v>
      </c>
      <c r="J1012" s="10">
        <f>Raw_Data!$I1012/Raw_Data!$H1012</f>
        <v>285.86309523809524</v>
      </c>
    </row>
    <row r="1013" spans="1:10" x14ac:dyDescent="0.3">
      <c r="A1013" s="8">
        <v>37777</v>
      </c>
      <c r="B1013" t="str">
        <f>TEXT(Raw_Data!$A1013, "MMM")</f>
        <v>Jun</v>
      </c>
      <c r="C1013">
        <f>YEAR(Raw_Data!$A1013)</f>
        <v>2003</v>
      </c>
      <c r="D1013" t="s">
        <v>917</v>
      </c>
      <c r="E1013" t="s">
        <v>32</v>
      </c>
      <c r="F1013" t="s">
        <v>27</v>
      </c>
      <c r="G1013">
        <v>2</v>
      </c>
      <c r="H1013">
        <v>3096</v>
      </c>
      <c r="I1013" s="1">
        <v>560974</v>
      </c>
      <c r="J1013" s="1">
        <f>Raw_Data!$I1013/Raw_Data!$H1013</f>
        <v>181.19315245478037</v>
      </c>
    </row>
    <row r="1014" spans="1:10" x14ac:dyDescent="0.3">
      <c r="A1014" s="9">
        <v>41423</v>
      </c>
      <c r="B1014" s="2" t="str">
        <f>TEXT(Raw_Data!$A1014, "MMM")</f>
        <v>May</v>
      </c>
      <c r="C1014" s="2">
        <f>YEAR(Raw_Data!$A1014)</f>
        <v>2013</v>
      </c>
      <c r="D1014" s="2" t="s">
        <v>918</v>
      </c>
      <c r="E1014" s="2" t="s">
        <v>15</v>
      </c>
      <c r="F1014" s="2" t="s">
        <v>18</v>
      </c>
      <c r="G1014" s="2"/>
      <c r="H1014" s="2">
        <v>1951</v>
      </c>
      <c r="I1014" s="10">
        <v>806447</v>
      </c>
      <c r="J1014" s="10">
        <f>Raw_Data!$I1014/Raw_Data!$H1014</f>
        <v>413.35058944131214</v>
      </c>
    </row>
    <row r="1015" spans="1:10" x14ac:dyDescent="0.3">
      <c r="A1015" s="8">
        <v>41236</v>
      </c>
      <c r="B1015" t="str">
        <f>TEXT(Raw_Data!$A1015, "MMM")</f>
        <v>Nov</v>
      </c>
      <c r="C1015">
        <f>YEAR(Raw_Data!$A1015)</f>
        <v>2012</v>
      </c>
      <c r="D1015" t="s">
        <v>919</v>
      </c>
      <c r="E1015" t="s">
        <v>23</v>
      </c>
      <c r="F1015" t="s">
        <v>11</v>
      </c>
      <c r="G1015">
        <v>3</v>
      </c>
      <c r="H1015">
        <v>1182</v>
      </c>
      <c r="I1015" s="1">
        <v>207245</v>
      </c>
      <c r="J1015" s="1">
        <f>Raw_Data!$I1015/Raw_Data!$H1015</f>
        <v>175.33417935702201</v>
      </c>
    </row>
    <row r="1016" spans="1:10" x14ac:dyDescent="0.3">
      <c r="A1016" s="9">
        <v>43994</v>
      </c>
      <c r="B1016" s="2" t="str">
        <f>TEXT(Raw_Data!$A1016, "MMM")</f>
        <v>Jun</v>
      </c>
      <c r="C1016" s="2">
        <f>YEAR(Raw_Data!$A1016)</f>
        <v>2020</v>
      </c>
      <c r="D1016" s="2" t="s">
        <v>354</v>
      </c>
      <c r="E1016" s="2" t="s">
        <v>15</v>
      </c>
      <c r="F1016" s="2" t="s">
        <v>27</v>
      </c>
      <c r="G1016" s="2">
        <v>2</v>
      </c>
      <c r="H1016" s="2">
        <v>1540</v>
      </c>
      <c r="I1016" s="10">
        <v>148269</v>
      </c>
      <c r="J1016" s="10">
        <f>Raw_Data!$I1016/Raw_Data!$H1016</f>
        <v>96.278571428571425</v>
      </c>
    </row>
    <row r="1017" spans="1:10" x14ac:dyDescent="0.3">
      <c r="A1017" s="8">
        <v>42025</v>
      </c>
      <c r="B1017" t="str">
        <f>TEXT(Raw_Data!$A1017, "MMM")</f>
        <v>Jan</v>
      </c>
      <c r="C1017">
        <f>YEAR(Raw_Data!$A1017)</f>
        <v>2015</v>
      </c>
      <c r="D1017" t="s">
        <v>920</v>
      </c>
      <c r="E1017" t="s">
        <v>15</v>
      </c>
      <c r="F1017" t="s">
        <v>18</v>
      </c>
      <c r="G1017">
        <v>4</v>
      </c>
      <c r="H1017">
        <v>1373</v>
      </c>
      <c r="I1017" s="1">
        <v>383537</v>
      </c>
      <c r="J1017" s="1">
        <f>Raw_Data!$I1017/Raw_Data!$H1017</f>
        <v>279.34231609613983</v>
      </c>
    </row>
    <row r="1018" spans="1:10" x14ac:dyDescent="0.3">
      <c r="A1018" s="9">
        <v>40216</v>
      </c>
      <c r="B1018" s="2" t="str">
        <f>TEXT(Raw_Data!$A1018, "MMM")</f>
        <v>Feb</v>
      </c>
      <c r="C1018" s="2">
        <f>YEAR(Raw_Data!$A1018)</f>
        <v>2010</v>
      </c>
      <c r="D1018" s="2" t="s">
        <v>921</v>
      </c>
      <c r="E1018" s="2" t="s">
        <v>25</v>
      </c>
      <c r="F1018" s="2" t="s">
        <v>27</v>
      </c>
      <c r="G1018" s="2">
        <v>5</v>
      </c>
      <c r="H1018" s="2">
        <v>815</v>
      </c>
      <c r="I1018" s="10">
        <v>268368</v>
      </c>
      <c r="J1018" s="10">
        <f>Raw_Data!$I1018/Raw_Data!$H1018</f>
        <v>329.28588957055217</v>
      </c>
    </row>
    <row r="1019" spans="1:10" x14ac:dyDescent="0.3">
      <c r="A1019" s="8">
        <v>38676</v>
      </c>
      <c r="B1019" t="str">
        <f>TEXT(Raw_Data!$A1019, "MMM")</f>
        <v>Nov</v>
      </c>
      <c r="C1019">
        <f>YEAR(Raw_Data!$A1019)</f>
        <v>2005</v>
      </c>
      <c r="D1019" t="s">
        <v>283</v>
      </c>
      <c r="E1019" t="s">
        <v>21</v>
      </c>
      <c r="F1019" t="s">
        <v>16</v>
      </c>
      <c r="G1019">
        <v>2</v>
      </c>
      <c r="H1019">
        <v>2581</v>
      </c>
      <c r="I1019" s="1">
        <v>626391</v>
      </c>
      <c r="J1019" s="1">
        <f>Raw_Data!$I1019/Raw_Data!$H1019</f>
        <v>242.69314219294847</v>
      </c>
    </row>
    <row r="1020" spans="1:10" x14ac:dyDescent="0.3">
      <c r="A1020" s="9">
        <v>44138</v>
      </c>
      <c r="B1020" s="2" t="str">
        <f>TEXT(Raw_Data!$A1020, "MMM")</f>
        <v>Nov</v>
      </c>
      <c r="C1020" s="2">
        <f>YEAR(Raw_Data!$A1020)</f>
        <v>2020</v>
      </c>
      <c r="D1020" s="2" t="s">
        <v>922</v>
      </c>
      <c r="E1020" s="2" t="s">
        <v>21</v>
      </c>
      <c r="F1020" s="2" t="s">
        <v>18</v>
      </c>
      <c r="G1020" s="2">
        <v>4</v>
      </c>
      <c r="H1020" s="2">
        <v>2577</v>
      </c>
      <c r="I1020" s="10">
        <v>858727</v>
      </c>
      <c r="J1020" s="10">
        <f>Raw_Data!$I1020/Raw_Data!$H1020</f>
        <v>333.22739619712843</v>
      </c>
    </row>
    <row r="1021" spans="1:10" x14ac:dyDescent="0.3">
      <c r="A1021" s="8">
        <v>40298</v>
      </c>
      <c r="B1021" t="str">
        <f>TEXT(Raw_Data!$A1021, "MMM")</f>
        <v>Apr</v>
      </c>
      <c r="C1021">
        <f>YEAR(Raw_Data!$A1021)</f>
        <v>2010</v>
      </c>
      <c r="D1021" t="s">
        <v>923</v>
      </c>
      <c r="E1021" t="s">
        <v>32</v>
      </c>
      <c r="F1021" t="s">
        <v>11</v>
      </c>
      <c r="G1021">
        <v>5</v>
      </c>
      <c r="H1021">
        <v>2790</v>
      </c>
      <c r="I1021" s="1">
        <v>600426</v>
      </c>
      <c r="J1021" s="1">
        <f>Raw_Data!$I1021/Raw_Data!$H1021</f>
        <v>215.20645161290324</v>
      </c>
    </row>
    <row r="1022" spans="1:10" x14ac:dyDescent="0.3">
      <c r="A1022" s="9">
        <v>37354</v>
      </c>
      <c r="B1022" s="2" t="str">
        <f>TEXT(Raw_Data!$A1022, "MMM")</f>
        <v>Apr</v>
      </c>
      <c r="C1022" s="2">
        <f>YEAR(Raw_Data!$A1022)</f>
        <v>2002</v>
      </c>
      <c r="D1022" s="2" t="s">
        <v>924</v>
      </c>
      <c r="E1022" s="2" t="s">
        <v>32</v>
      </c>
      <c r="F1022" s="2" t="s">
        <v>18</v>
      </c>
      <c r="G1022" s="2"/>
      <c r="H1022" s="2">
        <v>3029</v>
      </c>
      <c r="I1022" s="10">
        <v>356434</v>
      </c>
      <c r="J1022" s="10">
        <f>Raw_Data!$I1022/Raw_Data!$H1022</f>
        <v>117.67381974248927</v>
      </c>
    </row>
    <row r="1023" spans="1:10" x14ac:dyDescent="0.3">
      <c r="A1023" s="8">
        <v>37205</v>
      </c>
      <c r="B1023" t="str">
        <f>TEXT(Raw_Data!$A1023, "MMM")</f>
        <v>Nov</v>
      </c>
      <c r="C1023">
        <f>YEAR(Raw_Data!$A1023)</f>
        <v>2001</v>
      </c>
      <c r="D1023" t="s">
        <v>925</v>
      </c>
      <c r="E1023" t="s">
        <v>32</v>
      </c>
      <c r="F1023" t="s">
        <v>11</v>
      </c>
      <c r="G1023">
        <v>2</v>
      </c>
      <c r="H1023">
        <v>2467</v>
      </c>
      <c r="I1023" s="1">
        <v>538104</v>
      </c>
      <c r="J1023" s="1">
        <f>Raw_Data!$I1023/Raw_Data!$H1023</f>
        <v>218.12079448723145</v>
      </c>
    </row>
    <row r="1024" spans="1:10" x14ac:dyDescent="0.3">
      <c r="A1024" s="9">
        <v>39711</v>
      </c>
      <c r="B1024" s="2" t="str">
        <f>TEXT(Raw_Data!$A1024, "MMM")</f>
        <v>Sep</v>
      </c>
      <c r="C1024" s="2">
        <f>YEAR(Raw_Data!$A1024)</f>
        <v>2008</v>
      </c>
      <c r="D1024" s="2" t="s">
        <v>926</v>
      </c>
      <c r="E1024" s="2" t="s">
        <v>29</v>
      </c>
      <c r="F1024" s="2" t="s">
        <v>11</v>
      </c>
      <c r="G1024" s="2">
        <v>5</v>
      </c>
      <c r="H1024" s="2">
        <v>1099</v>
      </c>
      <c r="I1024" s="10">
        <v>504269</v>
      </c>
      <c r="J1024" s="10">
        <f>Raw_Data!$I1024/Raw_Data!$H1024</f>
        <v>458.84349408553231</v>
      </c>
    </row>
    <row r="1025" spans="1:10" x14ac:dyDescent="0.3">
      <c r="A1025" s="8">
        <v>43482</v>
      </c>
      <c r="B1025" t="str">
        <f>TEXT(Raw_Data!$A1025, "MMM")</f>
        <v>Jan</v>
      </c>
      <c r="C1025">
        <f>YEAR(Raw_Data!$A1025)</f>
        <v>2019</v>
      </c>
      <c r="D1025" t="s">
        <v>927</v>
      </c>
      <c r="E1025" t="s">
        <v>25</v>
      </c>
      <c r="F1025" t="s">
        <v>18</v>
      </c>
      <c r="G1025">
        <v>4</v>
      </c>
      <c r="H1025">
        <v>2325</v>
      </c>
      <c r="I1025" s="1">
        <v>510424</v>
      </c>
      <c r="J1025" s="1">
        <f>Raw_Data!$I1025/Raw_Data!$H1025</f>
        <v>219.53720430107526</v>
      </c>
    </row>
    <row r="1026" spans="1:10" x14ac:dyDescent="0.3">
      <c r="A1026" s="9">
        <v>43816</v>
      </c>
      <c r="B1026" s="2" t="str">
        <f>TEXT(Raw_Data!$A1026, "MMM")</f>
        <v>Dec</v>
      </c>
      <c r="C1026" s="2">
        <f>YEAR(Raw_Data!$A1026)</f>
        <v>2019</v>
      </c>
      <c r="D1026" s="2" t="s">
        <v>928</v>
      </c>
      <c r="E1026" s="2" t="s">
        <v>25</v>
      </c>
      <c r="F1026" s="2" t="s">
        <v>11</v>
      </c>
      <c r="G1026" s="2">
        <v>4</v>
      </c>
      <c r="H1026" s="2">
        <v>2389</v>
      </c>
      <c r="I1026" s="10">
        <v>486435</v>
      </c>
      <c r="J1026" s="10">
        <f>Raw_Data!$I1026/Raw_Data!$H1026</f>
        <v>203.61448304730013</v>
      </c>
    </row>
    <row r="1027" spans="1:10" x14ac:dyDescent="0.3">
      <c r="A1027" s="8">
        <v>44136</v>
      </c>
      <c r="B1027" t="str">
        <f>TEXT(Raw_Data!$A1027, "MMM")</f>
        <v>Nov</v>
      </c>
      <c r="C1027">
        <f>YEAR(Raw_Data!$A1027)</f>
        <v>2020</v>
      </c>
      <c r="D1027" t="s">
        <v>102</v>
      </c>
      <c r="E1027" t="s">
        <v>25</v>
      </c>
      <c r="F1027" t="s">
        <v>18</v>
      </c>
      <c r="G1027">
        <v>3</v>
      </c>
      <c r="H1027">
        <v>2891</v>
      </c>
      <c r="I1027" s="1">
        <v>149339</v>
      </c>
      <c r="J1027" s="1">
        <f>Raw_Data!$I1027/Raw_Data!$H1027</f>
        <v>51.656520235212732</v>
      </c>
    </row>
    <row r="1028" spans="1:10" x14ac:dyDescent="0.3">
      <c r="A1028" s="9">
        <v>41980</v>
      </c>
      <c r="B1028" s="2" t="str">
        <f>TEXT(Raw_Data!$A1028, "MMM")</f>
        <v>Dec</v>
      </c>
      <c r="C1028" s="2">
        <f>YEAR(Raw_Data!$A1028)</f>
        <v>2014</v>
      </c>
      <c r="D1028" s="2" t="s">
        <v>929</v>
      </c>
      <c r="E1028" s="2" t="s">
        <v>32</v>
      </c>
      <c r="F1028" s="2" t="s">
        <v>16</v>
      </c>
      <c r="G1028" s="2"/>
      <c r="H1028" s="2">
        <v>1562</v>
      </c>
      <c r="I1028" s="10">
        <v>732599</v>
      </c>
      <c r="J1028" s="10">
        <f>Raw_Data!$I1028/Raw_Data!$H1028</f>
        <v>469.01344430217671</v>
      </c>
    </row>
    <row r="1029" spans="1:10" x14ac:dyDescent="0.3">
      <c r="A1029" s="8">
        <v>40256</v>
      </c>
      <c r="B1029" t="str">
        <f>TEXT(Raw_Data!$A1029, "MMM")</f>
        <v>Mar</v>
      </c>
      <c r="C1029">
        <f>YEAR(Raw_Data!$A1029)</f>
        <v>2010</v>
      </c>
      <c r="D1029" t="s">
        <v>930</v>
      </c>
      <c r="E1029" t="s">
        <v>32</v>
      </c>
      <c r="F1029" t="s">
        <v>16</v>
      </c>
      <c r="G1029">
        <v>3</v>
      </c>
      <c r="H1029">
        <v>883</v>
      </c>
      <c r="I1029" s="1">
        <v>810815</v>
      </c>
      <c r="J1029" s="1">
        <f>Raw_Data!$I1029/Raw_Data!$H1029</f>
        <v>918.25028312570782</v>
      </c>
    </row>
    <row r="1030" spans="1:10" x14ac:dyDescent="0.3">
      <c r="A1030" s="9">
        <v>43295</v>
      </c>
      <c r="B1030" s="2" t="str">
        <f>TEXT(Raw_Data!$A1030, "MMM")</f>
        <v>Jul</v>
      </c>
      <c r="C1030" s="2">
        <f>YEAR(Raw_Data!$A1030)</f>
        <v>2018</v>
      </c>
      <c r="D1030" s="2" t="s">
        <v>931</v>
      </c>
      <c r="E1030" s="2" t="s">
        <v>25</v>
      </c>
      <c r="F1030" s="2" t="s">
        <v>27</v>
      </c>
      <c r="G1030" s="2">
        <v>2</v>
      </c>
      <c r="H1030" s="2">
        <v>3096</v>
      </c>
      <c r="I1030" s="10">
        <v>501831</v>
      </c>
      <c r="J1030" s="10">
        <f>Raw_Data!$I1030/Raw_Data!$H1030</f>
        <v>162.09011627906978</v>
      </c>
    </row>
    <row r="1031" spans="1:10" x14ac:dyDescent="0.3">
      <c r="A1031" s="8">
        <v>40918</v>
      </c>
      <c r="B1031" t="str">
        <f>TEXT(Raw_Data!$A1031, "MMM")</f>
        <v>Jan</v>
      </c>
      <c r="C1031">
        <f>YEAR(Raw_Data!$A1031)</f>
        <v>2012</v>
      </c>
      <c r="D1031" t="s">
        <v>932</v>
      </c>
      <c r="E1031" t="s">
        <v>32</v>
      </c>
      <c r="F1031" t="s">
        <v>16</v>
      </c>
      <c r="G1031">
        <v>3</v>
      </c>
      <c r="H1031">
        <v>1196</v>
      </c>
      <c r="I1031" s="1">
        <v>257610</v>
      </c>
      <c r="J1031" s="1">
        <f>Raw_Data!$I1031/Raw_Data!$H1031</f>
        <v>215.39297658862876</v>
      </c>
    </row>
    <row r="1032" spans="1:10" x14ac:dyDescent="0.3">
      <c r="A1032" s="9">
        <v>38616</v>
      </c>
      <c r="B1032" s="2" t="str">
        <f>TEXT(Raw_Data!$A1032, "MMM")</f>
        <v>Sep</v>
      </c>
      <c r="C1032" s="2">
        <f>YEAR(Raw_Data!$A1032)</f>
        <v>2005</v>
      </c>
      <c r="D1032" s="2" t="s">
        <v>933</v>
      </c>
      <c r="E1032" s="2" t="s">
        <v>25</v>
      </c>
      <c r="F1032" s="2" t="s">
        <v>18</v>
      </c>
      <c r="G1032" s="2">
        <v>2</v>
      </c>
      <c r="H1032" s="2">
        <v>1308</v>
      </c>
      <c r="I1032" s="10">
        <v>113132</v>
      </c>
      <c r="J1032" s="10">
        <f>Raw_Data!$I1032/Raw_Data!$H1032</f>
        <v>86.49235474006116</v>
      </c>
    </row>
    <row r="1033" spans="1:10" x14ac:dyDescent="0.3">
      <c r="A1033" s="8">
        <v>42119</v>
      </c>
      <c r="B1033" t="str">
        <f>TEXT(Raw_Data!$A1033, "MMM")</f>
        <v>Apr</v>
      </c>
      <c r="C1033">
        <f>YEAR(Raw_Data!$A1033)</f>
        <v>2015</v>
      </c>
      <c r="D1033" t="s">
        <v>934</v>
      </c>
      <c r="E1033" t="s">
        <v>15</v>
      </c>
      <c r="F1033" t="s">
        <v>16</v>
      </c>
      <c r="G1033">
        <v>3</v>
      </c>
      <c r="H1033">
        <v>1629</v>
      </c>
      <c r="I1033" s="1">
        <v>284067</v>
      </c>
      <c r="J1033" s="1">
        <f>Raw_Data!$I1033/Raw_Data!$H1033</f>
        <v>174.38121546961327</v>
      </c>
    </row>
    <row r="1034" spans="1:10" x14ac:dyDescent="0.3">
      <c r="A1034" s="9">
        <v>37314</v>
      </c>
      <c r="B1034" s="2" t="str">
        <f>TEXT(Raw_Data!$A1034, "MMM")</f>
        <v>Feb</v>
      </c>
      <c r="C1034" s="2">
        <f>YEAR(Raw_Data!$A1034)</f>
        <v>2002</v>
      </c>
      <c r="D1034" s="2" t="s">
        <v>935</v>
      </c>
      <c r="E1034" s="2" t="s">
        <v>32</v>
      </c>
      <c r="F1034" s="2" t="s">
        <v>11</v>
      </c>
      <c r="G1034" s="2">
        <v>2</v>
      </c>
      <c r="H1034" s="2">
        <v>3217</v>
      </c>
      <c r="I1034" s="10">
        <v>178269</v>
      </c>
      <c r="J1034" s="10">
        <f>Raw_Data!$I1034/Raw_Data!$H1034</f>
        <v>55.414672054709357</v>
      </c>
    </row>
    <row r="1035" spans="1:10" x14ac:dyDescent="0.3">
      <c r="A1035" s="8">
        <v>39637</v>
      </c>
      <c r="B1035" t="str">
        <f>TEXT(Raw_Data!$A1035, "MMM")</f>
        <v>Jul</v>
      </c>
      <c r="C1035">
        <f>YEAR(Raw_Data!$A1035)</f>
        <v>2008</v>
      </c>
      <c r="D1035" t="s">
        <v>936</v>
      </c>
      <c r="E1035" t="s">
        <v>23</v>
      </c>
      <c r="F1035" t="s">
        <v>11</v>
      </c>
      <c r="G1035">
        <v>2</v>
      </c>
      <c r="H1035">
        <v>1676</v>
      </c>
      <c r="I1035" s="1">
        <v>872729</v>
      </c>
      <c r="J1035" s="1">
        <f>Raw_Data!$I1035/Raw_Data!$H1035</f>
        <v>520.72136038186159</v>
      </c>
    </row>
    <row r="1036" spans="1:10" x14ac:dyDescent="0.3">
      <c r="A1036" s="9">
        <v>38678</v>
      </c>
      <c r="B1036" s="2" t="str">
        <f>TEXT(Raw_Data!$A1036, "MMM")</f>
        <v>Nov</v>
      </c>
      <c r="C1036" s="2">
        <f>YEAR(Raw_Data!$A1036)</f>
        <v>2005</v>
      </c>
      <c r="D1036" s="2" t="s">
        <v>67</v>
      </c>
      <c r="E1036" s="2" t="s">
        <v>21</v>
      </c>
      <c r="F1036" s="2" t="s">
        <v>27</v>
      </c>
      <c r="G1036" s="2"/>
      <c r="H1036" s="2">
        <v>2310</v>
      </c>
      <c r="I1036" s="10">
        <v>801836</v>
      </c>
      <c r="J1036" s="10">
        <f>Raw_Data!$I1036/Raw_Data!$H1036</f>
        <v>347.11515151515152</v>
      </c>
    </row>
    <row r="1037" spans="1:10" x14ac:dyDescent="0.3">
      <c r="A1037" s="8">
        <v>37992</v>
      </c>
      <c r="B1037" t="str">
        <f>TEXT(Raw_Data!$A1037, "MMM")</f>
        <v>Jan</v>
      </c>
      <c r="C1037">
        <f>YEAR(Raw_Data!$A1037)</f>
        <v>2004</v>
      </c>
      <c r="D1037" t="s">
        <v>937</v>
      </c>
      <c r="E1037" t="s">
        <v>13</v>
      </c>
      <c r="F1037" t="s">
        <v>16</v>
      </c>
      <c r="G1037">
        <v>3</v>
      </c>
      <c r="H1037">
        <v>1848</v>
      </c>
      <c r="I1037" s="1"/>
      <c r="J1037" s="1">
        <f>Raw_Data!$I1037/Raw_Data!$H1037</f>
        <v>0</v>
      </c>
    </row>
    <row r="1038" spans="1:10" x14ac:dyDescent="0.3">
      <c r="A1038" s="9">
        <v>41477</v>
      </c>
      <c r="B1038" s="2" t="str">
        <f>TEXT(Raw_Data!$A1038, "MMM")</f>
        <v>Jul</v>
      </c>
      <c r="C1038" s="2">
        <f>YEAR(Raw_Data!$A1038)</f>
        <v>2013</v>
      </c>
      <c r="D1038" s="2" t="s">
        <v>938</v>
      </c>
      <c r="E1038" s="2" t="s">
        <v>32</v>
      </c>
      <c r="F1038" s="2" t="s">
        <v>16</v>
      </c>
      <c r="G1038" s="2">
        <v>3</v>
      </c>
      <c r="H1038" s="2">
        <v>883</v>
      </c>
      <c r="I1038" s="10">
        <v>130301</v>
      </c>
      <c r="J1038" s="10">
        <f>Raw_Data!$I1038/Raw_Data!$H1038</f>
        <v>147.56625141562853</v>
      </c>
    </row>
    <row r="1039" spans="1:10" x14ac:dyDescent="0.3">
      <c r="A1039" s="8">
        <v>43753</v>
      </c>
      <c r="B1039" t="str">
        <f>TEXT(Raw_Data!$A1039, "MMM")</f>
        <v>Oct</v>
      </c>
      <c r="C1039">
        <f>YEAR(Raw_Data!$A1039)</f>
        <v>2019</v>
      </c>
      <c r="D1039" t="s">
        <v>939</v>
      </c>
      <c r="E1039" t="s">
        <v>32</v>
      </c>
      <c r="F1039" t="s">
        <v>18</v>
      </c>
      <c r="G1039">
        <v>3</v>
      </c>
      <c r="H1039">
        <v>1346</v>
      </c>
      <c r="I1039" s="1">
        <v>578323</v>
      </c>
      <c r="J1039" s="1">
        <f>Raw_Data!$I1039/Raw_Data!$H1039</f>
        <v>429.66047548291232</v>
      </c>
    </row>
    <row r="1040" spans="1:10" x14ac:dyDescent="0.3">
      <c r="A1040" s="9">
        <v>41547</v>
      </c>
      <c r="B1040" s="2" t="str">
        <f>TEXT(Raw_Data!$A1040, "MMM")</f>
        <v>Sep</v>
      </c>
      <c r="C1040" s="2">
        <f>YEAR(Raw_Data!$A1040)</f>
        <v>2013</v>
      </c>
      <c r="D1040" s="2" t="s">
        <v>34</v>
      </c>
      <c r="E1040" s="2" t="s">
        <v>23</v>
      </c>
      <c r="F1040" s="2" t="s">
        <v>16</v>
      </c>
      <c r="G1040" s="2">
        <v>2</v>
      </c>
      <c r="H1040" s="2">
        <v>1694</v>
      </c>
      <c r="I1040" s="10">
        <v>832581</v>
      </c>
      <c r="J1040" s="10">
        <f>Raw_Data!$I1040/Raw_Data!$H1040</f>
        <v>491.48819362455725</v>
      </c>
    </row>
    <row r="1041" spans="1:10" x14ac:dyDescent="0.3">
      <c r="A1041" s="8">
        <v>42846</v>
      </c>
      <c r="B1041" t="str">
        <f>TEXT(Raw_Data!$A1041, "MMM")</f>
        <v>Apr</v>
      </c>
      <c r="C1041">
        <f>YEAR(Raw_Data!$A1041)</f>
        <v>2017</v>
      </c>
      <c r="D1041" t="s">
        <v>779</v>
      </c>
      <c r="E1041" t="s">
        <v>25</v>
      </c>
      <c r="F1041" t="s">
        <v>11</v>
      </c>
      <c r="G1041">
        <v>3</v>
      </c>
      <c r="H1041">
        <v>2774</v>
      </c>
      <c r="I1041" s="1">
        <v>748537</v>
      </c>
      <c r="J1041" s="1">
        <f>Raw_Data!$I1041/Raw_Data!$H1041</f>
        <v>269.84030281182407</v>
      </c>
    </row>
    <row r="1042" spans="1:10" x14ac:dyDescent="0.3">
      <c r="A1042" s="9">
        <v>41755</v>
      </c>
      <c r="B1042" s="2" t="str">
        <f>TEXT(Raw_Data!$A1042, "MMM")</f>
        <v>Apr</v>
      </c>
      <c r="C1042" s="2">
        <f>YEAR(Raw_Data!$A1042)</f>
        <v>2014</v>
      </c>
      <c r="D1042" s="2" t="s">
        <v>741</v>
      </c>
      <c r="E1042" s="2" t="s">
        <v>21</v>
      </c>
      <c r="F1042" s="2" t="s">
        <v>18</v>
      </c>
      <c r="G1042" s="2">
        <v>4</v>
      </c>
      <c r="H1042" s="2">
        <v>948</v>
      </c>
      <c r="I1042" s="10">
        <v>303877</v>
      </c>
      <c r="J1042" s="10">
        <f>Raw_Data!$I1042/Raw_Data!$H1042</f>
        <v>320.54535864978902</v>
      </c>
    </row>
    <row r="1043" spans="1:10" x14ac:dyDescent="0.3">
      <c r="A1043" s="8">
        <v>38220</v>
      </c>
      <c r="B1043" t="str">
        <f>TEXT(Raw_Data!$A1043, "MMM")</f>
        <v>Aug</v>
      </c>
      <c r="C1043">
        <f>YEAR(Raw_Data!$A1043)</f>
        <v>2004</v>
      </c>
      <c r="D1043" t="s">
        <v>821</v>
      </c>
      <c r="E1043" t="s">
        <v>29</v>
      </c>
      <c r="F1043" t="s">
        <v>16</v>
      </c>
      <c r="G1043">
        <v>5</v>
      </c>
      <c r="H1043">
        <v>1517</v>
      </c>
      <c r="I1043" s="1">
        <v>380237</v>
      </c>
      <c r="J1043" s="1">
        <f>Raw_Data!$I1043/Raw_Data!$H1043</f>
        <v>250.65062623599209</v>
      </c>
    </row>
    <row r="1044" spans="1:10" x14ac:dyDescent="0.3">
      <c r="A1044" s="9">
        <v>40280</v>
      </c>
      <c r="B1044" s="2" t="str">
        <f>TEXT(Raw_Data!$A1044, "MMM")</f>
        <v>Apr</v>
      </c>
      <c r="C1044" s="2">
        <f>YEAR(Raw_Data!$A1044)</f>
        <v>2010</v>
      </c>
      <c r="D1044" s="2" t="s">
        <v>940</v>
      </c>
      <c r="E1044" s="2" t="s">
        <v>23</v>
      </c>
      <c r="F1044" s="2" t="s">
        <v>16</v>
      </c>
      <c r="G1044" s="2">
        <v>2</v>
      </c>
      <c r="H1044" s="2">
        <v>924</v>
      </c>
      <c r="I1044" s="10">
        <v>538391</v>
      </c>
      <c r="J1044" s="10">
        <f>Raw_Data!$I1044/Raw_Data!$H1044</f>
        <v>582.67424242424238</v>
      </c>
    </row>
    <row r="1045" spans="1:10" x14ac:dyDescent="0.3">
      <c r="A1045" s="8">
        <v>37417</v>
      </c>
      <c r="B1045" t="str">
        <f>TEXT(Raw_Data!$A1045, "MMM")</f>
        <v>Jun</v>
      </c>
      <c r="C1045">
        <f>YEAR(Raw_Data!$A1045)</f>
        <v>2002</v>
      </c>
      <c r="D1045" t="s">
        <v>941</v>
      </c>
      <c r="E1045" t="s">
        <v>15</v>
      </c>
      <c r="F1045" t="s">
        <v>18</v>
      </c>
      <c r="H1045">
        <v>2777</v>
      </c>
      <c r="I1045" s="1">
        <v>389495</v>
      </c>
      <c r="J1045" s="1">
        <f>Raw_Data!$I1045/Raw_Data!$H1045</f>
        <v>140.25747209218582</v>
      </c>
    </row>
    <row r="1046" spans="1:10" x14ac:dyDescent="0.3">
      <c r="A1046" s="9">
        <v>42657</v>
      </c>
      <c r="B1046" s="2" t="str">
        <f>TEXT(Raw_Data!$A1046, "MMM")</f>
        <v>Oct</v>
      </c>
      <c r="C1046" s="2">
        <f>YEAR(Raw_Data!$A1046)</f>
        <v>2016</v>
      </c>
      <c r="D1046" s="2" t="s">
        <v>942</v>
      </c>
      <c r="E1046" s="2" t="s">
        <v>25</v>
      </c>
      <c r="F1046" s="2" t="s">
        <v>18</v>
      </c>
      <c r="G1046" s="2">
        <v>3</v>
      </c>
      <c r="H1046" s="2">
        <v>2934</v>
      </c>
      <c r="I1046" s="10">
        <v>721054</v>
      </c>
      <c r="J1046" s="10">
        <f>Raw_Data!$I1046/Raw_Data!$H1046</f>
        <v>245.75800954328562</v>
      </c>
    </row>
    <row r="1047" spans="1:10" x14ac:dyDescent="0.3">
      <c r="A1047" s="8">
        <v>37531</v>
      </c>
      <c r="B1047" t="str">
        <f>TEXT(Raw_Data!$A1047, "MMM")</f>
        <v>Oct</v>
      </c>
      <c r="C1047">
        <f>YEAR(Raw_Data!$A1047)</f>
        <v>2002</v>
      </c>
      <c r="D1047" t="s">
        <v>771</v>
      </c>
      <c r="E1047" t="s">
        <v>21</v>
      </c>
      <c r="F1047" t="s">
        <v>16</v>
      </c>
      <c r="H1047">
        <v>2628</v>
      </c>
      <c r="I1047" s="1">
        <v>686381</v>
      </c>
      <c r="J1047" s="1">
        <f>Raw_Data!$I1047/Raw_Data!$H1047</f>
        <v>261.17998477929984</v>
      </c>
    </row>
    <row r="1048" spans="1:10" x14ac:dyDescent="0.3">
      <c r="A1048" s="9">
        <v>42692</v>
      </c>
      <c r="B1048" s="2" t="str">
        <f>TEXT(Raw_Data!$A1048, "MMM")</f>
        <v>Nov</v>
      </c>
      <c r="C1048" s="2">
        <f>YEAR(Raw_Data!$A1048)</f>
        <v>2016</v>
      </c>
      <c r="D1048" s="2" t="s">
        <v>943</v>
      </c>
      <c r="E1048" s="2" t="s">
        <v>29</v>
      </c>
      <c r="F1048" s="2" t="s">
        <v>16</v>
      </c>
      <c r="G1048" s="2">
        <v>4</v>
      </c>
      <c r="H1048" s="2">
        <v>2420</v>
      </c>
      <c r="I1048" s="10">
        <v>435034</v>
      </c>
      <c r="J1048" s="10">
        <f>Raw_Data!$I1048/Raw_Data!$H1048</f>
        <v>179.76611570247934</v>
      </c>
    </row>
    <row r="1049" spans="1:10" x14ac:dyDescent="0.3">
      <c r="A1049" s="8">
        <v>37142</v>
      </c>
      <c r="B1049" t="str">
        <f>TEXT(Raw_Data!$A1049, "MMM")</f>
        <v>Sep</v>
      </c>
      <c r="C1049">
        <f>YEAR(Raw_Data!$A1049)</f>
        <v>2001</v>
      </c>
      <c r="D1049" t="s">
        <v>944</v>
      </c>
      <c r="E1049" t="s">
        <v>23</v>
      </c>
      <c r="F1049" t="s">
        <v>18</v>
      </c>
      <c r="G1049">
        <v>4</v>
      </c>
      <c r="H1049">
        <v>3136</v>
      </c>
      <c r="I1049" s="1">
        <v>482051</v>
      </c>
      <c r="J1049" s="1">
        <f>Raw_Data!$I1049/Raw_Data!$H1049</f>
        <v>153.71524234693877</v>
      </c>
    </row>
    <row r="1050" spans="1:10" x14ac:dyDescent="0.3">
      <c r="A1050" s="9">
        <v>43569</v>
      </c>
      <c r="B1050" s="2" t="str">
        <f>TEXT(Raw_Data!$A1050, "MMM")</f>
        <v>Apr</v>
      </c>
      <c r="C1050" s="2">
        <f>YEAR(Raw_Data!$A1050)</f>
        <v>2019</v>
      </c>
      <c r="D1050" s="2" t="s">
        <v>945</v>
      </c>
      <c r="E1050" s="2" t="s">
        <v>13</v>
      </c>
      <c r="F1050" s="2" t="s">
        <v>16</v>
      </c>
      <c r="G1050" s="2">
        <v>4</v>
      </c>
      <c r="H1050" s="2">
        <v>3458</v>
      </c>
      <c r="I1050" s="10">
        <v>115210</v>
      </c>
      <c r="J1050" s="10">
        <f>Raw_Data!$I1050/Raw_Data!$H1050</f>
        <v>33.316946211683053</v>
      </c>
    </row>
    <row r="1051" spans="1:10" x14ac:dyDescent="0.3">
      <c r="A1051" s="8">
        <v>43190</v>
      </c>
      <c r="B1051" t="str">
        <f>TEXT(Raw_Data!$A1051, "MMM")</f>
        <v>Mar</v>
      </c>
      <c r="C1051">
        <f>YEAR(Raw_Data!$A1051)</f>
        <v>2018</v>
      </c>
      <c r="D1051" t="s">
        <v>946</v>
      </c>
      <c r="E1051" t="s">
        <v>15</v>
      </c>
      <c r="F1051" t="s">
        <v>18</v>
      </c>
      <c r="G1051">
        <v>5</v>
      </c>
      <c r="H1051">
        <v>3176</v>
      </c>
      <c r="I1051" s="1">
        <v>229322</v>
      </c>
      <c r="J1051" s="1">
        <f>Raw_Data!$I1051/Raw_Data!$H1051</f>
        <v>72.204659949622169</v>
      </c>
    </row>
    <row r="1052" spans="1:10" x14ac:dyDescent="0.3">
      <c r="A1052" s="9">
        <v>41687</v>
      </c>
      <c r="B1052" s="2" t="str">
        <f>TEXT(Raw_Data!$A1052, "MMM")</f>
        <v>Feb</v>
      </c>
      <c r="C1052" s="2">
        <f>YEAR(Raw_Data!$A1052)</f>
        <v>2014</v>
      </c>
      <c r="D1052" s="2" t="s">
        <v>947</v>
      </c>
      <c r="E1052" s="2" t="s">
        <v>23</v>
      </c>
      <c r="F1052" s="2" t="s">
        <v>16</v>
      </c>
      <c r="G1052" s="2"/>
      <c r="H1052" s="2">
        <v>1068</v>
      </c>
      <c r="I1052" s="10">
        <v>628247</v>
      </c>
      <c r="J1052" s="10">
        <f>Raw_Data!$I1052/Raw_Data!$H1052</f>
        <v>588.24625468164788</v>
      </c>
    </row>
    <row r="1053" spans="1:10" x14ac:dyDescent="0.3">
      <c r="A1053" s="8">
        <v>38092</v>
      </c>
      <c r="B1053" t="str">
        <f>TEXT(Raw_Data!$A1053, "MMM")</f>
        <v>Apr</v>
      </c>
      <c r="C1053">
        <f>YEAR(Raw_Data!$A1053)</f>
        <v>2004</v>
      </c>
      <c r="D1053" t="s">
        <v>948</v>
      </c>
      <c r="E1053" t="s">
        <v>23</v>
      </c>
      <c r="F1053" t="s">
        <v>27</v>
      </c>
      <c r="G1053">
        <v>4</v>
      </c>
      <c r="H1053">
        <v>2952</v>
      </c>
      <c r="I1053" s="1">
        <v>381666</v>
      </c>
      <c r="J1053" s="1">
        <f>Raw_Data!$I1053/Raw_Data!$H1053</f>
        <v>129.29065040650406</v>
      </c>
    </row>
    <row r="1054" spans="1:10" x14ac:dyDescent="0.3">
      <c r="A1054" s="9">
        <v>43398</v>
      </c>
      <c r="B1054" s="2" t="str">
        <f>TEXT(Raw_Data!$A1054, "MMM")</f>
        <v>Oct</v>
      </c>
      <c r="C1054" s="2">
        <f>YEAR(Raw_Data!$A1054)</f>
        <v>2018</v>
      </c>
      <c r="D1054" s="2" t="s">
        <v>643</v>
      </c>
      <c r="E1054" s="2" t="s">
        <v>23</v>
      </c>
      <c r="F1054" s="2" t="s">
        <v>11</v>
      </c>
      <c r="G1054" s="2">
        <v>5</v>
      </c>
      <c r="H1054" s="2">
        <v>2288</v>
      </c>
      <c r="I1054" s="10">
        <v>741439</v>
      </c>
      <c r="J1054" s="10">
        <f>Raw_Data!$I1054/Raw_Data!$H1054</f>
        <v>324.05550699300699</v>
      </c>
    </row>
    <row r="1055" spans="1:10" x14ac:dyDescent="0.3">
      <c r="A1055" s="8">
        <v>43543</v>
      </c>
      <c r="B1055" t="str">
        <f>TEXT(Raw_Data!$A1055, "MMM")</f>
        <v>Mar</v>
      </c>
      <c r="C1055">
        <f>YEAR(Raw_Data!$A1055)</f>
        <v>2019</v>
      </c>
      <c r="D1055" t="s">
        <v>949</v>
      </c>
      <c r="E1055" t="s">
        <v>25</v>
      </c>
      <c r="F1055" t="s">
        <v>27</v>
      </c>
      <c r="H1055">
        <v>2520</v>
      </c>
      <c r="I1055" s="1">
        <v>815604</v>
      </c>
      <c r="J1055" s="1">
        <f>Raw_Data!$I1055/Raw_Data!$H1055</f>
        <v>323.65238095238095</v>
      </c>
    </row>
    <row r="1056" spans="1:10" x14ac:dyDescent="0.3">
      <c r="A1056" s="9">
        <v>43724</v>
      </c>
      <c r="B1056" s="2" t="str">
        <f>TEXT(Raw_Data!$A1056, "MMM")</f>
        <v>Sep</v>
      </c>
      <c r="C1056" s="2">
        <f>YEAR(Raw_Data!$A1056)</f>
        <v>2019</v>
      </c>
      <c r="D1056" s="2" t="s">
        <v>950</v>
      </c>
      <c r="E1056" s="2" t="s">
        <v>32</v>
      </c>
      <c r="F1056" s="2" t="s">
        <v>16</v>
      </c>
      <c r="G1056" s="2">
        <v>5</v>
      </c>
      <c r="H1056" s="2">
        <v>2715</v>
      </c>
      <c r="I1056" s="10">
        <v>402399</v>
      </c>
      <c r="J1056" s="10">
        <f>Raw_Data!$I1056/Raw_Data!$H1056</f>
        <v>148.2132596685083</v>
      </c>
    </row>
    <row r="1057" spans="1:10" x14ac:dyDescent="0.3">
      <c r="A1057" s="8">
        <v>37286</v>
      </c>
      <c r="B1057" t="str">
        <f>TEXT(Raw_Data!$A1057, "MMM")</f>
        <v>Jan</v>
      </c>
      <c r="C1057">
        <f>YEAR(Raw_Data!$A1057)</f>
        <v>2002</v>
      </c>
      <c r="D1057" t="s">
        <v>951</v>
      </c>
      <c r="E1057" t="s">
        <v>29</v>
      </c>
      <c r="F1057" t="s">
        <v>18</v>
      </c>
      <c r="G1057">
        <v>4</v>
      </c>
      <c r="H1057">
        <v>3126</v>
      </c>
      <c r="I1057" s="1">
        <v>203165</v>
      </c>
      <c r="J1057" s="1">
        <f>Raw_Data!$I1057/Raw_Data!$H1057</f>
        <v>64.99200255918106</v>
      </c>
    </row>
    <row r="1058" spans="1:10" x14ac:dyDescent="0.3">
      <c r="A1058" s="9">
        <v>37004</v>
      </c>
      <c r="B1058" s="2" t="str">
        <f>TEXT(Raw_Data!$A1058, "MMM")</f>
        <v>Apr</v>
      </c>
      <c r="C1058" s="2">
        <f>YEAR(Raw_Data!$A1058)</f>
        <v>2001</v>
      </c>
      <c r="D1058" s="2" t="s">
        <v>952</v>
      </c>
      <c r="E1058" s="2" t="s">
        <v>13</v>
      </c>
      <c r="F1058" s="2" t="s">
        <v>11</v>
      </c>
      <c r="G1058" s="2">
        <v>4</v>
      </c>
      <c r="H1058" s="2">
        <v>1678</v>
      </c>
      <c r="I1058" s="10">
        <v>804681</v>
      </c>
      <c r="J1058" s="10">
        <f>Raw_Data!$I1058/Raw_Data!$H1058</f>
        <v>479.54767580452921</v>
      </c>
    </row>
    <row r="1059" spans="1:10" x14ac:dyDescent="0.3">
      <c r="A1059" s="8">
        <v>38772</v>
      </c>
      <c r="B1059" t="str">
        <f>TEXT(Raw_Data!$A1059, "MMM")</f>
        <v>Feb</v>
      </c>
      <c r="C1059">
        <f>YEAR(Raw_Data!$A1059)</f>
        <v>2006</v>
      </c>
      <c r="D1059" t="s">
        <v>953</v>
      </c>
      <c r="E1059" t="s">
        <v>15</v>
      </c>
      <c r="F1059" t="s">
        <v>18</v>
      </c>
      <c r="G1059">
        <v>4</v>
      </c>
      <c r="H1059">
        <v>2080</v>
      </c>
      <c r="I1059" s="1">
        <v>598150</v>
      </c>
      <c r="J1059" s="1">
        <f>Raw_Data!$I1059/Raw_Data!$H1059</f>
        <v>287.57211538461536</v>
      </c>
    </row>
    <row r="1060" spans="1:10" x14ac:dyDescent="0.3">
      <c r="A1060" s="9">
        <v>37253</v>
      </c>
      <c r="B1060" s="2" t="str">
        <f>TEXT(Raw_Data!$A1060, "MMM")</f>
        <v>Dec</v>
      </c>
      <c r="C1060" s="2">
        <f>YEAR(Raw_Data!$A1060)</f>
        <v>2001</v>
      </c>
      <c r="D1060" s="2" t="s">
        <v>538</v>
      </c>
      <c r="E1060" s="2" t="s">
        <v>23</v>
      </c>
      <c r="F1060" s="2" t="s">
        <v>16</v>
      </c>
      <c r="G1060" s="2"/>
      <c r="H1060" s="2">
        <v>3436</v>
      </c>
      <c r="I1060" s="10">
        <v>290249</v>
      </c>
      <c r="J1060" s="10">
        <f>Raw_Data!$I1060/Raw_Data!$H1060</f>
        <v>84.472933643771825</v>
      </c>
    </row>
    <row r="1061" spans="1:10" x14ac:dyDescent="0.3">
      <c r="A1061" s="8">
        <v>39109</v>
      </c>
      <c r="B1061" t="str">
        <f>TEXT(Raw_Data!$A1061, "MMM")</f>
        <v>Jan</v>
      </c>
      <c r="C1061">
        <f>YEAR(Raw_Data!$A1061)</f>
        <v>2007</v>
      </c>
      <c r="D1061" t="s">
        <v>954</v>
      </c>
      <c r="E1061" t="s">
        <v>25</v>
      </c>
      <c r="F1061" t="s">
        <v>16</v>
      </c>
      <c r="H1061">
        <v>1278</v>
      </c>
      <c r="I1061" s="1">
        <v>185088</v>
      </c>
      <c r="J1061" s="1">
        <f>Raw_Data!$I1061/Raw_Data!$H1061</f>
        <v>144.82629107981219</v>
      </c>
    </row>
    <row r="1062" spans="1:10" x14ac:dyDescent="0.3">
      <c r="A1062" s="9">
        <v>40157</v>
      </c>
      <c r="B1062" s="2" t="str">
        <f>TEXT(Raw_Data!$A1062, "MMM")</f>
        <v>Dec</v>
      </c>
      <c r="C1062" s="2">
        <f>YEAR(Raw_Data!$A1062)</f>
        <v>2009</v>
      </c>
      <c r="D1062" s="2" t="s">
        <v>955</v>
      </c>
      <c r="E1062" s="2" t="s">
        <v>32</v>
      </c>
      <c r="F1062" s="2" t="s">
        <v>11</v>
      </c>
      <c r="G1062" s="2"/>
      <c r="H1062" s="2">
        <v>3109</v>
      </c>
      <c r="I1062" s="10">
        <v>207777</v>
      </c>
      <c r="J1062" s="10">
        <f>Raw_Data!$I1062/Raw_Data!$H1062</f>
        <v>66.830813766484397</v>
      </c>
    </row>
    <row r="1063" spans="1:10" x14ac:dyDescent="0.3">
      <c r="A1063" s="8">
        <v>41008</v>
      </c>
      <c r="B1063" t="str">
        <f>TEXT(Raw_Data!$A1063, "MMM")</f>
        <v>Apr</v>
      </c>
      <c r="C1063">
        <f>YEAR(Raw_Data!$A1063)</f>
        <v>2012</v>
      </c>
      <c r="D1063" t="s">
        <v>956</v>
      </c>
      <c r="E1063" t="s">
        <v>13</v>
      </c>
      <c r="F1063" t="s">
        <v>16</v>
      </c>
      <c r="H1063">
        <v>1445</v>
      </c>
      <c r="I1063" s="1">
        <v>826982</v>
      </c>
      <c r="J1063" s="1">
        <f>Raw_Data!$I1063/Raw_Data!$H1063</f>
        <v>572.30588235294113</v>
      </c>
    </row>
    <row r="1064" spans="1:10" x14ac:dyDescent="0.3">
      <c r="A1064" s="9">
        <v>37934</v>
      </c>
      <c r="B1064" s="2" t="str">
        <f>TEXT(Raw_Data!$A1064, "MMM")</f>
        <v>Nov</v>
      </c>
      <c r="C1064" s="2">
        <f>YEAR(Raw_Data!$A1064)</f>
        <v>2003</v>
      </c>
      <c r="D1064" s="2" t="s">
        <v>957</v>
      </c>
      <c r="E1064" s="2" t="s">
        <v>25</v>
      </c>
      <c r="F1064" s="2" t="s">
        <v>16</v>
      </c>
      <c r="G1064" s="2"/>
      <c r="H1064" s="2">
        <v>3296</v>
      </c>
      <c r="I1064" s="10">
        <v>219383</v>
      </c>
      <c r="J1064" s="10">
        <f>Raw_Data!$I1064/Raw_Data!$H1064</f>
        <v>66.560376213592235</v>
      </c>
    </row>
    <row r="1065" spans="1:10" x14ac:dyDescent="0.3">
      <c r="A1065" s="8">
        <v>38757</v>
      </c>
      <c r="B1065" t="str">
        <f>TEXT(Raw_Data!$A1065, "MMM")</f>
        <v>Feb</v>
      </c>
      <c r="C1065">
        <f>YEAR(Raw_Data!$A1065)</f>
        <v>2006</v>
      </c>
      <c r="D1065" t="s">
        <v>958</v>
      </c>
      <c r="E1065" t="s">
        <v>23</v>
      </c>
      <c r="F1065" t="s">
        <v>16</v>
      </c>
      <c r="G1065">
        <v>3</v>
      </c>
      <c r="H1065">
        <v>2978</v>
      </c>
      <c r="I1065" s="1">
        <v>653982</v>
      </c>
      <c r="J1065" s="1">
        <f>Raw_Data!$I1065/Raw_Data!$H1065</f>
        <v>219.60443250503693</v>
      </c>
    </row>
    <row r="1066" spans="1:10" x14ac:dyDescent="0.3">
      <c r="A1066" s="9">
        <v>40167</v>
      </c>
      <c r="B1066" s="2" t="str">
        <f>TEXT(Raw_Data!$A1066, "MMM")</f>
        <v>Dec</v>
      </c>
      <c r="C1066" s="2">
        <f>YEAR(Raw_Data!$A1066)</f>
        <v>2009</v>
      </c>
      <c r="D1066" s="2" t="s">
        <v>959</v>
      </c>
      <c r="E1066" s="2" t="s">
        <v>25</v>
      </c>
      <c r="F1066" s="2" t="s">
        <v>16</v>
      </c>
      <c r="G1066" s="2">
        <v>3</v>
      </c>
      <c r="H1066" s="2">
        <v>1520</v>
      </c>
      <c r="I1066" s="10">
        <v>452621</v>
      </c>
      <c r="J1066" s="10">
        <f>Raw_Data!$I1066/Raw_Data!$H1066</f>
        <v>297.77697368421053</v>
      </c>
    </row>
    <row r="1067" spans="1:10" x14ac:dyDescent="0.3">
      <c r="A1067" s="8">
        <v>38121</v>
      </c>
      <c r="B1067" t="str">
        <f>TEXT(Raw_Data!$A1067, "MMM")</f>
        <v>May</v>
      </c>
      <c r="C1067">
        <f>YEAR(Raw_Data!$A1067)</f>
        <v>2004</v>
      </c>
      <c r="D1067" t="s">
        <v>960</v>
      </c>
      <c r="E1067" t="s">
        <v>13</v>
      </c>
      <c r="F1067" t="s">
        <v>18</v>
      </c>
      <c r="G1067">
        <v>5</v>
      </c>
      <c r="H1067">
        <v>2197</v>
      </c>
      <c r="I1067" s="1">
        <v>138433</v>
      </c>
      <c r="J1067" s="1">
        <f>Raw_Data!$I1067/Raw_Data!$H1067</f>
        <v>63.010013654984071</v>
      </c>
    </row>
    <row r="1068" spans="1:10" x14ac:dyDescent="0.3">
      <c r="A1068" s="9">
        <v>41101</v>
      </c>
      <c r="B1068" s="2" t="str">
        <f>TEXT(Raw_Data!$A1068, "MMM")</f>
        <v>Jul</v>
      </c>
      <c r="C1068" s="2">
        <f>YEAR(Raw_Data!$A1068)</f>
        <v>2012</v>
      </c>
      <c r="D1068" s="2" t="s">
        <v>961</v>
      </c>
      <c r="E1068" s="2" t="s">
        <v>13</v>
      </c>
      <c r="F1068" s="2" t="s">
        <v>11</v>
      </c>
      <c r="G1068" s="2">
        <v>4</v>
      </c>
      <c r="H1068" s="2">
        <v>1227</v>
      </c>
      <c r="I1068" s="10">
        <v>814549</v>
      </c>
      <c r="J1068" s="10">
        <f>Raw_Data!$I1068/Raw_Data!$H1068</f>
        <v>663.85411572942132</v>
      </c>
    </row>
    <row r="1069" spans="1:10" x14ac:dyDescent="0.3">
      <c r="A1069" s="8">
        <v>37567</v>
      </c>
      <c r="B1069" t="str">
        <f>TEXT(Raw_Data!$A1069, "MMM")</f>
        <v>Nov</v>
      </c>
      <c r="C1069">
        <f>YEAR(Raw_Data!$A1069)</f>
        <v>2002</v>
      </c>
      <c r="D1069" t="s">
        <v>962</v>
      </c>
      <c r="E1069" t="s">
        <v>21</v>
      </c>
      <c r="F1069" t="s">
        <v>18</v>
      </c>
      <c r="H1069">
        <v>1525</v>
      </c>
      <c r="I1069" s="1">
        <v>415879</v>
      </c>
      <c r="J1069" s="1">
        <f>Raw_Data!$I1069/Raw_Data!$H1069</f>
        <v>272.70754098360658</v>
      </c>
    </row>
    <row r="1070" spans="1:10" x14ac:dyDescent="0.3">
      <c r="A1070" s="9">
        <v>40323</v>
      </c>
      <c r="B1070" s="2" t="str">
        <f>TEXT(Raw_Data!$A1070, "MMM")</f>
        <v>May</v>
      </c>
      <c r="C1070" s="2">
        <f>YEAR(Raw_Data!$A1070)</f>
        <v>2010</v>
      </c>
      <c r="D1070" s="2" t="s">
        <v>963</v>
      </c>
      <c r="E1070" s="2" t="s">
        <v>15</v>
      </c>
      <c r="F1070" s="2" t="s">
        <v>27</v>
      </c>
      <c r="G1070" s="2"/>
      <c r="H1070" s="2">
        <v>2524</v>
      </c>
      <c r="I1070" s="10">
        <v>736361</v>
      </c>
      <c r="J1070" s="10">
        <f>Raw_Data!$I1070/Raw_Data!$H1070</f>
        <v>291.74366085578447</v>
      </c>
    </row>
    <row r="1071" spans="1:10" x14ac:dyDescent="0.3">
      <c r="A1071" s="8">
        <v>43715</v>
      </c>
      <c r="B1071" t="str">
        <f>TEXT(Raw_Data!$A1071, "MMM")</f>
        <v>Sep</v>
      </c>
      <c r="C1071">
        <f>YEAR(Raw_Data!$A1071)</f>
        <v>2019</v>
      </c>
      <c r="D1071" t="s">
        <v>964</v>
      </c>
      <c r="E1071" t="s">
        <v>15</v>
      </c>
      <c r="F1071" t="s">
        <v>16</v>
      </c>
      <c r="G1071">
        <v>2</v>
      </c>
      <c r="H1071">
        <v>3310</v>
      </c>
      <c r="I1071" s="1">
        <v>509709</v>
      </c>
      <c r="J1071" s="1">
        <f>Raw_Data!$I1071/Raw_Data!$H1071</f>
        <v>153.99063444108762</v>
      </c>
    </row>
    <row r="1072" spans="1:10" x14ac:dyDescent="0.3">
      <c r="A1072" s="9">
        <v>39837</v>
      </c>
      <c r="B1072" s="2" t="str">
        <f>TEXT(Raw_Data!$A1072, "MMM")</f>
        <v>Jan</v>
      </c>
      <c r="C1072" s="2">
        <f>YEAR(Raw_Data!$A1072)</f>
        <v>2009</v>
      </c>
      <c r="D1072" s="2" t="s">
        <v>965</v>
      </c>
      <c r="E1072" s="2" t="s">
        <v>23</v>
      </c>
      <c r="F1072" s="2" t="s">
        <v>18</v>
      </c>
      <c r="G1072" s="2">
        <v>2</v>
      </c>
      <c r="H1072" s="2">
        <v>1632</v>
      </c>
      <c r="I1072" s="10">
        <v>464176</v>
      </c>
      <c r="J1072" s="10">
        <f>Raw_Data!$I1072/Raw_Data!$H1072</f>
        <v>284.42156862745099</v>
      </c>
    </row>
    <row r="1073" spans="1:10" x14ac:dyDescent="0.3">
      <c r="A1073" s="8">
        <v>37986</v>
      </c>
      <c r="B1073" t="str">
        <f>TEXT(Raw_Data!$A1073, "MMM")</f>
        <v>Dec</v>
      </c>
      <c r="C1073">
        <f>YEAR(Raw_Data!$A1073)</f>
        <v>2003</v>
      </c>
      <c r="D1073" t="s">
        <v>966</v>
      </c>
      <c r="E1073" t="s">
        <v>25</v>
      </c>
      <c r="F1073" t="s">
        <v>27</v>
      </c>
      <c r="G1073">
        <v>2</v>
      </c>
      <c r="H1073">
        <v>2039</v>
      </c>
      <c r="I1073" s="1">
        <v>376986</v>
      </c>
      <c r="J1073" s="1">
        <f>Raw_Data!$I1073/Raw_Data!$H1073</f>
        <v>184.88769004413928</v>
      </c>
    </row>
    <row r="1074" spans="1:10" x14ac:dyDescent="0.3">
      <c r="A1074" s="9">
        <v>40115</v>
      </c>
      <c r="B1074" s="2" t="str">
        <f>TEXT(Raw_Data!$A1074, "MMM")</f>
        <v>Oct</v>
      </c>
      <c r="C1074" s="2">
        <f>YEAR(Raw_Data!$A1074)</f>
        <v>2009</v>
      </c>
      <c r="D1074" s="2" t="s">
        <v>967</v>
      </c>
      <c r="E1074" s="2" t="s">
        <v>23</v>
      </c>
      <c r="F1074" s="2" t="s">
        <v>11</v>
      </c>
      <c r="G1074" s="2">
        <v>4</v>
      </c>
      <c r="H1074" s="2">
        <v>3292</v>
      </c>
      <c r="I1074" s="10">
        <v>186312</v>
      </c>
      <c r="J1074" s="10">
        <f>Raw_Data!$I1074/Raw_Data!$H1074</f>
        <v>56.59538274605103</v>
      </c>
    </row>
    <row r="1075" spans="1:10" x14ac:dyDescent="0.3">
      <c r="A1075" s="8">
        <v>37583</v>
      </c>
      <c r="B1075" t="str">
        <f>TEXT(Raw_Data!$A1075, "MMM")</f>
        <v>Nov</v>
      </c>
      <c r="C1075">
        <f>YEAR(Raw_Data!$A1075)</f>
        <v>2002</v>
      </c>
      <c r="D1075" t="s">
        <v>968</v>
      </c>
      <c r="E1075" t="s">
        <v>15</v>
      </c>
      <c r="F1075" t="s">
        <v>11</v>
      </c>
      <c r="H1075">
        <v>1480</v>
      </c>
      <c r="I1075" s="1">
        <v>718565</v>
      </c>
      <c r="J1075" s="1">
        <f>Raw_Data!$I1075/Raw_Data!$H1075</f>
        <v>485.51689189189187</v>
      </c>
    </row>
    <row r="1076" spans="1:10" x14ac:dyDescent="0.3">
      <c r="A1076" s="9">
        <v>43818</v>
      </c>
      <c r="B1076" s="2" t="str">
        <f>TEXT(Raw_Data!$A1076, "MMM")</f>
        <v>Dec</v>
      </c>
      <c r="C1076" s="2">
        <f>YEAR(Raw_Data!$A1076)</f>
        <v>2019</v>
      </c>
      <c r="D1076" s="2" t="s">
        <v>969</v>
      </c>
      <c r="E1076" s="2" t="s">
        <v>13</v>
      </c>
      <c r="F1076" s="2" t="s">
        <v>11</v>
      </c>
      <c r="G1076" s="2"/>
      <c r="H1076" s="2">
        <v>2025</v>
      </c>
      <c r="I1076" s="10">
        <v>778824</v>
      </c>
      <c r="J1076" s="10">
        <f>Raw_Data!$I1076/Raw_Data!$H1076</f>
        <v>384.60444444444443</v>
      </c>
    </row>
    <row r="1077" spans="1:10" x14ac:dyDescent="0.3">
      <c r="A1077" s="8">
        <v>37152</v>
      </c>
      <c r="B1077" t="str">
        <f>TEXT(Raw_Data!$A1077, "MMM")</f>
        <v>Sep</v>
      </c>
      <c r="C1077">
        <f>YEAR(Raw_Data!$A1077)</f>
        <v>2001</v>
      </c>
      <c r="D1077" t="s">
        <v>970</v>
      </c>
      <c r="E1077" t="s">
        <v>13</v>
      </c>
      <c r="F1077" t="s">
        <v>11</v>
      </c>
      <c r="G1077">
        <v>3</v>
      </c>
      <c r="H1077">
        <v>2640</v>
      </c>
      <c r="I1077" s="1">
        <v>300483</v>
      </c>
      <c r="J1077" s="1">
        <f>Raw_Data!$I1077/Raw_Data!$H1077</f>
        <v>113.81931818181818</v>
      </c>
    </row>
    <row r="1078" spans="1:10" x14ac:dyDescent="0.3">
      <c r="A1078" s="9">
        <v>41191</v>
      </c>
      <c r="B1078" s="2" t="str">
        <f>TEXT(Raw_Data!$A1078, "MMM")</f>
        <v>Oct</v>
      </c>
      <c r="C1078" s="2">
        <f>YEAR(Raw_Data!$A1078)</f>
        <v>2012</v>
      </c>
      <c r="D1078" s="2" t="s">
        <v>971</v>
      </c>
      <c r="E1078" s="2" t="s">
        <v>13</v>
      </c>
      <c r="F1078" s="2" t="s">
        <v>18</v>
      </c>
      <c r="G1078" s="2"/>
      <c r="H1078" s="2">
        <v>1549</v>
      </c>
      <c r="I1078" s="10">
        <v>848800</v>
      </c>
      <c r="J1078" s="10">
        <f>Raw_Data!$I1078/Raw_Data!$H1078</f>
        <v>547.96642995480954</v>
      </c>
    </row>
    <row r="1079" spans="1:10" x14ac:dyDescent="0.3">
      <c r="A1079" s="8">
        <v>39935</v>
      </c>
      <c r="B1079" t="str">
        <f>TEXT(Raw_Data!$A1079, "MMM")</f>
        <v>May</v>
      </c>
      <c r="C1079">
        <f>YEAR(Raw_Data!$A1079)</f>
        <v>2009</v>
      </c>
      <c r="D1079" t="s">
        <v>972</v>
      </c>
      <c r="E1079" t="s">
        <v>25</v>
      </c>
      <c r="F1079" t="s">
        <v>18</v>
      </c>
      <c r="H1079">
        <v>1501</v>
      </c>
      <c r="I1079" s="1">
        <v>235397</v>
      </c>
      <c r="J1079" s="1">
        <f>Raw_Data!$I1079/Raw_Data!$H1079</f>
        <v>156.82678214523651</v>
      </c>
    </row>
    <row r="1080" spans="1:10" x14ac:dyDescent="0.3">
      <c r="A1080" s="9">
        <v>44047</v>
      </c>
      <c r="B1080" s="2" t="str">
        <f>TEXT(Raw_Data!$A1080, "MMM")</f>
        <v>Aug</v>
      </c>
      <c r="C1080" s="2">
        <f>YEAR(Raw_Data!$A1080)</f>
        <v>2020</v>
      </c>
      <c r="D1080" s="2" t="s">
        <v>973</v>
      </c>
      <c r="E1080" s="2" t="s">
        <v>23</v>
      </c>
      <c r="F1080" s="2" t="s">
        <v>18</v>
      </c>
      <c r="G1080" s="2"/>
      <c r="H1080" s="2">
        <v>3134</v>
      </c>
      <c r="I1080" s="10">
        <v>375148</v>
      </c>
      <c r="J1080" s="10">
        <f>Raw_Data!$I1080/Raw_Data!$H1080</f>
        <v>119.70261646458201</v>
      </c>
    </row>
    <row r="1081" spans="1:10" x14ac:dyDescent="0.3">
      <c r="A1081" s="8">
        <v>42778</v>
      </c>
      <c r="B1081" t="str">
        <f>TEXT(Raw_Data!$A1081, "MMM")</f>
        <v>Feb</v>
      </c>
      <c r="C1081">
        <f>YEAR(Raw_Data!$A1081)</f>
        <v>2017</v>
      </c>
      <c r="D1081" t="s">
        <v>974</v>
      </c>
      <c r="E1081" t="s">
        <v>25</v>
      </c>
      <c r="F1081" t="s">
        <v>27</v>
      </c>
      <c r="H1081">
        <v>2356</v>
      </c>
      <c r="I1081" s="1">
        <v>697381</v>
      </c>
      <c r="J1081" s="1">
        <f>Raw_Data!$I1081/Raw_Data!$H1081</f>
        <v>296.00212224108657</v>
      </c>
    </row>
    <row r="1082" spans="1:10" x14ac:dyDescent="0.3">
      <c r="A1082" s="9">
        <v>40978</v>
      </c>
      <c r="B1082" s="2" t="str">
        <f>TEXT(Raw_Data!$A1082, "MMM")</f>
        <v>Mar</v>
      </c>
      <c r="C1082" s="2">
        <f>YEAR(Raw_Data!$A1082)</f>
        <v>2012</v>
      </c>
      <c r="D1082" s="2" t="s">
        <v>975</v>
      </c>
      <c r="E1082" s="2" t="s">
        <v>23</v>
      </c>
      <c r="F1082" s="2" t="s">
        <v>18</v>
      </c>
      <c r="G1082" s="2"/>
      <c r="H1082" s="2">
        <v>2725</v>
      </c>
      <c r="I1082" s="10">
        <v>545644</v>
      </c>
      <c r="J1082" s="10">
        <f>Raw_Data!$I1082/Raw_Data!$H1082</f>
        <v>200.23633027522936</v>
      </c>
    </row>
    <row r="1083" spans="1:10" x14ac:dyDescent="0.3">
      <c r="A1083" s="8">
        <v>38230</v>
      </c>
      <c r="B1083" t="str">
        <f>TEXT(Raw_Data!$A1083, "MMM")</f>
        <v>Aug</v>
      </c>
      <c r="C1083">
        <f>YEAR(Raw_Data!$A1083)</f>
        <v>2004</v>
      </c>
      <c r="D1083" t="s">
        <v>975</v>
      </c>
      <c r="E1083" t="s">
        <v>15</v>
      </c>
      <c r="F1083" t="s">
        <v>27</v>
      </c>
      <c r="H1083">
        <v>1869</v>
      </c>
      <c r="I1083" s="1">
        <v>888138</v>
      </c>
      <c r="J1083" s="1">
        <f>Raw_Data!$I1083/Raw_Data!$H1083</f>
        <v>475.19422150882826</v>
      </c>
    </row>
    <row r="1084" spans="1:10" x14ac:dyDescent="0.3">
      <c r="A1084" s="9">
        <v>39325</v>
      </c>
      <c r="B1084" s="2" t="str">
        <f>TEXT(Raw_Data!$A1084, "MMM")</f>
        <v>Aug</v>
      </c>
      <c r="C1084" s="2">
        <f>YEAR(Raw_Data!$A1084)</f>
        <v>2007</v>
      </c>
      <c r="D1084" s="2" t="s">
        <v>976</v>
      </c>
      <c r="E1084" s="2" t="s">
        <v>21</v>
      </c>
      <c r="F1084" s="2" t="s">
        <v>18</v>
      </c>
      <c r="G1084" s="2">
        <v>2</v>
      </c>
      <c r="H1084" s="2">
        <v>3438</v>
      </c>
      <c r="I1084" s="10">
        <v>493744</v>
      </c>
      <c r="J1084" s="10">
        <f>Raw_Data!$I1084/Raw_Data!$H1084</f>
        <v>143.61372891215822</v>
      </c>
    </row>
    <row r="1085" spans="1:10" x14ac:dyDescent="0.3">
      <c r="A1085" s="8">
        <v>39266</v>
      </c>
      <c r="B1085" t="str">
        <f>TEXT(Raw_Data!$A1085, "MMM")</f>
        <v>Jul</v>
      </c>
      <c r="C1085">
        <f>YEAR(Raw_Data!$A1085)</f>
        <v>2007</v>
      </c>
      <c r="D1085" t="s">
        <v>132</v>
      </c>
      <c r="E1085" t="s">
        <v>32</v>
      </c>
      <c r="F1085" t="s">
        <v>16</v>
      </c>
      <c r="G1085">
        <v>4</v>
      </c>
      <c r="H1085">
        <v>1998</v>
      </c>
      <c r="I1085" s="1">
        <v>624720</v>
      </c>
      <c r="J1085" s="1">
        <f>Raw_Data!$I1085/Raw_Data!$H1085</f>
        <v>312.67267267267266</v>
      </c>
    </row>
    <row r="1086" spans="1:10" x14ac:dyDescent="0.3">
      <c r="A1086" s="9">
        <v>38957</v>
      </c>
      <c r="B1086" s="2" t="str">
        <f>TEXT(Raw_Data!$A1086, "MMM")</f>
        <v>Aug</v>
      </c>
      <c r="C1086" s="2">
        <f>YEAR(Raw_Data!$A1086)</f>
        <v>2006</v>
      </c>
      <c r="D1086" s="2" t="s">
        <v>977</v>
      </c>
      <c r="E1086" s="2" t="s">
        <v>15</v>
      </c>
      <c r="F1086" s="2" t="s">
        <v>18</v>
      </c>
      <c r="G1086" s="2"/>
      <c r="H1086" s="2">
        <v>815</v>
      </c>
      <c r="I1086" s="10">
        <v>350486</v>
      </c>
      <c r="J1086" s="10">
        <f>Raw_Data!$I1086/Raw_Data!$H1086</f>
        <v>430.0441717791411</v>
      </c>
    </row>
    <row r="1087" spans="1:10" x14ac:dyDescent="0.3">
      <c r="A1087" s="8">
        <v>43871</v>
      </c>
      <c r="B1087" t="str">
        <f>TEXT(Raw_Data!$A1087, "MMM")</f>
        <v>Feb</v>
      </c>
      <c r="C1087">
        <f>YEAR(Raw_Data!$A1087)</f>
        <v>2020</v>
      </c>
      <c r="D1087" t="s">
        <v>978</v>
      </c>
      <c r="E1087" t="s">
        <v>29</v>
      </c>
      <c r="F1087" t="s">
        <v>11</v>
      </c>
      <c r="G1087">
        <v>3</v>
      </c>
      <c r="H1087">
        <v>1907</v>
      </c>
      <c r="I1087" s="1">
        <v>389806</v>
      </c>
      <c r="J1087" s="1">
        <f>Raw_Data!$I1087/Raw_Data!$H1087</f>
        <v>204.40797063450447</v>
      </c>
    </row>
    <row r="1088" spans="1:10" x14ac:dyDescent="0.3">
      <c r="A1088" s="9">
        <v>43405</v>
      </c>
      <c r="B1088" s="2" t="str">
        <f>TEXT(Raw_Data!$A1088, "MMM")</f>
        <v>Nov</v>
      </c>
      <c r="C1088" s="2">
        <f>YEAR(Raw_Data!$A1088)</f>
        <v>2018</v>
      </c>
      <c r="D1088" s="2" t="s">
        <v>979</v>
      </c>
      <c r="E1088" s="2" t="s">
        <v>23</v>
      </c>
      <c r="F1088" s="2" t="s">
        <v>18</v>
      </c>
      <c r="G1088" s="2">
        <v>3</v>
      </c>
      <c r="H1088" s="2">
        <v>3392</v>
      </c>
      <c r="I1088" s="10">
        <v>238541</v>
      </c>
      <c r="J1088" s="10">
        <f>Raw_Data!$I1088/Raw_Data!$H1088</f>
        <v>70.324587264150949</v>
      </c>
    </row>
    <row r="1089" spans="1:10" x14ac:dyDescent="0.3">
      <c r="A1089" s="8">
        <v>41395</v>
      </c>
      <c r="B1089" t="str">
        <f>TEXT(Raw_Data!$A1089, "MMM")</f>
        <v>May</v>
      </c>
      <c r="C1089">
        <f>YEAR(Raw_Data!$A1089)</f>
        <v>2013</v>
      </c>
      <c r="D1089" t="s">
        <v>980</v>
      </c>
      <c r="E1089" t="s">
        <v>32</v>
      </c>
      <c r="F1089" t="s">
        <v>16</v>
      </c>
      <c r="H1089">
        <v>2325</v>
      </c>
      <c r="I1089" s="1">
        <v>167053</v>
      </c>
      <c r="J1089" s="1">
        <f>Raw_Data!$I1089/Raw_Data!$H1089</f>
        <v>71.850752688172037</v>
      </c>
    </row>
    <row r="1090" spans="1:10" x14ac:dyDescent="0.3">
      <c r="A1090" s="9">
        <v>40900</v>
      </c>
      <c r="B1090" s="2" t="str">
        <f>TEXT(Raw_Data!$A1090, "MMM")</f>
        <v>Dec</v>
      </c>
      <c r="C1090" s="2">
        <f>YEAR(Raw_Data!$A1090)</f>
        <v>2011</v>
      </c>
      <c r="D1090" s="2" t="s">
        <v>981</v>
      </c>
      <c r="E1090" s="2" t="s">
        <v>25</v>
      </c>
      <c r="F1090" s="2" t="s">
        <v>16</v>
      </c>
      <c r="G1090" s="2"/>
      <c r="H1090" s="2">
        <v>1485</v>
      </c>
      <c r="I1090" s="10">
        <v>197009</v>
      </c>
      <c r="J1090" s="10">
        <f>Raw_Data!$I1090/Raw_Data!$H1090</f>
        <v>132.66599326599328</v>
      </c>
    </row>
    <row r="1091" spans="1:10" x14ac:dyDescent="0.3">
      <c r="A1091" s="8">
        <v>42523</v>
      </c>
      <c r="B1091" t="str">
        <f>TEXT(Raw_Data!$A1091, "MMM")</f>
        <v>Jun</v>
      </c>
      <c r="C1091">
        <f>YEAR(Raw_Data!$A1091)</f>
        <v>2016</v>
      </c>
      <c r="D1091" t="s">
        <v>982</v>
      </c>
      <c r="E1091" t="s">
        <v>32</v>
      </c>
      <c r="F1091" t="s">
        <v>18</v>
      </c>
      <c r="G1091">
        <v>5</v>
      </c>
      <c r="H1091">
        <v>1910</v>
      </c>
      <c r="I1091" s="1">
        <v>708868</v>
      </c>
      <c r="J1091" s="1">
        <f>Raw_Data!$I1091/Raw_Data!$H1091</f>
        <v>371.13507853403144</v>
      </c>
    </row>
    <row r="1092" spans="1:10" x14ac:dyDescent="0.3">
      <c r="A1092" s="9">
        <v>38454</v>
      </c>
      <c r="B1092" s="2" t="str">
        <f>TEXT(Raw_Data!$A1092, "MMM")</f>
        <v>Apr</v>
      </c>
      <c r="C1092" s="2">
        <f>YEAR(Raw_Data!$A1092)</f>
        <v>2005</v>
      </c>
      <c r="D1092" s="2" t="s">
        <v>983</v>
      </c>
      <c r="E1092" s="2" t="s">
        <v>25</v>
      </c>
      <c r="F1092" s="2" t="s">
        <v>11</v>
      </c>
      <c r="G1092" s="2">
        <v>5</v>
      </c>
      <c r="H1092" s="2">
        <v>2620</v>
      </c>
      <c r="I1092" s="10">
        <v>202750</v>
      </c>
      <c r="J1092" s="10">
        <f>Raw_Data!$I1092/Raw_Data!$H1092</f>
        <v>77.385496183206101</v>
      </c>
    </row>
    <row r="1093" spans="1:10" x14ac:dyDescent="0.3">
      <c r="A1093" s="8">
        <v>41811</v>
      </c>
      <c r="B1093" t="str">
        <f>TEXT(Raw_Data!$A1093, "MMM")</f>
        <v>Jun</v>
      </c>
      <c r="C1093">
        <f>YEAR(Raw_Data!$A1093)</f>
        <v>2014</v>
      </c>
      <c r="D1093" t="s">
        <v>268</v>
      </c>
      <c r="E1093" t="s">
        <v>21</v>
      </c>
      <c r="F1093" t="s">
        <v>16</v>
      </c>
      <c r="G1093">
        <v>2</v>
      </c>
      <c r="H1093">
        <v>3435</v>
      </c>
      <c r="I1093" s="1">
        <v>174828</v>
      </c>
      <c r="J1093" s="1">
        <f>Raw_Data!$I1093/Raw_Data!$H1093</f>
        <v>50.896069868995632</v>
      </c>
    </row>
    <row r="1094" spans="1:10" x14ac:dyDescent="0.3">
      <c r="A1094" s="9">
        <v>40823</v>
      </c>
      <c r="B1094" s="2" t="str">
        <f>TEXT(Raw_Data!$A1094, "MMM")</f>
        <v>Oct</v>
      </c>
      <c r="C1094" s="2">
        <f>YEAR(Raw_Data!$A1094)</f>
        <v>2011</v>
      </c>
      <c r="D1094" s="2" t="s">
        <v>984</v>
      </c>
      <c r="E1094" s="2" t="s">
        <v>32</v>
      </c>
      <c r="F1094" s="2" t="s">
        <v>27</v>
      </c>
      <c r="G1094" s="2">
        <v>4</v>
      </c>
      <c r="H1094" s="2">
        <v>1433</v>
      </c>
      <c r="I1094" s="10">
        <v>493987</v>
      </c>
      <c r="J1094" s="10">
        <f>Raw_Data!$I1094/Raw_Data!$H1094</f>
        <v>344.72226099092813</v>
      </c>
    </row>
    <row r="1095" spans="1:10" x14ac:dyDescent="0.3">
      <c r="A1095" s="8">
        <v>37341</v>
      </c>
      <c r="B1095" t="str">
        <f>TEXT(Raw_Data!$A1095, "MMM")</f>
        <v>Mar</v>
      </c>
      <c r="C1095">
        <f>YEAR(Raw_Data!$A1095)</f>
        <v>2002</v>
      </c>
      <c r="D1095" t="s">
        <v>267</v>
      </c>
      <c r="E1095" t="s">
        <v>15</v>
      </c>
      <c r="F1095" t="s">
        <v>27</v>
      </c>
      <c r="H1095">
        <v>1881</v>
      </c>
      <c r="I1095" s="1">
        <v>700288</v>
      </c>
      <c r="J1095" s="1">
        <f>Raw_Data!$I1095/Raw_Data!$H1095</f>
        <v>372.2955874534822</v>
      </c>
    </row>
    <row r="1096" spans="1:10" x14ac:dyDescent="0.3">
      <c r="A1096" s="9">
        <v>37861</v>
      </c>
      <c r="B1096" s="2" t="str">
        <f>TEXT(Raw_Data!$A1096, "MMM")</f>
        <v>Aug</v>
      </c>
      <c r="C1096" s="2">
        <f>YEAR(Raw_Data!$A1096)</f>
        <v>2003</v>
      </c>
      <c r="D1096" s="2" t="s">
        <v>561</v>
      </c>
      <c r="E1096" s="2" t="s">
        <v>23</v>
      </c>
      <c r="F1096" s="2" t="s">
        <v>27</v>
      </c>
      <c r="G1096" s="2"/>
      <c r="H1096" s="2">
        <v>3077</v>
      </c>
      <c r="I1096" s="10">
        <v>631611</v>
      </c>
      <c r="J1096" s="10">
        <f>Raw_Data!$I1096/Raw_Data!$H1096</f>
        <v>205.26844328891778</v>
      </c>
    </row>
    <row r="1097" spans="1:10" x14ac:dyDescent="0.3">
      <c r="A1097" s="8">
        <v>42346</v>
      </c>
      <c r="B1097" t="str">
        <f>TEXT(Raw_Data!$A1097, "MMM")</f>
        <v>Dec</v>
      </c>
      <c r="C1097">
        <f>YEAR(Raw_Data!$A1097)</f>
        <v>2015</v>
      </c>
      <c r="D1097" t="s">
        <v>985</v>
      </c>
      <c r="E1097" t="s">
        <v>21</v>
      </c>
      <c r="F1097" t="s">
        <v>18</v>
      </c>
      <c r="H1097">
        <v>2956</v>
      </c>
      <c r="I1097" s="1">
        <v>697309</v>
      </c>
      <c r="J1097" s="1">
        <f>Raw_Data!$I1097/Raw_Data!$H1097</f>
        <v>235.89614343707714</v>
      </c>
    </row>
    <row r="1098" spans="1:10" x14ac:dyDescent="0.3">
      <c r="A1098" s="9">
        <v>39102</v>
      </c>
      <c r="B1098" s="2" t="str">
        <f>TEXT(Raw_Data!$A1098, "MMM")</f>
        <v>Jan</v>
      </c>
      <c r="C1098" s="2">
        <f>YEAR(Raw_Data!$A1098)</f>
        <v>2007</v>
      </c>
      <c r="D1098" s="2" t="s">
        <v>519</v>
      </c>
      <c r="E1098" s="2" t="s">
        <v>32</v>
      </c>
      <c r="F1098" s="2" t="s">
        <v>16</v>
      </c>
      <c r="G1098" s="2">
        <v>5</v>
      </c>
      <c r="H1098" s="2">
        <v>1027</v>
      </c>
      <c r="I1098" s="10">
        <v>166992</v>
      </c>
      <c r="J1098" s="10">
        <f>Raw_Data!$I1098/Raw_Data!$H1098</f>
        <v>162.60175267770205</v>
      </c>
    </row>
    <row r="1099" spans="1:10" x14ac:dyDescent="0.3">
      <c r="A1099" s="8">
        <v>41694</v>
      </c>
      <c r="B1099" t="str">
        <f>TEXT(Raw_Data!$A1099, "MMM")</f>
        <v>Feb</v>
      </c>
      <c r="C1099">
        <f>YEAR(Raw_Data!$A1099)</f>
        <v>2014</v>
      </c>
      <c r="D1099" t="s">
        <v>986</v>
      </c>
      <c r="E1099" t="s">
        <v>32</v>
      </c>
      <c r="F1099" t="s">
        <v>27</v>
      </c>
      <c r="G1099">
        <v>5</v>
      </c>
      <c r="H1099">
        <v>2347</v>
      </c>
      <c r="I1099" s="1">
        <v>562033</v>
      </c>
      <c r="J1099" s="1">
        <f>Raw_Data!$I1099/Raw_Data!$H1099</f>
        <v>239.46868342564977</v>
      </c>
    </row>
    <row r="1100" spans="1:10" x14ac:dyDescent="0.3">
      <c r="A1100" s="9">
        <v>38344</v>
      </c>
      <c r="B1100" s="2" t="str">
        <f>TEXT(Raw_Data!$A1100, "MMM")</f>
        <v>Dec</v>
      </c>
      <c r="C1100" s="2">
        <f>YEAR(Raw_Data!$A1100)</f>
        <v>2004</v>
      </c>
      <c r="D1100" s="2" t="s">
        <v>987</v>
      </c>
      <c r="E1100" s="2" t="s">
        <v>32</v>
      </c>
      <c r="F1100" s="2" t="s">
        <v>16</v>
      </c>
      <c r="G1100" s="2">
        <v>5</v>
      </c>
      <c r="H1100" s="2">
        <v>2567</v>
      </c>
      <c r="I1100" s="10">
        <v>639638</v>
      </c>
      <c r="J1100" s="10">
        <f>Raw_Data!$I1100/Raw_Data!$H1100</f>
        <v>249.17724970783016</v>
      </c>
    </row>
    <row r="1101" spans="1:10" x14ac:dyDescent="0.3">
      <c r="A1101" s="8">
        <v>39102</v>
      </c>
      <c r="B1101" t="str">
        <f>TEXT(Raw_Data!$A1101, "MMM")</f>
        <v>Jan</v>
      </c>
      <c r="C1101">
        <f>YEAR(Raw_Data!$A1101)</f>
        <v>2007</v>
      </c>
      <c r="D1101" t="s">
        <v>988</v>
      </c>
      <c r="E1101" t="s">
        <v>15</v>
      </c>
      <c r="F1101" t="s">
        <v>18</v>
      </c>
      <c r="G1101">
        <v>2</v>
      </c>
      <c r="H1101">
        <v>1999</v>
      </c>
      <c r="I1101" s="1">
        <v>446100</v>
      </c>
      <c r="J1101" s="1">
        <f>Raw_Data!$I1101/Raw_Data!$H1101</f>
        <v>223.16158079039519</v>
      </c>
    </row>
    <row r="1102" spans="1:10" x14ac:dyDescent="0.3">
      <c r="A1102" s="9">
        <v>39942</v>
      </c>
      <c r="B1102" s="2" t="str">
        <f>TEXT(Raw_Data!$A1102, "MMM")</f>
        <v>May</v>
      </c>
      <c r="C1102" s="2">
        <f>YEAR(Raw_Data!$A1102)</f>
        <v>2009</v>
      </c>
      <c r="D1102" s="2" t="s">
        <v>989</v>
      </c>
      <c r="E1102" s="2" t="s">
        <v>29</v>
      </c>
      <c r="F1102" s="2" t="s">
        <v>11</v>
      </c>
      <c r="G1102" s="2"/>
      <c r="H1102" s="2">
        <v>1201</v>
      </c>
      <c r="I1102" s="10">
        <v>501375</v>
      </c>
      <c r="J1102" s="10">
        <f>Raw_Data!$I1102/Raw_Data!$H1102</f>
        <v>417.46461282264778</v>
      </c>
    </row>
    <row r="1103" spans="1:10" x14ac:dyDescent="0.3">
      <c r="A1103" s="8">
        <v>43039</v>
      </c>
      <c r="B1103" t="str">
        <f>TEXT(Raw_Data!$A1103, "MMM")</f>
        <v>Oct</v>
      </c>
      <c r="C1103">
        <f>YEAR(Raw_Data!$A1103)</f>
        <v>2017</v>
      </c>
      <c r="D1103" t="s">
        <v>990</v>
      </c>
      <c r="E1103" t="s">
        <v>15</v>
      </c>
      <c r="F1103" t="s">
        <v>11</v>
      </c>
      <c r="H1103">
        <v>3131</v>
      </c>
      <c r="I1103" s="1">
        <v>638191</v>
      </c>
      <c r="J1103" s="1">
        <f>Raw_Data!$I1103/Raw_Data!$H1103</f>
        <v>203.82976684765251</v>
      </c>
    </row>
    <row r="1104" spans="1:10" x14ac:dyDescent="0.3">
      <c r="A1104" s="9">
        <v>42910</v>
      </c>
      <c r="B1104" s="2" t="str">
        <f>TEXT(Raw_Data!$A1104, "MMM")</f>
        <v>Jun</v>
      </c>
      <c r="C1104" s="2">
        <f>YEAR(Raw_Data!$A1104)</f>
        <v>2017</v>
      </c>
      <c r="D1104" s="2" t="s">
        <v>991</v>
      </c>
      <c r="E1104" s="2" t="s">
        <v>32</v>
      </c>
      <c r="F1104" s="2" t="s">
        <v>27</v>
      </c>
      <c r="G1104" s="2">
        <v>4</v>
      </c>
      <c r="H1104" s="2">
        <v>3360</v>
      </c>
      <c r="I1104" s="10">
        <v>530816</v>
      </c>
      <c r="J1104" s="10">
        <f>Raw_Data!$I1104/Raw_Data!$H1104</f>
        <v>157.98095238095237</v>
      </c>
    </row>
    <row r="1105" spans="1:10" x14ac:dyDescent="0.3">
      <c r="A1105" s="8">
        <v>39945</v>
      </c>
      <c r="B1105" t="str">
        <f>TEXT(Raw_Data!$A1105, "MMM")</f>
        <v>May</v>
      </c>
      <c r="C1105">
        <f>YEAR(Raw_Data!$A1105)</f>
        <v>2009</v>
      </c>
      <c r="D1105" t="s">
        <v>992</v>
      </c>
      <c r="E1105" t="s">
        <v>32</v>
      </c>
      <c r="F1105" t="s">
        <v>18</v>
      </c>
      <c r="H1105">
        <v>1307</v>
      </c>
      <c r="I1105" s="1">
        <v>158833</v>
      </c>
      <c r="J1105" s="1">
        <f>Raw_Data!$I1105/Raw_Data!$H1105</f>
        <v>121.5248661055853</v>
      </c>
    </row>
    <row r="1106" spans="1:10" x14ac:dyDescent="0.3">
      <c r="A1106" s="9">
        <v>38050</v>
      </c>
      <c r="B1106" s="2" t="str">
        <f>TEXT(Raw_Data!$A1106, "MMM")</f>
        <v>Mar</v>
      </c>
      <c r="C1106" s="2">
        <f>YEAR(Raw_Data!$A1106)</f>
        <v>2004</v>
      </c>
      <c r="D1106" s="2" t="s">
        <v>993</v>
      </c>
      <c r="E1106" s="2" t="s">
        <v>32</v>
      </c>
      <c r="F1106" s="2" t="s">
        <v>11</v>
      </c>
      <c r="G1106" s="2">
        <v>5</v>
      </c>
      <c r="H1106" s="2">
        <v>3355</v>
      </c>
      <c r="I1106" s="10">
        <v>387866</v>
      </c>
      <c r="J1106" s="10">
        <f>Raw_Data!$I1106/Raw_Data!$H1106</f>
        <v>115.60834575260805</v>
      </c>
    </row>
    <row r="1107" spans="1:10" x14ac:dyDescent="0.3">
      <c r="A1107" s="8">
        <v>39237</v>
      </c>
      <c r="B1107" t="str">
        <f>TEXT(Raw_Data!$A1107, "MMM")</f>
        <v>Jun</v>
      </c>
      <c r="C1107">
        <f>YEAR(Raw_Data!$A1107)</f>
        <v>2007</v>
      </c>
      <c r="D1107" t="s">
        <v>994</v>
      </c>
      <c r="E1107" t="s">
        <v>13</v>
      </c>
      <c r="F1107" t="s">
        <v>16</v>
      </c>
      <c r="G1107">
        <v>4</v>
      </c>
      <c r="H1107">
        <v>1887</v>
      </c>
      <c r="I1107" s="1"/>
      <c r="J1107" s="1">
        <f>Raw_Data!$I1107/Raw_Data!$H1107</f>
        <v>0</v>
      </c>
    </row>
    <row r="1108" spans="1:10" x14ac:dyDescent="0.3">
      <c r="A1108" s="9">
        <v>37769</v>
      </c>
      <c r="B1108" s="2" t="str">
        <f>TEXT(Raw_Data!$A1108, "MMM")</f>
        <v>May</v>
      </c>
      <c r="C1108" s="2">
        <f>YEAR(Raw_Data!$A1108)</f>
        <v>2003</v>
      </c>
      <c r="D1108" s="2" t="s">
        <v>995</v>
      </c>
      <c r="E1108" s="2" t="s">
        <v>13</v>
      </c>
      <c r="F1108" s="2" t="s">
        <v>18</v>
      </c>
      <c r="G1108" s="2"/>
      <c r="H1108" s="2">
        <v>877</v>
      </c>
      <c r="I1108" s="10">
        <v>668779</v>
      </c>
      <c r="J1108" s="10">
        <f>Raw_Data!$I1108/Raw_Data!$H1108</f>
        <v>762.57582668187001</v>
      </c>
    </row>
    <row r="1109" spans="1:10" x14ac:dyDescent="0.3">
      <c r="A1109" s="8">
        <v>39310</v>
      </c>
      <c r="B1109" t="str">
        <f>TEXT(Raw_Data!$A1109, "MMM")</f>
        <v>Aug</v>
      </c>
      <c r="C1109">
        <f>YEAR(Raw_Data!$A1109)</f>
        <v>2007</v>
      </c>
      <c r="D1109" t="s">
        <v>996</v>
      </c>
      <c r="E1109" t="s">
        <v>15</v>
      </c>
      <c r="F1109" t="s">
        <v>11</v>
      </c>
      <c r="G1109">
        <v>5</v>
      </c>
      <c r="H1109">
        <v>1969</v>
      </c>
      <c r="I1109" s="1">
        <v>705752</v>
      </c>
      <c r="J1109" s="1">
        <f>Raw_Data!$I1109/Raw_Data!$H1109</f>
        <v>358.43169121381413</v>
      </c>
    </row>
    <row r="1110" spans="1:10" x14ac:dyDescent="0.3">
      <c r="A1110" s="9">
        <v>40200</v>
      </c>
      <c r="B1110" s="2" t="str">
        <f>TEXT(Raw_Data!$A1110, "MMM")</f>
        <v>Jan</v>
      </c>
      <c r="C1110" s="2">
        <f>YEAR(Raw_Data!$A1110)</f>
        <v>2010</v>
      </c>
      <c r="D1110" s="2" t="s">
        <v>997</v>
      </c>
      <c r="E1110" s="2" t="s">
        <v>23</v>
      </c>
      <c r="F1110" s="2" t="s">
        <v>16</v>
      </c>
      <c r="G1110" s="2">
        <v>3</v>
      </c>
      <c r="H1110" s="2">
        <v>1066</v>
      </c>
      <c r="I1110" s="10">
        <v>349684</v>
      </c>
      <c r="J1110" s="10">
        <f>Raw_Data!$I1110/Raw_Data!$H1110</f>
        <v>328.03377110694186</v>
      </c>
    </row>
    <row r="1111" spans="1:10" x14ac:dyDescent="0.3">
      <c r="A1111" s="8">
        <v>42244</v>
      </c>
      <c r="B1111" t="str">
        <f>TEXT(Raw_Data!$A1111, "MMM")</f>
        <v>Aug</v>
      </c>
      <c r="C1111">
        <f>YEAR(Raw_Data!$A1111)</f>
        <v>2015</v>
      </c>
      <c r="D1111" t="s">
        <v>998</v>
      </c>
      <c r="E1111" t="s">
        <v>25</v>
      </c>
      <c r="F1111" t="s">
        <v>16</v>
      </c>
      <c r="G1111">
        <v>4</v>
      </c>
      <c r="H1111">
        <v>2496</v>
      </c>
      <c r="I1111" s="1">
        <v>101033</v>
      </c>
      <c r="J1111" s="1">
        <f>Raw_Data!$I1111/Raw_Data!$H1111</f>
        <v>40.477964743589745</v>
      </c>
    </row>
    <row r="1112" spans="1:10" x14ac:dyDescent="0.3">
      <c r="A1112" s="9">
        <v>42290</v>
      </c>
      <c r="B1112" s="2" t="str">
        <f>TEXT(Raw_Data!$A1112, "MMM")</f>
        <v>Oct</v>
      </c>
      <c r="C1112" s="2">
        <f>YEAR(Raw_Data!$A1112)</f>
        <v>2015</v>
      </c>
      <c r="D1112" s="2" t="s">
        <v>999</v>
      </c>
      <c r="E1112" s="2" t="s">
        <v>15</v>
      </c>
      <c r="F1112" s="2" t="s">
        <v>27</v>
      </c>
      <c r="G1112" s="2"/>
      <c r="H1112" s="2">
        <v>2575</v>
      </c>
      <c r="I1112" s="10">
        <v>437842</v>
      </c>
      <c r="J1112" s="10">
        <f>Raw_Data!$I1112/Raw_Data!$H1112</f>
        <v>170.0357281553398</v>
      </c>
    </row>
    <row r="1113" spans="1:10" x14ac:dyDescent="0.3">
      <c r="A1113" s="8">
        <v>40294</v>
      </c>
      <c r="B1113" t="str">
        <f>TEXT(Raw_Data!$A1113, "MMM")</f>
        <v>Apr</v>
      </c>
      <c r="C1113">
        <f>YEAR(Raw_Data!$A1113)</f>
        <v>2010</v>
      </c>
      <c r="D1113" t="s">
        <v>1000</v>
      </c>
      <c r="E1113" t="s">
        <v>21</v>
      </c>
      <c r="F1113" t="s">
        <v>18</v>
      </c>
      <c r="H1113">
        <v>3373</v>
      </c>
      <c r="I1113" s="1">
        <v>590756</v>
      </c>
      <c r="J1113" s="1">
        <f>Raw_Data!$I1113/Raw_Data!$H1113</f>
        <v>175.14260302401422</v>
      </c>
    </row>
    <row r="1114" spans="1:10" x14ac:dyDescent="0.3">
      <c r="A1114" s="9">
        <v>38397</v>
      </c>
      <c r="B1114" s="2" t="str">
        <f>TEXT(Raw_Data!$A1114, "MMM")</f>
        <v>Feb</v>
      </c>
      <c r="C1114" s="2">
        <f>YEAR(Raw_Data!$A1114)</f>
        <v>2005</v>
      </c>
      <c r="D1114" s="2" t="s">
        <v>1001</v>
      </c>
      <c r="E1114" s="2" t="s">
        <v>32</v>
      </c>
      <c r="F1114" s="2" t="s">
        <v>18</v>
      </c>
      <c r="G1114" s="2">
        <v>5</v>
      </c>
      <c r="H1114" s="2">
        <v>1936</v>
      </c>
      <c r="I1114" s="10">
        <v>552261</v>
      </c>
      <c r="J1114" s="10">
        <f>Raw_Data!$I1114/Raw_Data!$H1114</f>
        <v>285.25878099173553</v>
      </c>
    </row>
    <row r="1115" spans="1:10" x14ac:dyDescent="0.3">
      <c r="A1115" s="8">
        <v>39735</v>
      </c>
      <c r="B1115" t="str">
        <f>TEXT(Raw_Data!$A1115, "MMM")</f>
        <v>Oct</v>
      </c>
      <c r="C1115">
        <f>YEAR(Raw_Data!$A1115)</f>
        <v>2008</v>
      </c>
      <c r="D1115" t="s">
        <v>1002</v>
      </c>
      <c r="E1115" t="s">
        <v>13</v>
      </c>
      <c r="F1115" t="s">
        <v>18</v>
      </c>
      <c r="H1115">
        <v>2276</v>
      </c>
      <c r="I1115" s="1">
        <v>609855</v>
      </c>
      <c r="J1115" s="1">
        <f>Raw_Data!$I1115/Raw_Data!$H1115</f>
        <v>267.95035149384887</v>
      </c>
    </row>
    <row r="1116" spans="1:10" x14ac:dyDescent="0.3">
      <c r="A1116" s="9">
        <v>41796</v>
      </c>
      <c r="B1116" s="2" t="str">
        <f>TEXT(Raw_Data!$A1116, "MMM")</f>
        <v>Jun</v>
      </c>
      <c r="C1116" s="2">
        <f>YEAR(Raw_Data!$A1116)</f>
        <v>2014</v>
      </c>
      <c r="D1116" s="2" t="s">
        <v>773</v>
      </c>
      <c r="E1116" s="2" t="s">
        <v>29</v>
      </c>
      <c r="F1116" s="2" t="s">
        <v>16</v>
      </c>
      <c r="G1116" s="2">
        <v>4</v>
      </c>
      <c r="H1116" s="2">
        <v>821</v>
      </c>
      <c r="I1116" s="10">
        <v>761975</v>
      </c>
      <c r="J1116" s="10">
        <f>Raw_Data!$I1116/Raw_Data!$H1116</f>
        <v>928.1059683313033</v>
      </c>
    </row>
    <row r="1117" spans="1:10" x14ac:dyDescent="0.3">
      <c r="A1117" s="8">
        <v>41354</v>
      </c>
      <c r="B1117" t="str">
        <f>TEXT(Raw_Data!$A1117, "MMM")</f>
        <v>Mar</v>
      </c>
      <c r="C1117">
        <f>YEAR(Raw_Data!$A1117)</f>
        <v>2013</v>
      </c>
      <c r="D1117" t="s">
        <v>1003</v>
      </c>
      <c r="E1117" t="s">
        <v>25</v>
      </c>
      <c r="F1117" t="s">
        <v>11</v>
      </c>
      <c r="G1117">
        <v>2</v>
      </c>
      <c r="H1117">
        <v>3078</v>
      </c>
      <c r="I1117" s="1">
        <v>129407</v>
      </c>
      <c r="J1117" s="1">
        <f>Raw_Data!$I1117/Raw_Data!$H1117</f>
        <v>42.042560103963609</v>
      </c>
    </row>
    <row r="1118" spans="1:10" x14ac:dyDescent="0.3">
      <c r="A1118" s="9">
        <v>43927</v>
      </c>
      <c r="B1118" s="2" t="str">
        <f>TEXT(Raw_Data!$A1118, "MMM")</f>
        <v>Apr</v>
      </c>
      <c r="C1118" s="2">
        <f>YEAR(Raw_Data!$A1118)</f>
        <v>2020</v>
      </c>
      <c r="D1118" s="2" t="s">
        <v>1004</v>
      </c>
      <c r="E1118" s="2" t="s">
        <v>25</v>
      </c>
      <c r="F1118" s="2" t="s">
        <v>16</v>
      </c>
      <c r="G1118" s="2"/>
      <c r="H1118" s="2">
        <v>2793</v>
      </c>
      <c r="I1118" s="10">
        <v>726506</v>
      </c>
      <c r="J1118" s="10">
        <f>Raw_Data!$I1118/Raw_Data!$H1118</f>
        <v>260.11672037235945</v>
      </c>
    </row>
    <row r="1119" spans="1:10" x14ac:dyDescent="0.3">
      <c r="A1119" s="8">
        <v>37849</v>
      </c>
      <c r="B1119" t="str">
        <f>TEXT(Raw_Data!$A1119, "MMM")</f>
        <v>Aug</v>
      </c>
      <c r="C1119">
        <f>YEAR(Raw_Data!$A1119)</f>
        <v>2003</v>
      </c>
      <c r="D1119" t="s">
        <v>539</v>
      </c>
      <c r="E1119" t="s">
        <v>13</v>
      </c>
      <c r="F1119" t="s">
        <v>16</v>
      </c>
      <c r="G1119">
        <v>2</v>
      </c>
      <c r="H1119">
        <v>1733</v>
      </c>
      <c r="I1119" s="1">
        <v>382132</v>
      </c>
      <c r="J1119" s="1">
        <f>Raw_Data!$I1119/Raw_Data!$H1119</f>
        <v>220.50317368724754</v>
      </c>
    </row>
    <row r="1120" spans="1:10" x14ac:dyDescent="0.3">
      <c r="A1120" s="9">
        <v>42228</v>
      </c>
      <c r="B1120" s="2" t="str">
        <f>TEXT(Raw_Data!$A1120, "MMM")</f>
        <v>Aug</v>
      </c>
      <c r="C1120" s="2">
        <f>YEAR(Raw_Data!$A1120)</f>
        <v>2015</v>
      </c>
      <c r="D1120" s="2" t="s">
        <v>1005</v>
      </c>
      <c r="E1120" s="2" t="s">
        <v>15</v>
      </c>
      <c r="F1120" s="2" t="s">
        <v>27</v>
      </c>
      <c r="G1120" s="2">
        <v>4</v>
      </c>
      <c r="H1120" s="2">
        <v>3210</v>
      </c>
      <c r="I1120" s="10">
        <v>895723</v>
      </c>
      <c r="J1120" s="10">
        <f>Raw_Data!$I1120/Raw_Data!$H1120</f>
        <v>279.04143302180688</v>
      </c>
    </row>
    <row r="1121" spans="1:10" x14ac:dyDescent="0.3">
      <c r="A1121" s="8">
        <v>37974</v>
      </c>
      <c r="B1121" t="str">
        <f>TEXT(Raw_Data!$A1121, "MMM")</f>
        <v>Dec</v>
      </c>
      <c r="C1121">
        <f>YEAR(Raw_Data!$A1121)</f>
        <v>2003</v>
      </c>
      <c r="D1121" t="s">
        <v>1006</v>
      </c>
      <c r="E1121" t="s">
        <v>25</v>
      </c>
      <c r="F1121" t="s">
        <v>27</v>
      </c>
      <c r="H1121">
        <v>2475</v>
      </c>
      <c r="I1121" s="1">
        <v>353508</v>
      </c>
      <c r="J1121" s="1">
        <f>Raw_Data!$I1121/Raw_Data!$H1121</f>
        <v>142.83151515151516</v>
      </c>
    </row>
    <row r="1122" spans="1:10" x14ac:dyDescent="0.3">
      <c r="A1122" s="9">
        <v>42389</v>
      </c>
      <c r="B1122" s="2" t="str">
        <f>TEXT(Raw_Data!$A1122, "MMM")</f>
        <v>Jan</v>
      </c>
      <c r="C1122" s="2">
        <f>YEAR(Raw_Data!$A1122)</f>
        <v>2016</v>
      </c>
      <c r="D1122" s="2" t="s">
        <v>1007</v>
      </c>
      <c r="E1122" s="2" t="s">
        <v>25</v>
      </c>
      <c r="F1122" s="2" t="s">
        <v>18</v>
      </c>
      <c r="G1122" s="2">
        <v>5</v>
      </c>
      <c r="H1122" s="2">
        <v>1169</v>
      </c>
      <c r="I1122" s="10">
        <v>602073</v>
      </c>
      <c r="J1122" s="10">
        <f>Raw_Data!$I1122/Raw_Data!$H1122</f>
        <v>515.03250641573993</v>
      </c>
    </row>
    <row r="1123" spans="1:10" x14ac:dyDescent="0.3">
      <c r="A1123" s="8">
        <v>38423</v>
      </c>
      <c r="B1123" t="str">
        <f>TEXT(Raw_Data!$A1123, "MMM")</f>
        <v>Mar</v>
      </c>
      <c r="C1123">
        <f>YEAR(Raw_Data!$A1123)</f>
        <v>2005</v>
      </c>
      <c r="D1123" t="s">
        <v>1008</v>
      </c>
      <c r="E1123" t="s">
        <v>32</v>
      </c>
      <c r="F1123" t="s">
        <v>16</v>
      </c>
      <c r="H1123">
        <v>1956</v>
      </c>
      <c r="I1123" s="1">
        <v>503096</v>
      </c>
      <c r="J1123" s="1">
        <f>Raw_Data!$I1123/Raw_Data!$H1123</f>
        <v>257.20654396728014</v>
      </c>
    </row>
    <row r="1124" spans="1:10" x14ac:dyDescent="0.3">
      <c r="A1124" s="9">
        <v>42582</v>
      </c>
      <c r="B1124" s="2" t="str">
        <f>TEXT(Raw_Data!$A1124, "MMM")</f>
        <v>Jul</v>
      </c>
      <c r="C1124" s="2">
        <f>YEAR(Raw_Data!$A1124)</f>
        <v>2016</v>
      </c>
      <c r="D1124" s="2" t="s">
        <v>394</v>
      </c>
      <c r="E1124" s="2" t="s">
        <v>23</v>
      </c>
      <c r="F1124" s="2" t="s">
        <v>18</v>
      </c>
      <c r="G1124" s="2">
        <v>5</v>
      </c>
      <c r="H1124" s="2">
        <v>954</v>
      </c>
      <c r="I1124" s="10">
        <v>684134</v>
      </c>
      <c r="J1124" s="10">
        <f>Raw_Data!$I1124/Raw_Data!$H1124</f>
        <v>717.12159329140457</v>
      </c>
    </row>
    <row r="1125" spans="1:10" x14ac:dyDescent="0.3">
      <c r="A1125" s="8">
        <v>41272</v>
      </c>
      <c r="B1125" t="str">
        <f>TEXT(Raw_Data!$A1125, "MMM")</f>
        <v>Dec</v>
      </c>
      <c r="C1125">
        <f>YEAR(Raw_Data!$A1125)</f>
        <v>2012</v>
      </c>
      <c r="D1125" t="s">
        <v>1009</v>
      </c>
      <c r="E1125" t="s">
        <v>32</v>
      </c>
      <c r="F1125" t="s">
        <v>11</v>
      </c>
      <c r="H1125">
        <v>1319</v>
      </c>
      <c r="I1125" s="1">
        <v>723050</v>
      </c>
      <c r="J1125" s="1">
        <f>Raw_Data!$I1125/Raw_Data!$H1125</f>
        <v>548.18043972706596</v>
      </c>
    </row>
    <row r="1126" spans="1:10" x14ac:dyDescent="0.3">
      <c r="A1126" s="9">
        <v>38561</v>
      </c>
      <c r="B1126" s="2" t="str">
        <f>TEXT(Raw_Data!$A1126, "MMM")</f>
        <v>Jul</v>
      </c>
      <c r="C1126" s="2">
        <f>YEAR(Raw_Data!$A1126)</f>
        <v>2005</v>
      </c>
      <c r="D1126" s="2" t="s">
        <v>1010</v>
      </c>
      <c r="E1126" s="2" t="s">
        <v>25</v>
      </c>
      <c r="F1126" s="2" t="s">
        <v>11</v>
      </c>
      <c r="G1126" s="2"/>
      <c r="H1126" s="2">
        <v>3450</v>
      </c>
      <c r="I1126" s="10">
        <v>340217</v>
      </c>
      <c r="J1126" s="10">
        <f>Raw_Data!$I1126/Raw_Data!$H1126</f>
        <v>98.613623188405796</v>
      </c>
    </row>
    <row r="1127" spans="1:10" x14ac:dyDescent="0.3">
      <c r="A1127" s="8">
        <v>42079</v>
      </c>
      <c r="B1127" t="str">
        <f>TEXT(Raw_Data!$A1127, "MMM")</f>
        <v>Mar</v>
      </c>
      <c r="C1127">
        <f>YEAR(Raw_Data!$A1127)</f>
        <v>2015</v>
      </c>
      <c r="D1127" t="s">
        <v>1011</v>
      </c>
      <c r="E1127" t="s">
        <v>29</v>
      </c>
      <c r="F1127" t="s">
        <v>27</v>
      </c>
      <c r="G1127">
        <v>4</v>
      </c>
      <c r="H1127">
        <v>3464</v>
      </c>
      <c r="I1127" s="1">
        <v>217926</v>
      </c>
      <c r="J1127" s="1">
        <f>Raw_Data!$I1127/Raw_Data!$H1127</f>
        <v>62.911662817551964</v>
      </c>
    </row>
    <row r="1128" spans="1:10" x14ac:dyDescent="0.3">
      <c r="A1128" s="9">
        <v>40363</v>
      </c>
      <c r="B1128" s="2" t="str">
        <f>TEXT(Raw_Data!$A1128, "MMM")</f>
        <v>Jul</v>
      </c>
      <c r="C1128" s="2">
        <f>YEAR(Raw_Data!$A1128)</f>
        <v>2010</v>
      </c>
      <c r="D1128" s="2" t="s">
        <v>1012</v>
      </c>
      <c r="E1128" s="2" t="s">
        <v>23</v>
      </c>
      <c r="F1128" s="2" t="s">
        <v>11</v>
      </c>
      <c r="G1128" s="2">
        <v>3</v>
      </c>
      <c r="H1128" s="2">
        <v>2486</v>
      </c>
      <c r="I1128" s="10">
        <v>616019</v>
      </c>
      <c r="J1128" s="10">
        <f>Raw_Data!$I1128/Raw_Data!$H1128</f>
        <v>247.79525341914723</v>
      </c>
    </row>
    <row r="1129" spans="1:10" x14ac:dyDescent="0.3">
      <c r="A1129" s="8">
        <v>40914</v>
      </c>
      <c r="B1129" t="str">
        <f>TEXT(Raw_Data!$A1129, "MMM")</f>
        <v>Jan</v>
      </c>
      <c r="C1129">
        <f>YEAR(Raw_Data!$A1129)</f>
        <v>2012</v>
      </c>
      <c r="D1129" t="s">
        <v>1013</v>
      </c>
      <c r="E1129" t="s">
        <v>13</v>
      </c>
      <c r="F1129" t="s">
        <v>18</v>
      </c>
      <c r="H1129">
        <v>1302</v>
      </c>
      <c r="I1129" s="1">
        <v>288382</v>
      </c>
      <c r="J1129" s="1">
        <f>Raw_Data!$I1129/Raw_Data!$H1129</f>
        <v>221.49155145929339</v>
      </c>
    </row>
    <row r="1130" spans="1:10" x14ac:dyDescent="0.3">
      <c r="A1130" s="9">
        <v>38637</v>
      </c>
      <c r="B1130" s="2" t="str">
        <f>TEXT(Raw_Data!$A1130, "MMM")</f>
        <v>Oct</v>
      </c>
      <c r="C1130" s="2">
        <f>YEAR(Raw_Data!$A1130)</f>
        <v>2005</v>
      </c>
      <c r="D1130" s="2" t="s">
        <v>54</v>
      </c>
      <c r="E1130" s="2" t="s">
        <v>29</v>
      </c>
      <c r="F1130" s="2" t="s">
        <v>18</v>
      </c>
      <c r="G1130" s="2">
        <v>4</v>
      </c>
      <c r="H1130" s="2">
        <v>2783</v>
      </c>
      <c r="I1130" s="10">
        <v>888202</v>
      </c>
      <c r="J1130" s="10">
        <f>Raw_Data!$I1130/Raw_Data!$H1130</f>
        <v>319.15271289974845</v>
      </c>
    </row>
    <row r="1131" spans="1:10" x14ac:dyDescent="0.3">
      <c r="A1131" s="8">
        <v>36904</v>
      </c>
      <c r="B1131" t="str">
        <f>TEXT(Raw_Data!$A1131, "MMM")</f>
        <v>Jan</v>
      </c>
      <c r="C1131">
        <f>YEAR(Raw_Data!$A1131)</f>
        <v>2001</v>
      </c>
      <c r="D1131" t="s">
        <v>194</v>
      </c>
      <c r="E1131" t="s">
        <v>23</v>
      </c>
      <c r="F1131" t="s">
        <v>16</v>
      </c>
      <c r="G1131">
        <v>3</v>
      </c>
      <c r="H1131">
        <v>866</v>
      </c>
      <c r="I1131" s="1">
        <v>188069</v>
      </c>
      <c r="J1131" s="1">
        <f>Raw_Data!$I1131/Raw_Data!$H1131</f>
        <v>217.16974595842956</v>
      </c>
    </row>
    <row r="1132" spans="1:10" x14ac:dyDescent="0.3">
      <c r="A1132" s="9">
        <v>41849</v>
      </c>
      <c r="B1132" s="2" t="str">
        <f>TEXT(Raw_Data!$A1132, "MMM")</f>
        <v>Jul</v>
      </c>
      <c r="C1132" s="2">
        <f>YEAR(Raw_Data!$A1132)</f>
        <v>2014</v>
      </c>
      <c r="D1132" s="2" t="s">
        <v>1014</v>
      </c>
      <c r="E1132" s="2" t="s">
        <v>15</v>
      </c>
      <c r="F1132" s="2" t="s">
        <v>18</v>
      </c>
      <c r="G1132" s="2">
        <v>4</v>
      </c>
      <c r="H1132" s="2">
        <v>2303</v>
      </c>
      <c r="I1132" s="10">
        <v>646871</v>
      </c>
      <c r="J1132" s="10">
        <f>Raw_Data!$I1132/Raw_Data!$H1132</f>
        <v>280.88189318280502</v>
      </c>
    </row>
    <row r="1133" spans="1:10" x14ac:dyDescent="0.3">
      <c r="A1133" s="8">
        <v>40154</v>
      </c>
      <c r="B1133" t="str">
        <f>TEXT(Raw_Data!$A1133, "MMM")</f>
        <v>Dec</v>
      </c>
      <c r="C1133">
        <f>YEAR(Raw_Data!$A1133)</f>
        <v>2009</v>
      </c>
      <c r="D1133" t="s">
        <v>1015</v>
      </c>
      <c r="E1133" t="s">
        <v>29</v>
      </c>
      <c r="F1133" t="s">
        <v>27</v>
      </c>
      <c r="G1133">
        <v>4</v>
      </c>
      <c r="H1133">
        <v>2024</v>
      </c>
      <c r="I1133" s="1">
        <v>403187</v>
      </c>
      <c r="J1133" s="1">
        <f>Raw_Data!$I1133/Raw_Data!$H1133</f>
        <v>199.20306324110672</v>
      </c>
    </row>
    <row r="1134" spans="1:10" x14ac:dyDescent="0.3">
      <c r="A1134" s="9">
        <v>38864</v>
      </c>
      <c r="B1134" s="2" t="str">
        <f>TEXT(Raw_Data!$A1134, "MMM")</f>
        <v>May</v>
      </c>
      <c r="C1134" s="2">
        <f>YEAR(Raw_Data!$A1134)</f>
        <v>2006</v>
      </c>
      <c r="D1134" s="2" t="s">
        <v>1016</v>
      </c>
      <c r="E1134" s="2" t="s">
        <v>25</v>
      </c>
      <c r="F1134" s="2" t="s">
        <v>11</v>
      </c>
      <c r="G1134" s="2"/>
      <c r="H1134" s="2">
        <v>2743</v>
      </c>
      <c r="I1134" s="10">
        <v>664121</v>
      </c>
      <c r="J1134" s="10">
        <f>Raw_Data!$I1134/Raw_Data!$H1134</f>
        <v>242.11483776886621</v>
      </c>
    </row>
    <row r="1135" spans="1:10" x14ac:dyDescent="0.3">
      <c r="A1135" s="8">
        <v>43706</v>
      </c>
      <c r="B1135" t="str">
        <f>TEXT(Raw_Data!$A1135, "MMM")</f>
        <v>Aug</v>
      </c>
      <c r="C1135">
        <f>YEAR(Raw_Data!$A1135)</f>
        <v>2019</v>
      </c>
      <c r="D1135" t="s">
        <v>1017</v>
      </c>
      <c r="E1135" t="s">
        <v>21</v>
      </c>
      <c r="F1135" t="s">
        <v>16</v>
      </c>
      <c r="G1135">
        <v>2</v>
      </c>
      <c r="H1135">
        <v>1467</v>
      </c>
      <c r="I1135" s="1">
        <v>442811</v>
      </c>
      <c r="J1135" s="1">
        <f>Raw_Data!$I1135/Raw_Data!$H1135</f>
        <v>301.84798909338787</v>
      </c>
    </row>
    <row r="1136" spans="1:10" x14ac:dyDescent="0.3">
      <c r="A1136" s="9">
        <v>44052</v>
      </c>
      <c r="B1136" s="2" t="str">
        <f>TEXT(Raw_Data!$A1136, "MMM")</f>
        <v>Aug</v>
      </c>
      <c r="C1136" s="2">
        <f>YEAR(Raw_Data!$A1136)</f>
        <v>2020</v>
      </c>
      <c r="D1136" s="2" t="s">
        <v>1018</v>
      </c>
      <c r="E1136" s="2" t="s">
        <v>25</v>
      </c>
      <c r="F1136" s="2" t="s">
        <v>27</v>
      </c>
      <c r="G1136" s="2"/>
      <c r="H1136" s="2">
        <v>817</v>
      </c>
      <c r="I1136" s="10">
        <v>530214</v>
      </c>
      <c r="J1136" s="10">
        <f>Raw_Data!$I1136/Raw_Data!$H1136</f>
        <v>648.97674418604652</v>
      </c>
    </row>
    <row r="1137" spans="1:10" x14ac:dyDescent="0.3">
      <c r="A1137" s="8">
        <v>42766</v>
      </c>
      <c r="B1137" t="str">
        <f>TEXT(Raw_Data!$A1137, "MMM")</f>
        <v>Jan</v>
      </c>
      <c r="C1137">
        <f>YEAR(Raw_Data!$A1137)</f>
        <v>2017</v>
      </c>
      <c r="D1137" t="s">
        <v>1019</v>
      </c>
      <c r="E1137" t="s">
        <v>32</v>
      </c>
      <c r="F1137" t="s">
        <v>11</v>
      </c>
      <c r="G1137">
        <v>5</v>
      </c>
      <c r="H1137">
        <v>1686</v>
      </c>
      <c r="I1137" s="1">
        <v>837171</v>
      </c>
      <c r="J1137" s="1">
        <f>Raw_Data!$I1137/Raw_Data!$H1137</f>
        <v>496.54270462633451</v>
      </c>
    </row>
    <row r="1138" spans="1:10" x14ac:dyDescent="0.3">
      <c r="A1138" s="9">
        <v>39708</v>
      </c>
      <c r="B1138" s="2" t="str">
        <f>TEXT(Raw_Data!$A1138, "MMM")</f>
        <v>Sep</v>
      </c>
      <c r="C1138" s="2">
        <f>YEAR(Raw_Data!$A1138)</f>
        <v>2008</v>
      </c>
      <c r="D1138" s="2" t="s">
        <v>1020</v>
      </c>
      <c r="E1138" s="2" t="s">
        <v>15</v>
      </c>
      <c r="F1138" s="2" t="s">
        <v>18</v>
      </c>
      <c r="G1138" s="2"/>
      <c r="H1138" s="2">
        <v>2875</v>
      </c>
      <c r="I1138" s="10">
        <v>338737</v>
      </c>
      <c r="J1138" s="10">
        <f>Raw_Data!$I1138/Raw_Data!$H1138</f>
        <v>117.82156521739131</v>
      </c>
    </row>
    <row r="1139" spans="1:10" x14ac:dyDescent="0.3">
      <c r="A1139" s="8">
        <v>39641</v>
      </c>
      <c r="B1139" t="str">
        <f>TEXT(Raw_Data!$A1139, "MMM")</f>
        <v>Jul</v>
      </c>
      <c r="C1139">
        <f>YEAR(Raw_Data!$A1139)</f>
        <v>2008</v>
      </c>
      <c r="D1139" t="s">
        <v>1021</v>
      </c>
      <c r="E1139" t="s">
        <v>15</v>
      </c>
      <c r="F1139" t="s">
        <v>16</v>
      </c>
      <c r="G1139">
        <v>3</v>
      </c>
      <c r="H1139">
        <v>1805</v>
      </c>
      <c r="I1139" s="1">
        <v>116841</v>
      </c>
      <c r="J1139" s="1">
        <f>Raw_Data!$I1139/Raw_Data!$H1139</f>
        <v>64.731855955678668</v>
      </c>
    </row>
    <row r="1140" spans="1:10" x14ac:dyDescent="0.3">
      <c r="A1140" s="9">
        <v>38875</v>
      </c>
      <c r="B1140" s="2" t="str">
        <f>TEXT(Raw_Data!$A1140, "MMM")</f>
        <v>Jun</v>
      </c>
      <c r="C1140" s="2">
        <f>YEAR(Raw_Data!$A1140)</f>
        <v>2006</v>
      </c>
      <c r="D1140" s="2" t="s">
        <v>1022</v>
      </c>
      <c r="E1140" s="2" t="s">
        <v>15</v>
      </c>
      <c r="F1140" s="2" t="s">
        <v>18</v>
      </c>
      <c r="G1140" s="2">
        <v>3</v>
      </c>
      <c r="H1140" s="2">
        <v>1432</v>
      </c>
      <c r="I1140" s="10">
        <v>452981</v>
      </c>
      <c r="J1140" s="10">
        <f>Raw_Data!$I1140/Raw_Data!$H1140</f>
        <v>316.32751396648047</v>
      </c>
    </row>
    <row r="1141" spans="1:10" x14ac:dyDescent="0.3">
      <c r="A1141" s="8">
        <v>37180</v>
      </c>
      <c r="B1141" t="str">
        <f>TEXT(Raw_Data!$A1141, "MMM")</f>
        <v>Oct</v>
      </c>
      <c r="C1141">
        <f>YEAR(Raw_Data!$A1141)</f>
        <v>2001</v>
      </c>
      <c r="D1141" t="s">
        <v>737</v>
      </c>
      <c r="E1141" t="s">
        <v>15</v>
      </c>
      <c r="F1141" t="s">
        <v>11</v>
      </c>
      <c r="G1141">
        <v>2</v>
      </c>
      <c r="H1141">
        <v>2581</v>
      </c>
      <c r="I1141" s="1">
        <v>176036</v>
      </c>
      <c r="J1141" s="1">
        <f>Raw_Data!$I1141/Raw_Data!$H1141</f>
        <v>68.204571871367691</v>
      </c>
    </row>
    <row r="1142" spans="1:10" x14ac:dyDescent="0.3">
      <c r="A1142" s="9">
        <v>39167</v>
      </c>
      <c r="B1142" s="2" t="str">
        <f>TEXT(Raw_Data!$A1142, "MMM")</f>
        <v>Mar</v>
      </c>
      <c r="C1142" s="2">
        <f>YEAR(Raw_Data!$A1142)</f>
        <v>2007</v>
      </c>
      <c r="D1142" s="2" t="s">
        <v>1023</v>
      </c>
      <c r="E1142" s="2" t="s">
        <v>25</v>
      </c>
      <c r="F1142" s="2" t="s">
        <v>18</v>
      </c>
      <c r="G1142" s="2">
        <v>4</v>
      </c>
      <c r="H1142" s="2">
        <v>973</v>
      </c>
      <c r="I1142" s="10">
        <v>233283</v>
      </c>
      <c r="J1142" s="10">
        <f>Raw_Data!$I1142/Raw_Data!$H1142</f>
        <v>239.75642343268242</v>
      </c>
    </row>
    <row r="1143" spans="1:10" x14ac:dyDescent="0.3">
      <c r="A1143" s="8">
        <v>39029</v>
      </c>
      <c r="B1143" t="str">
        <f>TEXT(Raw_Data!$A1143, "MMM")</f>
        <v>Nov</v>
      </c>
      <c r="C1143">
        <f>YEAR(Raw_Data!$A1143)</f>
        <v>2006</v>
      </c>
      <c r="D1143" t="s">
        <v>1024</v>
      </c>
      <c r="E1143" t="s">
        <v>25</v>
      </c>
      <c r="F1143" t="s">
        <v>11</v>
      </c>
      <c r="G1143">
        <v>5</v>
      </c>
      <c r="H1143">
        <v>1831</v>
      </c>
      <c r="I1143" s="1">
        <v>493433</v>
      </c>
      <c r="J1143" s="1">
        <f>Raw_Data!$I1143/Raw_Data!$H1143</f>
        <v>269.48825778263245</v>
      </c>
    </row>
    <row r="1144" spans="1:10" x14ac:dyDescent="0.3">
      <c r="A1144" s="9">
        <v>38036</v>
      </c>
      <c r="B1144" s="2" t="str">
        <f>TEXT(Raw_Data!$A1144, "MMM")</f>
        <v>Feb</v>
      </c>
      <c r="C1144" s="2">
        <f>YEAR(Raw_Data!$A1144)</f>
        <v>2004</v>
      </c>
      <c r="D1144" s="2" t="s">
        <v>1025</v>
      </c>
      <c r="E1144" s="2" t="s">
        <v>15</v>
      </c>
      <c r="F1144" s="2" t="s">
        <v>27</v>
      </c>
      <c r="G1144" s="2">
        <v>5</v>
      </c>
      <c r="H1144" s="2">
        <v>3207</v>
      </c>
      <c r="I1144" s="10">
        <v>557836</v>
      </c>
      <c r="J1144" s="10">
        <f>Raw_Data!$I1144/Raw_Data!$H1144</f>
        <v>173.94324914250078</v>
      </c>
    </row>
    <row r="1145" spans="1:10" x14ac:dyDescent="0.3">
      <c r="A1145" s="8">
        <v>40451</v>
      </c>
      <c r="B1145" t="str">
        <f>TEXT(Raw_Data!$A1145, "MMM")</f>
        <v>Sep</v>
      </c>
      <c r="C1145">
        <f>YEAR(Raw_Data!$A1145)</f>
        <v>2010</v>
      </c>
      <c r="D1145" t="s">
        <v>1026</v>
      </c>
      <c r="E1145" t="s">
        <v>15</v>
      </c>
      <c r="F1145" t="s">
        <v>27</v>
      </c>
      <c r="H1145">
        <v>1012</v>
      </c>
      <c r="I1145" s="1">
        <v>224605</v>
      </c>
      <c r="J1145" s="1">
        <f>Raw_Data!$I1145/Raw_Data!$H1145</f>
        <v>221.94169960474309</v>
      </c>
    </row>
    <row r="1146" spans="1:10" x14ac:dyDescent="0.3">
      <c r="A1146" s="9">
        <v>41830</v>
      </c>
      <c r="B1146" s="2" t="str">
        <f>TEXT(Raw_Data!$A1146, "MMM")</f>
        <v>Jul</v>
      </c>
      <c r="C1146" s="2">
        <f>YEAR(Raw_Data!$A1146)</f>
        <v>2014</v>
      </c>
      <c r="D1146" s="2" t="s">
        <v>82</v>
      </c>
      <c r="E1146" s="2" t="s">
        <v>25</v>
      </c>
      <c r="F1146" s="2" t="s">
        <v>18</v>
      </c>
      <c r="G1146" s="2">
        <v>2</v>
      </c>
      <c r="H1146" s="2">
        <v>2045</v>
      </c>
      <c r="I1146" s="10">
        <v>617089</v>
      </c>
      <c r="J1146" s="10">
        <f>Raw_Data!$I1146/Raw_Data!$H1146</f>
        <v>301.75501222493887</v>
      </c>
    </row>
    <row r="1147" spans="1:10" x14ac:dyDescent="0.3">
      <c r="A1147" s="8">
        <v>38344</v>
      </c>
      <c r="B1147" t="str">
        <f>TEXT(Raw_Data!$A1147, "MMM")</f>
        <v>Dec</v>
      </c>
      <c r="C1147">
        <f>YEAR(Raw_Data!$A1147)</f>
        <v>2004</v>
      </c>
      <c r="D1147" t="s">
        <v>1027</v>
      </c>
      <c r="E1147" t="s">
        <v>23</v>
      </c>
      <c r="F1147" t="s">
        <v>18</v>
      </c>
      <c r="G1147">
        <v>3</v>
      </c>
      <c r="H1147">
        <v>1784</v>
      </c>
      <c r="I1147" s="1">
        <v>555758</v>
      </c>
      <c r="J1147" s="1">
        <f>Raw_Data!$I1147/Raw_Data!$H1147</f>
        <v>311.52354260089686</v>
      </c>
    </row>
    <row r="1148" spans="1:10" x14ac:dyDescent="0.3">
      <c r="A1148" s="9">
        <v>37618</v>
      </c>
      <c r="B1148" s="2" t="str">
        <f>TEXT(Raw_Data!$A1148, "MMM")</f>
        <v>Dec</v>
      </c>
      <c r="C1148" s="2">
        <f>YEAR(Raw_Data!$A1148)</f>
        <v>2002</v>
      </c>
      <c r="D1148" s="2" t="s">
        <v>1028</v>
      </c>
      <c r="E1148" s="2" t="s">
        <v>21</v>
      </c>
      <c r="F1148" s="2" t="s">
        <v>16</v>
      </c>
      <c r="G1148" s="2">
        <v>3</v>
      </c>
      <c r="H1148" s="2">
        <v>1553</v>
      </c>
      <c r="I1148" s="10">
        <v>115887</v>
      </c>
      <c r="J1148" s="10">
        <f>Raw_Data!$I1148/Raw_Data!$H1148</f>
        <v>74.621377978106892</v>
      </c>
    </row>
    <row r="1149" spans="1:10" x14ac:dyDescent="0.3">
      <c r="A1149" s="8">
        <v>39035</v>
      </c>
      <c r="B1149" t="str">
        <f>TEXT(Raw_Data!$A1149, "MMM")</f>
        <v>Nov</v>
      </c>
      <c r="C1149">
        <f>YEAR(Raw_Data!$A1149)</f>
        <v>2006</v>
      </c>
      <c r="D1149" t="s">
        <v>1029</v>
      </c>
      <c r="E1149" t="s">
        <v>32</v>
      </c>
      <c r="F1149" t="s">
        <v>11</v>
      </c>
      <c r="G1149">
        <v>5</v>
      </c>
      <c r="H1149">
        <v>2768</v>
      </c>
      <c r="I1149" s="1">
        <v>313974</v>
      </c>
      <c r="J1149" s="1">
        <f>Raw_Data!$I1149/Raw_Data!$H1149</f>
        <v>113.42991329479769</v>
      </c>
    </row>
    <row r="1150" spans="1:10" x14ac:dyDescent="0.3">
      <c r="A1150" s="9">
        <v>42838</v>
      </c>
      <c r="B1150" s="2" t="str">
        <f>TEXT(Raw_Data!$A1150, "MMM")</f>
        <v>Apr</v>
      </c>
      <c r="C1150" s="2">
        <f>YEAR(Raw_Data!$A1150)</f>
        <v>2017</v>
      </c>
      <c r="D1150" s="2" t="s">
        <v>1030</v>
      </c>
      <c r="E1150" s="2" t="s">
        <v>25</v>
      </c>
      <c r="F1150" s="2" t="s">
        <v>11</v>
      </c>
      <c r="G1150" s="2">
        <v>4</v>
      </c>
      <c r="H1150" s="2">
        <v>1017</v>
      </c>
      <c r="I1150" s="10">
        <v>530971</v>
      </c>
      <c r="J1150" s="10">
        <f>Raw_Data!$I1150/Raw_Data!$H1150</f>
        <v>522.09537856440511</v>
      </c>
    </row>
    <row r="1151" spans="1:10" x14ac:dyDescent="0.3">
      <c r="A1151" s="8">
        <v>38605</v>
      </c>
      <c r="B1151" t="str">
        <f>TEXT(Raw_Data!$A1151, "MMM")</f>
        <v>Sep</v>
      </c>
      <c r="C1151">
        <f>YEAR(Raw_Data!$A1151)</f>
        <v>2005</v>
      </c>
      <c r="D1151" t="s">
        <v>1031</v>
      </c>
      <c r="E1151" t="s">
        <v>32</v>
      </c>
      <c r="F1151" t="s">
        <v>27</v>
      </c>
      <c r="H1151">
        <v>1380</v>
      </c>
      <c r="I1151" s="1">
        <v>753830</v>
      </c>
      <c r="J1151" s="1">
        <f>Raw_Data!$I1151/Raw_Data!$H1151</f>
        <v>546.25362318840575</v>
      </c>
    </row>
    <row r="1152" spans="1:10" x14ac:dyDescent="0.3">
      <c r="A1152" s="9">
        <v>42542</v>
      </c>
      <c r="B1152" s="2" t="str">
        <f>TEXT(Raw_Data!$A1152, "MMM")</f>
        <v>Jun</v>
      </c>
      <c r="C1152" s="2">
        <f>YEAR(Raw_Data!$A1152)</f>
        <v>2016</v>
      </c>
      <c r="D1152" s="2" t="s">
        <v>1032</v>
      </c>
      <c r="E1152" s="2" t="s">
        <v>21</v>
      </c>
      <c r="F1152" s="2" t="s">
        <v>18</v>
      </c>
      <c r="G1152" s="2"/>
      <c r="H1152" s="2">
        <v>3304</v>
      </c>
      <c r="I1152" s="10">
        <v>711261</v>
      </c>
      <c r="J1152" s="10">
        <f>Raw_Data!$I1152/Raw_Data!$H1152</f>
        <v>215.27269975786925</v>
      </c>
    </row>
    <row r="1153" spans="1:10" x14ac:dyDescent="0.3">
      <c r="A1153" s="8">
        <v>41320</v>
      </c>
      <c r="B1153" t="str">
        <f>TEXT(Raw_Data!$A1153, "MMM")</f>
        <v>Feb</v>
      </c>
      <c r="C1153">
        <f>YEAR(Raw_Data!$A1153)</f>
        <v>2013</v>
      </c>
      <c r="D1153" t="s">
        <v>1033</v>
      </c>
      <c r="E1153" t="s">
        <v>32</v>
      </c>
      <c r="F1153" t="s">
        <v>11</v>
      </c>
      <c r="G1153">
        <v>4</v>
      </c>
      <c r="H1153">
        <v>2713</v>
      </c>
      <c r="I1153" s="1">
        <v>429299</v>
      </c>
      <c r="J1153" s="1">
        <f>Raw_Data!$I1153/Raw_Data!$H1153</f>
        <v>158.2377441946185</v>
      </c>
    </row>
    <row r="1154" spans="1:10" x14ac:dyDescent="0.3">
      <c r="A1154" s="9">
        <v>42073</v>
      </c>
      <c r="B1154" s="2" t="str">
        <f>TEXT(Raw_Data!$A1154, "MMM")</f>
        <v>Mar</v>
      </c>
      <c r="C1154" s="2">
        <f>YEAR(Raw_Data!$A1154)</f>
        <v>2015</v>
      </c>
      <c r="D1154" s="2" t="s">
        <v>1034</v>
      </c>
      <c r="E1154" s="2" t="s">
        <v>32</v>
      </c>
      <c r="F1154" s="2" t="s">
        <v>27</v>
      </c>
      <c r="G1154" s="2">
        <v>4</v>
      </c>
      <c r="H1154" s="2">
        <v>2658</v>
      </c>
      <c r="I1154" s="10">
        <v>784945</v>
      </c>
      <c r="J1154" s="10">
        <f>Raw_Data!$I1154/Raw_Data!$H1154</f>
        <v>295.31414597441687</v>
      </c>
    </row>
    <row r="1155" spans="1:10" x14ac:dyDescent="0.3">
      <c r="A1155" s="8">
        <v>41472</v>
      </c>
      <c r="B1155" t="str">
        <f>TEXT(Raw_Data!$A1155, "MMM")</f>
        <v>Jul</v>
      </c>
      <c r="C1155">
        <f>YEAR(Raw_Data!$A1155)</f>
        <v>2013</v>
      </c>
      <c r="D1155" t="s">
        <v>1035</v>
      </c>
      <c r="E1155" t="s">
        <v>21</v>
      </c>
      <c r="F1155" t="s">
        <v>18</v>
      </c>
      <c r="G1155">
        <v>2</v>
      </c>
      <c r="H1155">
        <v>1629</v>
      </c>
      <c r="I1155" s="1">
        <v>621930</v>
      </c>
      <c r="J1155" s="1">
        <f>Raw_Data!$I1155/Raw_Data!$H1155</f>
        <v>381.78637200736648</v>
      </c>
    </row>
    <row r="1156" spans="1:10" x14ac:dyDescent="0.3">
      <c r="A1156" s="9">
        <v>40858</v>
      </c>
      <c r="B1156" s="2" t="str">
        <f>TEXT(Raw_Data!$A1156, "MMM")</f>
        <v>Nov</v>
      </c>
      <c r="C1156" s="2">
        <f>YEAR(Raw_Data!$A1156)</f>
        <v>2011</v>
      </c>
      <c r="D1156" s="2" t="s">
        <v>1036</v>
      </c>
      <c r="E1156" s="2" t="s">
        <v>25</v>
      </c>
      <c r="F1156" s="2" t="s">
        <v>16</v>
      </c>
      <c r="G1156" s="2">
        <v>5</v>
      </c>
      <c r="H1156" s="2">
        <v>1457</v>
      </c>
      <c r="I1156" s="10">
        <v>263934</v>
      </c>
      <c r="J1156" s="10">
        <f>Raw_Data!$I1156/Raw_Data!$H1156</f>
        <v>181.14893617021278</v>
      </c>
    </row>
    <row r="1157" spans="1:10" x14ac:dyDescent="0.3">
      <c r="A1157" s="8">
        <v>43694</v>
      </c>
      <c r="B1157" t="str">
        <f>TEXT(Raw_Data!$A1157, "MMM")</f>
        <v>Aug</v>
      </c>
      <c r="C1157">
        <f>YEAR(Raw_Data!$A1157)</f>
        <v>2019</v>
      </c>
      <c r="D1157" t="s">
        <v>1037</v>
      </c>
      <c r="E1157" t="s">
        <v>25</v>
      </c>
      <c r="F1157" t="s">
        <v>27</v>
      </c>
      <c r="G1157">
        <v>5</v>
      </c>
      <c r="H1157">
        <v>1161</v>
      </c>
      <c r="I1157" s="1">
        <v>787625</v>
      </c>
      <c r="J1157" s="1">
        <f>Raw_Data!$I1157/Raw_Data!$H1157</f>
        <v>678.40223944875106</v>
      </c>
    </row>
    <row r="1158" spans="1:10" x14ac:dyDescent="0.3">
      <c r="A1158" s="9">
        <v>42976</v>
      </c>
      <c r="B1158" s="2" t="str">
        <f>TEXT(Raw_Data!$A1158, "MMM")</f>
        <v>Aug</v>
      </c>
      <c r="C1158" s="2">
        <f>YEAR(Raw_Data!$A1158)</f>
        <v>2017</v>
      </c>
      <c r="D1158" s="2" t="s">
        <v>1038</v>
      </c>
      <c r="E1158" s="2" t="s">
        <v>13</v>
      </c>
      <c r="F1158" s="2" t="s">
        <v>11</v>
      </c>
      <c r="G1158" s="2"/>
      <c r="H1158" s="2">
        <v>2026</v>
      </c>
      <c r="I1158" s="10">
        <v>287975</v>
      </c>
      <c r="J1158" s="10">
        <f>Raw_Data!$I1158/Raw_Data!$H1158</f>
        <v>142.13968410661403</v>
      </c>
    </row>
    <row r="1159" spans="1:10" x14ac:dyDescent="0.3">
      <c r="A1159" s="8">
        <v>39984</v>
      </c>
      <c r="B1159" t="str">
        <f>TEXT(Raw_Data!$A1159, "MMM")</f>
        <v>Jun</v>
      </c>
      <c r="C1159">
        <f>YEAR(Raw_Data!$A1159)</f>
        <v>2009</v>
      </c>
      <c r="D1159" t="s">
        <v>1039</v>
      </c>
      <c r="E1159" t="s">
        <v>25</v>
      </c>
      <c r="F1159" t="s">
        <v>16</v>
      </c>
      <c r="G1159">
        <v>2</v>
      </c>
      <c r="H1159">
        <v>1348</v>
      </c>
      <c r="I1159" s="1">
        <v>302505</v>
      </c>
      <c r="J1159" s="1">
        <f>Raw_Data!$I1159/Raw_Data!$H1159</f>
        <v>224.41023738872403</v>
      </c>
    </row>
    <row r="1160" spans="1:10" x14ac:dyDescent="0.3">
      <c r="A1160" s="9">
        <v>37923</v>
      </c>
      <c r="B1160" s="2" t="str">
        <f>TEXT(Raw_Data!$A1160, "MMM")</f>
        <v>Oct</v>
      </c>
      <c r="C1160" s="2">
        <f>YEAR(Raw_Data!$A1160)</f>
        <v>2003</v>
      </c>
      <c r="D1160" s="2" t="s">
        <v>377</v>
      </c>
      <c r="E1160" s="2" t="s">
        <v>15</v>
      </c>
      <c r="F1160" s="2" t="s">
        <v>18</v>
      </c>
      <c r="G1160" s="2"/>
      <c r="H1160" s="2">
        <v>964</v>
      </c>
      <c r="I1160" s="10">
        <v>385758</v>
      </c>
      <c r="J1160" s="10">
        <f>Raw_Data!$I1160/Raw_Data!$H1160</f>
        <v>400.16390041493776</v>
      </c>
    </row>
    <row r="1161" spans="1:10" x14ac:dyDescent="0.3">
      <c r="A1161" s="8">
        <v>42727</v>
      </c>
      <c r="B1161" t="str">
        <f>TEXT(Raw_Data!$A1161, "MMM")</f>
        <v>Dec</v>
      </c>
      <c r="C1161">
        <f>YEAR(Raw_Data!$A1161)</f>
        <v>2016</v>
      </c>
      <c r="D1161" t="s">
        <v>1040</v>
      </c>
      <c r="E1161" t="s">
        <v>32</v>
      </c>
      <c r="F1161" t="s">
        <v>18</v>
      </c>
      <c r="G1161">
        <v>5</v>
      </c>
      <c r="H1161">
        <v>2007</v>
      </c>
      <c r="I1161" s="1">
        <v>724094</v>
      </c>
      <c r="J1161" s="1">
        <f>Raw_Data!$I1161/Raw_Data!$H1161</f>
        <v>360.78425510712503</v>
      </c>
    </row>
    <row r="1162" spans="1:10" x14ac:dyDescent="0.3">
      <c r="A1162" s="9">
        <v>42500</v>
      </c>
      <c r="B1162" s="2" t="str">
        <f>TEXT(Raw_Data!$A1162, "MMM")</f>
        <v>May</v>
      </c>
      <c r="C1162" s="2">
        <f>YEAR(Raw_Data!$A1162)</f>
        <v>2016</v>
      </c>
      <c r="D1162" s="2" t="s">
        <v>1041</v>
      </c>
      <c r="E1162" s="2" t="s">
        <v>15</v>
      </c>
      <c r="F1162" s="2" t="s">
        <v>18</v>
      </c>
      <c r="G1162" s="2"/>
      <c r="H1162" s="2">
        <v>1239</v>
      </c>
      <c r="I1162" s="10">
        <v>782467</v>
      </c>
      <c r="J1162" s="10">
        <f>Raw_Data!$I1162/Raw_Data!$H1162</f>
        <v>631.5310734463277</v>
      </c>
    </row>
    <row r="1163" spans="1:10" x14ac:dyDescent="0.3">
      <c r="A1163" s="8">
        <v>42366</v>
      </c>
      <c r="B1163" t="str">
        <f>TEXT(Raw_Data!$A1163, "MMM")</f>
        <v>Dec</v>
      </c>
      <c r="C1163">
        <f>YEAR(Raw_Data!$A1163)</f>
        <v>2015</v>
      </c>
      <c r="D1163" t="s">
        <v>1042</v>
      </c>
      <c r="E1163" t="s">
        <v>32</v>
      </c>
      <c r="F1163" t="s">
        <v>27</v>
      </c>
      <c r="H1163">
        <v>2455</v>
      </c>
      <c r="I1163" s="1">
        <v>896536</v>
      </c>
      <c r="J1163" s="1">
        <f>Raw_Data!$I1163/Raw_Data!$H1163</f>
        <v>365.18778004073317</v>
      </c>
    </row>
    <row r="1164" spans="1:10" x14ac:dyDescent="0.3">
      <c r="A1164" s="9">
        <v>42747</v>
      </c>
      <c r="B1164" s="2" t="str">
        <f>TEXT(Raw_Data!$A1164, "MMM")</f>
        <v>Jan</v>
      </c>
      <c r="C1164" s="2">
        <f>YEAR(Raw_Data!$A1164)</f>
        <v>2017</v>
      </c>
      <c r="D1164" s="2" t="s">
        <v>1043</v>
      </c>
      <c r="E1164" s="2" t="s">
        <v>25</v>
      </c>
      <c r="F1164" s="2" t="s">
        <v>16</v>
      </c>
      <c r="G1164" s="2">
        <v>5</v>
      </c>
      <c r="H1164" s="2">
        <v>1346</v>
      </c>
      <c r="I1164" s="10">
        <v>350762</v>
      </c>
      <c r="J1164" s="10">
        <f>Raw_Data!$I1164/Raw_Data!$H1164</f>
        <v>260.59583952451709</v>
      </c>
    </row>
    <row r="1165" spans="1:10" x14ac:dyDescent="0.3">
      <c r="A1165" s="8">
        <v>40383</v>
      </c>
      <c r="B1165" t="str">
        <f>TEXT(Raw_Data!$A1165, "MMM")</f>
        <v>Jul</v>
      </c>
      <c r="C1165">
        <f>YEAR(Raw_Data!$A1165)</f>
        <v>2010</v>
      </c>
      <c r="D1165" t="s">
        <v>1044</v>
      </c>
      <c r="E1165" t="s">
        <v>15</v>
      </c>
      <c r="F1165" t="s">
        <v>11</v>
      </c>
      <c r="H1165">
        <v>2126</v>
      </c>
      <c r="I1165" s="1">
        <v>471080</v>
      </c>
      <c r="J1165" s="1">
        <f>Raw_Data!$I1165/Raw_Data!$H1165</f>
        <v>221.58043273753529</v>
      </c>
    </row>
    <row r="1166" spans="1:10" x14ac:dyDescent="0.3">
      <c r="A1166" s="9">
        <v>42914</v>
      </c>
      <c r="B1166" s="2" t="str">
        <f>TEXT(Raw_Data!$A1166, "MMM")</f>
        <v>Jun</v>
      </c>
      <c r="C1166" s="2">
        <f>YEAR(Raw_Data!$A1166)</f>
        <v>2017</v>
      </c>
      <c r="D1166" s="2" t="s">
        <v>1045</v>
      </c>
      <c r="E1166" s="2" t="s">
        <v>21</v>
      </c>
      <c r="F1166" s="2" t="s">
        <v>27</v>
      </c>
      <c r="G1166" s="2"/>
      <c r="H1166" s="2">
        <v>952</v>
      </c>
      <c r="I1166" s="10">
        <v>709889</v>
      </c>
      <c r="J1166" s="10">
        <f>Raw_Data!$I1166/Raw_Data!$H1166</f>
        <v>745.68172268907563</v>
      </c>
    </row>
    <row r="1167" spans="1:10" x14ac:dyDescent="0.3">
      <c r="A1167" s="8">
        <v>41456</v>
      </c>
      <c r="B1167" t="str">
        <f>TEXT(Raw_Data!$A1167, "MMM")</f>
        <v>Jul</v>
      </c>
      <c r="C1167">
        <f>YEAR(Raw_Data!$A1167)</f>
        <v>2013</v>
      </c>
      <c r="D1167" t="s">
        <v>1046</v>
      </c>
      <c r="E1167" t="s">
        <v>21</v>
      </c>
      <c r="F1167" t="s">
        <v>27</v>
      </c>
      <c r="G1167">
        <v>5</v>
      </c>
      <c r="H1167">
        <v>2077</v>
      </c>
      <c r="I1167" s="1">
        <v>157926</v>
      </c>
      <c r="J1167" s="1">
        <f>Raw_Data!$I1167/Raw_Data!$H1167</f>
        <v>76.035628310062592</v>
      </c>
    </row>
    <row r="1168" spans="1:10" x14ac:dyDescent="0.3">
      <c r="A1168" s="9">
        <v>41281</v>
      </c>
      <c r="B1168" s="2" t="str">
        <f>TEXT(Raw_Data!$A1168, "MMM")</f>
        <v>Jan</v>
      </c>
      <c r="C1168" s="2">
        <f>YEAR(Raw_Data!$A1168)</f>
        <v>2013</v>
      </c>
      <c r="D1168" s="2" t="s">
        <v>1047</v>
      </c>
      <c r="E1168" s="2" t="s">
        <v>32</v>
      </c>
      <c r="F1168" s="2" t="s">
        <v>18</v>
      </c>
      <c r="G1168" s="2">
        <v>4</v>
      </c>
      <c r="H1168" s="2">
        <v>1162</v>
      </c>
      <c r="I1168" s="10">
        <v>209599</v>
      </c>
      <c r="J1168" s="10">
        <f>Raw_Data!$I1168/Raw_Data!$H1168</f>
        <v>180.37779690189328</v>
      </c>
    </row>
    <row r="1169" spans="1:10" x14ac:dyDescent="0.3">
      <c r="A1169" s="8">
        <v>37892</v>
      </c>
      <c r="B1169" t="str">
        <f>TEXT(Raw_Data!$A1169, "MMM")</f>
        <v>Sep</v>
      </c>
      <c r="C1169">
        <f>YEAR(Raw_Data!$A1169)</f>
        <v>2003</v>
      </c>
      <c r="D1169" t="s">
        <v>1048</v>
      </c>
      <c r="E1169" t="s">
        <v>29</v>
      </c>
      <c r="F1169" t="s">
        <v>11</v>
      </c>
      <c r="G1169">
        <v>4</v>
      </c>
      <c r="H1169">
        <v>952</v>
      </c>
      <c r="I1169" s="1">
        <v>429802</v>
      </c>
      <c r="J1169" s="1">
        <f>Raw_Data!$I1169/Raw_Data!$H1169</f>
        <v>451.47268907563023</v>
      </c>
    </row>
    <row r="1170" spans="1:10" x14ac:dyDescent="0.3">
      <c r="A1170" s="9">
        <v>41239</v>
      </c>
      <c r="B1170" s="2" t="str">
        <f>TEXT(Raw_Data!$A1170, "MMM")</f>
        <v>Nov</v>
      </c>
      <c r="C1170" s="2">
        <f>YEAR(Raw_Data!$A1170)</f>
        <v>2012</v>
      </c>
      <c r="D1170" s="2" t="s">
        <v>1049</v>
      </c>
      <c r="E1170" s="2" t="s">
        <v>15</v>
      </c>
      <c r="F1170" s="2" t="s">
        <v>27</v>
      </c>
      <c r="G1170" s="2">
        <v>2</v>
      </c>
      <c r="H1170" s="2">
        <v>2687</v>
      </c>
      <c r="I1170" s="10">
        <v>320070</v>
      </c>
      <c r="J1170" s="10">
        <f>Raw_Data!$I1170/Raw_Data!$H1170</f>
        <v>119.11797543729065</v>
      </c>
    </row>
    <row r="1171" spans="1:10" x14ac:dyDescent="0.3">
      <c r="A1171" s="8">
        <v>39727</v>
      </c>
      <c r="B1171" t="str">
        <f>TEXT(Raw_Data!$A1171, "MMM")</f>
        <v>Oct</v>
      </c>
      <c r="C1171">
        <f>YEAR(Raw_Data!$A1171)</f>
        <v>2008</v>
      </c>
      <c r="D1171" t="s">
        <v>705</v>
      </c>
      <c r="E1171" t="s">
        <v>23</v>
      </c>
      <c r="F1171" t="s">
        <v>11</v>
      </c>
      <c r="G1171">
        <v>4</v>
      </c>
      <c r="H1171">
        <v>2910</v>
      </c>
      <c r="I1171" s="1">
        <v>252266</v>
      </c>
      <c r="J1171" s="1">
        <f>Raw_Data!$I1171/Raw_Data!$H1171</f>
        <v>86.689347079037802</v>
      </c>
    </row>
    <row r="1172" spans="1:10" x14ac:dyDescent="0.3">
      <c r="A1172" s="9">
        <v>40765</v>
      </c>
      <c r="B1172" s="2" t="str">
        <f>TEXT(Raw_Data!$A1172, "MMM")</f>
        <v>Aug</v>
      </c>
      <c r="C1172" s="2">
        <f>YEAR(Raw_Data!$A1172)</f>
        <v>2011</v>
      </c>
      <c r="D1172" s="2" t="s">
        <v>1050</v>
      </c>
      <c r="E1172" s="2" t="s">
        <v>29</v>
      </c>
      <c r="F1172" s="2" t="s">
        <v>11</v>
      </c>
      <c r="G1172" s="2">
        <v>2</v>
      </c>
      <c r="H1172" s="2">
        <v>3065</v>
      </c>
      <c r="I1172" s="10">
        <v>667078</v>
      </c>
      <c r="J1172" s="10">
        <f>Raw_Data!$I1172/Raw_Data!$H1172</f>
        <v>217.64371941272429</v>
      </c>
    </row>
    <row r="1173" spans="1:10" x14ac:dyDescent="0.3">
      <c r="A1173" s="8">
        <v>44032</v>
      </c>
      <c r="B1173" t="str">
        <f>TEXT(Raw_Data!$A1173, "MMM")</f>
        <v>Jul</v>
      </c>
      <c r="C1173">
        <f>YEAR(Raw_Data!$A1173)</f>
        <v>2020</v>
      </c>
      <c r="D1173" t="s">
        <v>1051</v>
      </c>
      <c r="E1173" t="s">
        <v>29</v>
      </c>
      <c r="F1173" t="s">
        <v>16</v>
      </c>
      <c r="G1173">
        <v>4</v>
      </c>
      <c r="H1173">
        <v>1345</v>
      </c>
      <c r="I1173" s="1">
        <v>327819</v>
      </c>
      <c r="J1173" s="1">
        <f>Raw_Data!$I1173/Raw_Data!$H1173</f>
        <v>243.73159851301116</v>
      </c>
    </row>
    <row r="1174" spans="1:10" x14ac:dyDescent="0.3">
      <c r="A1174" s="9">
        <v>40812</v>
      </c>
      <c r="B1174" s="2" t="str">
        <f>TEXT(Raw_Data!$A1174, "MMM")</f>
        <v>Sep</v>
      </c>
      <c r="C1174" s="2">
        <f>YEAR(Raw_Data!$A1174)</f>
        <v>2011</v>
      </c>
      <c r="D1174" s="2" t="s">
        <v>1052</v>
      </c>
      <c r="E1174" s="2" t="s">
        <v>25</v>
      </c>
      <c r="F1174" s="2" t="s">
        <v>18</v>
      </c>
      <c r="G1174" s="2">
        <v>3</v>
      </c>
      <c r="H1174" s="2">
        <v>2871</v>
      </c>
      <c r="I1174" s="10">
        <v>297723</v>
      </c>
      <c r="J1174" s="10">
        <f>Raw_Data!$I1174/Raw_Data!$H1174</f>
        <v>103.70010449320795</v>
      </c>
    </row>
    <row r="1175" spans="1:10" x14ac:dyDescent="0.3">
      <c r="A1175" s="8">
        <v>37317</v>
      </c>
      <c r="B1175" t="str">
        <f>TEXT(Raw_Data!$A1175, "MMM")</f>
        <v>Mar</v>
      </c>
      <c r="C1175">
        <f>YEAR(Raw_Data!$A1175)</f>
        <v>2002</v>
      </c>
      <c r="D1175" t="s">
        <v>974</v>
      </c>
      <c r="E1175" t="s">
        <v>13</v>
      </c>
      <c r="F1175" t="s">
        <v>11</v>
      </c>
      <c r="G1175">
        <v>2</v>
      </c>
      <c r="H1175">
        <v>2947</v>
      </c>
      <c r="I1175" s="1">
        <v>172073</v>
      </c>
      <c r="J1175" s="1">
        <f>Raw_Data!$I1175/Raw_Data!$H1175</f>
        <v>58.389209365456395</v>
      </c>
    </row>
    <row r="1176" spans="1:10" x14ac:dyDescent="0.3">
      <c r="A1176" s="9">
        <v>42174</v>
      </c>
      <c r="B1176" s="2" t="str">
        <f>TEXT(Raw_Data!$A1176, "MMM")</f>
        <v>Jun</v>
      </c>
      <c r="C1176" s="2">
        <f>YEAR(Raw_Data!$A1176)</f>
        <v>2015</v>
      </c>
      <c r="D1176" s="2" t="s">
        <v>1053</v>
      </c>
      <c r="E1176" s="2" t="s">
        <v>32</v>
      </c>
      <c r="F1176" s="2" t="s">
        <v>27</v>
      </c>
      <c r="G1176" s="2">
        <v>2</v>
      </c>
      <c r="H1176" s="2">
        <v>2384</v>
      </c>
      <c r="I1176" s="10">
        <v>312723</v>
      </c>
      <c r="J1176" s="10">
        <f>Raw_Data!$I1176/Raw_Data!$H1176</f>
        <v>131.17575503355704</v>
      </c>
    </row>
    <row r="1177" spans="1:10" x14ac:dyDescent="0.3">
      <c r="A1177" s="8">
        <v>39021</v>
      </c>
      <c r="B1177" t="str">
        <f>TEXT(Raw_Data!$A1177, "MMM")</f>
        <v>Oct</v>
      </c>
      <c r="C1177">
        <f>YEAR(Raw_Data!$A1177)</f>
        <v>2006</v>
      </c>
      <c r="D1177" t="s">
        <v>1054</v>
      </c>
      <c r="E1177" t="s">
        <v>13</v>
      </c>
      <c r="F1177" t="s">
        <v>18</v>
      </c>
      <c r="G1177">
        <v>3</v>
      </c>
      <c r="H1177">
        <v>3053</v>
      </c>
      <c r="I1177" s="1">
        <v>795680</v>
      </c>
      <c r="J1177" s="1">
        <f>Raw_Data!$I1177/Raw_Data!$H1177</f>
        <v>260.62233868326234</v>
      </c>
    </row>
    <row r="1178" spans="1:10" x14ac:dyDescent="0.3">
      <c r="A1178" s="9">
        <v>41302</v>
      </c>
      <c r="B1178" s="2" t="str">
        <f>TEXT(Raw_Data!$A1178, "MMM")</f>
        <v>Jan</v>
      </c>
      <c r="C1178" s="2">
        <f>YEAR(Raw_Data!$A1178)</f>
        <v>2013</v>
      </c>
      <c r="D1178" s="2" t="s">
        <v>1055</v>
      </c>
      <c r="E1178" s="2" t="s">
        <v>21</v>
      </c>
      <c r="F1178" s="2" t="s">
        <v>16</v>
      </c>
      <c r="G1178" s="2">
        <v>4</v>
      </c>
      <c r="H1178" s="2">
        <v>2083</v>
      </c>
      <c r="I1178" s="10">
        <v>591057</v>
      </c>
      <c r="J1178" s="10">
        <f>Raw_Data!$I1178/Raw_Data!$H1178</f>
        <v>283.75276044167066</v>
      </c>
    </row>
    <row r="1179" spans="1:10" x14ac:dyDescent="0.3">
      <c r="A1179" s="8">
        <v>37316</v>
      </c>
      <c r="B1179" t="str">
        <f>TEXT(Raw_Data!$A1179, "MMM")</f>
        <v>Mar</v>
      </c>
      <c r="C1179">
        <f>YEAR(Raw_Data!$A1179)</f>
        <v>2002</v>
      </c>
      <c r="D1179" t="s">
        <v>359</v>
      </c>
      <c r="E1179" t="s">
        <v>32</v>
      </c>
      <c r="F1179" t="s">
        <v>16</v>
      </c>
      <c r="H1179">
        <v>2827</v>
      </c>
      <c r="I1179" s="1">
        <v>763024</v>
      </c>
      <c r="J1179" s="1">
        <f>Raw_Data!$I1179/Raw_Data!$H1179</f>
        <v>269.90590732224973</v>
      </c>
    </row>
    <row r="1180" spans="1:10" x14ac:dyDescent="0.3">
      <c r="A1180" s="9">
        <v>37947</v>
      </c>
      <c r="B1180" s="2" t="str">
        <f>TEXT(Raw_Data!$A1180, "MMM")</f>
        <v>Nov</v>
      </c>
      <c r="C1180" s="2">
        <f>YEAR(Raw_Data!$A1180)</f>
        <v>2003</v>
      </c>
      <c r="D1180" s="2" t="s">
        <v>1056</v>
      </c>
      <c r="E1180" s="2" t="s">
        <v>32</v>
      </c>
      <c r="F1180" s="2" t="s">
        <v>11</v>
      </c>
      <c r="G1180" s="2"/>
      <c r="H1180" s="2">
        <v>2068</v>
      </c>
      <c r="I1180" s="10">
        <v>493473</v>
      </c>
      <c r="J1180" s="10">
        <f>Raw_Data!$I1180/Raw_Data!$H1180</f>
        <v>238.6233075435203</v>
      </c>
    </row>
    <row r="1181" spans="1:10" x14ac:dyDescent="0.3">
      <c r="A1181" s="8">
        <v>39547</v>
      </c>
      <c r="B1181" t="str">
        <f>TEXT(Raw_Data!$A1181, "MMM")</f>
        <v>Apr</v>
      </c>
      <c r="C1181">
        <f>YEAR(Raw_Data!$A1181)</f>
        <v>2008</v>
      </c>
      <c r="D1181" t="s">
        <v>1057</v>
      </c>
      <c r="E1181" t="s">
        <v>13</v>
      </c>
      <c r="F1181" t="s">
        <v>11</v>
      </c>
      <c r="H1181">
        <v>2187</v>
      </c>
      <c r="I1181" s="1">
        <v>880976</v>
      </c>
      <c r="J1181" s="1">
        <f>Raw_Data!$I1181/Raw_Data!$H1181</f>
        <v>402.82395976223137</v>
      </c>
    </row>
    <row r="1182" spans="1:10" x14ac:dyDescent="0.3">
      <c r="A1182" s="9">
        <v>37934</v>
      </c>
      <c r="B1182" s="2" t="str">
        <f>TEXT(Raw_Data!$A1182, "MMM")</f>
        <v>Nov</v>
      </c>
      <c r="C1182" s="2">
        <f>YEAR(Raw_Data!$A1182)</f>
        <v>2003</v>
      </c>
      <c r="D1182" s="2" t="s">
        <v>1058</v>
      </c>
      <c r="E1182" s="2" t="s">
        <v>32</v>
      </c>
      <c r="F1182" s="2" t="s">
        <v>27</v>
      </c>
      <c r="G1182" s="2">
        <v>2</v>
      </c>
      <c r="H1182" s="2">
        <v>2861</v>
      </c>
      <c r="I1182" s="10">
        <v>755177</v>
      </c>
      <c r="J1182" s="10">
        <f>Raw_Data!$I1182/Raw_Data!$H1182</f>
        <v>263.9556099265991</v>
      </c>
    </row>
    <row r="1183" spans="1:10" x14ac:dyDescent="0.3">
      <c r="A1183" s="8">
        <v>40448</v>
      </c>
      <c r="B1183" t="str">
        <f>TEXT(Raw_Data!$A1183, "MMM")</f>
        <v>Sep</v>
      </c>
      <c r="C1183">
        <f>YEAR(Raw_Data!$A1183)</f>
        <v>2010</v>
      </c>
      <c r="D1183" t="s">
        <v>1059</v>
      </c>
      <c r="E1183" t="s">
        <v>29</v>
      </c>
      <c r="F1183" t="s">
        <v>18</v>
      </c>
      <c r="G1183">
        <v>5</v>
      </c>
      <c r="H1183">
        <v>1430</v>
      </c>
      <c r="I1183" s="1">
        <v>540366</v>
      </c>
      <c r="J1183" s="1">
        <f>Raw_Data!$I1183/Raw_Data!$H1183</f>
        <v>377.8783216783217</v>
      </c>
    </row>
    <row r="1184" spans="1:10" x14ac:dyDescent="0.3">
      <c r="A1184" s="9">
        <v>38420</v>
      </c>
      <c r="B1184" s="2" t="str">
        <f>TEXT(Raw_Data!$A1184, "MMM")</f>
        <v>Mar</v>
      </c>
      <c r="C1184" s="2">
        <f>YEAR(Raw_Data!$A1184)</f>
        <v>2005</v>
      </c>
      <c r="D1184" s="2" t="s">
        <v>1060</v>
      </c>
      <c r="E1184" s="2" t="s">
        <v>32</v>
      </c>
      <c r="F1184" s="2" t="s">
        <v>11</v>
      </c>
      <c r="G1184" s="2"/>
      <c r="H1184" s="2">
        <v>2529</v>
      </c>
      <c r="I1184" s="10">
        <v>360638</v>
      </c>
      <c r="J1184" s="10">
        <f>Raw_Data!$I1184/Raw_Data!$H1184</f>
        <v>142.60102807433768</v>
      </c>
    </row>
    <row r="1185" spans="1:10" x14ac:dyDescent="0.3">
      <c r="A1185" s="8">
        <v>39180</v>
      </c>
      <c r="B1185" t="str">
        <f>TEXT(Raw_Data!$A1185, "MMM")</f>
        <v>Apr</v>
      </c>
      <c r="C1185">
        <f>YEAR(Raw_Data!$A1185)</f>
        <v>2007</v>
      </c>
      <c r="D1185" t="s">
        <v>812</v>
      </c>
      <c r="E1185" t="s">
        <v>21</v>
      </c>
      <c r="F1185" t="s">
        <v>16</v>
      </c>
      <c r="H1185">
        <v>1660</v>
      </c>
      <c r="I1185" s="1">
        <v>240825</v>
      </c>
      <c r="J1185" s="1">
        <f>Raw_Data!$I1185/Raw_Data!$H1185</f>
        <v>145.07530120481928</v>
      </c>
    </row>
    <row r="1186" spans="1:10" x14ac:dyDescent="0.3">
      <c r="A1186" s="9">
        <v>40287</v>
      </c>
      <c r="B1186" s="2" t="str">
        <f>TEXT(Raw_Data!$A1186, "MMM")</f>
        <v>Apr</v>
      </c>
      <c r="C1186" s="2">
        <f>YEAR(Raw_Data!$A1186)</f>
        <v>2010</v>
      </c>
      <c r="D1186" s="2" t="s">
        <v>1061</v>
      </c>
      <c r="E1186" s="2" t="s">
        <v>32</v>
      </c>
      <c r="F1186" s="2" t="s">
        <v>11</v>
      </c>
      <c r="G1186" s="2"/>
      <c r="H1186" s="2">
        <v>2958</v>
      </c>
      <c r="I1186" s="10">
        <v>843807</v>
      </c>
      <c r="J1186" s="10">
        <f>Raw_Data!$I1186/Raw_Data!$H1186</f>
        <v>285.26267748478699</v>
      </c>
    </row>
    <row r="1187" spans="1:10" x14ac:dyDescent="0.3">
      <c r="A1187" s="8">
        <v>44061</v>
      </c>
      <c r="B1187" t="str">
        <f>TEXT(Raw_Data!$A1187, "MMM")</f>
        <v>Aug</v>
      </c>
      <c r="C1187">
        <f>YEAR(Raw_Data!$A1187)</f>
        <v>2020</v>
      </c>
      <c r="D1187" t="s">
        <v>1062</v>
      </c>
      <c r="E1187" t="s">
        <v>13</v>
      </c>
      <c r="F1187" t="s">
        <v>27</v>
      </c>
      <c r="G1187">
        <v>3</v>
      </c>
      <c r="H1187">
        <v>1048</v>
      </c>
      <c r="I1187" s="1">
        <v>644568</v>
      </c>
      <c r="J1187" s="1">
        <f>Raw_Data!$I1187/Raw_Data!$H1187</f>
        <v>615.04580152671758</v>
      </c>
    </row>
    <row r="1188" spans="1:10" x14ac:dyDescent="0.3">
      <c r="A1188" s="9">
        <v>42464</v>
      </c>
      <c r="B1188" s="2" t="str">
        <f>TEXT(Raw_Data!$A1188, "MMM")</f>
        <v>Apr</v>
      </c>
      <c r="C1188" s="2">
        <f>YEAR(Raw_Data!$A1188)</f>
        <v>2016</v>
      </c>
      <c r="D1188" s="2" t="s">
        <v>1063</v>
      </c>
      <c r="E1188" s="2" t="s">
        <v>25</v>
      </c>
      <c r="F1188" s="2" t="s">
        <v>16</v>
      </c>
      <c r="G1188" s="2">
        <v>3</v>
      </c>
      <c r="H1188" s="2">
        <v>2447</v>
      </c>
      <c r="I1188" s="10">
        <v>394350</v>
      </c>
      <c r="J1188" s="10">
        <f>Raw_Data!$I1188/Raw_Data!$H1188</f>
        <v>161.15651818553332</v>
      </c>
    </row>
    <row r="1189" spans="1:10" x14ac:dyDescent="0.3">
      <c r="A1189" s="8">
        <v>41263</v>
      </c>
      <c r="B1189" t="str">
        <f>TEXT(Raw_Data!$A1189, "MMM")</f>
        <v>Dec</v>
      </c>
      <c r="C1189">
        <f>YEAR(Raw_Data!$A1189)</f>
        <v>2012</v>
      </c>
      <c r="D1189" t="s">
        <v>48</v>
      </c>
      <c r="E1189" t="s">
        <v>21</v>
      </c>
      <c r="F1189" t="s">
        <v>16</v>
      </c>
      <c r="H1189">
        <v>1742</v>
      </c>
      <c r="I1189" s="1">
        <v>884135</v>
      </c>
      <c r="J1189" s="1">
        <f>Raw_Data!$I1189/Raw_Data!$H1189</f>
        <v>507.5401836969001</v>
      </c>
    </row>
    <row r="1190" spans="1:10" x14ac:dyDescent="0.3">
      <c r="A1190" s="9">
        <v>41720</v>
      </c>
      <c r="B1190" s="2" t="str">
        <f>TEXT(Raw_Data!$A1190, "MMM")</f>
        <v>Mar</v>
      </c>
      <c r="C1190" s="2">
        <f>YEAR(Raw_Data!$A1190)</f>
        <v>2014</v>
      </c>
      <c r="D1190" s="2" t="s">
        <v>1064</v>
      </c>
      <c r="E1190" s="2" t="s">
        <v>25</v>
      </c>
      <c r="F1190" s="2" t="s">
        <v>27</v>
      </c>
      <c r="G1190" s="2">
        <v>5</v>
      </c>
      <c r="H1190" s="2">
        <v>2928</v>
      </c>
      <c r="I1190" s="10">
        <v>339520</v>
      </c>
      <c r="J1190" s="10">
        <f>Raw_Data!$I1190/Raw_Data!$H1190</f>
        <v>115.95628415300547</v>
      </c>
    </row>
    <row r="1191" spans="1:10" x14ac:dyDescent="0.3">
      <c r="A1191" s="8">
        <v>42027</v>
      </c>
      <c r="B1191" t="str">
        <f>TEXT(Raw_Data!$A1191, "MMM")</f>
        <v>Jan</v>
      </c>
      <c r="C1191">
        <f>YEAR(Raw_Data!$A1191)</f>
        <v>2015</v>
      </c>
      <c r="D1191" t="s">
        <v>1065</v>
      </c>
      <c r="E1191" t="s">
        <v>15</v>
      </c>
      <c r="F1191" t="s">
        <v>16</v>
      </c>
      <c r="H1191">
        <v>2553</v>
      </c>
      <c r="I1191" s="1">
        <v>165557</v>
      </c>
      <c r="J1191" s="1">
        <f>Raw_Data!$I1191/Raw_Data!$H1191</f>
        <v>64.848021934978462</v>
      </c>
    </row>
    <row r="1192" spans="1:10" x14ac:dyDescent="0.3">
      <c r="A1192" s="9">
        <v>43362</v>
      </c>
      <c r="B1192" s="2" t="str">
        <f>TEXT(Raw_Data!$A1192, "MMM")</f>
        <v>Sep</v>
      </c>
      <c r="C1192" s="2">
        <f>YEAR(Raw_Data!$A1192)</f>
        <v>2018</v>
      </c>
      <c r="D1192" s="2" t="s">
        <v>117</v>
      </c>
      <c r="E1192" s="2" t="s">
        <v>32</v>
      </c>
      <c r="F1192" s="2" t="s">
        <v>18</v>
      </c>
      <c r="G1192" s="2">
        <v>2</v>
      </c>
      <c r="H1192" s="2">
        <v>2338</v>
      </c>
      <c r="I1192" s="10">
        <v>351497</v>
      </c>
      <c r="J1192" s="10">
        <f>Raw_Data!$I1192/Raw_Data!$H1192</f>
        <v>150.3408896492729</v>
      </c>
    </row>
    <row r="1193" spans="1:10" x14ac:dyDescent="0.3">
      <c r="A1193" s="8">
        <v>43589</v>
      </c>
      <c r="B1193" t="str">
        <f>TEXT(Raw_Data!$A1193, "MMM")</f>
        <v>May</v>
      </c>
      <c r="C1193">
        <f>YEAR(Raw_Data!$A1193)</f>
        <v>2019</v>
      </c>
      <c r="D1193" t="s">
        <v>964</v>
      </c>
      <c r="E1193" t="s">
        <v>25</v>
      </c>
      <c r="F1193" t="s">
        <v>18</v>
      </c>
      <c r="H1193">
        <v>2088</v>
      </c>
      <c r="I1193" s="1">
        <v>592181</v>
      </c>
      <c r="J1193" s="1">
        <f>Raw_Data!$I1193/Raw_Data!$H1193</f>
        <v>283.61159003831415</v>
      </c>
    </row>
    <row r="1194" spans="1:10" x14ac:dyDescent="0.3">
      <c r="A1194" s="9">
        <v>42066</v>
      </c>
      <c r="B1194" s="2" t="str">
        <f>TEXT(Raw_Data!$A1194, "MMM")</f>
        <v>Mar</v>
      </c>
      <c r="C1194" s="2">
        <f>YEAR(Raw_Data!$A1194)</f>
        <v>2015</v>
      </c>
      <c r="D1194" s="2" t="s">
        <v>1066</v>
      </c>
      <c r="E1194" s="2" t="s">
        <v>15</v>
      </c>
      <c r="F1194" s="2" t="s">
        <v>11</v>
      </c>
      <c r="G1194" s="2">
        <v>5</v>
      </c>
      <c r="H1194" s="2">
        <v>1273</v>
      </c>
      <c r="I1194" s="10">
        <v>810402</v>
      </c>
      <c r="J1194" s="10">
        <f>Raw_Data!$I1194/Raw_Data!$H1194</f>
        <v>636.60801256873526</v>
      </c>
    </row>
    <row r="1195" spans="1:10" x14ac:dyDescent="0.3">
      <c r="A1195" s="8">
        <v>41930</v>
      </c>
      <c r="B1195" t="str">
        <f>TEXT(Raw_Data!$A1195, "MMM")</f>
        <v>Oct</v>
      </c>
      <c r="C1195">
        <f>YEAR(Raw_Data!$A1195)</f>
        <v>2014</v>
      </c>
      <c r="D1195" t="s">
        <v>1067</v>
      </c>
      <c r="E1195" t="s">
        <v>32</v>
      </c>
      <c r="F1195" t="s">
        <v>18</v>
      </c>
      <c r="G1195">
        <v>3</v>
      </c>
      <c r="H1195">
        <v>2038</v>
      </c>
      <c r="I1195" s="1">
        <v>259511</v>
      </c>
      <c r="J1195" s="1">
        <f>Raw_Data!$I1195/Raw_Data!$H1195</f>
        <v>127.3361138370952</v>
      </c>
    </row>
    <row r="1196" spans="1:10" x14ac:dyDescent="0.3">
      <c r="A1196" s="9">
        <v>38101</v>
      </c>
      <c r="B1196" s="2" t="str">
        <f>TEXT(Raw_Data!$A1196, "MMM")</f>
        <v>Apr</v>
      </c>
      <c r="C1196" s="2">
        <f>YEAR(Raw_Data!$A1196)</f>
        <v>2004</v>
      </c>
      <c r="D1196" s="2" t="s">
        <v>1068</v>
      </c>
      <c r="E1196" s="2" t="s">
        <v>23</v>
      </c>
      <c r="F1196" s="2" t="s">
        <v>27</v>
      </c>
      <c r="G1196" s="2">
        <v>4</v>
      </c>
      <c r="H1196" s="2">
        <v>2383</v>
      </c>
      <c r="I1196" s="10">
        <v>545291</v>
      </c>
      <c r="J1196" s="10">
        <f>Raw_Data!$I1196/Raw_Data!$H1196</f>
        <v>228.82543013008814</v>
      </c>
    </row>
    <row r="1197" spans="1:10" x14ac:dyDescent="0.3">
      <c r="A1197" s="8">
        <v>43830</v>
      </c>
      <c r="B1197" t="str">
        <f>TEXT(Raw_Data!$A1197, "MMM")</f>
        <v>Dec</v>
      </c>
      <c r="C1197">
        <f>YEAR(Raw_Data!$A1197)</f>
        <v>2019</v>
      </c>
      <c r="D1197" t="s">
        <v>1069</v>
      </c>
      <c r="E1197" t="s">
        <v>25</v>
      </c>
      <c r="F1197" t="s">
        <v>11</v>
      </c>
      <c r="G1197">
        <v>5</v>
      </c>
      <c r="H1197">
        <v>1961</v>
      </c>
      <c r="I1197" s="1">
        <v>284330</v>
      </c>
      <c r="J1197" s="1">
        <f>Raw_Data!$I1197/Raw_Data!$H1197</f>
        <v>144.99235084140744</v>
      </c>
    </row>
    <row r="1198" spans="1:10" x14ac:dyDescent="0.3">
      <c r="A1198" s="9">
        <v>41863</v>
      </c>
      <c r="B1198" s="2" t="str">
        <f>TEXT(Raw_Data!$A1198, "MMM")</f>
        <v>Aug</v>
      </c>
      <c r="C1198" s="2">
        <f>YEAR(Raw_Data!$A1198)</f>
        <v>2014</v>
      </c>
      <c r="D1198" s="2" t="s">
        <v>1070</v>
      </c>
      <c r="E1198" s="2" t="s">
        <v>29</v>
      </c>
      <c r="F1198" s="2" t="s">
        <v>11</v>
      </c>
      <c r="G1198" s="2"/>
      <c r="H1198" s="2">
        <v>2526</v>
      </c>
      <c r="I1198" s="10">
        <v>870547</v>
      </c>
      <c r="J1198" s="10">
        <f>Raw_Data!$I1198/Raw_Data!$H1198</f>
        <v>344.63460015835312</v>
      </c>
    </row>
    <row r="1199" spans="1:10" x14ac:dyDescent="0.3">
      <c r="A1199" s="8">
        <v>40654</v>
      </c>
      <c r="B1199" t="str">
        <f>TEXT(Raw_Data!$A1199, "MMM")</f>
        <v>Apr</v>
      </c>
      <c r="C1199">
        <f>YEAR(Raw_Data!$A1199)</f>
        <v>2011</v>
      </c>
      <c r="D1199" t="s">
        <v>1071</v>
      </c>
      <c r="E1199" t="s">
        <v>13</v>
      </c>
      <c r="F1199" t="s">
        <v>11</v>
      </c>
      <c r="G1199">
        <v>3</v>
      </c>
      <c r="H1199">
        <v>2427</v>
      </c>
      <c r="I1199" s="1">
        <v>429664</v>
      </c>
      <c r="J1199" s="1">
        <f>Raw_Data!$I1199/Raw_Data!$H1199</f>
        <v>177.03502266172228</v>
      </c>
    </row>
    <row r="1200" spans="1:10" x14ac:dyDescent="0.3">
      <c r="A1200" s="9">
        <v>37439</v>
      </c>
      <c r="B1200" s="2" t="str">
        <f>TEXT(Raw_Data!$A1200, "MMM")</f>
        <v>Jul</v>
      </c>
      <c r="C1200" s="2">
        <f>YEAR(Raw_Data!$A1200)</f>
        <v>2002</v>
      </c>
      <c r="D1200" s="2" t="s">
        <v>1072</v>
      </c>
      <c r="E1200" s="2" t="s">
        <v>29</v>
      </c>
      <c r="F1200" s="2" t="s">
        <v>27</v>
      </c>
      <c r="G1200" s="2">
        <v>4</v>
      </c>
      <c r="H1200" s="2">
        <v>3272</v>
      </c>
      <c r="I1200" s="10">
        <v>220983</v>
      </c>
      <c r="J1200" s="10">
        <f>Raw_Data!$I1200/Raw_Data!$H1200</f>
        <v>67.537591687041569</v>
      </c>
    </row>
    <row r="1201" spans="1:10" x14ac:dyDescent="0.3">
      <c r="A1201" s="8">
        <v>38765</v>
      </c>
      <c r="B1201" t="str">
        <f>TEXT(Raw_Data!$A1201, "MMM")</f>
        <v>Feb</v>
      </c>
      <c r="C1201">
        <f>YEAR(Raw_Data!$A1201)</f>
        <v>2006</v>
      </c>
      <c r="D1201" t="s">
        <v>91</v>
      </c>
      <c r="E1201" t="s">
        <v>15</v>
      </c>
      <c r="F1201" t="s">
        <v>11</v>
      </c>
      <c r="H1201">
        <v>2819</v>
      </c>
      <c r="I1201" s="1">
        <v>397902</v>
      </c>
      <c r="J1201" s="1">
        <f>Raw_Data!$I1201/Raw_Data!$H1201</f>
        <v>141.15005321035829</v>
      </c>
    </row>
    <row r="1202" spans="1:10" x14ac:dyDescent="0.3">
      <c r="A1202" s="9">
        <v>38262</v>
      </c>
      <c r="B1202" s="2" t="str">
        <f>TEXT(Raw_Data!$A1202, "MMM")</f>
        <v>Oct</v>
      </c>
      <c r="C1202" s="2">
        <f>YEAR(Raw_Data!$A1202)</f>
        <v>2004</v>
      </c>
      <c r="D1202" s="2" t="s">
        <v>570</v>
      </c>
      <c r="E1202" s="2" t="s">
        <v>21</v>
      </c>
      <c r="F1202" s="2" t="s">
        <v>27</v>
      </c>
      <c r="G1202" s="2">
        <v>4</v>
      </c>
      <c r="H1202" s="2">
        <v>1202</v>
      </c>
      <c r="I1202" s="10">
        <v>527801</v>
      </c>
      <c r="J1202" s="10">
        <f>Raw_Data!$I1202/Raw_Data!$H1202</f>
        <v>439.10232945091514</v>
      </c>
    </row>
    <row r="1203" spans="1:10" x14ac:dyDescent="0.3">
      <c r="A1203" s="8">
        <v>39280</v>
      </c>
      <c r="B1203" t="str">
        <f>TEXT(Raw_Data!$A1203, "MMM")</f>
        <v>Jul</v>
      </c>
      <c r="C1203">
        <f>YEAR(Raw_Data!$A1203)</f>
        <v>2007</v>
      </c>
      <c r="D1203" t="s">
        <v>1073</v>
      </c>
      <c r="E1203" t="s">
        <v>25</v>
      </c>
      <c r="F1203" t="s">
        <v>18</v>
      </c>
      <c r="G1203">
        <v>5</v>
      </c>
      <c r="H1203">
        <v>3055</v>
      </c>
      <c r="I1203" s="1">
        <v>109458</v>
      </c>
      <c r="J1203" s="1">
        <f>Raw_Data!$I1203/Raw_Data!$H1203</f>
        <v>35.829132569558098</v>
      </c>
    </row>
    <row r="1204" spans="1:10" x14ac:dyDescent="0.3">
      <c r="A1204" s="9">
        <v>38893</v>
      </c>
      <c r="B1204" s="2" t="str">
        <f>TEXT(Raw_Data!$A1204, "MMM")</f>
        <v>Jun</v>
      </c>
      <c r="C1204" s="2">
        <f>YEAR(Raw_Data!$A1204)</f>
        <v>2006</v>
      </c>
      <c r="D1204" s="2" t="s">
        <v>1074</v>
      </c>
      <c r="E1204" s="2" t="s">
        <v>32</v>
      </c>
      <c r="F1204" s="2" t="s">
        <v>16</v>
      </c>
      <c r="G1204" s="2">
        <v>3</v>
      </c>
      <c r="H1204" s="2">
        <v>2288</v>
      </c>
      <c r="I1204" s="10">
        <v>731071</v>
      </c>
      <c r="J1204" s="10">
        <f>Raw_Data!$I1204/Raw_Data!$H1204</f>
        <v>319.52403846153845</v>
      </c>
    </row>
    <row r="1205" spans="1:10" x14ac:dyDescent="0.3">
      <c r="A1205" s="8">
        <v>42291</v>
      </c>
      <c r="B1205" t="str">
        <f>TEXT(Raw_Data!$A1205, "MMM")</f>
        <v>Oct</v>
      </c>
      <c r="C1205">
        <f>YEAR(Raw_Data!$A1205)</f>
        <v>2015</v>
      </c>
      <c r="D1205" t="s">
        <v>1075</v>
      </c>
      <c r="E1205" t="s">
        <v>15</v>
      </c>
      <c r="F1205" t="s">
        <v>11</v>
      </c>
      <c r="H1205">
        <v>3378</v>
      </c>
      <c r="I1205" s="1">
        <v>622158</v>
      </c>
      <c r="J1205" s="1">
        <f>Raw_Data!$I1205/Raw_Data!$H1205</f>
        <v>184.17939609236234</v>
      </c>
    </row>
    <row r="1206" spans="1:10" x14ac:dyDescent="0.3">
      <c r="A1206" s="9">
        <v>38070</v>
      </c>
      <c r="B1206" s="2" t="str">
        <f>TEXT(Raw_Data!$A1206, "MMM")</f>
        <v>Mar</v>
      </c>
      <c r="C1206" s="2">
        <f>YEAR(Raw_Data!$A1206)</f>
        <v>2004</v>
      </c>
      <c r="D1206" s="2" t="s">
        <v>1076</v>
      </c>
      <c r="E1206" s="2" t="s">
        <v>32</v>
      </c>
      <c r="F1206" s="2" t="s">
        <v>16</v>
      </c>
      <c r="G1206" s="2">
        <v>3</v>
      </c>
      <c r="H1206" s="2">
        <v>3324</v>
      </c>
      <c r="I1206" s="10">
        <v>853013</v>
      </c>
      <c r="J1206" s="10">
        <f>Raw_Data!$I1206/Raw_Data!$H1206</f>
        <v>256.62244283995187</v>
      </c>
    </row>
    <row r="1207" spans="1:10" x14ac:dyDescent="0.3">
      <c r="A1207" s="8">
        <v>37160</v>
      </c>
      <c r="B1207" t="str">
        <f>TEXT(Raw_Data!$A1207, "MMM")</f>
        <v>Sep</v>
      </c>
      <c r="C1207">
        <f>YEAR(Raw_Data!$A1207)</f>
        <v>2001</v>
      </c>
      <c r="D1207" t="s">
        <v>146</v>
      </c>
      <c r="E1207" t="s">
        <v>15</v>
      </c>
      <c r="F1207" t="s">
        <v>11</v>
      </c>
      <c r="H1207">
        <v>3323</v>
      </c>
      <c r="I1207" s="1">
        <v>619008</v>
      </c>
      <c r="J1207" s="1">
        <f>Raw_Data!$I1207/Raw_Data!$H1207</f>
        <v>186.27986758952753</v>
      </c>
    </row>
    <row r="1208" spans="1:10" x14ac:dyDescent="0.3">
      <c r="A1208" s="9">
        <v>41625</v>
      </c>
      <c r="B1208" s="2" t="str">
        <f>TEXT(Raw_Data!$A1208, "MMM")</f>
        <v>Dec</v>
      </c>
      <c r="C1208" s="2">
        <f>YEAR(Raw_Data!$A1208)</f>
        <v>2013</v>
      </c>
      <c r="D1208" s="2" t="s">
        <v>1077</v>
      </c>
      <c r="E1208" s="2" t="s">
        <v>32</v>
      </c>
      <c r="F1208" s="2" t="s">
        <v>18</v>
      </c>
      <c r="G1208" s="2">
        <v>2</v>
      </c>
      <c r="H1208" s="2">
        <v>1152</v>
      </c>
      <c r="I1208" s="10">
        <v>208051</v>
      </c>
      <c r="J1208" s="10">
        <f>Raw_Data!$I1208/Raw_Data!$H1208</f>
        <v>180.59982638888889</v>
      </c>
    </row>
    <row r="1209" spans="1:10" x14ac:dyDescent="0.3">
      <c r="A1209" s="8">
        <v>38108</v>
      </c>
      <c r="B1209" t="str">
        <f>TEXT(Raw_Data!$A1209, "MMM")</f>
        <v>May</v>
      </c>
      <c r="C1209">
        <f>YEAR(Raw_Data!$A1209)</f>
        <v>2004</v>
      </c>
      <c r="D1209" t="s">
        <v>1078</v>
      </c>
      <c r="E1209" t="s">
        <v>15</v>
      </c>
      <c r="F1209" t="s">
        <v>11</v>
      </c>
      <c r="H1209">
        <v>3373</v>
      </c>
      <c r="I1209" s="1">
        <v>143645</v>
      </c>
      <c r="J1209" s="1">
        <f>Raw_Data!$I1209/Raw_Data!$H1209</f>
        <v>42.586718055143791</v>
      </c>
    </row>
    <row r="1210" spans="1:10" x14ac:dyDescent="0.3">
      <c r="A1210" s="9">
        <v>40758</v>
      </c>
      <c r="B1210" s="2" t="str">
        <f>TEXT(Raw_Data!$A1210, "MMM")</f>
        <v>Aug</v>
      </c>
      <c r="C1210" s="2">
        <f>YEAR(Raw_Data!$A1210)</f>
        <v>2011</v>
      </c>
      <c r="D1210" s="2" t="s">
        <v>1079</v>
      </c>
      <c r="E1210" s="2" t="s">
        <v>23</v>
      </c>
      <c r="F1210" s="2" t="s">
        <v>16</v>
      </c>
      <c r="G1210" s="2">
        <v>5</v>
      </c>
      <c r="H1210" s="2">
        <v>1704</v>
      </c>
      <c r="I1210" s="10">
        <v>688430</v>
      </c>
      <c r="J1210" s="10">
        <f>Raw_Data!$I1210/Raw_Data!$H1210</f>
        <v>404.00821596244134</v>
      </c>
    </row>
    <row r="1211" spans="1:10" x14ac:dyDescent="0.3">
      <c r="A1211" s="8">
        <v>42155</v>
      </c>
      <c r="B1211" t="str">
        <f>TEXT(Raw_Data!$A1211, "MMM")</f>
        <v>May</v>
      </c>
      <c r="C1211">
        <f>YEAR(Raw_Data!$A1211)</f>
        <v>2015</v>
      </c>
      <c r="D1211" t="s">
        <v>1080</v>
      </c>
      <c r="E1211" t="s">
        <v>29</v>
      </c>
      <c r="F1211" t="s">
        <v>11</v>
      </c>
      <c r="G1211">
        <v>5</v>
      </c>
      <c r="H1211">
        <v>2830</v>
      </c>
      <c r="I1211" s="1">
        <v>287446</v>
      </c>
      <c r="J1211" s="1">
        <f>Raw_Data!$I1211/Raw_Data!$H1211</f>
        <v>101.57102473498233</v>
      </c>
    </row>
    <row r="1212" spans="1:10" x14ac:dyDescent="0.3">
      <c r="A1212" s="9">
        <v>38603</v>
      </c>
      <c r="B1212" s="2" t="str">
        <f>TEXT(Raw_Data!$A1212, "MMM")</f>
        <v>Sep</v>
      </c>
      <c r="C1212" s="2">
        <f>YEAR(Raw_Data!$A1212)</f>
        <v>2005</v>
      </c>
      <c r="D1212" s="2" t="s">
        <v>221</v>
      </c>
      <c r="E1212" s="2" t="s">
        <v>29</v>
      </c>
      <c r="F1212" s="2" t="s">
        <v>27</v>
      </c>
      <c r="G1212" s="2"/>
      <c r="H1212" s="2">
        <v>3447</v>
      </c>
      <c r="I1212" s="10">
        <v>272051</v>
      </c>
      <c r="J1212" s="10">
        <f>Raw_Data!$I1212/Raw_Data!$H1212</f>
        <v>78.923991876994492</v>
      </c>
    </row>
    <row r="1213" spans="1:10" x14ac:dyDescent="0.3">
      <c r="A1213" s="8">
        <v>42600</v>
      </c>
      <c r="B1213" t="str">
        <f>TEXT(Raw_Data!$A1213, "MMM")</f>
        <v>Aug</v>
      </c>
      <c r="C1213">
        <f>YEAR(Raw_Data!$A1213)</f>
        <v>2016</v>
      </c>
      <c r="D1213" t="s">
        <v>1081</v>
      </c>
      <c r="E1213" t="s">
        <v>13</v>
      </c>
      <c r="F1213" t="s">
        <v>27</v>
      </c>
      <c r="H1213">
        <v>857</v>
      </c>
      <c r="I1213" s="1">
        <v>701721</v>
      </c>
      <c r="J1213" s="1">
        <f>Raw_Data!$I1213/Raw_Data!$H1213</f>
        <v>818.81096849474909</v>
      </c>
    </row>
    <row r="1214" spans="1:10" x14ac:dyDescent="0.3">
      <c r="A1214" s="9">
        <v>43249</v>
      </c>
      <c r="B1214" s="2" t="str">
        <f>TEXT(Raw_Data!$A1214, "MMM")</f>
        <v>May</v>
      </c>
      <c r="C1214" s="2">
        <f>YEAR(Raw_Data!$A1214)</f>
        <v>2018</v>
      </c>
      <c r="D1214" s="2" t="s">
        <v>759</v>
      </c>
      <c r="E1214" s="2" t="s">
        <v>32</v>
      </c>
      <c r="F1214" s="2" t="s">
        <v>27</v>
      </c>
      <c r="G1214" s="2"/>
      <c r="H1214" s="2">
        <v>2895</v>
      </c>
      <c r="I1214" s="10">
        <v>726167</v>
      </c>
      <c r="J1214" s="10">
        <f>Raw_Data!$I1214/Raw_Data!$H1214</f>
        <v>250.83488773747843</v>
      </c>
    </row>
    <row r="1215" spans="1:10" x14ac:dyDescent="0.3">
      <c r="A1215" s="8">
        <v>41495</v>
      </c>
      <c r="B1215" t="str">
        <f>TEXT(Raw_Data!$A1215, "MMM")</f>
        <v>Aug</v>
      </c>
      <c r="C1215">
        <f>YEAR(Raw_Data!$A1215)</f>
        <v>2013</v>
      </c>
      <c r="D1215" t="s">
        <v>379</v>
      </c>
      <c r="E1215" t="s">
        <v>32</v>
      </c>
      <c r="F1215" t="s">
        <v>18</v>
      </c>
      <c r="G1215">
        <v>2</v>
      </c>
      <c r="H1215">
        <v>2845</v>
      </c>
      <c r="I1215" s="1">
        <v>834770</v>
      </c>
      <c r="J1215" s="1">
        <f>Raw_Data!$I1215/Raw_Data!$H1215</f>
        <v>293.41652021089629</v>
      </c>
    </row>
    <row r="1216" spans="1:10" x14ac:dyDescent="0.3">
      <c r="A1216" s="9">
        <v>39383</v>
      </c>
      <c r="B1216" s="2" t="str">
        <f>TEXT(Raw_Data!$A1216, "MMM")</f>
        <v>Oct</v>
      </c>
      <c r="C1216" s="2">
        <f>YEAR(Raw_Data!$A1216)</f>
        <v>2007</v>
      </c>
      <c r="D1216" s="2" t="s">
        <v>903</v>
      </c>
      <c r="E1216" s="2" t="s">
        <v>15</v>
      </c>
      <c r="F1216" s="2" t="s">
        <v>11</v>
      </c>
      <c r="G1216" s="2">
        <v>3</v>
      </c>
      <c r="H1216" s="2">
        <v>1713</v>
      </c>
      <c r="I1216" s="10">
        <v>258639</v>
      </c>
      <c r="J1216" s="10">
        <f>Raw_Data!$I1216/Raw_Data!$H1216</f>
        <v>150.9859894921191</v>
      </c>
    </row>
    <row r="1217" spans="1:10" x14ac:dyDescent="0.3">
      <c r="A1217" s="8">
        <v>44159</v>
      </c>
      <c r="B1217" t="str">
        <f>TEXT(Raw_Data!$A1217, "MMM")</f>
        <v>Nov</v>
      </c>
      <c r="C1217">
        <f>YEAR(Raw_Data!$A1217)</f>
        <v>2020</v>
      </c>
      <c r="D1217" t="s">
        <v>744</v>
      </c>
      <c r="E1217" t="s">
        <v>29</v>
      </c>
      <c r="F1217" t="s">
        <v>16</v>
      </c>
      <c r="G1217">
        <v>3</v>
      </c>
      <c r="H1217">
        <v>889</v>
      </c>
      <c r="I1217" s="1">
        <v>548401</v>
      </c>
      <c r="J1217" s="1">
        <f>Raw_Data!$I1217/Raw_Data!$H1217</f>
        <v>616.87401574803152</v>
      </c>
    </row>
    <row r="1218" spans="1:10" x14ac:dyDescent="0.3">
      <c r="A1218" s="9">
        <v>40467</v>
      </c>
      <c r="B1218" s="2" t="str">
        <f>TEXT(Raw_Data!$A1218, "MMM")</f>
        <v>Oct</v>
      </c>
      <c r="C1218" s="2">
        <f>YEAR(Raw_Data!$A1218)</f>
        <v>2010</v>
      </c>
      <c r="D1218" s="2" t="s">
        <v>857</v>
      </c>
      <c r="E1218" s="2" t="s">
        <v>21</v>
      </c>
      <c r="F1218" s="2" t="s">
        <v>16</v>
      </c>
      <c r="G1218" s="2">
        <v>2</v>
      </c>
      <c r="H1218" s="2">
        <v>2428</v>
      </c>
      <c r="I1218" s="10">
        <v>703435</v>
      </c>
      <c r="J1218" s="10">
        <f>Raw_Data!$I1218/Raw_Data!$H1218</f>
        <v>289.71787479406919</v>
      </c>
    </row>
    <row r="1219" spans="1:10" x14ac:dyDescent="0.3">
      <c r="A1219" s="8">
        <v>37409</v>
      </c>
      <c r="B1219" t="str">
        <f>TEXT(Raw_Data!$A1219, "MMM")</f>
        <v>Jun</v>
      </c>
      <c r="C1219">
        <f>YEAR(Raw_Data!$A1219)</f>
        <v>2002</v>
      </c>
      <c r="D1219" t="s">
        <v>1082</v>
      </c>
      <c r="E1219" t="s">
        <v>21</v>
      </c>
      <c r="F1219" t="s">
        <v>16</v>
      </c>
      <c r="H1219">
        <v>2892</v>
      </c>
      <c r="I1219" s="1">
        <v>204646</v>
      </c>
      <c r="J1219" s="1">
        <f>Raw_Data!$I1219/Raw_Data!$H1219</f>
        <v>70.762793914246203</v>
      </c>
    </row>
    <row r="1220" spans="1:10" x14ac:dyDescent="0.3">
      <c r="A1220" s="9">
        <v>39825</v>
      </c>
      <c r="B1220" s="2" t="str">
        <f>TEXT(Raw_Data!$A1220, "MMM")</f>
        <v>Jan</v>
      </c>
      <c r="C1220" s="2">
        <f>YEAR(Raw_Data!$A1220)</f>
        <v>2009</v>
      </c>
      <c r="D1220" s="2" t="s">
        <v>1083</v>
      </c>
      <c r="E1220" s="2" t="s">
        <v>21</v>
      </c>
      <c r="F1220" s="2" t="s">
        <v>11</v>
      </c>
      <c r="G1220" s="2"/>
      <c r="H1220" s="2">
        <v>2303</v>
      </c>
      <c r="I1220" s="10">
        <v>519967</v>
      </c>
      <c r="J1220" s="10">
        <f>Raw_Data!$I1220/Raw_Data!$H1220</f>
        <v>225.77811550151975</v>
      </c>
    </row>
    <row r="1221" spans="1:10" x14ac:dyDescent="0.3">
      <c r="A1221" s="8">
        <v>38231</v>
      </c>
      <c r="B1221" t="str">
        <f>TEXT(Raw_Data!$A1221, "MMM")</f>
        <v>Sep</v>
      </c>
      <c r="C1221">
        <f>YEAR(Raw_Data!$A1221)</f>
        <v>2004</v>
      </c>
      <c r="D1221" t="s">
        <v>1084</v>
      </c>
      <c r="E1221" t="s">
        <v>15</v>
      </c>
      <c r="F1221" t="s">
        <v>11</v>
      </c>
      <c r="G1221">
        <v>3</v>
      </c>
      <c r="H1221">
        <v>1378</v>
      </c>
      <c r="I1221" s="1">
        <v>217155</v>
      </c>
      <c r="J1221" s="1">
        <f>Raw_Data!$I1221/Raw_Data!$H1221</f>
        <v>157.58708272859215</v>
      </c>
    </row>
    <row r="1222" spans="1:10" x14ac:dyDescent="0.3">
      <c r="A1222" s="9">
        <v>43857</v>
      </c>
      <c r="B1222" s="2" t="str">
        <f>TEXT(Raw_Data!$A1222, "MMM")</f>
        <v>Jan</v>
      </c>
      <c r="C1222" s="2">
        <f>YEAR(Raw_Data!$A1222)</f>
        <v>2020</v>
      </c>
      <c r="D1222" s="2" t="s">
        <v>1085</v>
      </c>
      <c r="E1222" s="2" t="s">
        <v>25</v>
      </c>
      <c r="F1222" s="2" t="s">
        <v>27</v>
      </c>
      <c r="G1222" s="2"/>
      <c r="H1222" s="2">
        <v>1866</v>
      </c>
      <c r="I1222" s="10">
        <v>399335</v>
      </c>
      <c r="J1222" s="10">
        <f>Raw_Data!$I1222/Raw_Data!$H1222</f>
        <v>214.00589496248659</v>
      </c>
    </row>
    <row r="1223" spans="1:10" x14ac:dyDescent="0.3">
      <c r="A1223" s="8">
        <v>37328</v>
      </c>
      <c r="B1223" t="str">
        <f>TEXT(Raw_Data!$A1223, "MMM")</f>
        <v>Mar</v>
      </c>
      <c r="C1223">
        <f>YEAR(Raw_Data!$A1223)</f>
        <v>2002</v>
      </c>
      <c r="D1223" t="s">
        <v>1086</v>
      </c>
      <c r="E1223" t="s">
        <v>13</v>
      </c>
      <c r="F1223" t="s">
        <v>18</v>
      </c>
      <c r="H1223">
        <v>2803</v>
      </c>
      <c r="I1223" s="1">
        <v>719619</v>
      </c>
      <c r="J1223" s="1">
        <f>Raw_Data!$I1223/Raw_Data!$H1223</f>
        <v>256.73171601855154</v>
      </c>
    </row>
    <row r="1224" spans="1:10" x14ac:dyDescent="0.3">
      <c r="A1224" s="9">
        <v>43427</v>
      </c>
      <c r="B1224" s="2" t="str">
        <f>TEXT(Raw_Data!$A1224, "MMM")</f>
        <v>Nov</v>
      </c>
      <c r="C1224" s="2">
        <f>YEAR(Raw_Data!$A1224)</f>
        <v>2018</v>
      </c>
      <c r="D1224" s="2" t="s">
        <v>1087</v>
      </c>
      <c r="E1224" s="2" t="s">
        <v>13</v>
      </c>
      <c r="F1224" s="2" t="s">
        <v>18</v>
      </c>
      <c r="G1224" s="2">
        <v>2</v>
      </c>
      <c r="H1224" s="2">
        <v>1959</v>
      </c>
      <c r="I1224" s="10">
        <v>779216</v>
      </c>
      <c r="J1224" s="10">
        <f>Raw_Data!$I1224/Raw_Data!$H1224</f>
        <v>397.76212353241448</v>
      </c>
    </row>
    <row r="1225" spans="1:10" x14ac:dyDescent="0.3">
      <c r="A1225" s="8">
        <v>41680</v>
      </c>
      <c r="B1225" t="str">
        <f>TEXT(Raw_Data!$A1225, "MMM")</f>
        <v>Feb</v>
      </c>
      <c r="C1225">
        <f>YEAR(Raw_Data!$A1225)</f>
        <v>2014</v>
      </c>
      <c r="D1225" t="s">
        <v>1088</v>
      </c>
      <c r="E1225" t="s">
        <v>25</v>
      </c>
      <c r="F1225" t="s">
        <v>16</v>
      </c>
      <c r="G1225">
        <v>4</v>
      </c>
      <c r="H1225">
        <v>1366</v>
      </c>
      <c r="I1225" s="1">
        <v>570843</v>
      </c>
      <c r="J1225" s="1">
        <f>Raw_Data!$I1225/Raw_Data!$H1225</f>
        <v>417.89385065885796</v>
      </c>
    </row>
    <row r="1226" spans="1:10" x14ac:dyDescent="0.3">
      <c r="A1226" s="9">
        <v>38320</v>
      </c>
      <c r="B1226" s="2" t="str">
        <f>TEXT(Raw_Data!$A1226, "MMM")</f>
        <v>Nov</v>
      </c>
      <c r="C1226" s="2">
        <f>YEAR(Raw_Data!$A1226)</f>
        <v>2004</v>
      </c>
      <c r="D1226" s="2" t="s">
        <v>1089</v>
      </c>
      <c r="E1226" s="2" t="s">
        <v>15</v>
      </c>
      <c r="F1226" s="2" t="s">
        <v>27</v>
      </c>
      <c r="G1226" s="2"/>
      <c r="H1226" s="2">
        <v>3122</v>
      </c>
      <c r="I1226" s="10">
        <v>636995</v>
      </c>
      <c r="J1226" s="10">
        <f>Raw_Data!$I1226/Raw_Data!$H1226</f>
        <v>204.0342729019859</v>
      </c>
    </row>
    <row r="1227" spans="1:10" x14ac:dyDescent="0.3">
      <c r="A1227" s="8">
        <v>42850</v>
      </c>
      <c r="B1227" t="str">
        <f>TEXT(Raw_Data!$A1227, "MMM")</f>
        <v>Apr</v>
      </c>
      <c r="C1227">
        <f>YEAR(Raw_Data!$A1227)</f>
        <v>2017</v>
      </c>
      <c r="D1227" t="s">
        <v>929</v>
      </c>
      <c r="E1227" t="s">
        <v>15</v>
      </c>
      <c r="F1227" t="s">
        <v>16</v>
      </c>
      <c r="G1227">
        <v>2</v>
      </c>
      <c r="H1227">
        <v>3445</v>
      </c>
      <c r="I1227" s="1">
        <v>178428</v>
      </c>
      <c r="J1227" s="1">
        <f>Raw_Data!$I1227/Raw_Data!$H1227</f>
        <v>51.793323657474602</v>
      </c>
    </row>
    <row r="1228" spans="1:10" x14ac:dyDescent="0.3">
      <c r="A1228" s="9">
        <v>40242</v>
      </c>
      <c r="B1228" s="2" t="str">
        <f>TEXT(Raw_Data!$A1228, "MMM")</f>
        <v>Mar</v>
      </c>
      <c r="C1228" s="2">
        <f>YEAR(Raw_Data!$A1228)</f>
        <v>2010</v>
      </c>
      <c r="D1228" s="2" t="s">
        <v>202</v>
      </c>
      <c r="E1228" s="2" t="s">
        <v>13</v>
      </c>
      <c r="F1228" s="2" t="s">
        <v>18</v>
      </c>
      <c r="G1228" s="2"/>
      <c r="H1228" s="2">
        <v>1339</v>
      </c>
      <c r="I1228" s="10">
        <v>478349</v>
      </c>
      <c r="J1228" s="10">
        <f>Raw_Data!$I1228/Raw_Data!$H1228</f>
        <v>357.24346527259149</v>
      </c>
    </row>
    <row r="1229" spans="1:10" x14ac:dyDescent="0.3">
      <c r="A1229" s="8">
        <v>40764</v>
      </c>
      <c r="B1229" t="str">
        <f>TEXT(Raw_Data!$A1229, "MMM")</f>
        <v>Aug</v>
      </c>
      <c r="C1229">
        <f>YEAR(Raw_Data!$A1229)</f>
        <v>2011</v>
      </c>
      <c r="D1229" t="s">
        <v>1090</v>
      </c>
      <c r="E1229" t="s">
        <v>32</v>
      </c>
      <c r="F1229" t="s">
        <v>11</v>
      </c>
      <c r="H1229">
        <v>3290</v>
      </c>
      <c r="I1229" s="1">
        <v>583828</v>
      </c>
      <c r="J1229" s="1">
        <f>Raw_Data!$I1229/Raw_Data!$H1229</f>
        <v>177.45531914893618</v>
      </c>
    </row>
    <row r="1230" spans="1:10" x14ac:dyDescent="0.3">
      <c r="A1230" s="9">
        <v>38573</v>
      </c>
      <c r="B1230" s="2" t="str">
        <f>TEXT(Raw_Data!$A1230, "MMM")</f>
        <v>Aug</v>
      </c>
      <c r="C1230" s="2">
        <f>YEAR(Raw_Data!$A1230)</f>
        <v>2005</v>
      </c>
      <c r="D1230" s="2" t="s">
        <v>1091</v>
      </c>
      <c r="E1230" s="2" t="s">
        <v>25</v>
      </c>
      <c r="F1230" s="2" t="s">
        <v>16</v>
      </c>
      <c r="G1230" s="2">
        <v>2</v>
      </c>
      <c r="H1230" s="2">
        <v>2024</v>
      </c>
      <c r="I1230" s="10">
        <v>839587</v>
      </c>
      <c r="J1230" s="10">
        <f>Raw_Data!$I1230/Raw_Data!$H1230</f>
        <v>414.81571146245057</v>
      </c>
    </row>
    <row r="1231" spans="1:10" x14ac:dyDescent="0.3">
      <c r="A1231" s="8">
        <v>41006</v>
      </c>
      <c r="B1231" t="str">
        <f>TEXT(Raw_Data!$A1231, "MMM")</f>
        <v>Apr</v>
      </c>
      <c r="C1231">
        <f>YEAR(Raw_Data!$A1231)</f>
        <v>2012</v>
      </c>
      <c r="D1231" t="s">
        <v>1092</v>
      </c>
      <c r="E1231" t="s">
        <v>23</v>
      </c>
      <c r="F1231" t="s">
        <v>27</v>
      </c>
      <c r="H1231">
        <v>2220</v>
      </c>
      <c r="I1231" s="1">
        <v>616624</v>
      </c>
      <c r="J1231" s="1">
        <f>Raw_Data!$I1231/Raw_Data!$H1231</f>
        <v>277.75855855855855</v>
      </c>
    </row>
    <row r="1232" spans="1:10" x14ac:dyDescent="0.3">
      <c r="A1232" s="9">
        <v>39580</v>
      </c>
      <c r="B1232" s="2" t="str">
        <f>TEXT(Raw_Data!$A1232, "MMM")</f>
        <v>May</v>
      </c>
      <c r="C1232" s="2">
        <f>YEAR(Raw_Data!$A1232)</f>
        <v>2008</v>
      </c>
      <c r="D1232" s="2" t="s">
        <v>416</v>
      </c>
      <c r="E1232" s="2" t="s">
        <v>25</v>
      </c>
      <c r="F1232" s="2" t="s">
        <v>16</v>
      </c>
      <c r="G1232" s="2">
        <v>3</v>
      </c>
      <c r="H1232" s="2">
        <v>2697</v>
      </c>
      <c r="I1232" s="10">
        <v>575992</v>
      </c>
      <c r="J1232" s="10">
        <f>Raw_Data!$I1232/Raw_Data!$H1232</f>
        <v>213.56766777901373</v>
      </c>
    </row>
    <row r="1233" spans="1:10" x14ac:dyDescent="0.3">
      <c r="A1233" s="8">
        <v>37700</v>
      </c>
      <c r="B1233" t="str">
        <f>TEXT(Raw_Data!$A1233, "MMM")</f>
        <v>Mar</v>
      </c>
      <c r="C1233">
        <f>YEAR(Raw_Data!$A1233)</f>
        <v>2003</v>
      </c>
      <c r="D1233" t="s">
        <v>1093</v>
      </c>
      <c r="E1233" t="s">
        <v>32</v>
      </c>
      <c r="F1233" t="s">
        <v>27</v>
      </c>
      <c r="H1233">
        <v>3064</v>
      </c>
      <c r="I1233" s="1">
        <v>463502</v>
      </c>
      <c r="J1233" s="1">
        <f>Raw_Data!$I1233/Raw_Data!$H1233</f>
        <v>151.27349869451697</v>
      </c>
    </row>
    <row r="1234" spans="1:10" x14ac:dyDescent="0.3">
      <c r="A1234" s="9">
        <v>40490</v>
      </c>
      <c r="B1234" s="2" t="str">
        <f>TEXT(Raw_Data!$A1234, "MMM")</f>
        <v>Nov</v>
      </c>
      <c r="C1234" s="2">
        <f>YEAR(Raw_Data!$A1234)</f>
        <v>2010</v>
      </c>
      <c r="D1234" s="2" t="s">
        <v>1094</v>
      </c>
      <c r="E1234" s="2" t="s">
        <v>15</v>
      </c>
      <c r="F1234" s="2" t="s">
        <v>16</v>
      </c>
      <c r="G1234" s="2"/>
      <c r="H1234" s="2">
        <v>937</v>
      </c>
      <c r="I1234" s="10">
        <v>177349</v>
      </c>
      <c r="J1234" s="10">
        <f>Raw_Data!$I1234/Raw_Data!$H1234</f>
        <v>189.27321237993596</v>
      </c>
    </row>
    <row r="1235" spans="1:10" x14ac:dyDescent="0.3">
      <c r="A1235" s="8">
        <v>44033</v>
      </c>
      <c r="B1235" t="str">
        <f>TEXT(Raw_Data!$A1235, "MMM")</f>
        <v>Jul</v>
      </c>
      <c r="C1235">
        <f>YEAR(Raw_Data!$A1235)</f>
        <v>2020</v>
      </c>
      <c r="D1235" t="s">
        <v>834</v>
      </c>
      <c r="E1235" t="s">
        <v>32</v>
      </c>
      <c r="F1235" t="s">
        <v>18</v>
      </c>
      <c r="G1235">
        <v>5</v>
      </c>
      <c r="H1235">
        <v>985</v>
      </c>
      <c r="I1235" s="1">
        <v>156606</v>
      </c>
      <c r="J1235" s="1">
        <f>Raw_Data!$I1235/Raw_Data!$H1235</f>
        <v>158.99086294416244</v>
      </c>
    </row>
    <row r="1236" spans="1:10" x14ac:dyDescent="0.3">
      <c r="A1236" s="9">
        <v>42125</v>
      </c>
      <c r="B1236" s="2" t="str">
        <f>TEXT(Raw_Data!$A1236, "MMM")</f>
        <v>May</v>
      </c>
      <c r="C1236" s="2">
        <f>YEAR(Raw_Data!$A1236)</f>
        <v>2015</v>
      </c>
      <c r="D1236" s="2" t="s">
        <v>1094</v>
      </c>
      <c r="E1236" s="2" t="s">
        <v>25</v>
      </c>
      <c r="F1236" s="2" t="s">
        <v>11</v>
      </c>
      <c r="G1236" s="2"/>
      <c r="H1236" s="2">
        <v>2217</v>
      </c>
      <c r="I1236" s="10">
        <v>863116</v>
      </c>
      <c r="J1236" s="10">
        <f>Raw_Data!$I1236/Raw_Data!$H1236</f>
        <v>389.31709517365812</v>
      </c>
    </row>
    <row r="1237" spans="1:10" x14ac:dyDescent="0.3">
      <c r="A1237" s="8">
        <v>43431</v>
      </c>
      <c r="B1237" t="str">
        <f>TEXT(Raw_Data!$A1237, "MMM")</f>
        <v>Nov</v>
      </c>
      <c r="C1237">
        <f>YEAR(Raw_Data!$A1237)</f>
        <v>2018</v>
      </c>
      <c r="D1237" t="s">
        <v>1095</v>
      </c>
      <c r="E1237" t="s">
        <v>29</v>
      </c>
      <c r="F1237" t="s">
        <v>11</v>
      </c>
      <c r="G1237">
        <v>4</v>
      </c>
      <c r="H1237">
        <v>3468</v>
      </c>
      <c r="I1237" s="1">
        <v>137216</v>
      </c>
      <c r="J1237" s="1">
        <f>Raw_Data!$I1237/Raw_Data!$H1237</f>
        <v>39.566320645905421</v>
      </c>
    </row>
    <row r="1238" spans="1:10" x14ac:dyDescent="0.3">
      <c r="A1238" s="9">
        <v>41769</v>
      </c>
      <c r="B1238" s="2" t="str">
        <f>TEXT(Raw_Data!$A1238, "MMM")</f>
        <v>May</v>
      </c>
      <c r="C1238" s="2">
        <f>YEAR(Raw_Data!$A1238)</f>
        <v>2014</v>
      </c>
      <c r="D1238" s="2" t="s">
        <v>1096</v>
      </c>
      <c r="E1238" s="2" t="s">
        <v>15</v>
      </c>
      <c r="F1238" s="2" t="s">
        <v>27</v>
      </c>
      <c r="G1238" s="2">
        <v>2</v>
      </c>
      <c r="H1238" s="2">
        <v>1237</v>
      </c>
      <c r="I1238" s="10">
        <v>271803</v>
      </c>
      <c r="J1238" s="10">
        <f>Raw_Data!$I1238/Raw_Data!$H1238</f>
        <v>219.72756669361357</v>
      </c>
    </row>
    <row r="1239" spans="1:10" x14ac:dyDescent="0.3">
      <c r="A1239" s="8">
        <v>39144</v>
      </c>
      <c r="B1239" t="str">
        <f>TEXT(Raw_Data!$A1239, "MMM")</f>
        <v>Mar</v>
      </c>
      <c r="C1239">
        <f>YEAR(Raw_Data!$A1239)</f>
        <v>2007</v>
      </c>
      <c r="D1239" t="s">
        <v>1097</v>
      </c>
      <c r="E1239" t="s">
        <v>21</v>
      </c>
      <c r="F1239" t="s">
        <v>16</v>
      </c>
      <c r="H1239">
        <v>3185</v>
      </c>
      <c r="I1239" s="1">
        <v>561918</v>
      </c>
      <c r="J1239" s="1">
        <f>Raw_Data!$I1239/Raw_Data!$H1239</f>
        <v>176.42637362637362</v>
      </c>
    </row>
    <row r="1240" spans="1:10" x14ac:dyDescent="0.3">
      <c r="A1240" s="9">
        <v>38412</v>
      </c>
      <c r="B1240" s="2" t="str">
        <f>TEXT(Raw_Data!$A1240, "MMM")</f>
        <v>Mar</v>
      </c>
      <c r="C1240" s="2">
        <f>YEAR(Raw_Data!$A1240)</f>
        <v>2005</v>
      </c>
      <c r="D1240" s="2" t="s">
        <v>1098</v>
      </c>
      <c r="E1240" s="2" t="s">
        <v>25</v>
      </c>
      <c r="F1240" s="2" t="s">
        <v>16</v>
      </c>
      <c r="G1240" s="2">
        <v>3</v>
      </c>
      <c r="H1240" s="2">
        <v>1221</v>
      </c>
      <c r="I1240" s="10">
        <v>709754</v>
      </c>
      <c r="J1240" s="10">
        <f>Raw_Data!$I1240/Raw_Data!$H1240</f>
        <v>581.28910728910728</v>
      </c>
    </row>
    <row r="1241" spans="1:10" x14ac:dyDescent="0.3">
      <c r="A1241" s="8">
        <v>43009</v>
      </c>
      <c r="B1241" t="str">
        <f>TEXT(Raw_Data!$A1241, "MMM")</f>
        <v>Oct</v>
      </c>
      <c r="C1241">
        <f>YEAR(Raw_Data!$A1241)</f>
        <v>2017</v>
      </c>
      <c r="D1241" t="s">
        <v>1099</v>
      </c>
      <c r="E1241" t="s">
        <v>29</v>
      </c>
      <c r="F1241" t="s">
        <v>18</v>
      </c>
      <c r="G1241">
        <v>4</v>
      </c>
      <c r="H1241">
        <v>2292</v>
      </c>
      <c r="I1241" s="1">
        <v>661708</v>
      </c>
      <c r="J1241" s="1">
        <f>Raw_Data!$I1241/Raw_Data!$H1241</f>
        <v>288.70331588132638</v>
      </c>
    </row>
    <row r="1242" spans="1:10" x14ac:dyDescent="0.3">
      <c r="A1242" s="9">
        <v>41676</v>
      </c>
      <c r="B1242" s="2" t="str">
        <f>TEXT(Raw_Data!$A1242, "MMM")</f>
        <v>Feb</v>
      </c>
      <c r="C1242" s="2">
        <f>YEAR(Raw_Data!$A1242)</f>
        <v>2014</v>
      </c>
      <c r="D1242" s="2" t="s">
        <v>926</v>
      </c>
      <c r="E1242" s="2" t="s">
        <v>15</v>
      </c>
      <c r="F1242" s="2" t="s">
        <v>18</v>
      </c>
      <c r="G1242" s="2">
        <v>3</v>
      </c>
      <c r="H1242" s="2">
        <v>1514</v>
      </c>
      <c r="I1242" s="10">
        <v>429147</v>
      </c>
      <c r="J1242" s="10">
        <f>Raw_Data!$I1242/Raw_Data!$H1242</f>
        <v>283.45244385733156</v>
      </c>
    </row>
    <row r="1243" spans="1:10" x14ac:dyDescent="0.3">
      <c r="A1243" s="8">
        <v>41901</v>
      </c>
      <c r="B1243" t="str">
        <f>TEXT(Raw_Data!$A1243, "MMM")</f>
        <v>Sep</v>
      </c>
      <c r="C1243">
        <f>YEAR(Raw_Data!$A1243)</f>
        <v>2014</v>
      </c>
      <c r="D1243" t="s">
        <v>1100</v>
      </c>
      <c r="E1243" t="s">
        <v>13</v>
      </c>
      <c r="F1243" t="s">
        <v>27</v>
      </c>
      <c r="G1243">
        <v>5</v>
      </c>
      <c r="H1243">
        <v>2666</v>
      </c>
      <c r="I1243" s="1">
        <v>246445</v>
      </c>
      <c r="J1243" s="1">
        <f>Raw_Data!$I1243/Raw_Data!$H1243</f>
        <v>92.439984996249066</v>
      </c>
    </row>
    <row r="1244" spans="1:10" x14ac:dyDescent="0.3">
      <c r="A1244" s="9">
        <v>44163</v>
      </c>
      <c r="B1244" s="2" t="str">
        <f>TEXT(Raw_Data!$A1244, "MMM")</f>
        <v>Nov</v>
      </c>
      <c r="C1244" s="2">
        <f>YEAR(Raw_Data!$A1244)</f>
        <v>2020</v>
      </c>
      <c r="D1244" s="2" t="s">
        <v>1101</v>
      </c>
      <c r="E1244" s="2" t="s">
        <v>25</v>
      </c>
      <c r="F1244" s="2" t="s">
        <v>16</v>
      </c>
      <c r="G1244" s="2"/>
      <c r="H1244" s="2">
        <v>2229</v>
      </c>
      <c r="I1244" s="10">
        <v>398329</v>
      </c>
      <c r="J1244" s="10">
        <f>Raw_Data!$I1244/Raw_Data!$H1244</f>
        <v>178.70300583221174</v>
      </c>
    </row>
    <row r="1245" spans="1:10" x14ac:dyDescent="0.3">
      <c r="A1245" s="8">
        <v>38983</v>
      </c>
      <c r="B1245" t="str">
        <f>TEXT(Raw_Data!$A1245, "MMM")</f>
        <v>Sep</v>
      </c>
      <c r="C1245">
        <f>YEAR(Raw_Data!$A1245)</f>
        <v>2006</v>
      </c>
      <c r="D1245" t="s">
        <v>1102</v>
      </c>
      <c r="E1245" t="s">
        <v>15</v>
      </c>
      <c r="F1245" t="s">
        <v>16</v>
      </c>
      <c r="G1245">
        <v>4</v>
      </c>
      <c r="H1245">
        <v>2900</v>
      </c>
      <c r="I1245" s="1">
        <v>756637</v>
      </c>
      <c r="J1245" s="1">
        <f>Raw_Data!$I1245/Raw_Data!$H1245</f>
        <v>260.90931034482759</v>
      </c>
    </row>
    <row r="1246" spans="1:10" x14ac:dyDescent="0.3">
      <c r="A1246" s="9">
        <v>38464</v>
      </c>
      <c r="B1246" s="2" t="str">
        <f>TEXT(Raw_Data!$A1246, "MMM")</f>
        <v>Apr</v>
      </c>
      <c r="C1246" s="2">
        <f>YEAR(Raw_Data!$A1246)</f>
        <v>2005</v>
      </c>
      <c r="D1246" s="2" t="s">
        <v>1103</v>
      </c>
      <c r="E1246" s="2" t="s">
        <v>25</v>
      </c>
      <c r="F1246" s="2" t="s">
        <v>18</v>
      </c>
      <c r="G1246" s="2">
        <v>3</v>
      </c>
      <c r="H1246" s="2">
        <v>1221</v>
      </c>
      <c r="I1246" s="10">
        <v>357165</v>
      </c>
      <c r="J1246" s="10">
        <f>Raw_Data!$I1246/Raw_Data!$H1246</f>
        <v>292.51842751842753</v>
      </c>
    </row>
    <row r="1247" spans="1:10" x14ac:dyDescent="0.3">
      <c r="A1247" s="8">
        <v>43654</v>
      </c>
      <c r="B1247" t="str">
        <f>TEXT(Raw_Data!$A1247, "MMM")</f>
        <v>Jul</v>
      </c>
      <c r="C1247">
        <f>YEAR(Raw_Data!$A1247)</f>
        <v>2019</v>
      </c>
      <c r="D1247" t="s">
        <v>1104</v>
      </c>
      <c r="E1247" t="s">
        <v>25</v>
      </c>
      <c r="F1247" t="s">
        <v>11</v>
      </c>
      <c r="G1247">
        <v>2</v>
      </c>
      <c r="H1247">
        <v>2611</v>
      </c>
      <c r="I1247" s="1">
        <v>638182</v>
      </c>
      <c r="J1247" s="1">
        <f>Raw_Data!$I1247/Raw_Data!$H1247</f>
        <v>244.42052853312907</v>
      </c>
    </row>
    <row r="1248" spans="1:10" x14ac:dyDescent="0.3">
      <c r="A1248" s="9">
        <v>37780</v>
      </c>
      <c r="B1248" s="2" t="str">
        <f>TEXT(Raw_Data!$A1248, "MMM")</f>
        <v>Jun</v>
      </c>
      <c r="C1248" s="2">
        <f>YEAR(Raw_Data!$A1248)</f>
        <v>2003</v>
      </c>
      <c r="D1248" s="2" t="s">
        <v>539</v>
      </c>
      <c r="E1248" s="2" t="s">
        <v>25</v>
      </c>
      <c r="F1248" s="2" t="s">
        <v>16</v>
      </c>
      <c r="G1248" s="2">
        <v>4</v>
      </c>
      <c r="H1248" s="2">
        <v>1765</v>
      </c>
      <c r="I1248" s="10">
        <v>419286</v>
      </c>
      <c r="J1248" s="10">
        <f>Raw_Data!$I1248/Raw_Data!$H1248</f>
        <v>237.55580736543908</v>
      </c>
    </row>
    <row r="1249" spans="1:10" x14ac:dyDescent="0.3">
      <c r="A1249" s="8">
        <v>39683</v>
      </c>
      <c r="B1249" t="str">
        <f>TEXT(Raw_Data!$A1249, "MMM")</f>
        <v>Aug</v>
      </c>
      <c r="C1249">
        <f>YEAR(Raw_Data!$A1249)</f>
        <v>2008</v>
      </c>
      <c r="D1249" t="s">
        <v>1105</v>
      </c>
      <c r="E1249" t="s">
        <v>15</v>
      </c>
      <c r="F1249" t="s">
        <v>16</v>
      </c>
      <c r="G1249">
        <v>5</v>
      </c>
      <c r="H1249">
        <v>3005</v>
      </c>
      <c r="I1249" s="1">
        <v>752794</v>
      </c>
      <c r="J1249" s="1">
        <f>Raw_Data!$I1249/Raw_Data!$H1249</f>
        <v>250.51381031613977</v>
      </c>
    </row>
    <row r="1250" spans="1:10" x14ac:dyDescent="0.3">
      <c r="A1250" s="9">
        <v>42804</v>
      </c>
      <c r="B1250" s="2" t="str">
        <f>TEXT(Raw_Data!$A1250, "MMM")</f>
        <v>Mar</v>
      </c>
      <c r="C1250" s="2">
        <f>YEAR(Raw_Data!$A1250)</f>
        <v>2017</v>
      </c>
      <c r="D1250" s="2" t="s">
        <v>1106</v>
      </c>
      <c r="E1250" s="2" t="s">
        <v>32</v>
      </c>
      <c r="F1250" s="2" t="s">
        <v>11</v>
      </c>
      <c r="G1250" s="2">
        <v>3</v>
      </c>
      <c r="H1250" s="2">
        <v>2729</v>
      </c>
      <c r="I1250" s="10">
        <v>603405</v>
      </c>
      <c r="J1250" s="10">
        <f>Raw_Data!$I1250/Raw_Data!$H1250</f>
        <v>221.10846463906194</v>
      </c>
    </row>
    <row r="1251" spans="1:10" x14ac:dyDescent="0.3">
      <c r="A1251" s="8">
        <v>39511</v>
      </c>
      <c r="B1251" t="str">
        <f>TEXT(Raw_Data!$A1251, "MMM")</f>
        <v>Mar</v>
      </c>
      <c r="C1251">
        <f>YEAR(Raw_Data!$A1251)</f>
        <v>2008</v>
      </c>
      <c r="D1251" t="s">
        <v>1107</v>
      </c>
      <c r="E1251" t="s">
        <v>25</v>
      </c>
      <c r="F1251" t="s">
        <v>18</v>
      </c>
      <c r="G1251">
        <v>2</v>
      </c>
      <c r="H1251">
        <v>2616</v>
      </c>
      <c r="I1251" s="1">
        <v>635494</v>
      </c>
      <c r="J1251" s="1">
        <f>Raw_Data!$I1251/Raw_Data!$H1251</f>
        <v>242.92584097859327</v>
      </c>
    </row>
    <row r="1252" spans="1:10" x14ac:dyDescent="0.3">
      <c r="A1252" s="9">
        <v>39314</v>
      </c>
      <c r="B1252" s="2" t="str">
        <f>TEXT(Raw_Data!$A1252, "MMM")</f>
        <v>Aug</v>
      </c>
      <c r="C1252" s="2">
        <f>YEAR(Raw_Data!$A1252)</f>
        <v>2007</v>
      </c>
      <c r="D1252" s="2" t="s">
        <v>1108</v>
      </c>
      <c r="E1252" s="2" t="s">
        <v>15</v>
      </c>
      <c r="F1252" s="2" t="s">
        <v>27</v>
      </c>
      <c r="G1252" s="2">
        <v>3</v>
      </c>
      <c r="H1252" s="2">
        <v>2048</v>
      </c>
      <c r="I1252" s="10">
        <v>622307</v>
      </c>
      <c r="J1252" s="10">
        <f>Raw_Data!$I1252/Raw_Data!$H1252</f>
        <v>303.86083984375</v>
      </c>
    </row>
    <row r="1253" spans="1:10" x14ac:dyDescent="0.3">
      <c r="A1253" s="8">
        <v>42445</v>
      </c>
      <c r="B1253" t="str">
        <f>TEXT(Raw_Data!$A1253, "MMM")</f>
        <v>Mar</v>
      </c>
      <c r="C1253">
        <f>YEAR(Raw_Data!$A1253)</f>
        <v>2016</v>
      </c>
      <c r="D1253" t="s">
        <v>1109</v>
      </c>
      <c r="E1253" t="s">
        <v>32</v>
      </c>
      <c r="F1253" t="s">
        <v>16</v>
      </c>
      <c r="G1253">
        <v>3</v>
      </c>
      <c r="H1253">
        <v>3295</v>
      </c>
      <c r="I1253" s="1">
        <v>807839</v>
      </c>
      <c r="J1253" s="1">
        <f>Raw_Data!$I1253/Raw_Data!$H1253</f>
        <v>245.17116843702578</v>
      </c>
    </row>
    <row r="1254" spans="1:10" x14ac:dyDescent="0.3">
      <c r="A1254" s="9">
        <v>37149</v>
      </c>
      <c r="B1254" s="2" t="str">
        <f>TEXT(Raw_Data!$A1254, "MMM")</f>
        <v>Sep</v>
      </c>
      <c r="C1254" s="2">
        <f>YEAR(Raw_Data!$A1254)</f>
        <v>2001</v>
      </c>
      <c r="D1254" s="2" t="s">
        <v>563</v>
      </c>
      <c r="E1254" s="2" t="s">
        <v>15</v>
      </c>
      <c r="F1254" s="2" t="s">
        <v>27</v>
      </c>
      <c r="G1254" s="2"/>
      <c r="H1254" s="2">
        <v>1047</v>
      </c>
      <c r="I1254" s="10">
        <v>166505</v>
      </c>
      <c r="J1254" s="10">
        <f>Raw_Data!$I1254/Raw_Data!$H1254</f>
        <v>159.03056351480421</v>
      </c>
    </row>
    <row r="1255" spans="1:10" x14ac:dyDescent="0.3">
      <c r="A1255" s="8">
        <v>40872</v>
      </c>
      <c r="B1255" t="str">
        <f>TEXT(Raw_Data!$A1255, "MMM")</f>
        <v>Nov</v>
      </c>
      <c r="C1255">
        <f>YEAR(Raw_Data!$A1255)</f>
        <v>2011</v>
      </c>
      <c r="D1255" t="s">
        <v>1110</v>
      </c>
      <c r="E1255" t="s">
        <v>32</v>
      </c>
      <c r="F1255" t="s">
        <v>27</v>
      </c>
      <c r="H1255">
        <v>1143</v>
      </c>
      <c r="I1255" s="1">
        <v>185694</v>
      </c>
      <c r="J1255" s="1">
        <f>Raw_Data!$I1255/Raw_Data!$H1255</f>
        <v>162.46194225721786</v>
      </c>
    </row>
    <row r="1256" spans="1:10" x14ac:dyDescent="0.3">
      <c r="A1256" s="9">
        <v>43300</v>
      </c>
      <c r="B1256" s="2" t="str">
        <f>TEXT(Raw_Data!$A1256, "MMM")</f>
        <v>Jul</v>
      </c>
      <c r="C1256" s="2">
        <f>YEAR(Raw_Data!$A1256)</f>
        <v>2018</v>
      </c>
      <c r="D1256" s="2" t="s">
        <v>1111</v>
      </c>
      <c r="E1256" s="2" t="s">
        <v>13</v>
      </c>
      <c r="F1256" s="2" t="s">
        <v>27</v>
      </c>
      <c r="G1256" s="2"/>
      <c r="H1256" s="2">
        <v>1770</v>
      </c>
      <c r="I1256" s="10">
        <v>340362</v>
      </c>
      <c r="J1256" s="10">
        <f>Raw_Data!$I1256/Raw_Data!$H1256</f>
        <v>192.29491525423728</v>
      </c>
    </row>
    <row r="1257" spans="1:10" x14ac:dyDescent="0.3">
      <c r="A1257" s="8">
        <v>42915</v>
      </c>
      <c r="B1257" t="str">
        <f>TEXT(Raw_Data!$A1257, "MMM")</f>
        <v>Jun</v>
      </c>
      <c r="C1257">
        <f>YEAR(Raw_Data!$A1257)</f>
        <v>2017</v>
      </c>
      <c r="D1257" t="s">
        <v>826</v>
      </c>
      <c r="E1257" t="s">
        <v>15</v>
      </c>
      <c r="F1257" t="s">
        <v>11</v>
      </c>
      <c r="G1257">
        <v>5</v>
      </c>
      <c r="H1257">
        <v>3130</v>
      </c>
      <c r="I1257" s="1">
        <v>433421</v>
      </c>
      <c r="J1257" s="1">
        <f>Raw_Data!$I1257/Raw_Data!$H1257</f>
        <v>138.47316293929711</v>
      </c>
    </row>
    <row r="1258" spans="1:10" x14ac:dyDescent="0.3">
      <c r="A1258" s="9">
        <v>40629</v>
      </c>
      <c r="B1258" s="2" t="str">
        <f>TEXT(Raw_Data!$A1258, "MMM")</f>
        <v>Mar</v>
      </c>
      <c r="C1258" s="2">
        <f>YEAR(Raw_Data!$A1258)</f>
        <v>2011</v>
      </c>
      <c r="D1258" s="2" t="s">
        <v>1112</v>
      </c>
      <c r="E1258" s="2" t="s">
        <v>21</v>
      </c>
      <c r="F1258" s="2" t="s">
        <v>18</v>
      </c>
      <c r="G1258" s="2">
        <v>4</v>
      </c>
      <c r="H1258" s="2">
        <v>2776</v>
      </c>
      <c r="I1258" s="10">
        <v>801263</v>
      </c>
      <c r="J1258" s="10">
        <f>Raw_Data!$I1258/Raw_Data!$H1258</f>
        <v>288.63940922190204</v>
      </c>
    </row>
    <row r="1259" spans="1:10" x14ac:dyDescent="0.3">
      <c r="A1259" s="8">
        <v>41561</v>
      </c>
      <c r="B1259" t="str">
        <f>TEXT(Raw_Data!$A1259, "MMM")</f>
        <v>Oct</v>
      </c>
      <c r="C1259">
        <f>YEAR(Raw_Data!$A1259)</f>
        <v>2013</v>
      </c>
      <c r="D1259" t="s">
        <v>1113</v>
      </c>
      <c r="E1259" t="s">
        <v>15</v>
      </c>
      <c r="F1259" t="s">
        <v>16</v>
      </c>
      <c r="H1259">
        <v>2777</v>
      </c>
      <c r="I1259" s="1">
        <v>402831</v>
      </c>
      <c r="J1259" s="1">
        <f>Raw_Data!$I1259/Raw_Data!$H1259</f>
        <v>145.05977673748649</v>
      </c>
    </row>
    <row r="1260" spans="1:10" x14ac:dyDescent="0.3">
      <c r="A1260" s="9">
        <v>40347</v>
      </c>
      <c r="B1260" s="2" t="str">
        <f>TEXT(Raw_Data!$A1260, "MMM")</f>
        <v>Jun</v>
      </c>
      <c r="C1260" s="2">
        <f>YEAR(Raw_Data!$A1260)</f>
        <v>2010</v>
      </c>
      <c r="D1260" s="2" t="s">
        <v>1114</v>
      </c>
      <c r="E1260" s="2" t="s">
        <v>21</v>
      </c>
      <c r="F1260" s="2" t="s">
        <v>16</v>
      </c>
      <c r="G1260" s="2"/>
      <c r="H1260" s="2">
        <v>1907</v>
      </c>
      <c r="I1260" s="10">
        <v>604096</v>
      </c>
      <c r="J1260" s="10">
        <f>Raw_Data!$I1260/Raw_Data!$H1260</f>
        <v>316.77818563188254</v>
      </c>
    </row>
    <row r="1261" spans="1:10" x14ac:dyDescent="0.3">
      <c r="A1261" s="8">
        <v>43296</v>
      </c>
      <c r="B1261" t="str">
        <f>TEXT(Raw_Data!$A1261, "MMM")</f>
        <v>Jul</v>
      </c>
      <c r="C1261">
        <f>YEAR(Raw_Data!$A1261)</f>
        <v>2018</v>
      </c>
      <c r="D1261" t="s">
        <v>1115</v>
      </c>
      <c r="E1261" t="s">
        <v>21</v>
      </c>
      <c r="F1261" t="s">
        <v>11</v>
      </c>
      <c r="G1261">
        <v>2</v>
      </c>
      <c r="H1261">
        <v>2647</v>
      </c>
      <c r="I1261" s="1">
        <v>814262</v>
      </c>
      <c r="J1261" s="1">
        <f>Raw_Data!$I1261/Raw_Data!$H1261</f>
        <v>307.61692482055156</v>
      </c>
    </row>
    <row r="1262" spans="1:10" x14ac:dyDescent="0.3">
      <c r="A1262" s="9">
        <v>40179</v>
      </c>
      <c r="B1262" s="2" t="str">
        <f>TEXT(Raw_Data!$A1262, "MMM")</f>
        <v>Jan</v>
      </c>
      <c r="C1262" s="2">
        <f>YEAR(Raw_Data!$A1262)</f>
        <v>2010</v>
      </c>
      <c r="D1262" s="2" t="s">
        <v>1116</v>
      </c>
      <c r="E1262" s="2" t="s">
        <v>23</v>
      </c>
      <c r="F1262" s="2" t="s">
        <v>27</v>
      </c>
      <c r="G1262" s="2">
        <v>2</v>
      </c>
      <c r="H1262" s="2">
        <v>2901</v>
      </c>
      <c r="I1262" s="10">
        <v>264253</v>
      </c>
      <c r="J1262" s="10">
        <f>Raw_Data!$I1262/Raw_Data!$H1262</f>
        <v>91.090313684936234</v>
      </c>
    </row>
    <row r="1263" spans="1:10" x14ac:dyDescent="0.3">
      <c r="A1263" s="8">
        <v>37137</v>
      </c>
      <c r="B1263" t="str">
        <f>TEXT(Raw_Data!$A1263, "MMM")</f>
        <v>Sep</v>
      </c>
      <c r="C1263">
        <f>YEAR(Raw_Data!$A1263)</f>
        <v>2001</v>
      </c>
      <c r="D1263" t="s">
        <v>1117</v>
      </c>
      <c r="E1263" t="s">
        <v>25</v>
      </c>
      <c r="F1263" t="s">
        <v>27</v>
      </c>
      <c r="G1263">
        <v>4</v>
      </c>
      <c r="H1263">
        <v>3223</v>
      </c>
      <c r="I1263" s="1">
        <v>595258</v>
      </c>
      <c r="J1263" s="1">
        <f>Raw_Data!$I1263/Raw_Data!$H1263</f>
        <v>184.69066087496122</v>
      </c>
    </row>
    <row r="1264" spans="1:10" x14ac:dyDescent="0.3">
      <c r="A1264" s="9">
        <v>41587</v>
      </c>
      <c r="B1264" s="2" t="str">
        <f>TEXT(Raw_Data!$A1264, "MMM")</f>
        <v>Nov</v>
      </c>
      <c r="C1264" s="2">
        <f>YEAR(Raw_Data!$A1264)</f>
        <v>2013</v>
      </c>
      <c r="D1264" s="2" t="s">
        <v>1118</v>
      </c>
      <c r="E1264" s="2" t="s">
        <v>32</v>
      </c>
      <c r="F1264" s="2" t="s">
        <v>18</v>
      </c>
      <c r="G1264" s="2"/>
      <c r="H1264" s="2">
        <v>3459</v>
      </c>
      <c r="I1264" s="10">
        <v>896546</v>
      </c>
      <c r="J1264" s="10">
        <f>Raw_Data!$I1264/Raw_Data!$H1264</f>
        <v>259.19225209598147</v>
      </c>
    </row>
    <row r="1265" spans="1:10" x14ac:dyDescent="0.3">
      <c r="A1265" s="8">
        <v>41172</v>
      </c>
      <c r="B1265" t="str">
        <f>TEXT(Raw_Data!$A1265, "MMM")</f>
        <v>Sep</v>
      </c>
      <c r="C1265">
        <f>YEAR(Raw_Data!$A1265)</f>
        <v>2012</v>
      </c>
      <c r="D1265" t="s">
        <v>1119</v>
      </c>
      <c r="E1265" t="s">
        <v>15</v>
      </c>
      <c r="F1265" t="s">
        <v>18</v>
      </c>
      <c r="H1265">
        <v>2142</v>
      </c>
      <c r="I1265" s="1">
        <v>320353</v>
      </c>
      <c r="J1265" s="1">
        <f>Raw_Data!$I1265/Raw_Data!$H1265</f>
        <v>149.55788982259571</v>
      </c>
    </row>
    <row r="1266" spans="1:10" x14ac:dyDescent="0.3">
      <c r="A1266" s="9">
        <v>42561</v>
      </c>
      <c r="B1266" s="2" t="str">
        <f>TEXT(Raw_Data!$A1266, "MMM")</f>
        <v>Jul</v>
      </c>
      <c r="C1266" s="2">
        <f>YEAR(Raw_Data!$A1266)</f>
        <v>2016</v>
      </c>
      <c r="D1266" s="2" t="s">
        <v>217</v>
      </c>
      <c r="E1266" s="2" t="s">
        <v>25</v>
      </c>
      <c r="F1266" s="2" t="s">
        <v>11</v>
      </c>
      <c r="G1266" s="2"/>
      <c r="H1266" s="2">
        <v>1845</v>
      </c>
      <c r="I1266" s="10">
        <v>291158</v>
      </c>
      <c r="J1266" s="10">
        <f>Raw_Data!$I1266/Raw_Data!$H1266</f>
        <v>157.80921409214093</v>
      </c>
    </row>
    <row r="1267" spans="1:10" x14ac:dyDescent="0.3">
      <c r="A1267" s="8">
        <v>38738</v>
      </c>
      <c r="B1267" t="str">
        <f>TEXT(Raw_Data!$A1267, "MMM")</f>
        <v>Jan</v>
      </c>
      <c r="C1267">
        <f>YEAR(Raw_Data!$A1267)</f>
        <v>2006</v>
      </c>
      <c r="D1267" t="s">
        <v>1120</v>
      </c>
      <c r="E1267" t="s">
        <v>29</v>
      </c>
      <c r="F1267" t="s">
        <v>27</v>
      </c>
      <c r="G1267">
        <v>5</v>
      </c>
      <c r="H1267">
        <v>2345</v>
      </c>
      <c r="I1267" s="1">
        <v>816408</v>
      </c>
      <c r="J1267" s="1">
        <f>Raw_Data!$I1267/Raw_Data!$H1267</f>
        <v>348.14840085287847</v>
      </c>
    </row>
    <row r="1268" spans="1:10" x14ac:dyDescent="0.3">
      <c r="A1268" s="9">
        <v>42049</v>
      </c>
      <c r="B1268" s="2" t="str">
        <f>TEXT(Raw_Data!$A1268, "MMM")</f>
        <v>Feb</v>
      </c>
      <c r="C1268" s="2">
        <f>YEAR(Raw_Data!$A1268)</f>
        <v>2015</v>
      </c>
      <c r="D1268" s="2" t="s">
        <v>1121</v>
      </c>
      <c r="E1268" s="2" t="s">
        <v>25</v>
      </c>
      <c r="F1268" s="2" t="s">
        <v>11</v>
      </c>
      <c r="G1268" s="2">
        <v>4</v>
      </c>
      <c r="H1268" s="2">
        <v>2015</v>
      </c>
      <c r="I1268" s="10">
        <v>389657</v>
      </c>
      <c r="J1268" s="10">
        <f>Raw_Data!$I1268/Raw_Data!$H1268</f>
        <v>193.37816377171217</v>
      </c>
    </row>
    <row r="1269" spans="1:10" x14ac:dyDescent="0.3">
      <c r="A1269" s="8">
        <v>38500</v>
      </c>
      <c r="B1269" t="str">
        <f>TEXT(Raw_Data!$A1269, "MMM")</f>
        <v>May</v>
      </c>
      <c r="C1269">
        <f>YEAR(Raw_Data!$A1269)</f>
        <v>2005</v>
      </c>
      <c r="D1269" t="s">
        <v>1122</v>
      </c>
      <c r="E1269" t="s">
        <v>13</v>
      </c>
      <c r="F1269" t="s">
        <v>27</v>
      </c>
      <c r="H1269">
        <v>1311</v>
      </c>
      <c r="I1269" s="1">
        <v>720433</v>
      </c>
      <c r="J1269" s="1">
        <f>Raw_Data!$I1269/Raw_Data!$H1269</f>
        <v>549.52936689549961</v>
      </c>
    </row>
    <row r="1270" spans="1:10" x14ac:dyDescent="0.3">
      <c r="A1270" s="9">
        <v>38483</v>
      </c>
      <c r="B1270" s="2" t="str">
        <f>TEXT(Raw_Data!$A1270, "MMM")</f>
        <v>May</v>
      </c>
      <c r="C1270" s="2">
        <f>YEAR(Raw_Data!$A1270)</f>
        <v>2005</v>
      </c>
      <c r="D1270" s="2" t="s">
        <v>1123</v>
      </c>
      <c r="E1270" s="2" t="s">
        <v>23</v>
      </c>
      <c r="F1270" s="2" t="s">
        <v>11</v>
      </c>
      <c r="G1270" s="2"/>
      <c r="H1270" s="2">
        <v>3235</v>
      </c>
      <c r="I1270" s="10">
        <v>237375</v>
      </c>
      <c r="J1270" s="10">
        <f>Raw_Data!$I1270/Raw_Data!$H1270</f>
        <v>73.377125193199376</v>
      </c>
    </row>
    <row r="1271" spans="1:10" x14ac:dyDescent="0.3">
      <c r="A1271" s="8">
        <v>38895</v>
      </c>
      <c r="B1271" t="str">
        <f>TEXT(Raw_Data!$A1271, "MMM")</f>
        <v>Jun</v>
      </c>
      <c r="C1271">
        <f>YEAR(Raw_Data!$A1271)</f>
        <v>2006</v>
      </c>
      <c r="D1271" t="s">
        <v>1066</v>
      </c>
      <c r="E1271" t="s">
        <v>25</v>
      </c>
      <c r="F1271" t="s">
        <v>18</v>
      </c>
      <c r="G1271">
        <v>4</v>
      </c>
      <c r="H1271">
        <v>2087</v>
      </c>
      <c r="I1271" s="1">
        <v>729688</v>
      </c>
      <c r="J1271" s="1">
        <f>Raw_Data!$I1271/Raw_Data!$H1271</f>
        <v>349.63488260661234</v>
      </c>
    </row>
    <row r="1272" spans="1:10" x14ac:dyDescent="0.3">
      <c r="A1272" s="9">
        <v>38095</v>
      </c>
      <c r="B1272" s="2" t="str">
        <f>TEXT(Raw_Data!$A1272, "MMM")</f>
        <v>Apr</v>
      </c>
      <c r="C1272" s="2">
        <f>YEAR(Raw_Data!$A1272)</f>
        <v>2004</v>
      </c>
      <c r="D1272" s="2" t="s">
        <v>1124</v>
      </c>
      <c r="E1272" s="2" t="s">
        <v>23</v>
      </c>
      <c r="F1272" s="2" t="s">
        <v>27</v>
      </c>
      <c r="G1272" s="2">
        <v>2</v>
      </c>
      <c r="H1272" s="2">
        <v>2393</v>
      </c>
      <c r="I1272" s="10">
        <v>690258</v>
      </c>
      <c r="J1272" s="10">
        <f>Raw_Data!$I1272/Raw_Data!$H1272</f>
        <v>288.44880902632678</v>
      </c>
    </row>
    <row r="1273" spans="1:10" x14ac:dyDescent="0.3">
      <c r="A1273" s="8">
        <v>41563</v>
      </c>
      <c r="B1273" t="str">
        <f>TEXT(Raw_Data!$A1273, "MMM")</f>
        <v>Oct</v>
      </c>
      <c r="C1273">
        <f>YEAR(Raw_Data!$A1273)</f>
        <v>2013</v>
      </c>
      <c r="D1273" t="s">
        <v>1125</v>
      </c>
      <c r="E1273" t="s">
        <v>29</v>
      </c>
      <c r="F1273" t="s">
        <v>27</v>
      </c>
      <c r="G1273">
        <v>4</v>
      </c>
      <c r="H1273">
        <v>2906</v>
      </c>
      <c r="I1273" s="1">
        <v>341420</v>
      </c>
      <c r="J1273" s="1">
        <f>Raw_Data!$I1273/Raw_Data!$H1273</f>
        <v>117.48795595320027</v>
      </c>
    </row>
    <row r="1274" spans="1:10" x14ac:dyDescent="0.3">
      <c r="A1274" s="9">
        <v>40531</v>
      </c>
      <c r="B1274" s="2" t="str">
        <f>TEXT(Raw_Data!$A1274, "MMM")</f>
        <v>Dec</v>
      </c>
      <c r="C1274" s="2">
        <f>YEAR(Raw_Data!$A1274)</f>
        <v>2010</v>
      </c>
      <c r="D1274" s="2" t="s">
        <v>1126</v>
      </c>
      <c r="E1274" s="2" t="s">
        <v>25</v>
      </c>
      <c r="F1274" s="2" t="s">
        <v>18</v>
      </c>
      <c r="G1274" s="2">
        <v>3</v>
      </c>
      <c r="H1274" s="2">
        <v>947</v>
      </c>
      <c r="I1274" s="10">
        <v>269085</v>
      </c>
      <c r="J1274" s="10">
        <f>Raw_Data!$I1274/Raw_Data!$H1274</f>
        <v>284.14466737064413</v>
      </c>
    </row>
    <row r="1275" spans="1:10" x14ac:dyDescent="0.3">
      <c r="A1275" s="8">
        <v>37238</v>
      </c>
      <c r="B1275" t="str">
        <f>TEXT(Raw_Data!$A1275, "MMM")</f>
        <v>Dec</v>
      </c>
      <c r="C1275">
        <f>YEAR(Raw_Data!$A1275)</f>
        <v>2001</v>
      </c>
      <c r="D1275" t="s">
        <v>1127</v>
      </c>
      <c r="E1275" t="s">
        <v>25</v>
      </c>
      <c r="F1275" t="s">
        <v>11</v>
      </c>
      <c r="G1275">
        <v>5</v>
      </c>
      <c r="H1275">
        <v>3137</v>
      </c>
      <c r="I1275" s="1"/>
      <c r="J1275" s="1">
        <f>Raw_Data!$I1275/Raw_Data!$H1275</f>
        <v>0</v>
      </c>
    </row>
    <row r="1276" spans="1:10" x14ac:dyDescent="0.3">
      <c r="A1276" s="9">
        <v>42804</v>
      </c>
      <c r="B1276" s="2" t="str">
        <f>TEXT(Raw_Data!$A1276, "MMM")</f>
        <v>Mar</v>
      </c>
      <c r="C1276" s="2">
        <f>YEAR(Raw_Data!$A1276)</f>
        <v>2017</v>
      </c>
      <c r="D1276" s="2" t="s">
        <v>1055</v>
      </c>
      <c r="E1276" s="2" t="s">
        <v>23</v>
      </c>
      <c r="F1276" s="2" t="s">
        <v>16</v>
      </c>
      <c r="G1276" s="2">
        <v>2</v>
      </c>
      <c r="H1276" s="2">
        <v>1998</v>
      </c>
      <c r="I1276" s="10">
        <v>596596</v>
      </c>
      <c r="J1276" s="10">
        <f>Raw_Data!$I1276/Raw_Data!$H1276</f>
        <v>298.59659659659661</v>
      </c>
    </row>
    <row r="1277" spans="1:10" x14ac:dyDescent="0.3">
      <c r="A1277" s="8">
        <v>41549</v>
      </c>
      <c r="B1277" t="str">
        <f>TEXT(Raw_Data!$A1277, "MMM")</f>
        <v>Oct</v>
      </c>
      <c r="C1277">
        <f>YEAR(Raw_Data!$A1277)</f>
        <v>2013</v>
      </c>
      <c r="D1277" t="s">
        <v>1031</v>
      </c>
      <c r="E1277" t="s">
        <v>15</v>
      </c>
      <c r="F1277" t="s">
        <v>16</v>
      </c>
      <c r="G1277">
        <v>3</v>
      </c>
      <c r="H1277">
        <v>2870</v>
      </c>
      <c r="I1277" s="1">
        <v>572360</v>
      </c>
      <c r="J1277" s="1">
        <f>Raw_Data!$I1277/Raw_Data!$H1277</f>
        <v>199.42857142857142</v>
      </c>
    </row>
    <row r="1278" spans="1:10" x14ac:dyDescent="0.3">
      <c r="A1278" s="9">
        <v>43683</v>
      </c>
      <c r="B1278" s="2" t="str">
        <f>TEXT(Raw_Data!$A1278, "MMM")</f>
        <v>Aug</v>
      </c>
      <c r="C1278" s="2">
        <f>YEAR(Raw_Data!$A1278)</f>
        <v>2019</v>
      </c>
      <c r="D1278" s="2" t="s">
        <v>1128</v>
      </c>
      <c r="E1278" s="2" t="s">
        <v>32</v>
      </c>
      <c r="F1278" s="2" t="s">
        <v>16</v>
      </c>
      <c r="G1278" s="2">
        <v>4</v>
      </c>
      <c r="H1278" s="2">
        <v>825</v>
      </c>
      <c r="I1278" s="10">
        <v>604380</v>
      </c>
      <c r="J1278" s="10">
        <f>Raw_Data!$I1278/Raw_Data!$H1278</f>
        <v>732.58181818181822</v>
      </c>
    </row>
    <row r="1279" spans="1:10" x14ac:dyDescent="0.3">
      <c r="A1279" s="8">
        <v>39013</v>
      </c>
      <c r="B1279" t="str">
        <f>TEXT(Raw_Data!$A1279, "MMM")</f>
        <v>Oct</v>
      </c>
      <c r="C1279">
        <f>YEAR(Raw_Data!$A1279)</f>
        <v>2006</v>
      </c>
      <c r="D1279" t="s">
        <v>1129</v>
      </c>
      <c r="E1279" t="s">
        <v>25</v>
      </c>
      <c r="F1279" t="s">
        <v>18</v>
      </c>
      <c r="G1279">
        <v>2</v>
      </c>
      <c r="H1279">
        <v>2186</v>
      </c>
      <c r="I1279" s="1">
        <v>795972</v>
      </c>
      <c r="J1279" s="1">
        <f>Raw_Data!$I1279/Raw_Data!$H1279</f>
        <v>364.12259835315643</v>
      </c>
    </row>
    <row r="1280" spans="1:10" x14ac:dyDescent="0.3">
      <c r="A1280" s="9">
        <v>41787</v>
      </c>
      <c r="B1280" s="2" t="str">
        <f>TEXT(Raw_Data!$A1280, "MMM")</f>
        <v>May</v>
      </c>
      <c r="C1280" s="2">
        <f>YEAR(Raw_Data!$A1280)</f>
        <v>2014</v>
      </c>
      <c r="D1280" s="2" t="s">
        <v>1130</v>
      </c>
      <c r="E1280" s="2" t="s">
        <v>29</v>
      </c>
      <c r="F1280" s="2" t="s">
        <v>11</v>
      </c>
      <c r="G1280" s="2">
        <v>2</v>
      </c>
      <c r="H1280" s="2">
        <v>1018</v>
      </c>
      <c r="I1280" s="10">
        <v>255163</v>
      </c>
      <c r="J1280" s="10">
        <f>Raw_Data!$I1280/Raw_Data!$H1280</f>
        <v>250.65127701375246</v>
      </c>
    </row>
    <row r="1281" spans="1:10" x14ac:dyDescent="0.3">
      <c r="A1281" s="8">
        <v>42341</v>
      </c>
      <c r="B1281" t="str">
        <f>TEXT(Raw_Data!$A1281, "MMM")</f>
        <v>Dec</v>
      </c>
      <c r="C1281">
        <f>YEAR(Raw_Data!$A1281)</f>
        <v>2015</v>
      </c>
      <c r="D1281" t="s">
        <v>234</v>
      </c>
      <c r="E1281" t="s">
        <v>25</v>
      </c>
      <c r="F1281" t="s">
        <v>18</v>
      </c>
      <c r="H1281">
        <v>1274</v>
      </c>
      <c r="I1281" s="1">
        <v>635872</v>
      </c>
      <c r="J1281" s="1">
        <f>Raw_Data!$I1281/Raw_Data!$H1281</f>
        <v>499.11459968602827</v>
      </c>
    </row>
    <row r="1282" spans="1:10" x14ac:dyDescent="0.3">
      <c r="A1282" s="9">
        <v>40470</v>
      </c>
      <c r="B1282" s="2" t="str">
        <f>TEXT(Raw_Data!$A1282, "MMM")</f>
        <v>Oct</v>
      </c>
      <c r="C1282" s="2">
        <f>YEAR(Raw_Data!$A1282)</f>
        <v>2010</v>
      </c>
      <c r="D1282" s="2" t="s">
        <v>591</v>
      </c>
      <c r="E1282" s="2" t="s">
        <v>15</v>
      </c>
      <c r="F1282" s="2" t="s">
        <v>27</v>
      </c>
      <c r="G1282" s="2">
        <v>2</v>
      </c>
      <c r="H1282" s="2">
        <v>1277</v>
      </c>
      <c r="I1282" s="10">
        <v>860335</v>
      </c>
      <c r="J1282" s="10">
        <f>Raw_Data!$I1282/Raw_Data!$H1282</f>
        <v>673.71574001566171</v>
      </c>
    </row>
    <row r="1283" spans="1:10" x14ac:dyDescent="0.3">
      <c r="A1283" s="8">
        <v>42964</v>
      </c>
      <c r="B1283" t="str">
        <f>TEXT(Raw_Data!$A1283, "MMM")</f>
        <v>Aug</v>
      </c>
      <c r="C1283">
        <f>YEAR(Raw_Data!$A1283)</f>
        <v>2017</v>
      </c>
      <c r="D1283" t="s">
        <v>1131</v>
      </c>
      <c r="E1283" t="s">
        <v>29</v>
      </c>
      <c r="F1283" t="s">
        <v>27</v>
      </c>
      <c r="G1283">
        <v>4</v>
      </c>
      <c r="H1283">
        <v>2776</v>
      </c>
      <c r="I1283" s="1">
        <v>314742</v>
      </c>
      <c r="J1283" s="1">
        <f>Raw_Data!$I1283/Raw_Data!$H1283</f>
        <v>113.37968299711815</v>
      </c>
    </row>
    <row r="1284" spans="1:10" x14ac:dyDescent="0.3">
      <c r="A1284" s="9">
        <v>42968</v>
      </c>
      <c r="B1284" s="2" t="str">
        <f>TEXT(Raw_Data!$A1284, "MMM")</f>
        <v>Aug</v>
      </c>
      <c r="C1284" s="2">
        <f>YEAR(Raw_Data!$A1284)</f>
        <v>2017</v>
      </c>
      <c r="D1284" s="2" t="s">
        <v>1132</v>
      </c>
      <c r="E1284" s="2" t="s">
        <v>25</v>
      </c>
      <c r="F1284" s="2" t="s">
        <v>27</v>
      </c>
      <c r="G1284" s="2"/>
      <c r="H1284" s="2">
        <v>3205</v>
      </c>
      <c r="I1284" s="10">
        <v>588974</v>
      </c>
      <c r="J1284" s="10">
        <f>Raw_Data!$I1284/Raw_Data!$H1284</f>
        <v>183.76723868954758</v>
      </c>
    </row>
    <row r="1285" spans="1:10" x14ac:dyDescent="0.3">
      <c r="A1285" s="8">
        <v>40002</v>
      </c>
      <c r="B1285" t="str">
        <f>TEXT(Raw_Data!$A1285, "MMM")</f>
        <v>Jul</v>
      </c>
      <c r="C1285">
        <f>YEAR(Raw_Data!$A1285)</f>
        <v>2009</v>
      </c>
      <c r="D1285" t="s">
        <v>1133</v>
      </c>
      <c r="E1285" t="s">
        <v>32</v>
      </c>
      <c r="F1285" t="s">
        <v>11</v>
      </c>
      <c r="G1285">
        <v>3</v>
      </c>
      <c r="H1285">
        <v>1376</v>
      </c>
      <c r="I1285" s="1">
        <v>545372</v>
      </c>
      <c r="J1285" s="1">
        <f>Raw_Data!$I1285/Raw_Data!$H1285</f>
        <v>396.34593023255815</v>
      </c>
    </row>
    <row r="1286" spans="1:10" x14ac:dyDescent="0.3">
      <c r="A1286" s="9">
        <v>40479</v>
      </c>
      <c r="B1286" s="2" t="str">
        <f>TEXT(Raw_Data!$A1286, "MMM")</f>
        <v>Oct</v>
      </c>
      <c r="C1286" s="2">
        <f>YEAR(Raw_Data!$A1286)</f>
        <v>2010</v>
      </c>
      <c r="D1286" s="2" t="s">
        <v>1134</v>
      </c>
      <c r="E1286" s="2" t="s">
        <v>15</v>
      </c>
      <c r="F1286" s="2" t="s">
        <v>27</v>
      </c>
      <c r="G1286" s="2">
        <v>5</v>
      </c>
      <c r="H1286" s="2">
        <v>3195</v>
      </c>
      <c r="I1286" s="10">
        <v>523466</v>
      </c>
      <c r="J1286" s="10">
        <f>Raw_Data!$I1286/Raw_Data!$H1286</f>
        <v>163.83912363067293</v>
      </c>
    </row>
    <row r="1287" spans="1:10" x14ac:dyDescent="0.3">
      <c r="A1287" s="8">
        <v>42109</v>
      </c>
      <c r="B1287" t="str">
        <f>TEXT(Raw_Data!$A1287, "MMM")</f>
        <v>Apr</v>
      </c>
      <c r="C1287">
        <f>YEAR(Raw_Data!$A1287)</f>
        <v>2015</v>
      </c>
      <c r="D1287" t="s">
        <v>306</v>
      </c>
      <c r="E1287" t="s">
        <v>15</v>
      </c>
      <c r="F1287" t="s">
        <v>27</v>
      </c>
      <c r="G1287">
        <v>5</v>
      </c>
      <c r="H1287">
        <v>2386</v>
      </c>
      <c r="I1287" s="1">
        <v>334013</v>
      </c>
      <c r="J1287" s="1">
        <f>Raw_Data!$I1287/Raw_Data!$H1287</f>
        <v>139.98868398994134</v>
      </c>
    </row>
    <row r="1288" spans="1:10" x14ac:dyDescent="0.3">
      <c r="A1288" s="9">
        <v>37886</v>
      </c>
      <c r="B1288" s="2" t="str">
        <f>TEXT(Raw_Data!$A1288, "MMM")</f>
        <v>Sep</v>
      </c>
      <c r="C1288" s="2">
        <f>YEAR(Raw_Data!$A1288)</f>
        <v>2003</v>
      </c>
      <c r="D1288" s="2" t="s">
        <v>1135</v>
      </c>
      <c r="E1288" s="2" t="s">
        <v>13</v>
      </c>
      <c r="F1288" s="2" t="s">
        <v>11</v>
      </c>
      <c r="G1288" s="2">
        <v>2</v>
      </c>
      <c r="H1288" s="2">
        <v>2961</v>
      </c>
      <c r="I1288" s="10">
        <v>595043</v>
      </c>
      <c r="J1288" s="10">
        <f>Raw_Data!$I1288/Raw_Data!$H1288</f>
        <v>200.96014859844647</v>
      </c>
    </row>
    <row r="1289" spans="1:10" x14ac:dyDescent="0.3">
      <c r="A1289" s="8">
        <v>38087</v>
      </c>
      <c r="B1289" t="str">
        <f>TEXT(Raw_Data!$A1289, "MMM")</f>
        <v>Apr</v>
      </c>
      <c r="C1289">
        <f>YEAR(Raw_Data!$A1289)</f>
        <v>2004</v>
      </c>
      <c r="D1289" t="s">
        <v>1136</v>
      </c>
      <c r="E1289" t="s">
        <v>32</v>
      </c>
      <c r="F1289" t="s">
        <v>16</v>
      </c>
      <c r="H1289">
        <v>1342</v>
      </c>
      <c r="I1289" s="1">
        <v>417086</v>
      </c>
      <c r="J1289" s="1">
        <f>Raw_Data!$I1289/Raw_Data!$H1289</f>
        <v>310.79433681073027</v>
      </c>
    </row>
    <row r="1290" spans="1:10" x14ac:dyDescent="0.3">
      <c r="A1290" s="9">
        <v>42558</v>
      </c>
      <c r="B1290" s="2" t="str">
        <f>TEXT(Raw_Data!$A1290, "MMM")</f>
        <v>Jul</v>
      </c>
      <c r="C1290" s="2">
        <f>YEAR(Raw_Data!$A1290)</f>
        <v>2016</v>
      </c>
      <c r="D1290" s="2" t="s">
        <v>1137</v>
      </c>
      <c r="E1290" s="2" t="s">
        <v>25</v>
      </c>
      <c r="F1290" s="2" t="s">
        <v>18</v>
      </c>
      <c r="G1290" s="2">
        <v>2</v>
      </c>
      <c r="H1290" s="2">
        <v>2371</v>
      </c>
      <c r="I1290" s="10">
        <v>835409</v>
      </c>
      <c r="J1290" s="10">
        <f>Raw_Data!$I1290/Raw_Data!$H1290</f>
        <v>352.34458034584566</v>
      </c>
    </row>
    <row r="1291" spans="1:10" x14ac:dyDescent="0.3">
      <c r="A1291" s="8">
        <v>42123</v>
      </c>
      <c r="B1291" t="str">
        <f>TEXT(Raw_Data!$A1291, "MMM")</f>
        <v>Apr</v>
      </c>
      <c r="C1291">
        <f>YEAR(Raw_Data!$A1291)</f>
        <v>2015</v>
      </c>
      <c r="D1291" t="s">
        <v>1138</v>
      </c>
      <c r="E1291" t="s">
        <v>32</v>
      </c>
      <c r="F1291" t="s">
        <v>11</v>
      </c>
      <c r="G1291">
        <v>2</v>
      </c>
      <c r="H1291">
        <v>2577</v>
      </c>
      <c r="I1291" s="1">
        <v>483706</v>
      </c>
      <c r="J1291" s="1">
        <f>Raw_Data!$I1291/Raw_Data!$H1291</f>
        <v>187.70120294916569</v>
      </c>
    </row>
    <row r="1292" spans="1:10" x14ac:dyDescent="0.3">
      <c r="A1292" s="9">
        <v>41340</v>
      </c>
      <c r="B1292" s="2" t="str">
        <f>TEXT(Raw_Data!$A1292, "MMM")</f>
        <v>Mar</v>
      </c>
      <c r="C1292" s="2">
        <f>YEAR(Raw_Data!$A1292)</f>
        <v>2013</v>
      </c>
      <c r="D1292" s="2" t="s">
        <v>1139</v>
      </c>
      <c r="E1292" s="2" t="s">
        <v>23</v>
      </c>
      <c r="F1292" s="2" t="s">
        <v>27</v>
      </c>
      <c r="G1292" s="2">
        <v>4</v>
      </c>
      <c r="H1292" s="2">
        <v>1280</v>
      </c>
      <c r="I1292" s="10">
        <v>577582</v>
      </c>
      <c r="J1292" s="10">
        <f>Raw_Data!$I1292/Raw_Data!$H1292</f>
        <v>451.23593749999998</v>
      </c>
    </row>
    <row r="1293" spans="1:10" x14ac:dyDescent="0.3">
      <c r="A1293" s="8">
        <v>43890</v>
      </c>
      <c r="B1293" t="str">
        <f>TEXT(Raw_Data!$A1293, "MMM")</f>
        <v>Feb</v>
      </c>
      <c r="C1293">
        <f>YEAR(Raw_Data!$A1293)</f>
        <v>2020</v>
      </c>
      <c r="D1293" t="s">
        <v>1140</v>
      </c>
      <c r="E1293" t="s">
        <v>32</v>
      </c>
      <c r="F1293" t="s">
        <v>27</v>
      </c>
      <c r="G1293">
        <v>5</v>
      </c>
      <c r="H1293">
        <v>1037</v>
      </c>
      <c r="I1293" s="1">
        <v>106310</v>
      </c>
      <c r="J1293" s="1">
        <f>Raw_Data!$I1293/Raw_Data!$H1293</f>
        <v>102.5168756027001</v>
      </c>
    </row>
    <row r="1294" spans="1:10" x14ac:dyDescent="0.3">
      <c r="A1294" s="9">
        <v>37824</v>
      </c>
      <c r="B1294" s="2" t="str">
        <f>TEXT(Raw_Data!$A1294, "MMM")</f>
        <v>Jul</v>
      </c>
      <c r="C1294" s="2">
        <f>YEAR(Raw_Data!$A1294)</f>
        <v>2003</v>
      </c>
      <c r="D1294" s="2" t="s">
        <v>1141</v>
      </c>
      <c r="E1294" s="2" t="s">
        <v>13</v>
      </c>
      <c r="F1294" s="2" t="s">
        <v>16</v>
      </c>
      <c r="G1294" s="2"/>
      <c r="H1294" s="2">
        <v>3455</v>
      </c>
      <c r="I1294" s="10">
        <v>761974</v>
      </c>
      <c r="J1294" s="10">
        <f>Raw_Data!$I1294/Raw_Data!$H1294</f>
        <v>220.54240231548479</v>
      </c>
    </row>
    <row r="1295" spans="1:10" x14ac:dyDescent="0.3">
      <c r="A1295" s="8">
        <v>38614</v>
      </c>
      <c r="B1295" t="str">
        <f>TEXT(Raw_Data!$A1295, "MMM")</f>
        <v>Sep</v>
      </c>
      <c r="C1295">
        <f>YEAR(Raw_Data!$A1295)</f>
        <v>2005</v>
      </c>
      <c r="D1295" t="s">
        <v>1142</v>
      </c>
      <c r="E1295" t="s">
        <v>32</v>
      </c>
      <c r="F1295" t="s">
        <v>16</v>
      </c>
      <c r="G1295">
        <v>3</v>
      </c>
      <c r="H1295">
        <v>1046</v>
      </c>
      <c r="I1295" s="1">
        <v>302761</v>
      </c>
      <c r="J1295" s="1">
        <f>Raw_Data!$I1295/Raw_Data!$H1295</f>
        <v>289.44646271510516</v>
      </c>
    </row>
    <row r="1296" spans="1:10" x14ac:dyDescent="0.3">
      <c r="A1296" s="9">
        <v>43308</v>
      </c>
      <c r="B1296" s="2" t="str">
        <f>TEXT(Raw_Data!$A1296, "MMM")</f>
        <v>Jul</v>
      </c>
      <c r="C1296" s="2">
        <f>YEAR(Raw_Data!$A1296)</f>
        <v>2018</v>
      </c>
      <c r="D1296" s="2" t="s">
        <v>297</v>
      </c>
      <c r="E1296" s="2" t="s">
        <v>23</v>
      </c>
      <c r="F1296" s="2" t="s">
        <v>18</v>
      </c>
      <c r="G1296" s="2">
        <v>3</v>
      </c>
      <c r="H1296" s="2">
        <v>2654</v>
      </c>
      <c r="I1296" s="10">
        <v>238089</v>
      </c>
      <c r="J1296" s="10">
        <f>Raw_Data!$I1296/Raw_Data!$H1296</f>
        <v>89.709495101733239</v>
      </c>
    </row>
    <row r="1297" spans="1:10" x14ac:dyDescent="0.3">
      <c r="A1297" s="8">
        <v>40000</v>
      </c>
      <c r="B1297" t="str">
        <f>TEXT(Raw_Data!$A1297, "MMM")</f>
        <v>Jul</v>
      </c>
      <c r="C1297">
        <f>YEAR(Raw_Data!$A1297)</f>
        <v>2009</v>
      </c>
      <c r="D1297" t="s">
        <v>1143</v>
      </c>
      <c r="E1297" t="s">
        <v>13</v>
      </c>
      <c r="F1297" t="s">
        <v>27</v>
      </c>
      <c r="G1297">
        <v>2</v>
      </c>
      <c r="H1297">
        <v>1673</v>
      </c>
      <c r="I1297" s="1"/>
      <c r="J1297" s="1">
        <f>Raw_Data!$I1297/Raw_Data!$H1297</f>
        <v>0</v>
      </c>
    </row>
    <row r="1298" spans="1:10" x14ac:dyDescent="0.3">
      <c r="A1298" s="9">
        <v>41602</v>
      </c>
      <c r="B1298" s="2" t="str">
        <f>TEXT(Raw_Data!$A1298, "MMM")</f>
        <v>Nov</v>
      </c>
      <c r="C1298" s="2">
        <f>YEAR(Raw_Data!$A1298)</f>
        <v>2013</v>
      </c>
      <c r="D1298" s="2" t="s">
        <v>1144</v>
      </c>
      <c r="E1298" s="2" t="s">
        <v>32</v>
      </c>
      <c r="F1298" s="2" t="s">
        <v>27</v>
      </c>
      <c r="G1298" s="2">
        <v>5</v>
      </c>
      <c r="H1298" s="2">
        <v>1299</v>
      </c>
      <c r="I1298" s="10">
        <v>441579</v>
      </c>
      <c r="J1298" s="10">
        <f>Raw_Data!$I1298/Raw_Data!$H1298</f>
        <v>339.93764434180139</v>
      </c>
    </row>
    <row r="1299" spans="1:10" x14ac:dyDescent="0.3">
      <c r="A1299" s="8">
        <v>43784</v>
      </c>
      <c r="B1299" t="str">
        <f>TEXT(Raw_Data!$A1299, "MMM")</f>
        <v>Nov</v>
      </c>
      <c r="C1299">
        <f>YEAR(Raw_Data!$A1299)</f>
        <v>2019</v>
      </c>
      <c r="D1299" t="s">
        <v>1145</v>
      </c>
      <c r="E1299" t="s">
        <v>25</v>
      </c>
      <c r="F1299" t="s">
        <v>16</v>
      </c>
      <c r="G1299">
        <v>2</v>
      </c>
      <c r="H1299">
        <v>1185</v>
      </c>
      <c r="I1299" s="1">
        <v>248437</v>
      </c>
      <c r="J1299" s="1">
        <f>Raw_Data!$I1299/Raw_Data!$H1299</f>
        <v>209.65147679324895</v>
      </c>
    </row>
    <row r="1300" spans="1:10" x14ac:dyDescent="0.3">
      <c r="A1300" s="9">
        <v>38123</v>
      </c>
      <c r="B1300" s="2" t="str">
        <f>TEXT(Raw_Data!$A1300, "MMM")</f>
        <v>May</v>
      </c>
      <c r="C1300" s="2">
        <f>YEAR(Raw_Data!$A1300)</f>
        <v>2004</v>
      </c>
      <c r="D1300" s="2" t="s">
        <v>1146</v>
      </c>
      <c r="E1300" s="2" t="s">
        <v>25</v>
      </c>
      <c r="F1300" s="2" t="s">
        <v>18</v>
      </c>
      <c r="G1300" s="2"/>
      <c r="H1300" s="2">
        <v>2278</v>
      </c>
      <c r="I1300" s="10"/>
      <c r="J1300" s="10">
        <f>Raw_Data!$I1300/Raw_Data!$H1300</f>
        <v>0</v>
      </c>
    </row>
    <row r="1301" spans="1:10" x14ac:dyDescent="0.3">
      <c r="A1301" s="8">
        <v>39225</v>
      </c>
      <c r="B1301" t="str">
        <f>TEXT(Raw_Data!$A1301, "MMM")</f>
        <v>May</v>
      </c>
      <c r="C1301">
        <f>YEAR(Raw_Data!$A1301)</f>
        <v>2007</v>
      </c>
      <c r="D1301" t="s">
        <v>1147</v>
      </c>
      <c r="E1301" t="s">
        <v>32</v>
      </c>
      <c r="F1301" t="s">
        <v>16</v>
      </c>
      <c r="G1301">
        <v>5</v>
      </c>
      <c r="H1301">
        <v>1864</v>
      </c>
      <c r="I1301" s="1"/>
      <c r="J1301" s="1">
        <f>Raw_Data!$I1301/Raw_Data!$H1301</f>
        <v>0</v>
      </c>
    </row>
    <row r="1302" spans="1:10" x14ac:dyDescent="0.3">
      <c r="A1302" s="9">
        <v>38172</v>
      </c>
      <c r="B1302" s="2" t="str">
        <f>TEXT(Raw_Data!$A1302, "MMM")</f>
        <v>Jul</v>
      </c>
      <c r="C1302" s="2">
        <f>YEAR(Raw_Data!$A1302)</f>
        <v>2004</v>
      </c>
      <c r="D1302" s="2" t="s">
        <v>1148</v>
      </c>
      <c r="E1302" s="2" t="s">
        <v>25</v>
      </c>
      <c r="F1302" s="2" t="s">
        <v>18</v>
      </c>
      <c r="G1302" s="2">
        <v>4</v>
      </c>
      <c r="H1302" s="2">
        <v>3207</v>
      </c>
      <c r="I1302" s="10">
        <v>672674</v>
      </c>
      <c r="J1302" s="10">
        <f>Raw_Data!$I1302/Raw_Data!$H1302</f>
        <v>209.75179295291551</v>
      </c>
    </row>
    <row r="1303" spans="1:10" x14ac:dyDescent="0.3">
      <c r="A1303" s="8">
        <v>39575</v>
      </c>
      <c r="B1303" t="str">
        <f>TEXT(Raw_Data!$A1303, "MMM")</f>
        <v>May</v>
      </c>
      <c r="C1303">
        <f>YEAR(Raw_Data!$A1303)</f>
        <v>2008</v>
      </c>
      <c r="D1303" t="s">
        <v>1149</v>
      </c>
      <c r="E1303" t="s">
        <v>15</v>
      </c>
      <c r="F1303" t="s">
        <v>27</v>
      </c>
      <c r="G1303">
        <v>3</v>
      </c>
      <c r="H1303">
        <v>2058</v>
      </c>
      <c r="I1303" s="1">
        <v>769777</v>
      </c>
      <c r="J1303" s="1">
        <f>Raw_Data!$I1303/Raw_Data!$H1303</f>
        <v>374.04130223517978</v>
      </c>
    </row>
    <row r="1304" spans="1:10" x14ac:dyDescent="0.3">
      <c r="A1304" s="9">
        <v>41699</v>
      </c>
      <c r="B1304" s="2" t="str">
        <f>TEXT(Raw_Data!$A1304, "MMM")</f>
        <v>Mar</v>
      </c>
      <c r="C1304" s="2">
        <f>YEAR(Raw_Data!$A1304)</f>
        <v>2014</v>
      </c>
      <c r="D1304" s="2" t="s">
        <v>368</v>
      </c>
      <c r="E1304" s="2" t="s">
        <v>15</v>
      </c>
      <c r="F1304" s="2" t="s">
        <v>11</v>
      </c>
      <c r="G1304" s="2">
        <v>3</v>
      </c>
      <c r="H1304" s="2">
        <v>3017</v>
      </c>
      <c r="I1304" s="10">
        <v>426796</v>
      </c>
      <c r="J1304" s="10">
        <f>Raw_Data!$I1304/Raw_Data!$H1304</f>
        <v>141.46370566788201</v>
      </c>
    </row>
    <row r="1305" spans="1:10" x14ac:dyDescent="0.3">
      <c r="A1305" s="8">
        <v>40151</v>
      </c>
      <c r="B1305" t="str">
        <f>TEXT(Raw_Data!$A1305, "MMM")</f>
        <v>Dec</v>
      </c>
      <c r="C1305">
        <f>YEAR(Raw_Data!$A1305)</f>
        <v>2009</v>
      </c>
      <c r="D1305" t="s">
        <v>1150</v>
      </c>
      <c r="E1305" t="s">
        <v>13</v>
      </c>
      <c r="F1305" t="s">
        <v>27</v>
      </c>
      <c r="G1305">
        <v>3</v>
      </c>
      <c r="H1305">
        <v>3369</v>
      </c>
      <c r="I1305" s="1">
        <v>661937</v>
      </c>
      <c r="J1305" s="1">
        <f>Raw_Data!$I1305/Raw_Data!$H1305</f>
        <v>196.47877708518848</v>
      </c>
    </row>
    <row r="1306" spans="1:10" x14ac:dyDescent="0.3">
      <c r="A1306" s="9">
        <v>39883</v>
      </c>
      <c r="B1306" s="2" t="str">
        <f>TEXT(Raw_Data!$A1306, "MMM")</f>
        <v>Mar</v>
      </c>
      <c r="C1306" s="2">
        <f>YEAR(Raw_Data!$A1306)</f>
        <v>2009</v>
      </c>
      <c r="D1306" s="2" t="s">
        <v>786</v>
      </c>
      <c r="E1306" s="2" t="s">
        <v>21</v>
      </c>
      <c r="F1306" s="2" t="s">
        <v>27</v>
      </c>
      <c r="G1306" s="2"/>
      <c r="H1306" s="2">
        <v>1826</v>
      </c>
      <c r="I1306" s="10">
        <v>375024</v>
      </c>
      <c r="J1306" s="10">
        <f>Raw_Data!$I1306/Raw_Data!$H1306</f>
        <v>205.38006571741511</v>
      </c>
    </row>
    <row r="1307" spans="1:10" x14ac:dyDescent="0.3">
      <c r="A1307" s="8">
        <v>37449</v>
      </c>
      <c r="B1307" t="str">
        <f>TEXT(Raw_Data!$A1307, "MMM")</f>
        <v>Jul</v>
      </c>
      <c r="C1307">
        <f>YEAR(Raw_Data!$A1307)</f>
        <v>2002</v>
      </c>
      <c r="D1307" t="s">
        <v>1151</v>
      </c>
      <c r="E1307" t="s">
        <v>32</v>
      </c>
      <c r="F1307" t="s">
        <v>18</v>
      </c>
      <c r="H1307">
        <v>1956</v>
      </c>
      <c r="I1307" s="1">
        <v>605427</v>
      </c>
      <c r="J1307" s="1">
        <f>Raw_Data!$I1307/Raw_Data!$H1307</f>
        <v>309.52300613496931</v>
      </c>
    </row>
    <row r="1308" spans="1:10" x14ac:dyDescent="0.3">
      <c r="A1308" s="9">
        <v>38275</v>
      </c>
      <c r="B1308" s="2" t="str">
        <f>TEXT(Raw_Data!$A1308, "MMM")</f>
        <v>Oct</v>
      </c>
      <c r="C1308" s="2">
        <f>YEAR(Raw_Data!$A1308)</f>
        <v>2004</v>
      </c>
      <c r="D1308" s="2" t="s">
        <v>1152</v>
      </c>
      <c r="E1308" s="2" t="s">
        <v>13</v>
      </c>
      <c r="F1308" s="2" t="s">
        <v>18</v>
      </c>
      <c r="G1308" s="2">
        <v>4</v>
      </c>
      <c r="H1308" s="2">
        <v>1119</v>
      </c>
      <c r="I1308" s="10">
        <v>343722</v>
      </c>
      <c r="J1308" s="10">
        <f>Raw_Data!$I1308/Raw_Data!$H1308</f>
        <v>307.16890080428954</v>
      </c>
    </row>
    <row r="1309" spans="1:10" x14ac:dyDescent="0.3">
      <c r="A1309" s="8">
        <v>41276</v>
      </c>
      <c r="B1309" t="str">
        <f>TEXT(Raw_Data!$A1309, "MMM")</f>
        <v>Jan</v>
      </c>
      <c r="C1309">
        <f>YEAR(Raw_Data!$A1309)</f>
        <v>2013</v>
      </c>
      <c r="D1309" t="s">
        <v>1153</v>
      </c>
      <c r="E1309" t="s">
        <v>32</v>
      </c>
      <c r="F1309" t="s">
        <v>16</v>
      </c>
      <c r="G1309">
        <v>2</v>
      </c>
      <c r="H1309">
        <v>1001</v>
      </c>
      <c r="I1309" s="1">
        <v>652992</v>
      </c>
      <c r="J1309" s="1">
        <f>Raw_Data!$I1309/Raw_Data!$H1309</f>
        <v>652.33966033966033</v>
      </c>
    </row>
    <row r="1310" spans="1:10" x14ac:dyDescent="0.3">
      <c r="A1310" s="9">
        <v>44042</v>
      </c>
      <c r="B1310" s="2" t="str">
        <f>TEXT(Raw_Data!$A1310, "MMM")</f>
        <v>Jul</v>
      </c>
      <c r="C1310" s="2">
        <f>YEAR(Raw_Data!$A1310)</f>
        <v>2020</v>
      </c>
      <c r="D1310" s="2" t="s">
        <v>1154</v>
      </c>
      <c r="E1310" s="2" t="s">
        <v>13</v>
      </c>
      <c r="F1310" s="2" t="s">
        <v>16</v>
      </c>
      <c r="G1310" s="2">
        <v>2</v>
      </c>
      <c r="H1310" s="2">
        <v>2120</v>
      </c>
      <c r="I1310" s="10">
        <v>441400</v>
      </c>
      <c r="J1310" s="10">
        <f>Raw_Data!$I1310/Raw_Data!$H1310</f>
        <v>208.20754716981133</v>
      </c>
    </row>
    <row r="1311" spans="1:10" x14ac:dyDescent="0.3">
      <c r="A1311" s="8">
        <v>41653</v>
      </c>
      <c r="B1311" t="str">
        <f>TEXT(Raw_Data!$A1311, "MMM")</f>
        <v>Jan</v>
      </c>
      <c r="C1311">
        <f>YEAR(Raw_Data!$A1311)</f>
        <v>2014</v>
      </c>
      <c r="D1311" t="s">
        <v>1155</v>
      </c>
      <c r="E1311" t="s">
        <v>32</v>
      </c>
      <c r="F1311" t="s">
        <v>11</v>
      </c>
      <c r="G1311">
        <v>4</v>
      </c>
      <c r="H1311">
        <v>2484</v>
      </c>
      <c r="I1311" s="1">
        <v>687752</v>
      </c>
      <c r="J1311" s="1">
        <f>Raw_Data!$I1311/Raw_Data!$H1311</f>
        <v>276.87278582930759</v>
      </c>
    </row>
    <row r="1312" spans="1:10" x14ac:dyDescent="0.3">
      <c r="A1312" s="9">
        <v>37253</v>
      </c>
      <c r="B1312" s="2" t="str">
        <f>TEXT(Raw_Data!$A1312, "MMM")</f>
        <v>Dec</v>
      </c>
      <c r="C1312" s="2">
        <f>YEAR(Raw_Data!$A1312)</f>
        <v>2001</v>
      </c>
      <c r="D1312" s="2" t="s">
        <v>1156</v>
      </c>
      <c r="E1312" s="2" t="s">
        <v>29</v>
      </c>
      <c r="F1312" s="2" t="s">
        <v>27</v>
      </c>
      <c r="G1312" s="2"/>
      <c r="H1312" s="2">
        <v>1105</v>
      </c>
      <c r="I1312" s="10">
        <v>414146</v>
      </c>
      <c r="J1312" s="10">
        <f>Raw_Data!$I1312/Raw_Data!$H1312</f>
        <v>374.79276018099546</v>
      </c>
    </row>
    <row r="1313" spans="1:10" x14ac:dyDescent="0.3">
      <c r="A1313" s="8">
        <v>41204</v>
      </c>
      <c r="B1313" t="str">
        <f>TEXT(Raw_Data!$A1313, "MMM")</f>
        <v>Oct</v>
      </c>
      <c r="C1313">
        <f>YEAR(Raw_Data!$A1313)</f>
        <v>2012</v>
      </c>
      <c r="D1313" t="s">
        <v>1157</v>
      </c>
      <c r="E1313" t="s">
        <v>23</v>
      </c>
      <c r="F1313" t="s">
        <v>18</v>
      </c>
      <c r="G1313">
        <v>2</v>
      </c>
      <c r="H1313">
        <v>1432</v>
      </c>
      <c r="I1313" s="1">
        <v>473935</v>
      </c>
      <c r="J1313" s="1">
        <f>Raw_Data!$I1313/Raw_Data!$H1313</f>
        <v>330.96019553072625</v>
      </c>
    </row>
    <row r="1314" spans="1:10" x14ac:dyDescent="0.3">
      <c r="A1314" s="9">
        <v>36929</v>
      </c>
      <c r="B1314" s="2" t="str">
        <f>TEXT(Raw_Data!$A1314, "MMM")</f>
        <v>Feb</v>
      </c>
      <c r="C1314" s="2">
        <f>YEAR(Raw_Data!$A1314)</f>
        <v>2001</v>
      </c>
      <c r="D1314" s="2" t="s">
        <v>692</v>
      </c>
      <c r="E1314" s="2" t="s">
        <v>25</v>
      </c>
      <c r="F1314" s="2" t="s">
        <v>18</v>
      </c>
      <c r="G1314" s="2"/>
      <c r="H1314" s="2">
        <v>3258</v>
      </c>
      <c r="I1314" s="10">
        <v>291574</v>
      </c>
      <c r="J1314" s="10">
        <f>Raw_Data!$I1314/Raw_Data!$H1314</f>
        <v>89.494782074892569</v>
      </c>
    </row>
    <row r="1315" spans="1:10" x14ac:dyDescent="0.3">
      <c r="A1315" s="8">
        <v>43311</v>
      </c>
      <c r="B1315" t="str">
        <f>TEXT(Raw_Data!$A1315, "MMM")</f>
        <v>Jul</v>
      </c>
      <c r="C1315">
        <f>YEAR(Raw_Data!$A1315)</f>
        <v>2018</v>
      </c>
      <c r="D1315" t="s">
        <v>1158</v>
      </c>
      <c r="E1315" t="s">
        <v>21</v>
      </c>
      <c r="F1315" t="s">
        <v>11</v>
      </c>
      <c r="G1315">
        <v>5</v>
      </c>
      <c r="H1315">
        <v>2138</v>
      </c>
      <c r="I1315" s="1">
        <v>583700</v>
      </c>
      <c r="J1315" s="1">
        <f>Raw_Data!$I1315/Raw_Data!$H1315</f>
        <v>273.01216089803557</v>
      </c>
    </row>
    <row r="1316" spans="1:10" x14ac:dyDescent="0.3">
      <c r="A1316" s="9">
        <v>39448</v>
      </c>
      <c r="B1316" s="2" t="str">
        <f>TEXT(Raw_Data!$A1316, "MMM")</f>
        <v>Jan</v>
      </c>
      <c r="C1316" s="2">
        <f>YEAR(Raw_Data!$A1316)</f>
        <v>2008</v>
      </c>
      <c r="D1316" s="2" t="s">
        <v>1159</v>
      </c>
      <c r="E1316" s="2" t="s">
        <v>25</v>
      </c>
      <c r="F1316" s="2" t="s">
        <v>18</v>
      </c>
      <c r="G1316" s="2">
        <v>4</v>
      </c>
      <c r="H1316" s="2">
        <v>1525</v>
      </c>
      <c r="I1316" s="10">
        <v>181436</v>
      </c>
      <c r="J1316" s="10">
        <f>Raw_Data!$I1316/Raw_Data!$H1316</f>
        <v>118.9744262295082</v>
      </c>
    </row>
    <row r="1317" spans="1:10" x14ac:dyDescent="0.3">
      <c r="A1317" s="8">
        <v>37635</v>
      </c>
      <c r="B1317" t="str">
        <f>TEXT(Raw_Data!$A1317, "MMM")</f>
        <v>Jan</v>
      </c>
      <c r="C1317">
        <f>YEAR(Raw_Data!$A1317)</f>
        <v>2003</v>
      </c>
      <c r="D1317" t="s">
        <v>1160</v>
      </c>
      <c r="E1317" t="s">
        <v>25</v>
      </c>
      <c r="F1317" t="s">
        <v>18</v>
      </c>
      <c r="H1317">
        <v>2280</v>
      </c>
      <c r="I1317" s="1">
        <v>340007</v>
      </c>
      <c r="J1317" s="1">
        <f>Raw_Data!$I1317/Raw_Data!$H1317</f>
        <v>149.12587719298244</v>
      </c>
    </row>
    <row r="1318" spans="1:10" x14ac:dyDescent="0.3">
      <c r="A1318" s="9">
        <v>40940</v>
      </c>
      <c r="B1318" s="2" t="str">
        <f>TEXT(Raw_Data!$A1318, "MMM")</f>
        <v>Feb</v>
      </c>
      <c r="C1318" s="2">
        <f>YEAR(Raw_Data!$A1318)</f>
        <v>2012</v>
      </c>
      <c r="D1318" s="2" t="s">
        <v>649</v>
      </c>
      <c r="E1318" s="2" t="s">
        <v>13</v>
      </c>
      <c r="F1318" s="2" t="s">
        <v>16</v>
      </c>
      <c r="G1318" s="2">
        <v>2</v>
      </c>
      <c r="H1318" s="2">
        <v>2251</v>
      </c>
      <c r="I1318" s="10">
        <v>725425</v>
      </c>
      <c r="J1318" s="10">
        <f>Raw_Data!$I1318/Raw_Data!$H1318</f>
        <v>322.26788094180364</v>
      </c>
    </row>
    <row r="1319" spans="1:10" x14ac:dyDescent="0.3">
      <c r="A1319" s="8">
        <v>42658</v>
      </c>
      <c r="B1319" t="str">
        <f>TEXT(Raw_Data!$A1319, "MMM")</f>
        <v>Oct</v>
      </c>
      <c r="C1319">
        <f>YEAR(Raw_Data!$A1319)</f>
        <v>2016</v>
      </c>
      <c r="D1319" t="s">
        <v>1161</v>
      </c>
      <c r="E1319" t="s">
        <v>23</v>
      </c>
      <c r="F1319" t="s">
        <v>27</v>
      </c>
      <c r="G1319">
        <v>3</v>
      </c>
      <c r="H1319">
        <v>3183</v>
      </c>
      <c r="I1319" s="1">
        <v>572657</v>
      </c>
      <c r="J1319" s="1">
        <f>Raw_Data!$I1319/Raw_Data!$H1319</f>
        <v>179.91109016650958</v>
      </c>
    </row>
    <row r="1320" spans="1:10" x14ac:dyDescent="0.3">
      <c r="A1320" s="9">
        <v>39133</v>
      </c>
      <c r="B1320" s="2" t="str">
        <f>TEXT(Raw_Data!$A1320, "MMM")</f>
        <v>Feb</v>
      </c>
      <c r="C1320" s="2">
        <f>YEAR(Raw_Data!$A1320)</f>
        <v>2007</v>
      </c>
      <c r="D1320" s="2" t="s">
        <v>1162</v>
      </c>
      <c r="E1320" s="2" t="s">
        <v>32</v>
      </c>
      <c r="F1320" s="2" t="s">
        <v>11</v>
      </c>
      <c r="G1320" s="2">
        <v>4</v>
      </c>
      <c r="H1320" s="2">
        <v>3063</v>
      </c>
      <c r="I1320" s="10">
        <v>149146</v>
      </c>
      <c r="J1320" s="10">
        <f>Raw_Data!$I1320/Raw_Data!$H1320</f>
        <v>48.692784851452821</v>
      </c>
    </row>
    <row r="1321" spans="1:10" x14ac:dyDescent="0.3">
      <c r="A1321" s="8">
        <v>39726</v>
      </c>
      <c r="B1321" t="str">
        <f>TEXT(Raw_Data!$A1321, "MMM")</f>
        <v>Oct</v>
      </c>
      <c r="C1321">
        <f>YEAR(Raw_Data!$A1321)</f>
        <v>2008</v>
      </c>
      <c r="D1321" t="s">
        <v>1163</v>
      </c>
      <c r="E1321" t="s">
        <v>32</v>
      </c>
      <c r="F1321" t="s">
        <v>18</v>
      </c>
      <c r="H1321">
        <v>2832</v>
      </c>
      <c r="I1321" s="1">
        <v>482673</v>
      </c>
      <c r="J1321" s="1">
        <f>Raw_Data!$I1321/Raw_Data!$H1321</f>
        <v>170.43538135593221</v>
      </c>
    </row>
    <row r="1322" spans="1:10" x14ac:dyDescent="0.3">
      <c r="A1322" s="9">
        <v>38272</v>
      </c>
      <c r="B1322" s="2" t="str">
        <f>TEXT(Raw_Data!$A1322, "MMM")</f>
        <v>Oct</v>
      </c>
      <c r="C1322" s="2">
        <f>YEAR(Raw_Data!$A1322)</f>
        <v>2004</v>
      </c>
      <c r="D1322" s="2" t="s">
        <v>1164</v>
      </c>
      <c r="E1322" s="2" t="s">
        <v>15</v>
      </c>
      <c r="F1322" s="2" t="s">
        <v>16</v>
      </c>
      <c r="G1322" s="2">
        <v>4</v>
      </c>
      <c r="H1322" s="2">
        <v>2436</v>
      </c>
      <c r="I1322" s="10">
        <v>514493</v>
      </c>
      <c r="J1322" s="10">
        <f>Raw_Data!$I1322/Raw_Data!$H1322</f>
        <v>211.20402298850576</v>
      </c>
    </row>
    <row r="1323" spans="1:10" x14ac:dyDescent="0.3">
      <c r="A1323" s="8">
        <v>38787</v>
      </c>
      <c r="B1323" t="str">
        <f>TEXT(Raw_Data!$A1323, "MMM")</f>
        <v>Mar</v>
      </c>
      <c r="C1323">
        <f>YEAR(Raw_Data!$A1323)</f>
        <v>2006</v>
      </c>
      <c r="D1323" t="s">
        <v>1165</v>
      </c>
      <c r="E1323" t="s">
        <v>21</v>
      </c>
      <c r="F1323" t="s">
        <v>27</v>
      </c>
      <c r="H1323">
        <v>2194</v>
      </c>
      <c r="I1323" s="1">
        <v>433932</v>
      </c>
      <c r="J1323" s="1">
        <f>Raw_Data!$I1323/Raw_Data!$H1323</f>
        <v>197.78122151321787</v>
      </c>
    </row>
    <row r="1324" spans="1:10" x14ac:dyDescent="0.3">
      <c r="A1324" s="9">
        <v>37051</v>
      </c>
      <c r="B1324" s="2" t="str">
        <f>TEXT(Raw_Data!$A1324, "MMM")</f>
        <v>Jun</v>
      </c>
      <c r="C1324" s="2">
        <f>YEAR(Raw_Data!$A1324)</f>
        <v>2001</v>
      </c>
      <c r="D1324" s="2" t="s">
        <v>1166</v>
      </c>
      <c r="E1324" s="2" t="s">
        <v>32</v>
      </c>
      <c r="F1324" s="2" t="s">
        <v>18</v>
      </c>
      <c r="G1324" s="2"/>
      <c r="H1324" s="2">
        <v>1115</v>
      </c>
      <c r="I1324" s="10">
        <v>298718</v>
      </c>
      <c r="J1324" s="10">
        <f>Raw_Data!$I1324/Raw_Data!$H1324</f>
        <v>267.9085201793722</v>
      </c>
    </row>
    <row r="1325" spans="1:10" x14ac:dyDescent="0.3">
      <c r="A1325" s="8">
        <v>39420</v>
      </c>
      <c r="B1325" t="str">
        <f>TEXT(Raw_Data!$A1325, "MMM")</f>
        <v>Dec</v>
      </c>
      <c r="C1325">
        <f>YEAR(Raw_Data!$A1325)</f>
        <v>2007</v>
      </c>
      <c r="D1325" t="s">
        <v>1167</v>
      </c>
      <c r="E1325" t="s">
        <v>21</v>
      </c>
      <c r="F1325" t="s">
        <v>27</v>
      </c>
      <c r="G1325">
        <v>3</v>
      </c>
      <c r="H1325">
        <v>1074</v>
      </c>
      <c r="I1325" s="1">
        <v>778139</v>
      </c>
      <c r="J1325" s="1">
        <f>Raw_Data!$I1325/Raw_Data!$H1325</f>
        <v>724.52420856610797</v>
      </c>
    </row>
    <row r="1326" spans="1:10" x14ac:dyDescent="0.3">
      <c r="A1326" s="9">
        <v>38329</v>
      </c>
      <c r="B1326" s="2" t="str">
        <f>TEXT(Raw_Data!$A1326, "MMM")</f>
        <v>Dec</v>
      </c>
      <c r="C1326" s="2">
        <f>YEAR(Raw_Data!$A1326)</f>
        <v>2004</v>
      </c>
      <c r="D1326" s="2" t="s">
        <v>1168</v>
      </c>
      <c r="E1326" s="2" t="s">
        <v>13</v>
      </c>
      <c r="F1326" s="2" t="s">
        <v>11</v>
      </c>
      <c r="G1326" s="2">
        <v>4</v>
      </c>
      <c r="H1326" s="2">
        <v>984</v>
      </c>
      <c r="I1326" s="10">
        <v>374840</v>
      </c>
      <c r="J1326" s="10">
        <f>Raw_Data!$I1326/Raw_Data!$H1326</f>
        <v>380.9349593495935</v>
      </c>
    </row>
    <row r="1327" spans="1:10" x14ac:dyDescent="0.3">
      <c r="A1327" s="8">
        <v>39625</v>
      </c>
      <c r="B1327" t="str">
        <f>TEXT(Raw_Data!$A1327, "MMM")</f>
        <v>Jun</v>
      </c>
      <c r="C1327">
        <f>YEAR(Raw_Data!$A1327)</f>
        <v>2008</v>
      </c>
      <c r="D1327" t="s">
        <v>1169</v>
      </c>
      <c r="E1327" t="s">
        <v>25</v>
      </c>
      <c r="F1327" t="s">
        <v>27</v>
      </c>
      <c r="G1327">
        <v>3</v>
      </c>
      <c r="H1327">
        <v>1346</v>
      </c>
      <c r="I1327" s="1">
        <v>525225</v>
      </c>
      <c r="J1327" s="1">
        <f>Raw_Data!$I1327/Raw_Data!$H1327</f>
        <v>390.21173848439821</v>
      </c>
    </row>
    <row r="1328" spans="1:10" x14ac:dyDescent="0.3">
      <c r="A1328" s="9">
        <v>39948</v>
      </c>
      <c r="B1328" s="2" t="str">
        <f>TEXT(Raw_Data!$A1328, "MMM")</f>
        <v>May</v>
      </c>
      <c r="C1328" s="2">
        <f>YEAR(Raw_Data!$A1328)</f>
        <v>2009</v>
      </c>
      <c r="D1328" s="2" t="s">
        <v>1170</v>
      </c>
      <c r="E1328" s="2" t="s">
        <v>25</v>
      </c>
      <c r="F1328" s="2" t="s">
        <v>11</v>
      </c>
      <c r="G1328" s="2"/>
      <c r="H1328" s="2">
        <v>1049</v>
      </c>
      <c r="I1328" s="10">
        <v>418356</v>
      </c>
      <c r="J1328" s="10">
        <f>Raw_Data!$I1328/Raw_Data!$H1328</f>
        <v>398.81410867492849</v>
      </c>
    </row>
    <row r="1329" spans="1:10" x14ac:dyDescent="0.3">
      <c r="A1329" s="8">
        <v>40888</v>
      </c>
      <c r="B1329" t="str">
        <f>TEXT(Raw_Data!$A1329, "MMM")</f>
        <v>Dec</v>
      </c>
      <c r="C1329">
        <f>YEAR(Raw_Data!$A1329)</f>
        <v>2011</v>
      </c>
      <c r="D1329" t="s">
        <v>1069</v>
      </c>
      <c r="E1329" t="s">
        <v>32</v>
      </c>
      <c r="F1329" t="s">
        <v>18</v>
      </c>
      <c r="G1329">
        <v>5</v>
      </c>
      <c r="H1329">
        <v>1597</v>
      </c>
      <c r="I1329" s="1">
        <v>649580</v>
      </c>
      <c r="J1329" s="1">
        <f>Raw_Data!$I1329/Raw_Data!$H1329</f>
        <v>406.7501565435191</v>
      </c>
    </row>
    <row r="1330" spans="1:10" x14ac:dyDescent="0.3">
      <c r="A1330" s="9">
        <v>41121</v>
      </c>
      <c r="B1330" s="2" t="str">
        <f>TEXT(Raw_Data!$A1330, "MMM")</f>
        <v>Jul</v>
      </c>
      <c r="C1330" s="2">
        <f>YEAR(Raw_Data!$A1330)</f>
        <v>2012</v>
      </c>
      <c r="D1330" s="2" t="s">
        <v>1171</v>
      </c>
      <c r="E1330" s="2" t="s">
        <v>25</v>
      </c>
      <c r="F1330" s="2" t="s">
        <v>11</v>
      </c>
      <c r="G1330" s="2">
        <v>2</v>
      </c>
      <c r="H1330" s="2">
        <v>3011</v>
      </c>
      <c r="I1330" s="10">
        <v>196260</v>
      </c>
      <c r="J1330" s="10">
        <f>Raw_Data!$I1330/Raw_Data!$H1330</f>
        <v>65.181002989040181</v>
      </c>
    </row>
    <row r="1331" spans="1:10" x14ac:dyDescent="0.3">
      <c r="A1331" s="8">
        <v>40608</v>
      </c>
      <c r="B1331" t="str">
        <f>TEXT(Raw_Data!$A1331, "MMM")</f>
        <v>Mar</v>
      </c>
      <c r="C1331">
        <f>YEAR(Raw_Data!$A1331)</f>
        <v>2011</v>
      </c>
      <c r="D1331" t="s">
        <v>1172</v>
      </c>
      <c r="E1331" t="s">
        <v>32</v>
      </c>
      <c r="F1331" t="s">
        <v>27</v>
      </c>
      <c r="G1331">
        <v>3</v>
      </c>
      <c r="H1331">
        <v>2872</v>
      </c>
      <c r="I1331" s="1"/>
      <c r="J1331" s="1">
        <f>Raw_Data!$I1331/Raw_Data!$H1331</f>
        <v>0</v>
      </c>
    </row>
    <row r="1332" spans="1:10" x14ac:dyDescent="0.3">
      <c r="A1332" s="9">
        <v>42868</v>
      </c>
      <c r="B1332" s="2" t="str">
        <f>TEXT(Raw_Data!$A1332, "MMM")</f>
        <v>May</v>
      </c>
      <c r="C1332" s="2">
        <f>YEAR(Raw_Data!$A1332)</f>
        <v>2017</v>
      </c>
      <c r="D1332" s="2" t="s">
        <v>1173</v>
      </c>
      <c r="E1332" s="2" t="s">
        <v>15</v>
      </c>
      <c r="F1332" s="2" t="s">
        <v>16</v>
      </c>
      <c r="G1332" s="2">
        <v>2</v>
      </c>
      <c r="H1332" s="2">
        <v>3359</v>
      </c>
      <c r="I1332" s="10">
        <v>566241</v>
      </c>
      <c r="J1332" s="10">
        <f>Raw_Data!$I1332/Raw_Data!$H1332</f>
        <v>168.57427805894611</v>
      </c>
    </row>
    <row r="1333" spans="1:10" x14ac:dyDescent="0.3">
      <c r="A1333" s="8">
        <v>43205</v>
      </c>
      <c r="B1333" t="str">
        <f>TEXT(Raw_Data!$A1333, "MMM")</f>
        <v>Apr</v>
      </c>
      <c r="C1333">
        <f>YEAR(Raw_Data!$A1333)</f>
        <v>2018</v>
      </c>
      <c r="D1333" t="s">
        <v>1174</v>
      </c>
      <c r="E1333" t="s">
        <v>32</v>
      </c>
      <c r="F1333" t="s">
        <v>18</v>
      </c>
      <c r="G1333">
        <v>3</v>
      </c>
      <c r="H1333">
        <v>2142</v>
      </c>
      <c r="I1333" s="1">
        <v>229786</v>
      </c>
      <c r="J1333" s="1">
        <f>Raw_Data!$I1333/Raw_Data!$H1333</f>
        <v>107.27637721755369</v>
      </c>
    </row>
    <row r="1334" spans="1:10" x14ac:dyDescent="0.3">
      <c r="A1334" s="9">
        <v>37071</v>
      </c>
      <c r="B1334" s="2" t="str">
        <f>TEXT(Raw_Data!$A1334, "MMM")</f>
        <v>Jun</v>
      </c>
      <c r="C1334" s="2">
        <f>YEAR(Raw_Data!$A1334)</f>
        <v>2001</v>
      </c>
      <c r="D1334" s="2" t="s">
        <v>810</v>
      </c>
      <c r="E1334" s="2" t="s">
        <v>15</v>
      </c>
      <c r="F1334" s="2" t="s">
        <v>27</v>
      </c>
      <c r="G1334" s="2">
        <v>3</v>
      </c>
      <c r="H1334" s="2">
        <v>1297</v>
      </c>
      <c r="I1334" s="10">
        <v>144899</v>
      </c>
      <c r="J1334" s="10">
        <f>Raw_Data!$I1334/Raw_Data!$H1334</f>
        <v>111.71858134155744</v>
      </c>
    </row>
    <row r="1335" spans="1:10" x14ac:dyDescent="0.3">
      <c r="A1335" s="8">
        <v>43009</v>
      </c>
      <c r="B1335" t="str">
        <f>TEXT(Raw_Data!$A1335, "MMM")</f>
        <v>Oct</v>
      </c>
      <c r="C1335">
        <f>YEAR(Raw_Data!$A1335)</f>
        <v>2017</v>
      </c>
      <c r="D1335" t="s">
        <v>1175</v>
      </c>
      <c r="E1335" t="s">
        <v>29</v>
      </c>
      <c r="F1335" t="s">
        <v>11</v>
      </c>
      <c r="G1335">
        <v>2</v>
      </c>
      <c r="H1335">
        <v>2678</v>
      </c>
      <c r="I1335" s="1">
        <v>834468</v>
      </c>
      <c r="J1335" s="1">
        <f>Raw_Data!$I1335/Raw_Data!$H1335</f>
        <v>311.60119492158327</v>
      </c>
    </row>
    <row r="1336" spans="1:10" x14ac:dyDescent="0.3">
      <c r="A1336" s="9">
        <v>43265</v>
      </c>
      <c r="B1336" s="2" t="str">
        <f>TEXT(Raw_Data!$A1336, "MMM")</f>
        <v>Jun</v>
      </c>
      <c r="C1336" s="2">
        <f>YEAR(Raw_Data!$A1336)</f>
        <v>2018</v>
      </c>
      <c r="D1336" s="2" t="s">
        <v>1176</v>
      </c>
      <c r="E1336" s="2" t="s">
        <v>15</v>
      </c>
      <c r="F1336" s="2" t="s">
        <v>16</v>
      </c>
      <c r="G1336" s="2"/>
      <c r="H1336" s="2">
        <v>3099</v>
      </c>
      <c r="I1336" s="10">
        <v>251643</v>
      </c>
      <c r="J1336" s="10">
        <f>Raw_Data!$I1336/Raw_Data!$H1336</f>
        <v>81.201355275895452</v>
      </c>
    </row>
    <row r="1337" spans="1:10" x14ac:dyDescent="0.3">
      <c r="A1337" s="8">
        <v>39939</v>
      </c>
      <c r="B1337" t="str">
        <f>TEXT(Raw_Data!$A1337, "MMM")</f>
        <v>May</v>
      </c>
      <c r="C1337">
        <f>YEAR(Raw_Data!$A1337)</f>
        <v>2009</v>
      </c>
      <c r="D1337" t="s">
        <v>1177</v>
      </c>
      <c r="E1337" t="s">
        <v>13</v>
      </c>
      <c r="F1337" t="s">
        <v>18</v>
      </c>
      <c r="G1337">
        <v>5</v>
      </c>
      <c r="H1337">
        <v>1096</v>
      </c>
      <c r="I1337" s="1">
        <v>245779</v>
      </c>
      <c r="J1337" s="1">
        <f>Raw_Data!$I1337/Raw_Data!$H1337</f>
        <v>224.25091240875912</v>
      </c>
    </row>
    <row r="1338" spans="1:10" x14ac:dyDescent="0.3">
      <c r="A1338" s="9">
        <v>42498</v>
      </c>
      <c r="B1338" s="2" t="str">
        <f>TEXT(Raw_Data!$A1338, "MMM")</f>
        <v>May</v>
      </c>
      <c r="C1338" s="2">
        <f>YEAR(Raw_Data!$A1338)</f>
        <v>2016</v>
      </c>
      <c r="D1338" s="2" t="s">
        <v>1178</v>
      </c>
      <c r="E1338" s="2" t="s">
        <v>15</v>
      </c>
      <c r="F1338" s="2" t="s">
        <v>27</v>
      </c>
      <c r="G1338" s="2">
        <v>5</v>
      </c>
      <c r="H1338" s="2">
        <v>3298</v>
      </c>
      <c r="I1338" s="10">
        <v>246203</v>
      </c>
      <c r="J1338" s="10">
        <f>Raw_Data!$I1338/Raw_Data!$H1338</f>
        <v>74.652213462704665</v>
      </c>
    </row>
    <row r="1339" spans="1:10" x14ac:dyDescent="0.3">
      <c r="A1339" s="8">
        <v>38331</v>
      </c>
      <c r="B1339" t="str">
        <f>TEXT(Raw_Data!$A1339, "MMM")</f>
        <v>Dec</v>
      </c>
      <c r="C1339">
        <f>YEAR(Raw_Data!$A1339)</f>
        <v>2004</v>
      </c>
      <c r="D1339" t="s">
        <v>664</v>
      </c>
      <c r="E1339" t="s">
        <v>21</v>
      </c>
      <c r="F1339" t="s">
        <v>27</v>
      </c>
      <c r="H1339">
        <v>1912</v>
      </c>
      <c r="I1339" s="1">
        <v>872884</v>
      </c>
      <c r="J1339" s="1">
        <f>Raw_Data!$I1339/Raw_Data!$H1339</f>
        <v>456.52928870292885</v>
      </c>
    </row>
    <row r="1340" spans="1:10" x14ac:dyDescent="0.3">
      <c r="A1340" s="9">
        <v>42785</v>
      </c>
      <c r="B1340" s="2" t="str">
        <f>TEXT(Raw_Data!$A1340, "MMM")</f>
        <v>Feb</v>
      </c>
      <c r="C1340" s="2">
        <f>YEAR(Raw_Data!$A1340)</f>
        <v>2017</v>
      </c>
      <c r="D1340" s="2" t="s">
        <v>478</v>
      </c>
      <c r="E1340" s="2" t="s">
        <v>29</v>
      </c>
      <c r="F1340" s="2" t="s">
        <v>11</v>
      </c>
      <c r="G1340" s="2">
        <v>4</v>
      </c>
      <c r="H1340" s="2">
        <v>1830</v>
      </c>
      <c r="I1340" s="10">
        <v>562108</v>
      </c>
      <c r="J1340" s="10">
        <f>Raw_Data!$I1340/Raw_Data!$H1340</f>
        <v>307.16284153005466</v>
      </c>
    </row>
    <row r="1341" spans="1:10" x14ac:dyDescent="0.3">
      <c r="A1341" s="8">
        <v>43731</v>
      </c>
      <c r="B1341" t="str">
        <f>TEXT(Raw_Data!$A1341, "MMM")</f>
        <v>Sep</v>
      </c>
      <c r="C1341">
        <f>YEAR(Raw_Data!$A1341)</f>
        <v>2019</v>
      </c>
      <c r="D1341" t="s">
        <v>1179</v>
      </c>
      <c r="E1341" t="s">
        <v>13</v>
      </c>
      <c r="F1341" t="s">
        <v>11</v>
      </c>
      <c r="G1341">
        <v>5</v>
      </c>
      <c r="H1341">
        <v>1106</v>
      </c>
      <c r="I1341" s="1"/>
      <c r="J1341" s="1">
        <f>Raw_Data!$I1341/Raw_Data!$H1341</f>
        <v>0</v>
      </c>
    </row>
    <row r="1342" spans="1:10" x14ac:dyDescent="0.3">
      <c r="A1342" s="9">
        <v>39852</v>
      </c>
      <c r="B1342" s="2" t="str">
        <f>TEXT(Raw_Data!$A1342, "MMM")</f>
        <v>Feb</v>
      </c>
      <c r="C1342" s="2">
        <f>YEAR(Raw_Data!$A1342)</f>
        <v>2009</v>
      </c>
      <c r="D1342" s="2" t="s">
        <v>1180</v>
      </c>
      <c r="E1342" s="2" t="s">
        <v>23</v>
      </c>
      <c r="F1342" s="2" t="s">
        <v>27</v>
      </c>
      <c r="G1342" s="2"/>
      <c r="H1342" s="2">
        <v>837</v>
      </c>
      <c r="I1342" s="10">
        <v>281395</v>
      </c>
      <c r="J1342" s="10">
        <f>Raw_Data!$I1342/Raw_Data!$H1342</f>
        <v>336.19474313022698</v>
      </c>
    </row>
    <row r="1343" spans="1:10" x14ac:dyDescent="0.3">
      <c r="A1343" s="8">
        <v>38102</v>
      </c>
      <c r="B1343" t="str">
        <f>TEXT(Raw_Data!$A1343, "MMM")</f>
        <v>Apr</v>
      </c>
      <c r="C1343">
        <f>YEAR(Raw_Data!$A1343)</f>
        <v>2004</v>
      </c>
      <c r="D1343" t="s">
        <v>860</v>
      </c>
      <c r="E1343" t="s">
        <v>32</v>
      </c>
      <c r="F1343" t="s">
        <v>27</v>
      </c>
      <c r="G1343">
        <v>3</v>
      </c>
      <c r="H1343">
        <v>1533</v>
      </c>
      <c r="I1343" s="1">
        <v>626644</v>
      </c>
      <c r="J1343" s="1">
        <f>Raw_Data!$I1343/Raw_Data!$H1343</f>
        <v>408.76973255055447</v>
      </c>
    </row>
    <row r="1344" spans="1:10" x14ac:dyDescent="0.3">
      <c r="A1344" s="9">
        <v>41018</v>
      </c>
      <c r="B1344" s="2" t="str">
        <f>TEXT(Raw_Data!$A1344, "MMM")</f>
        <v>Apr</v>
      </c>
      <c r="C1344" s="2">
        <f>YEAR(Raw_Data!$A1344)</f>
        <v>2012</v>
      </c>
      <c r="D1344" s="2" t="s">
        <v>858</v>
      </c>
      <c r="E1344" s="2" t="s">
        <v>15</v>
      </c>
      <c r="F1344" s="2" t="s">
        <v>18</v>
      </c>
      <c r="G1344" s="2">
        <v>2</v>
      </c>
      <c r="H1344" s="2">
        <v>2873</v>
      </c>
      <c r="I1344" s="10">
        <v>213928</v>
      </c>
      <c r="J1344" s="10">
        <f>Raw_Data!$I1344/Raw_Data!$H1344</f>
        <v>74.461538461538467</v>
      </c>
    </row>
    <row r="1345" spans="1:10" x14ac:dyDescent="0.3">
      <c r="A1345" s="8">
        <v>43300</v>
      </c>
      <c r="B1345" t="str">
        <f>TEXT(Raw_Data!$A1345, "MMM")</f>
        <v>Jul</v>
      </c>
      <c r="C1345">
        <f>YEAR(Raw_Data!$A1345)</f>
        <v>2018</v>
      </c>
      <c r="D1345" t="s">
        <v>1181</v>
      </c>
      <c r="E1345" t="s">
        <v>15</v>
      </c>
      <c r="F1345" t="s">
        <v>11</v>
      </c>
      <c r="H1345">
        <v>2020</v>
      </c>
      <c r="I1345" s="1">
        <v>292837</v>
      </c>
      <c r="J1345" s="1">
        <f>Raw_Data!$I1345/Raw_Data!$H1345</f>
        <v>144.96881188118812</v>
      </c>
    </row>
    <row r="1346" spans="1:10" x14ac:dyDescent="0.3">
      <c r="A1346" s="9">
        <v>43468</v>
      </c>
      <c r="B1346" s="2" t="str">
        <f>TEXT(Raw_Data!$A1346, "MMM")</f>
        <v>Jan</v>
      </c>
      <c r="C1346" s="2">
        <f>YEAR(Raw_Data!$A1346)</f>
        <v>2019</v>
      </c>
      <c r="D1346" s="2" t="s">
        <v>1182</v>
      </c>
      <c r="E1346" s="2" t="s">
        <v>25</v>
      </c>
      <c r="F1346" s="2" t="s">
        <v>18</v>
      </c>
      <c r="G1346" s="2"/>
      <c r="H1346" s="2">
        <v>2736</v>
      </c>
      <c r="I1346" s="10">
        <v>371722</v>
      </c>
      <c r="J1346" s="10">
        <f>Raw_Data!$I1346/Raw_Data!$H1346</f>
        <v>135.86330409356725</v>
      </c>
    </row>
    <row r="1347" spans="1:10" x14ac:dyDescent="0.3">
      <c r="A1347" s="8">
        <v>38492</v>
      </c>
      <c r="B1347" t="str">
        <f>TEXT(Raw_Data!$A1347, "MMM")</f>
        <v>May</v>
      </c>
      <c r="C1347">
        <f>YEAR(Raw_Data!$A1347)</f>
        <v>2005</v>
      </c>
      <c r="D1347" t="s">
        <v>1183</v>
      </c>
      <c r="E1347" t="s">
        <v>23</v>
      </c>
      <c r="F1347" t="s">
        <v>16</v>
      </c>
      <c r="G1347">
        <v>2</v>
      </c>
      <c r="H1347">
        <v>2402</v>
      </c>
      <c r="I1347" s="1">
        <v>668013</v>
      </c>
      <c r="J1347" s="1">
        <f>Raw_Data!$I1347/Raw_Data!$H1347</f>
        <v>278.10699417152375</v>
      </c>
    </row>
    <row r="1348" spans="1:10" x14ac:dyDescent="0.3">
      <c r="A1348" s="9">
        <v>41285</v>
      </c>
      <c r="B1348" s="2" t="str">
        <f>TEXT(Raw_Data!$A1348, "MMM")</f>
        <v>Jan</v>
      </c>
      <c r="C1348" s="2">
        <f>YEAR(Raw_Data!$A1348)</f>
        <v>2013</v>
      </c>
      <c r="D1348" s="2" t="s">
        <v>862</v>
      </c>
      <c r="E1348" s="2" t="s">
        <v>21</v>
      </c>
      <c r="F1348" s="2" t="s">
        <v>16</v>
      </c>
      <c r="G1348" s="2">
        <v>3</v>
      </c>
      <c r="H1348" s="2">
        <v>2312</v>
      </c>
      <c r="I1348" s="10">
        <v>574140</v>
      </c>
      <c r="J1348" s="10">
        <f>Raw_Data!$I1348/Raw_Data!$H1348</f>
        <v>248.33044982698962</v>
      </c>
    </row>
    <row r="1349" spans="1:10" x14ac:dyDescent="0.3">
      <c r="A1349" s="8">
        <v>39553</v>
      </c>
      <c r="B1349" t="str">
        <f>TEXT(Raw_Data!$A1349, "MMM")</f>
        <v>Apr</v>
      </c>
      <c r="C1349">
        <f>YEAR(Raw_Data!$A1349)</f>
        <v>2008</v>
      </c>
      <c r="D1349" t="s">
        <v>1184</v>
      </c>
      <c r="E1349" t="s">
        <v>25</v>
      </c>
      <c r="F1349" t="s">
        <v>16</v>
      </c>
      <c r="G1349">
        <v>5</v>
      </c>
      <c r="H1349">
        <v>1734</v>
      </c>
      <c r="I1349" s="1">
        <v>609322</v>
      </c>
      <c r="J1349" s="1">
        <f>Raw_Data!$I1349/Raw_Data!$H1349</f>
        <v>351.39677047289501</v>
      </c>
    </row>
    <row r="1350" spans="1:10" x14ac:dyDescent="0.3">
      <c r="A1350" s="9">
        <v>40116</v>
      </c>
      <c r="B1350" s="2" t="str">
        <f>TEXT(Raw_Data!$A1350, "MMM")</f>
        <v>Oct</v>
      </c>
      <c r="C1350" s="2">
        <f>YEAR(Raw_Data!$A1350)</f>
        <v>2009</v>
      </c>
      <c r="D1350" s="2" t="s">
        <v>1185</v>
      </c>
      <c r="E1350" s="2" t="s">
        <v>15</v>
      </c>
      <c r="F1350" s="2" t="s">
        <v>16</v>
      </c>
      <c r="G1350" s="2"/>
      <c r="H1350" s="2">
        <v>2108</v>
      </c>
      <c r="I1350" s="10">
        <v>279078</v>
      </c>
      <c r="J1350" s="10">
        <f>Raw_Data!$I1350/Raw_Data!$H1350</f>
        <v>132.38994307400378</v>
      </c>
    </row>
    <row r="1351" spans="1:10" x14ac:dyDescent="0.3">
      <c r="A1351" s="8">
        <v>38691</v>
      </c>
      <c r="B1351" t="str">
        <f>TEXT(Raw_Data!$A1351, "MMM")</f>
        <v>Dec</v>
      </c>
      <c r="C1351">
        <f>YEAR(Raw_Data!$A1351)</f>
        <v>2005</v>
      </c>
      <c r="D1351" t="s">
        <v>1186</v>
      </c>
      <c r="E1351" t="s">
        <v>15</v>
      </c>
      <c r="F1351" t="s">
        <v>16</v>
      </c>
      <c r="G1351">
        <v>2</v>
      </c>
      <c r="H1351">
        <v>2717</v>
      </c>
      <c r="I1351" s="1">
        <v>294491</v>
      </c>
      <c r="J1351" s="1">
        <f>Raw_Data!$I1351/Raw_Data!$H1351</f>
        <v>108.3882959146117</v>
      </c>
    </row>
    <row r="1352" spans="1:10" x14ac:dyDescent="0.3">
      <c r="A1352" s="9">
        <v>38781</v>
      </c>
      <c r="B1352" s="2" t="str">
        <f>TEXT(Raw_Data!$A1352, "MMM")</f>
        <v>Mar</v>
      </c>
      <c r="C1352" s="2">
        <f>YEAR(Raw_Data!$A1352)</f>
        <v>2006</v>
      </c>
      <c r="D1352" s="2" t="s">
        <v>1187</v>
      </c>
      <c r="E1352" s="2" t="s">
        <v>25</v>
      </c>
      <c r="F1352" s="2" t="s">
        <v>11</v>
      </c>
      <c r="G1352" s="2">
        <v>4</v>
      </c>
      <c r="H1352" s="2">
        <v>1892</v>
      </c>
      <c r="I1352" s="10">
        <v>811907</v>
      </c>
      <c r="J1352" s="10">
        <f>Raw_Data!$I1352/Raw_Data!$H1352</f>
        <v>429.12632135306552</v>
      </c>
    </row>
    <row r="1353" spans="1:10" x14ac:dyDescent="0.3">
      <c r="A1353" s="8">
        <v>37130</v>
      </c>
      <c r="B1353" t="str">
        <f>TEXT(Raw_Data!$A1353, "MMM")</f>
        <v>Aug</v>
      </c>
      <c r="C1353">
        <f>YEAR(Raw_Data!$A1353)</f>
        <v>2001</v>
      </c>
      <c r="D1353" t="s">
        <v>1188</v>
      </c>
      <c r="E1353" t="s">
        <v>25</v>
      </c>
      <c r="F1353" t="s">
        <v>18</v>
      </c>
      <c r="G1353">
        <v>3</v>
      </c>
      <c r="H1353">
        <v>3117</v>
      </c>
      <c r="I1353" s="1">
        <v>670119</v>
      </c>
      <c r="J1353" s="1">
        <f>Raw_Data!$I1353/Raw_Data!$H1353</f>
        <v>214.98845043310877</v>
      </c>
    </row>
    <row r="1354" spans="1:10" x14ac:dyDescent="0.3">
      <c r="A1354" s="9">
        <v>43429</v>
      </c>
      <c r="B1354" s="2" t="str">
        <f>TEXT(Raw_Data!$A1354, "MMM")</f>
        <v>Nov</v>
      </c>
      <c r="C1354" s="2">
        <f>YEAR(Raw_Data!$A1354)</f>
        <v>2018</v>
      </c>
      <c r="D1354" s="2" t="s">
        <v>1189</v>
      </c>
      <c r="E1354" s="2" t="s">
        <v>13</v>
      </c>
      <c r="F1354" s="2" t="s">
        <v>16</v>
      </c>
      <c r="G1354" s="2">
        <v>4</v>
      </c>
      <c r="H1354" s="2">
        <v>2692</v>
      </c>
      <c r="I1354" s="10">
        <v>147788</v>
      </c>
      <c r="J1354" s="10">
        <f>Raw_Data!$I1354/Raw_Data!$H1354</f>
        <v>54.898959881129272</v>
      </c>
    </row>
    <row r="1355" spans="1:10" x14ac:dyDescent="0.3">
      <c r="A1355" s="8">
        <v>43523</v>
      </c>
      <c r="B1355" t="str">
        <f>TEXT(Raw_Data!$A1355, "MMM")</f>
        <v>Feb</v>
      </c>
      <c r="C1355">
        <f>YEAR(Raw_Data!$A1355)</f>
        <v>2019</v>
      </c>
      <c r="D1355" t="s">
        <v>1190</v>
      </c>
      <c r="E1355" t="s">
        <v>25</v>
      </c>
      <c r="F1355" t="s">
        <v>11</v>
      </c>
      <c r="H1355">
        <v>2205</v>
      </c>
      <c r="I1355" s="1">
        <v>870473</v>
      </c>
      <c r="J1355" s="1">
        <f>Raw_Data!$I1355/Raw_Data!$H1355</f>
        <v>394.77233560090701</v>
      </c>
    </row>
    <row r="1356" spans="1:10" x14ac:dyDescent="0.3">
      <c r="A1356" s="9">
        <v>43915</v>
      </c>
      <c r="B1356" s="2" t="str">
        <f>TEXT(Raw_Data!$A1356, "MMM")</f>
        <v>Mar</v>
      </c>
      <c r="C1356" s="2">
        <f>YEAR(Raw_Data!$A1356)</f>
        <v>2020</v>
      </c>
      <c r="D1356" s="2" t="s">
        <v>1191</v>
      </c>
      <c r="E1356" s="2" t="s">
        <v>23</v>
      </c>
      <c r="F1356" s="2" t="s">
        <v>27</v>
      </c>
      <c r="G1356" s="2"/>
      <c r="H1356" s="2">
        <v>1406</v>
      </c>
      <c r="I1356" s="10">
        <v>260768</v>
      </c>
      <c r="J1356" s="10">
        <f>Raw_Data!$I1356/Raw_Data!$H1356</f>
        <v>185.46799431009958</v>
      </c>
    </row>
    <row r="1357" spans="1:10" x14ac:dyDescent="0.3">
      <c r="A1357" s="8">
        <v>42070</v>
      </c>
      <c r="B1357" t="str">
        <f>TEXT(Raw_Data!$A1357, "MMM")</f>
        <v>Mar</v>
      </c>
      <c r="C1357">
        <f>YEAR(Raw_Data!$A1357)</f>
        <v>2015</v>
      </c>
      <c r="D1357" t="s">
        <v>1192</v>
      </c>
      <c r="E1357" t="s">
        <v>25</v>
      </c>
      <c r="F1357" t="s">
        <v>11</v>
      </c>
      <c r="G1357">
        <v>4</v>
      </c>
      <c r="H1357">
        <v>977</v>
      </c>
      <c r="I1357" s="1">
        <v>467747</v>
      </c>
      <c r="J1357" s="1">
        <f>Raw_Data!$I1357/Raw_Data!$H1357</f>
        <v>478.75844421699077</v>
      </c>
    </row>
    <row r="1358" spans="1:10" x14ac:dyDescent="0.3">
      <c r="A1358" s="9">
        <v>41536</v>
      </c>
      <c r="B1358" s="2" t="str">
        <f>TEXT(Raw_Data!$A1358, "MMM")</f>
        <v>Sep</v>
      </c>
      <c r="C1358" s="2">
        <f>YEAR(Raw_Data!$A1358)</f>
        <v>2013</v>
      </c>
      <c r="D1358" s="2" t="s">
        <v>713</v>
      </c>
      <c r="E1358" s="2" t="s">
        <v>21</v>
      </c>
      <c r="F1358" s="2" t="s">
        <v>16</v>
      </c>
      <c r="G1358" s="2"/>
      <c r="H1358" s="2">
        <v>3404</v>
      </c>
      <c r="I1358" s="10">
        <v>399204</v>
      </c>
      <c r="J1358" s="10">
        <f>Raw_Data!$I1358/Raw_Data!$H1358</f>
        <v>117.27497062279672</v>
      </c>
    </row>
    <row r="1359" spans="1:10" x14ac:dyDescent="0.3">
      <c r="A1359" s="8">
        <v>43821</v>
      </c>
      <c r="B1359" t="str">
        <f>TEXT(Raw_Data!$A1359, "MMM")</f>
        <v>Dec</v>
      </c>
      <c r="C1359">
        <f>YEAR(Raw_Data!$A1359)</f>
        <v>2019</v>
      </c>
      <c r="D1359" t="s">
        <v>1193</v>
      </c>
      <c r="E1359" t="s">
        <v>32</v>
      </c>
      <c r="F1359" t="s">
        <v>16</v>
      </c>
      <c r="G1359">
        <v>4</v>
      </c>
      <c r="H1359">
        <v>1310</v>
      </c>
      <c r="I1359" s="1">
        <v>331996</v>
      </c>
      <c r="J1359" s="1">
        <f>Raw_Data!$I1359/Raw_Data!$H1359</f>
        <v>253.4320610687023</v>
      </c>
    </row>
    <row r="1360" spans="1:10" x14ac:dyDescent="0.3">
      <c r="A1360" s="9">
        <v>40919</v>
      </c>
      <c r="B1360" s="2" t="str">
        <f>TEXT(Raw_Data!$A1360, "MMM")</f>
        <v>Jan</v>
      </c>
      <c r="C1360" s="2">
        <f>YEAR(Raw_Data!$A1360)</f>
        <v>2012</v>
      </c>
      <c r="D1360" s="2" t="s">
        <v>1194</v>
      </c>
      <c r="E1360" s="2" t="s">
        <v>21</v>
      </c>
      <c r="F1360" s="2" t="s">
        <v>18</v>
      </c>
      <c r="G1360" s="2">
        <v>3</v>
      </c>
      <c r="H1360" s="2">
        <v>3082</v>
      </c>
      <c r="I1360" s="10">
        <v>402004</v>
      </c>
      <c r="J1360" s="10">
        <f>Raw_Data!$I1360/Raw_Data!$H1360</f>
        <v>130.43608046722906</v>
      </c>
    </row>
    <row r="1361" spans="1:10" x14ac:dyDescent="0.3">
      <c r="A1361" s="8">
        <v>39798</v>
      </c>
      <c r="B1361" t="str">
        <f>TEXT(Raw_Data!$A1361, "MMM")</f>
        <v>Dec</v>
      </c>
      <c r="C1361">
        <f>YEAR(Raw_Data!$A1361)</f>
        <v>2008</v>
      </c>
      <c r="D1361" t="s">
        <v>531</v>
      </c>
      <c r="E1361" t="s">
        <v>23</v>
      </c>
      <c r="F1361" t="s">
        <v>27</v>
      </c>
      <c r="G1361">
        <v>3</v>
      </c>
      <c r="H1361">
        <v>2234</v>
      </c>
      <c r="I1361" s="1"/>
      <c r="J1361" s="1">
        <f>Raw_Data!$I1361/Raw_Data!$H1361</f>
        <v>0</v>
      </c>
    </row>
    <row r="1362" spans="1:10" x14ac:dyDescent="0.3">
      <c r="A1362" s="9">
        <v>42616</v>
      </c>
      <c r="B1362" s="2" t="str">
        <f>TEXT(Raw_Data!$A1362, "MMM")</f>
        <v>Sep</v>
      </c>
      <c r="C1362" s="2">
        <f>YEAR(Raw_Data!$A1362)</f>
        <v>2016</v>
      </c>
      <c r="D1362" s="2" t="s">
        <v>1195</v>
      </c>
      <c r="E1362" s="2" t="s">
        <v>21</v>
      </c>
      <c r="F1362" s="2" t="s">
        <v>16</v>
      </c>
      <c r="G1362" s="2">
        <v>5</v>
      </c>
      <c r="H1362" s="2">
        <v>924</v>
      </c>
      <c r="I1362" s="10">
        <v>851538</v>
      </c>
      <c r="J1362" s="10">
        <f>Raw_Data!$I1362/Raw_Data!$H1362</f>
        <v>921.57792207792204</v>
      </c>
    </row>
    <row r="1363" spans="1:10" x14ac:dyDescent="0.3">
      <c r="A1363" s="8">
        <v>40727</v>
      </c>
      <c r="B1363" t="str">
        <f>TEXT(Raw_Data!$A1363, "MMM")</f>
        <v>Jul</v>
      </c>
      <c r="C1363">
        <f>YEAR(Raw_Data!$A1363)</f>
        <v>2011</v>
      </c>
      <c r="D1363" t="s">
        <v>1196</v>
      </c>
      <c r="E1363" t="s">
        <v>15</v>
      </c>
      <c r="F1363" t="s">
        <v>16</v>
      </c>
      <c r="G1363">
        <v>3</v>
      </c>
      <c r="H1363">
        <v>3094</v>
      </c>
      <c r="I1363" s="1">
        <v>192880</v>
      </c>
      <c r="J1363" s="1">
        <f>Raw_Data!$I1363/Raw_Data!$H1363</f>
        <v>62.340012928248221</v>
      </c>
    </row>
    <row r="1364" spans="1:10" x14ac:dyDescent="0.3">
      <c r="A1364" s="9">
        <v>40942</v>
      </c>
      <c r="B1364" s="2" t="str">
        <f>TEXT(Raw_Data!$A1364, "MMM")</f>
        <v>Feb</v>
      </c>
      <c r="C1364" s="2">
        <f>YEAR(Raw_Data!$A1364)</f>
        <v>2012</v>
      </c>
      <c r="D1364" s="2" t="s">
        <v>1197</v>
      </c>
      <c r="E1364" s="2" t="s">
        <v>25</v>
      </c>
      <c r="F1364" s="2" t="s">
        <v>27</v>
      </c>
      <c r="G1364" s="2"/>
      <c r="H1364" s="2">
        <v>864</v>
      </c>
      <c r="I1364" s="10">
        <v>507352</v>
      </c>
      <c r="J1364" s="10">
        <f>Raw_Data!$I1364/Raw_Data!$H1364</f>
        <v>587.21296296296293</v>
      </c>
    </row>
    <row r="1365" spans="1:10" x14ac:dyDescent="0.3">
      <c r="A1365" s="8">
        <v>39484</v>
      </c>
      <c r="B1365" t="str">
        <f>TEXT(Raw_Data!$A1365, "MMM")</f>
        <v>Feb</v>
      </c>
      <c r="C1365">
        <f>YEAR(Raw_Data!$A1365)</f>
        <v>2008</v>
      </c>
      <c r="D1365" t="s">
        <v>913</v>
      </c>
      <c r="E1365" t="s">
        <v>25</v>
      </c>
      <c r="F1365" t="s">
        <v>16</v>
      </c>
      <c r="H1365">
        <v>1668</v>
      </c>
      <c r="I1365" s="1">
        <v>412430</v>
      </c>
      <c r="J1365" s="1">
        <f>Raw_Data!$I1365/Raw_Data!$H1365</f>
        <v>247.26019184652279</v>
      </c>
    </row>
    <row r="1366" spans="1:10" x14ac:dyDescent="0.3">
      <c r="A1366" s="9">
        <v>43505</v>
      </c>
      <c r="B1366" s="2" t="str">
        <f>TEXT(Raw_Data!$A1366, "MMM")</f>
        <v>Feb</v>
      </c>
      <c r="C1366" s="2">
        <f>YEAR(Raw_Data!$A1366)</f>
        <v>2019</v>
      </c>
      <c r="D1366" s="2" t="s">
        <v>1198</v>
      </c>
      <c r="E1366" s="2" t="s">
        <v>13</v>
      </c>
      <c r="F1366" s="2" t="s">
        <v>11</v>
      </c>
      <c r="G1366" s="2">
        <v>2</v>
      </c>
      <c r="H1366" s="2">
        <v>2388</v>
      </c>
      <c r="I1366" s="10">
        <v>612123</v>
      </c>
      <c r="J1366" s="10">
        <f>Raw_Data!$I1366/Raw_Data!$H1366</f>
        <v>256.3329145728643</v>
      </c>
    </row>
    <row r="1367" spans="1:10" x14ac:dyDescent="0.3">
      <c r="A1367" s="8">
        <v>38217</v>
      </c>
      <c r="B1367" t="str">
        <f>TEXT(Raw_Data!$A1367, "MMM")</f>
        <v>Aug</v>
      </c>
      <c r="C1367">
        <f>YEAR(Raw_Data!$A1367)</f>
        <v>2004</v>
      </c>
      <c r="D1367" t="s">
        <v>1199</v>
      </c>
      <c r="E1367" t="s">
        <v>21</v>
      </c>
      <c r="F1367" t="s">
        <v>16</v>
      </c>
      <c r="G1367">
        <v>5</v>
      </c>
      <c r="H1367">
        <v>1711</v>
      </c>
      <c r="I1367" s="1">
        <v>704925</v>
      </c>
      <c r="J1367" s="1">
        <f>Raw_Data!$I1367/Raw_Data!$H1367</f>
        <v>411.99590882524842</v>
      </c>
    </row>
    <row r="1368" spans="1:10" x14ac:dyDescent="0.3">
      <c r="A1368" s="9">
        <v>37226</v>
      </c>
      <c r="B1368" s="2" t="str">
        <f>TEXT(Raw_Data!$A1368, "MMM")</f>
        <v>Dec</v>
      </c>
      <c r="C1368" s="2">
        <f>YEAR(Raw_Data!$A1368)</f>
        <v>2001</v>
      </c>
      <c r="D1368" s="2" t="s">
        <v>901</v>
      </c>
      <c r="E1368" s="2" t="s">
        <v>25</v>
      </c>
      <c r="F1368" s="2" t="s">
        <v>11</v>
      </c>
      <c r="G1368" s="2">
        <v>2</v>
      </c>
      <c r="H1368" s="2">
        <v>3064</v>
      </c>
      <c r="I1368" s="10">
        <v>709637</v>
      </c>
      <c r="J1368" s="10">
        <f>Raw_Data!$I1368/Raw_Data!$H1368</f>
        <v>231.60476501305482</v>
      </c>
    </row>
    <row r="1369" spans="1:10" x14ac:dyDescent="0.3">
      <c r="A1369" s="8">
        <v>41538</v>
      </c>
      <c r="B1369" t="str">
        <f>TEXT(Raw_Data!$A1369, "MMM")</f>
        <v>Sep</v>
      </c>
      <c r="C1369">
        <f>YEAR(Raw_Data!$A1369)</f>
        <v>2013</v>
      </c>
      <c r="D1369" t="s">
        <v>981</v>
      </c>
      <c r="E1369" t="s">
        <v>13</v>
      </c>
      <c r="F1369" t="s">
        <v>27</v>
      </c>
      <c r="H1369">
        <v>869</v>
      </c>
      <c r="I1369" s="1">
        <v>763378</v>
      </c>
      <c r="J1369" s="1">
        <f>Raw_Data!$I1369/Raw_Data!$H1369</f>
        <v>878.45569620253161</v>
      </c>
    </row>
    <row r="1370" spans="1:10" x14ac:dyDescent="0.3">
      <c r="A1370" s="9">
        <v>39735</v>
      </c>
      <c r="B1370" s="2" t="str">
        <f>TEXT(Raw_Data!$A1370, "MMM")</f>
        <v>Oct</v>
      </c>
      <c r="C1370" s="2">
        <f>YEAR(Raw_Data!$A1370)</f>
        <v>2008</v>
      </c>
      <c r="D1370" s="2" t="s">
        <v>1200</v>
      </c>
      <c r="E1370" s="2" t="s">
        <v>25</v>
      </c>
      <c r="F1370" s="2" t="s">
        <v>11</v>
      </c>
      <c r="G1370" s="2">
        <v>2</v>
      </c>
      <c r="H1370" s="2">
        <v>1320</v>
      </c>
      <c r="I1370" s="10">
        <v>254225</v>
      </c>
      <c r="J1370" s="10">
        <f>Raw_Data!$I1370/Raw_Data!$H1370</f>
        <v>192.59469696969697</v>
      </c>
    </row>
    <row r="1371" spans="1:10" x14ac:dyDescent="0.3">
      <c r="A1371" s="8">
        <v>40127</v>
      </c>
      <c r="B1371" t="str">
        <f>TEXT(Raw_Data!$A1371, "MMM")</f>
        <v>Nov</v>
      </c>
      <c r="C1371">
        <f>YEAR(Raw_Data!$A1371)</f>
        <v>2009</v>
      </c>
      <c r="D1371" t="s">
        <v>1201</v>
      </c>
      <c r="E1371" t="s">
        <v>23</v>
      </c>
      <c r="F1371" t="s">
        <v>16</v>
      </c>
      <c r="G1371">
        <v>4</v>
      </c>
      <c r="H1371">
        <v>1890</v>
      </c>
      <c r="I1371" s="1">
        <v>135393</v>
      </c>
      <c r="J1371" s="1">
        <f>Raw_Data!$I1371/Raw_Data!$H1371</f>
        <v>71.63650793650794</v>
      </c>
    </row>
    <row r="1372" spans="1:10" x14ac:dyDescent="0.3">
      <c r="A1372" s="9">
        <v>42454</v>
      </c>
      <c r="B1372" s="2" t="str">
        <f>TEXT(Raw_Data!$A1372, "MMM")</f>
        <v>Mar</v>
      </c>
      <c r="C1372" s="2">
        <f>YEAR(Raw_Data!$A1372)</f>
        <v>2016</v>
      </c>
      <c r="D1372" s="2" t="s">
        <v>1202</v>
      </c>
      <c r="E1372" s="2" t="s">
        <v>32</v>
      </c>
      <c r="F1372" s="2" t="s">
        <v>18</v>
      </c>
      <c r="G1372" s="2"/>
      <c r="H1372" s="2">
        <v>1559</v>
      </c>
      <c r="I1372" s="10">
        <v>550698</v>
      </c>
      <c r="J1372" s="10">
        <f>Raw_Data!$I1372/Raw_Data!$H1372</f>
        <v>353.2379730596536</v>
      </c>
    </row>
    <row r="1373" spans="1:10" x14ac:dyDescent="0.3">
      <c r="A1373" s="8">
        <v>41829</v>
      </c>
      <c r="B1373" t="str">
        <f>TEXT(Raw_Data!$A1373, "MMM")</f>
        <v>Jul</v>
      </c>
      <c r="C1373">
        <f>YEAR(Raw_Data!$A1373)</f>
        <v>2014</v>
      </c>
      <c r="D1373" t="s">
        <v>1203</v>
      </c>
      <c r="E1373" t="s">
        <v>15</v>
      </c>
      <c r="F1373" t="s">
        <v>11</v>
      </c>
      <c r="G1373">
        <v>4</v>
      </c>
      <c r="H1373">
        <v>857</v>
      </c>
      <c r="I1373" s="1">
        <v>805608</v>
      </c>
      <c r="J1373" s="1">
        <f>Raw_Data!$I1373/Raw_Data!$H1373</f>
        <v>940.03267211201864</v>
      </c>
    </row>
    <row r="1374" spans="1:10" x14ac:dyDescent="0.3">
      <c r="A1374" s="9">
        <v>39347</v>
      </c>
      <c r="B1374" s="2" t="str">
        <f>TEXT(Raw_Data!$A1374, "MMM")</f>
        <v>Sep</v>
      </c>
      <c r="C1374" s="2">
        <f>YEAR(Raw_Data!$A1374)</f>
        <v>2007</v>
      </c>
      <c r="D1374" s="2" t="s">
        <v>1204</v>
      </c>
      <c r="E1374" s="2" t="s">
        <v>32</v>
      </c>
      <c r="F1374" s="2" t="s">
        <v>11</v>
      </c>
      <c r="G1374" s="2">
        <v>4</v>
      </c>
      <c r="H1374" s="2">
        <v>1583</v>
      </c>
      <c r="I1374" s="10">
        <v>384157</v>
      </c>
      <c r="J1374" s="10">
        <f>Raw_Data!$I1374/Raw_Data!$H1374</f>
        <v>242.67656348704992</v>
      </c>
    </row>
    <row r="1375" spans="1:10" x14ac:dyDescent="0.3">
      <c r="A1375" s="8">
        <v>40410</v>
      </c>
      <c r="B1375" t="str">
        <f>TEXT(Raw_Data!$A1375, "MMM")</f>
        <v>Aug</v>
      </c>
      <c r="C1375">
        <f>YEAR(Raw_Data!$A1375)</f>
        <v>2010</v>
      </c>
      <c r="D1375" t="s">
        <v>1205</v>
      </c>
      <c r="E1375" t="s">
        <v>13</v>
      </c>
      <c r="F1375" t="s">
        <v>27</v>
      </c>
      <c r="H1375">
        <v>1073</v>
      </c>
      <c r="I1375" s="1">
        <v>623586</v>
      </c>
      <c r="J1375" s="1">
        <f>Raw_Data!$I1375/Raw_Data!$H1375</f>
        <v>581.16123019571296</v>
      </c>
    </row>
    <row r="1376" spans="1:10" x14ac:dyDescent="0.3">
      <c r="A1376" s="9">
        <v>36941</v>
      </c>
      <c r="B1376" s="2" t="str">
        <f>TEXT(Raw_Data!$A1376, "MMM")</f>
        <v>Feb</v>
      </c>
      <c r="C1376" s="2">
        <f>YEAR(Raw_Data!$A1376)</f>
        <v>2001</v>
      </c>
      <c r="D1376" s="2" t="s">
        <v>1122</v>
      </c>
      <c r="E1376" s="2" t="s">
        <v>25</v>
      </c>
      <c r="F1376" s="2" t="s">
        <v>18</v>
      </c>
      <c r="G1376" s="2">
        <v>2</v>
      </c>
      <c r="H1376" s="2">
        <v>1994</v>
      </c>
      <c r="I1376" s="10">
        <v>289772</v>
      </c>
      <c r="J1376" s="10">
        <f>Raw_Data!$I1376/Raw_Data!$H1376</f>
        <v>145.32196589769308</v>
      </c>
    </row>
    <row r="1377" spans="1:10" x14ac:dyDescent="0.3">
      <c r="A1377" s="8">
        <v>43022</v>
      </c>
      <c r="B1377" t="str">
        <f>TEXT(Raw_Data!$A1377, "MMM")</f>
        <v>Oct</v>
      </c>
      <c r="C1377">
        <f>YEAR(Raw_Data!$A1377)</f>
        <v>2017</v>
      </c>
      <c r="D1377" t="s">
        <v>1206</v>
      </c>
      <c r="E1377" t="s">
        <v>25</v>
      </c>
      <c r="F1377" t="s">
        <v>16</v>
      </c>
      <c r="G1377">
        <v>4</v>
      </c>
      <c r="H1377">
        <v>2088</v>
      </c>
      <c r="I1377" s="1">
        <v>352020</v>
      </c>
      <c r="J1377" s="1">
        <f>Raw_Data!$I1377/Raw_Data!$H1377</f>
        <v>168.59195402298852</v>
      </c>
    </row>
    <row r="1378" spans="1:10" x14ac:dyDescent="0.3">
      <c r="A1378" s="9">
        <v>37405</v>
      </c>
      <c r="B1378" s="2" t="str">
        <f>TEXT(Raw_Data!$A1378, "MMM")</f>
        <v>May</v>
      </c>
      <c r="C1378" s="2">
        <f>YEAR(Raw_Data!$A1378)</f>
        <v>2002</v>
      </c>
      <c r="D1378" s="2" t="s">
        <v>1207</v>
      </c>
      <c r="E1378" s="2" t="s">
        <v>15</v>
      </c>
      <c r="F1378" s="2" t="s">
        <v>27</v>
      </c>
      <c r="G1378" s="2"/>
      <c r="H1378" s="2">
        <v>3131</v>
      </c>
      <c r="I1378" s="10">
        <v>152542</v>
      </c>
      <c r="J1378" s="10">
        <f>Raw_Data!$I1378/Raw_Data!$H1378</f>
        <v>48.719897796231237</v>
      </c>
    </row>
    <row r="1379" spans="1:10" x14ac:dyDescent="0.3">
      <c r="A1379" s="8">
        <v>41712</v>
      </c>
      <c r="B1379" t="str">
        <f>TEXT(Raw_Data!$A1379, "MMM")</f>
        <v>Mar</v>
      </c>
      <c r="C1379">
        <f>YEAR(Raw_Data!$A1379)</f>
        <v>2014</v>
      </c>
      <c r="D1379" t="s">
        <v>1208</v>
      </c>
      <c r="E1379" t="s">
        <v>32</v>
      </c>
      <c r="F1379" t="s">
        <v>11</v>
      </c>
      <c r="G1379">
        <v>5</v>
      </c>
      <c r="H1379">
        <v>2961</v>
      </c>
      <c r="I1379" s="1">
        <v>828501</v>
      </c>
      <c r="J1379" s="1">
        <f>Raw_Data!$I1379/Raw_Data!$H1379</f>
        <v>279.80445795339415</v>
      </c>
    </row>
    <row r="1380" spans="1:10" x14ac:dyDescent="0.3">
      <c r="A1380" s="9">
        <v>38027</v>
      </c>
      <c r="B1380" s="2" t="str">
        <f>TEXT(Raw_Data!$A1380, "MMM")</f>
        <v>Feb</v>
      </c>
      <c r="C1380" s="2">
        <f>YEAR(Raw_Data!$A1380)</f>
        <v>2004</v>
      </c>
      <c r="D1380" s="2" t="s">
        <v>994</v>
      </c>
      <c r="E1380" s="2" t="s">
        <v>25</v>
      </c>
      <c r="F1380" s="2" t="s">
        <v>18</v>
      </c>
      <c r="G1380" s="2"/>
      <c r="H1380" s="2">
        <v>2549</v>
      </c>
      <c r="I1380" s="10">
        <v>531564</v>
      </c>
      <c r="J1380" s="10">
        <f>Raw_Data!$I1380/Raw_Data!$H1380</f>
        <v>208.53825029423302</v>
      </c>
    </row>
    <row r="1381" spans="1:10" x14ac:dyDescent="0.3">
      <c r="A1381" s="8">
        <v>40842</v>
      </c>
      <c r="B1381" t="str">
        <f>TEXT(Raw_Data!$A1381, "MMM")</f>
        <v>Oct</v>
      </c>
      <c r="C1381">
        <f>YEAR(Raw_Data!$A1381)</f>
        <v>2011</v>
      </c>
      <c r="D1381" t="s">
        <v>586</v>
      </c>
      <c r="E1381" t="s">
        <v>21</v>
      </c>
      <c r="F1381" t="s">
        <v>18</v>
      </c>
      <c r="H1381">
        <v>3175</v>
      </c>
      <c r="I1381" s="1">
        <v>871829</v>
      </c>
      <c r="J1381" s="1">
        <f>Raw_Data!$I1381/Raw_Data!$H1381</f>
        <v>274.59181102362203</v>
      </c>
    </row>
    <row r="1382" spans="1:10" x14ac:dyDescent="0.3">
      <c r="A1382" s="9">
        <v>38846</v>
      </c>
      <c r="B1382" s="2" t="str">
        <f>TEXT(Raw_Data!$A1382, "MMM")</f>
        <v>May</v>
      </c>
      <c r="C1382" s="2">
        <f>YEAR(Raw_Data!$A1382)</f>
        <v>2006</v>
      </c>
      <c r="D1382" s="2" t="s">
        <v>1209</v>
      </c>
      <c r="E1382" s="2" t="s">
        <v>25</v>
      </c>
      <c r="F1382" s="2" t="s">
        <v>16</v>
      </c>
      <c r="G1382" s="2">
        <v>3</v>
      </c>
      <c r="H1382" s="2">
        <v>882</v>
      </c>
      <c r="I1382" s="10">
        <v>794052</v>
      </c>
      <c r="J1382" s="10">
        <f>Raw_Data!$I1382/Raw_Data!$H1382</f>
        <v>900.28571428571433</v>
      </c>
    </row>
    <row r="1383" spans="1:10" x14ac:dyDescent="0.3">
      <c r="A1383" s="8">
        <v>43416</v>
      </c>
      <c r="B1383" t="str">
        <f>TEXT(Raw_Data!$A1383, "MMM")</f>
        <v>Nov</v>
      </c>
      <c r="C1383">
        <f>YEAR(Raw_Data!$A1383)</f>
        <v>2018</v>
      </c>
      <c r="D1383" t="s">
        <v>1210</v>
      </c>
      <c r="E1383" t="s">
        <v>32</v>
      </c>
      <c r="F1383" t="s">
        <v>27</v>
      </c>
      <c r="H1383">
        <v>2419</v>
      </c>
      <c r="I1383" s="1">
        <v>262041</v>
      </c>
      <c r="J1383" s="1">
        <f>Raw_Data!$I1383/Raw_Data!$H1383</f>
        <v>108.32616783794957</v>
      </c>
    </row>
    <row r="1384" spans="1:10" x14ac:dyDescent="0.3">
      <c r="A1384" s="9">
        <v>40748</v>
      </c>
      <c r="B1384" s="2" t="str">
        <f>TEXT(Raw_Data!$A1384, "MMM")</f>
        <v>Jul</v>
      </c>
      <c r="C1384" s="2">
        <f>YEAR(Raw_Data!$A1384)</f>
        <v>2011</v>
      </c>
      <c r="D1384" s="2" t="s">
        <v>1211</v>
      </c>
      <c r="E1384" s="2" t="s">
        <v>15</v>
      </c>
      <c r="F1384" s="2" t="s">
        <v>18</v>
      </c>
      <c r="G1384" s="2">
        <v>4</v>
      </c>
      <c r="H1384" s="2">
        <v>3016</v>
      </c>
      <c r="I1384" s="10">
        <v>441586</v>
      </c>
      <c r="J1384" s="10">
        <f>Raw_Data!$I1384/Raw_Data!$H1384</f>
        <v>146.41445623342176</v>
      </c>
    </row>
    <row r="1385" spans="1:10" x14ac:dyDescent="0.3">
      <c r="A1385" s="8">
        <v>41818</v>
      </c>
      <c r="B1385" t="str">
        <f>TEXT(Raw_Data!$A1385, "MMM")</f>
        <v>Jun</v>
      </c>
      <c r="C1385">
        <f>YEAR(Raw_Data!$A1385)</f>
        <v>2014</v>
      </c>
      <c r="D1385" t="s">
        <v>1212</v>
      </c>
      <c r="E1385" t="s">
        <v>23</v>
      </c>
      <c r="F1385" t="s">
        <v>27</v>
      </c>
      <c r="G1385">
        <v>4</v>
      </c>
      <c r="H1385">
        <v>1699</v>
      </c>
      <c r="I1385" s="1">
        <v>524570</v>
      </c>
      <c r="J1385" s="1">
        <f>Raw_Data!$I1385/Raw_Data!$H1385</f>
        <v>308.75220718069454</v>
      </c>
    </row>
    <row r="1386" spans="1:10" x14ac:dyDescent="0.3">
      <c r="A1386" s="9">
        <v>42953</v>
      </c>
      <c r="B1386" s="2" t="str">
        <f>TEXT(Raw_Data!$A1386, "MMM")</f>
        <v>Aug</v>
      </c>
      <c r="C1386" s="2">
        <f>YEAR(Raw_Data!$A1386)</f>
        <v>2017</v>
      </c>
      <c r="D1386" s="2" t="s">
        <v>1213</v>
      </c>
      <c r="E1386" s="2" t="s">
        <v>15</v>
      </c>
      <c r="F1386" s="2" t="s">
        <v>27</v>
      </c>
      <c r="G1386" s="2">
        <v>5</v>
      </c>
      <c r="H1386" s="2">
        <v>887</v>
      </c>
      <c r="I1386" s="10">
        <v>452245</v>
      </c>
      <c r="J1386" s="10">
        <f>Raw_Data!$I1386/Raw_Data!$H1386</f>
        <v>509.85907553551294</v>
      </c>
    </row>
    <row r="1387" spans="1:10" x14ac:dyDescent="0.3">
      <c r="A1387" s="8">
        <v>41760</v>
      </c>
      <c r="B1387" t="str">
        <f>TEXT(Raw_Data!$A1387, "MMM")</f>
        <v>May</v>
      </c>
      <c r="C1387">
        <f>YEAR(Raw_Data!$A1387)</f>
        <v>2014</v>
      </c>
      <c r="D1387" t="s">
        <v>1214</v>
      </c>
      <c r="E1387" t="s">
        <v>15</v>
      </c>
      <c r="F1387" t="s">
        <v>27</v>
      </c>
      <c r="G1387">
        <v>2</v>
      </c>
      <c r="H1387">
        <v>1680</v>
      </c>
      <c r="I1387" s="1">
        <v>746829</v>
      </c>
      <c r="J1387" s="1">
        <f>Raw_Data!$I1387/Raw_Data!$H1387</f>
        <v>444.54107142857146</v>
      </c>
    </row>
    <row r="1388" spans="1:10" x14ac:dyDescent="0.3">
      <c r="A1388" s="9">
        <v>40794</v>
      </c>
      <c r="B1388" s="2" t="str">
        <f>TEXT(Raw_Data!$A1388, "MMM")</f>
        <v>Sep</v>
      </c>
      <c r="C1388" s="2">
        <f>YEAR(Raw_Data!$A1388)</f>
        <v>2011</v>
      </c>
      <c r="D1388" s="2" t="s">
        <v>857</v>
      </c>
      <c r="E1388" s="2" t="s">
        <v>13</v>
      </c>
      <c r="F1388" s="2" t="s">
        <v>18</v>
      </c>
      <c r="G1388" s="2">
        <v>3</v>
      </c>
      <c r="H1388" s="2">
        <v>2770</v>
      </c>
      <c r="I1388" s="10">
        <v>631305</v>
      </c>
      <c r="J1388" s="10">
        <f>Raw_Data!$I1388/Raw_Data!$H1388</f>
        <v>227.90794223826714</v>
      </c>
    </row>
    <row r="1389" spans="1:10" x14ac:dyDescent="0.3">
      <c r="A1389" s="8">
        <v>43808</v>
      </c>
      <c r="B1389" t="str">
        <f>TEXT(Raw_Data!$A1389, "MMM")</f>
        <v>Dec</v>
      </c>
      <c r="C1389">
        <f>YEAR(Raw_Data!$A1389)</f>
        <v>2019</v>
      </c>
      <c r="D1389" t="s">
        <v>1215</v>
      </c>
      <c r="E1389" t="s">
        <v>15</v>
      </c>
      <c r="F1389" t="s">
        <v>16</v>
      </c>
      <c r="G1389">
        <v>4</v>
      </c>
      <c r="H1389">
        <v>1785</v>
      </c>
      <c r="I1389" s="1">
        <v>632188</v>
      </c>
      <c r="J1389" s="1">
        <f>Raw_Data!$I1389/Raw_Data!$H1389</f>
        <v>354.16694677871146</v>
      </c>
    </row>
    <row r="1390" spans="1:10" x14ac:dyDescent="0.3">
      <c r="A1390" s="9">
        <v>42246</v>
      </c>
      <c r="B1390" s="2" t="str">
        <f>TEXT(Raw_Data!$A1390, "MMM")</f>
        <v>Aug</v>
      </c>
      <c r="C1390" s="2">
        <f>YEAR(Raw_Data!$A1390)</f>
        <v>2015</v>
      </c>
      <c r="D1390" s="2" t="s">
        <v>1216</v>
      </c>
      <c r="E1390" s="2" t="s">
        <v>29</v>
      </c>
      <c r="F1390" s="2" t="s">
        <v>16</v>
      </c>
      <c r="G1390" s="2"/>
      <c r="H1390" s="2">
        <v>2761</v>
      </c>
      <c r="I1390" s="10">
        <v>888755</v>
      </c>
      <c r="J1390" s="10">
        <f>Raw_Data!$I1390/Raw_Data!$H1390</f>
        <v>321.89605215501632</v>
      </c>
    </row>
    <row r="1391" spans="1:10" x14ac:dyDescent="0.3">
      <c r="A1391" s="8">
        <v>40290</v>
      </c>
      <c r="B1391" t="str">
        <f>TEXT(Raw_Data!$A1391, "MMM")</f>
        <v>Apr</v>
      </c>
      <c r="C1391">
        <f>YEAR(Raw_Data!$A1391)</f>
        <v>2010</v>
      </c>
      <c r="D1391" t="s">
        <v>1217</v>
      </c>
      <c r="E1391" t="s">
        <v>32</v>
      </c>
      <c r="F1391" t="s">
        <v>18</v>
      </c>
      <c r="H1391">
        <v>1937</v>
      </c>
      <c r="I1391" s="1">
        <v>686576</v>
      </c>
      <c r="J1391" s="1">
        <f>Raw_Data!$I1391/Raw_Data!$H1391</f>
        <v>354.45327826535879</v>
      </c>
    </row>
    <row r="1392" spans="1:10" x14ac:dyDescent="0.3">
      <c r="A1392" s="9">
        <v>40083</v>
      </c>
      <c r="B1392" s="2" t="str">
        <f>TEXT(Raw_Data!$A1392, "MMM")</f>
        <v>Sep</v>
      </c>
      <c r="C1392" s="2">
        <f>YEAR(Raw_Data!$A1392)</f>
        <v>2009</v>
      </c>
      <c r="D1392" s="2" t="s">
        <v>844</v>
      </c>
      <c r="E1392" s="2" t="s">
        <v>21</v>
      </c>
      <c r="F1392" s="2" t="s">
        <v>16</v>
      </c>
      <c r="G1392" s="2"/>
      <c r="H1392" s="2">
        <v>2324</v>
      </c>
      <c r="I1392" s="10">
        <v>888664</v>
      </c>
      <c r="J1392" s="10">
        <f>Raw_Data!$I1392/Raw_Data!$H1392</f>
        <v>382.3855421686747</v>
      </c>
    </row>
    <row r="1393" spans="1:10" x14ac:dyDescent="0.3">
      <c r="A1393" s="8">
        <v>41333</v>
      </c>
      <c r="B1393" t="str">
        <f>TEXT(Raw_Data!$A1393, "MMM")</f>
        <v>Feb</v>
      </c>
      <c r="C1393">
        <f>YEAR(Raw_Data!$A1393)</f>
        <v>2013</v>
      </c>
      <c r="D1393" t="s">
        <v>1218</v>
      </c>
      <c r="E1393" t="s">
        <v>15</v>
      </c>
      <c r="F1393" t="s">
        <v>11</v>
      </c>
      <c r="G1393">
        <v>3</v>
      </c>
      <c r="H1393">
        <v>2577</v>
      </c>
      <c r="I1393" s="1">
        <v>585468</v>
      </c>
      <c r="J1393" s="1">
        <f>Raw_Data!$I1393/Raw_Data!$H1393</f>
        <v>227.18975552968567</v>
      </c>
    </row>
    <row r="1394" spans="1:10" x14ac:dyDescent="0.3">
      <c r="A1394" s="9">
        <v>43960</v>
      </c>
      <c r="B1394" s="2" t="str">
        <f>TEXT(Raw_Data!$A1394, "MMM")</f>
        <v>May</v>
      </c>
      <c r="C1394" s="2">
        <f>YEAR(Raw_Data!$A1394)</f>
        <v>2020</v>
      </c>
      <c r="D1394" s="2" t="s">
        <v>1219</v>
      </c>
      <c r="E1394" s="2" t="s">
        <v>29</v>
      </c>
      <c r="F1394" s="2" t="s">
        <v>18</v>
      </c>
      <c r="G1394" s="2">
        <v>4</v>
      </c>
      <c r="H1394" s="2">
        <v>1379</v>
      </c>
      <c r="I1394" s="10">
        <v>500408</v>
      </c>
      <c r="J1394" s="10">
        <f>Raw_Data!$I1394/Raw_Data!$H1394</f>
        <v>362.87744742567077</v>
      </c>
    </row>
    <row r="1395" spans="1:10" x14ac:dyDescent="0.3">
      <c r="A1395" s="8">
        <v>38044</v>
      </c>
      <c r="B1395" t="str">
        <f>TEXT(Raw_Data!$A1395, "MMM")</f>
        <v>Feb</v>
      </c>
      <c r="C1395">
        <f>YEAR(Raw_Data!$A1395)</f>
        <v>2004</v>
      </c>
      <c r="D1395" t="s">
        <v>1220</v>
      </c>
      <c r="E1395" t="s">
        <v>15</v>
      </c>
      <c r="F1395" t="s">
        <v>16</v>
      </c>
      <c r="H1395">
        <v>3269</v>
      </c>
      <c r="I1395" s="1">
        <v>349593</v>
      </c>
      <c r="J1395" s="1">
        <f>Raw_Data!$I1395/Raw_Data!$H1395</f>
        <v>106.94187825022942</v>
      </c>
    </row>
    <row r="1396" spans="1:10" x14ac:dyDescent="0.3">
      <c r="A1396" s="9">
        <v>42877</v>
      </c>
      <c r="B1396" s="2" t="str">
        <f>TEXT(Raw_Data!$A1396, "MMM")</f>
        <v>May</v>
      </c>
      <c r="C1396" s="2">
        <f>YEAR(Raw_Data!$A1396)</f>
        <v>2017</v>
      </c>
      <c r="D1396" s="2" t="s">
        <v>566</v>
      </c>
      <c r="E1396" s="2" t="s">
        <v>13</v>
      </c>
      <c r="F1396" s="2" t="s">
        <v>11</v>
      </c>
      <c r="G1396" s="2">
        <v>2</v>
      </c>
      <c r="H1396" s="2">
        <v>3037</v>
      </c>
      <c r="I1396" s="10">
        <v>802450</v>
      </c>
      <c r="J1396" s="10">
        <f>Raw_Data!$I1396/Raw_Data!$H1396</f>
        <v>264.22456371419162</v>
      </c>
    </row>
    <row r="1397" spans="1:10" x14ac:dyDescent="0.3">
      <c r="A1397" s="8">
        <v>38346</v>
      </c>
      <c r="B1397" t="str">
        <f>TEXT(Raw_Data!$A1397, "MMM")</f>
        <v>Dec</v>
      </c>
      <c r="C1397">
        <f>YEAR(Raw_Data!$A1397)</f>
        <v>2004</v>
      </c>
      <c r="D1397" t="s">
        <v>1221</v>
      </c>
      <c r="E1397" t="s">
        <v>32</v>
      </c>
      <c r="F1397" t="s">
        <v>27</v>
      </c>
      <c r="G1397">
        <v>2</v>
      </c>
      <c r="H1397">
        <v>2625</v>
      </c>
      <c r="I1397" s="1"/>
      <c r="J1397" s="1">
        <f>Raw_Data!$I1397/Raw_Data!$H1397</f>
        <v>0</v>
      </c>
    </row>
    <row r="1398" spans="1:10" x14ac:dyDescent="0.3">
      <c r="A1398" s="9">
        <v>38689</v>
      </c>
      <c r="B1398" s="2" t="str">
        <f>TEXT(Raw_Data!$A1398, "MMM")</f>
        <v>Dec</v>
      </c>
      <c r="C1398" s="2">
        <f>YEAR(Raw_Data!$A1398)</f>
        <v>2005</v>
      </c>
      <c r="D1398" s="2" t="s">
        <v>94</v>
      </c>
      <c r="E1398" s="2" t="s">
        <v>13</v>
      </c>
      <c r="F1398" s="2" t="s">
        <v>16</v>
      </c>
      <c r="G1398" s="2"/>
      <c r="H1398" s="2">
        <v>1549</v>
      </c>
      <c r="I1398" s="10">
        <v>236914</v>
      </c>
      <c r="J1398" s="10">
        <f>Raw_Data!$I1398/Raw_Data!$H1398</f>
        <v>152.94641704325372</v>
      </c>
    </row>
    <row r="1399" spans="1:10" x14ac:dyDescent="0.3">
      <c r="A1399" s="8">
        <v>41313</v>
      </c>
      <c r="B1399" t="str">
        <f>TEXT(Raw_Data!$A1399, "MMM")</f>
        <v>Feb</v>
      </c>
      <c r="C1399">
        <f>YEAR(Raw_Data!$A1399)</f>
        <v>2013</v>
      </c>
      <c r="D1399" t="s">
        <v>202</v>
      </c>
      <c r="E1399" t="s">
        <v>21</v>
      </c>
      <c r="F1399" t="s">
        <v>11</v>
      </c>
      <c r="G1399">
        <v>2</v>
      </c>
      <c r="H1399">
        <v>2903</v>
      </c>
      <c r="I1399" s="1">
        <v>704292</v>
      </c>
      <c r="J1399" s="1">
        <f>Raw_Data!$I1399/Raw_Data!$H1399</f>
        <v>242.60833620392697</v>
      </c>
    </row>
    <row r="1400" spans="1:10" x14ac:dyDescent="0.3">
      <c r="A1400" s="9">
        <v>43932</v>
      </c>
      <c r="B1400" s="2" t="str">
        <f>TEXT(Raw_Data!$A1400, "MMM")</f>
        <v>Apr</v>
      </c>
      <c r="C1400" s="2">
        <f>YEAR(Raw_Data!$A1400)</f>
        <v>2020</v>
      </c>
      <c r="D1400" s="2" t="s">
        <v>1222</v>
      </c>
      <c r="E1400" s="2" t="s">
        <v>32</v>
      </c>
      <c r="F1400" s="2" t="s">
        <v>11</v>
      </c>
      <c r="G1400" s="2">
        <v>3</v>
      </c>
      <c r="H1400" s="2">
        <v>2577</v>
      </c>
      <c r="I1400" s="10">
        <v>316776</v>
      </c>
      <c r="J1400" s="10">
        <f>Raw_Data!$I1400/Raw_Data!$H1400</f>
        <v>122.92433061699651</v>
      </c>
    </row>
    <row r="1401" spans="1:10" x14ac:dyDescent="0.3">
      <c r="A1401" s="8">
        <v>43806</v>
      </c>
      <c r="B1401" t="str">
        <f>TEXT(Raw_Data!$A1401, "MMM")</f>
        <v>Dec</v>
      </c>
      <c r="C1401">
        <f>YEAR(Raw_Data!$A1401)</f>
        <v>2019</v>
      </c>
      <c r="D1401" t="s">
        <v>1223</v>
      </c>
      <c r="E1401" t="s">
        <v>25</v>
      </c>
      <c r="F1401" t="s">
        <v>11</v>
      </c>
      <c r="G1401">
        <v>5</v>
      </c>
      <c r="H1401">
        <v>3404</v>
      </c>
      <c r="I1401" s="1">
        <v>792591</v>
      </c>
      <c r="J1401" s="1">
        <f>Raw_Data!$I1401/Raw_Data!$H1401</f>
        <v>232.84106933019976</v>
      </c>
    </row>
    <row r="1402" spans="1:10" x14ac:dyDescent="0.3">
      <c r="A1402" s="9">
        <v>37686</v>
      </c>
      <c r="B1402" s="2" t="str">
        <f>TEXT(Raw_Data!$A1402, "MMM")</f>
        <v>Mar</v>
      </c>
      <c r="C1402" s="2">
        <f>YEAR(Raw_Data!$A1402)</f>
        <v>2003</v>
      </c>
      <c r="D1402" s="2" t="s">
        <v>1224</v>
      </c>
      <c r="E1402" s="2" t="s">
        <v>29</v>
      </c>
      <c r="F1402" s="2" t="s">
        <v>27</v>
      </c>
      <c r="G1402" s="2">
        <v>3</v>
      </c>
      <c r="H1402" s="2">
        <v>2317</v>
      </c>
      <c r="I1402" s="10">
        <v>116327</v>
      </c>
      <c r="J1402" s="10">
        <f>Raw_Data!$I1402/Raw_Data!$H1402</f>
        <v>50.205869659041866</v>
      </c>
    </row>
    <row r="1403" spans="1:10" x14ac:dyDescent="0.3">
      <c r="A1403" s="8">
        <v>37384</v>
      </c>
      <c r="B1403" t="str">
        <f>TEXT(Raw_Data!$A1403, "MMM")</f>
        <v>May</v>
      </c>
      <c r="C1403">
        <f>YEAR(Raw_Data!$A1403)</f>
        <v>2002</v>
      </c>
      <c r="D1403" t="s">
        <v>439</v>
      </c>
      <c r="E1403" t="s">
        <v>15</v>
      </c>
      <c r="F1403" t="s">
        <v>18</v>
      </c>
      <c r="G1403">
        <v>3</v>
      </c>
      <c r="H1403">
        <v>2469</v>
      </c>
      <c r="I1403" s="1">
        <v>593853</v>
      </c>
      <c r="J1403" s="1">
        <f>Raw_Data!$I1403/Raw_Data!$H1403</f>
        <v>240.52369380315918</v>
      </c>
    </row>
    <row r="1404" spans="1:10" x14ac:dyDescent="0.3">
      <c r="A1404" s="9">
        <v>38746</v>
      </c>
      <c r="B1404" s="2" t="str">
        <f>TEXT(Raw_Data!$A1404, "MMM")</f>
        <v>Jan</v>
      </c>
      <c r="C1404" s="2">
        <f>YEAR(Raw_Data!$A1404)</f>
        <v>2006</v>
      </c>
      <c r="D1404" s="2" t="s">
        <v>1225</v>
      </c>
      <c r="E1404" s="2" t="s">
        <v>23</v>
      </c>
      <c r="F1404" s="2" t="s">
        <v>27</v>
      </c>
      <c r="G1404" s="2">
        <v>4</v>
      </c>
      <c r="H1404" s="2">
        <v>3394</v>
      </c>
      <c r="I1404" s="10">
        <v>368892</v>
      </c>
      <c r="J1404" s="10">
        <f>Raw_Data!$I1404/Raw_Data!$H1404</f>
        <v>108.68945197407189</v>
      </c>
    </row>
    <row r="1405" spans="1:10" x14ac:dyDescent="0.3">
      <c r="A1405" s="8">
        <v>37284</v>
      </c>
      <c r="B1405" t="str">
        <f>TEXT(Raw_Data!$A1405, "MMM")</f>
        <v>Jan</v>
      </c>
      <c r="C1405">
        <f>YEAR(Raw_Data!$A1405)</f>
        <v>2002</v>
      </c>
      <c r="D1405" t="s">
        <v>1226</v>
      </c>
      <c r="E1405" t="s">
        <v>32</v>
      </c>
      <c r="F1405" t="s">
        <v>11</v>
      </c>
      <c r="G1405">
        <v>4</v>
      </c>
      <c r="H1405">
        <v>2625</v>
      </c>
      <c r="I1405" s="1">
        <v>447423</v>
      </c>
      <c r="J1405" s="1">
        <f>Raw_Data!$I1405/Raw_Data!$H1405</f>
        <v>170.44685714285714</v>
      </c>
    </row>
    <row r="1406" spans="1:10" x14ac:dyDescent="0.3">
      <c r="A1406" s="9">
        <v>40722</v>
      </c>
      <c r="B1406" s="2" t="str">
        <f>TEXT(Raw_Data!$A1406, "MMM")</f>
        <v>Jun</v>
      </c>
      <c r="C1406" s="2">
        <f>YEAR(Raw_Data!$A1406)</f>
        <v>2011</v>
      </c>
      <c r="D1406" s="2" t="s">
        <v>1227</v>
      </c>
      <c r="E1406" s="2" t="s">
        <v>15</v>
      </c>
      <c r="F1406" s="2" t="s">
        <v>16</v>
      </c>
      <c r="G1406" s="2">
        <v>2</v>
      </c>
      <c r="H1406" s="2">
        <v>1665</v>
      </c>
      <c r="I1406" s="10">
        <v>568849</v>
      </c>
      <c r="J1406" s="10">
        <f>Raw_Data!$I1406/Raw_Data!$H1406</f>
        <v>341.65105105105107</v>
      </c>
    </row>
    <row r="1407" spans="1:10" x14ac:dyDescent="0.3">
      <c r="A1407" s="8">
        <v>42818</v>
      </c>
      <c r="B1407" t="str">
        <f>TEXT(Raw_Data!$A1407, "MMM")</f>
        <v>Mar</v>
      </c>
      <c r="C1407">
        <f>YEAR(Raw_Data!$A1407)</f>
        <v>2017</v>
      </c>
      <c r="D1407" t="s">
        <v>804</v>
      </c>
      <c r="E1407" t="s">
        <v>29</v>
      </c>
      <c r="F1407" t="s">
        <v>11</v>
      </c>
      <c r="G1407">
        <v>2</v>
      </c>
      <c r="H1407">
        <v>3338</v>
      </c>
      <c r="I1407" s="1">
        <v>771864</v>
      </c>
      <c r="J1407" s="1">
        <f>Raw_Data!$I1407/Raw_Data!$H1407</f>
        <v>231.23547034152188</v>
      </c>
    </row>
    <row r="1408" spans="1:10" x14ac:dyDescent="0.3">
      <c r="A1408" s="9">
        <v>40234</v>
      </c>
      <c r="B1408" s="2" t="str">
        <f>TEXT(Raw_Data!$A1408, "MMM")</f>
        <v>Feb</v>
      </c>
      <c r="C1408" s="2">
        <f>YEAR(Raw_Data!$A1408)</f>
        <v>2010</v>
      </c>
      <c r="D1408" s="2" t="s">
        <v>1228</v>
      </c>
      <c r="E1408" s="2" t="s">
        <v>15</v>
      </c>
      <c r="F1408" s="2" t="s">
        <v>11</v>
      </c>
      <c r="G1408" s="2"/>
      <c r="H1408" s="2">
        <v>1185</v>
      </c>
      <c r="I1408" s="10">
        <v>645827</v>
      </c>
      <c r="J1408" s="10">
        <f>Raw_Data!$I1408/Raw_Data!$H1408</f>
        <v>545.00168776371311</v>
      </c>
    </row>
    <row r="1409" spans="1:10" x14ac:dyDescent="0.3">
      <c r="A1409" s="8">
        <v>40213</v>
      </c>
      <c r="B1409" t="str">
        <f>TEXT(Raw_Data!$A1409, "MMM")</f>
        <v>Feb</v>
      </c>
      <c r="C1409">
        <f>YEAR(Raw_Data!$A1409)</f>
        <v>2010</v>
      </c>
      <c r="D1409" t="s">
        <v>1229</v>
      </c>
      <c r="E1409" t="s">
        <v>32</v>
      </c>
      <c r="F1409" t="s">
        <v>27</v>
      </c>
      <c r="G1409">
        <v>4</v>
      </c>
      <c r="H1409">
        <v>3122</v>
      </c>
      <c r="I1409" s="1">
        <v>489530</v>
      </c>
      <c r="J1409" s="1">
        <f>Raw_Data!$I1409/Raw_Data!$H1409</f>
        <v>156.80012812299807</v>
      </c>
    </row>
    <row r="1410" spans="1:10" x14ac:dyDescent="0.3">
      <c r="A1410" s="9">
        <v>41109</v>
      </c>
      <c r="B1410" s="2" t="str">
        <f>TEXT(Raw_Data!$A1410, "MMM")</f>
        <v>Jul</v>
      </c>
      <c r="C1410" s="2">
        <f>YEAR(Raw_Data!$A1410)</f>
        <v>2012</v>
      </c>
      <c r="D1410" s="2" t="s">
        <v>49</v>
      </c>
      <c r="E1410" s="2" t="s">
        <v>32</v>
      </c>
      <c r="F1410" s="2" t="s">
        <v>16</v>
      </c>
      <c r="G1410" s="2">
        <v>2</v>
      </c>
      <c r="H1410" s="2">
        <v>1532</v>
      </c>
      <c r="I1410" s="10">
        <v>643320</v>
      </c>
      <c r="J1410" s="10">
        <f>Raw_Data!$I1410/Raw_Data!$H1410</f>
        <v>419.92167101827675</v>
      </c>
    </row>
    <row r="1411" spans="1:10" x14ac:dyDescent="0.3">
      <c r="A1411" s="8">
        <v>42929</v>
      </c>
      <c r="B1411" t="str">
        <f>TEXT(Raw_Data!$A1411, "MMM")</f>
        <v>Jul</v>
      </c>
      <c r="C1411">
        <f>YEAR(Raw_Data!$A1411)</f>
        <v>2017</v>
      </c>
      <c r="D1411" t="s">
        <v>1230</v>
      </c>
      <c r="E1411" t="s">
        <v>25</v>
      </c>
      <c r="F1411" t="s">
        <v>27</v>
      </c>
      <c r="H1411">
        <v>2107</v>
      </c>
      <c r="I1411" s="1">
        <v>486863</v>
      </c>
      <c r="J1411" s="1">
        <f>Raw_Data!$I1411/Raw_Data!$H1411</f>
        <v>231.06929283341245</v>
      </c>
    </row>
    <row r="1412" spans="1:10" x14ac:dyDescent="0.3">
      <c r="A1412" s="9">
        <v>43137</v>
      </c>
      <c r="B1412" s="2" t="str">
        <f>TEXT(Raw_Data!$A1412, "MMM")</f>
        <v>Feb</v>
      </c>
      <c r="C1412" s="2">
        <f>YEAR(Raw_Data!$A1412)</f>
        <v>2018</v>
      </c>
      <c r="D1412" s="2" t="s">
        <v>1231</v>
      </c>
      <c r="E1412" s="2" t="s">
        <v>15</v>
      </c>
      <c r="F1412" s="2" t="s">
        <v>11</v>
      </c>
      <c r="G1412" s="2"/>
      <c r="H1412" s="2">
        <v>2351</v>
      </c>
      <c r="I1412" s="10">
        <v>692321</v>
      </c>
      <c r="J1412" s="10">
        <f>Raw_Data!$I1412/Raw_Data!$H1412</f>
        <v>294.47937048064654</v>
      </c>
    </row>
    <row r="1413" spans="1:10" x14ac:dyDescent="0.3">
      <c r="A1413" s="8">
        <v>38012</v>
      </c>
      <c r="B1413" t="str">
        <f>TEXT(Raw_Data!$A1413, "MMM")</f>
        <v>Jan</v>
      </c>
      <c r="C1413">
        <f>YEAR(Raw_Data!$A1413)</f>
        <v>2004</v>
      </c>
      <c r="D1413" t="s">
        <v>1232</v>
      </c>
      <c r="E1413" t="s">
        <v>32</v>
      </c>
      <c r="F1413" t="s">
        <v>11</v>
      </c>
      <c r="H1413">
        <v>2706</v>
      </c>
      <c r="I1413" s="1">
        <v>397946</v>
      </c>
      <c r="J1413" s="1">
        <f>Raw_Data!$I1413/Raw_Data!$H1413</f>
        <v>147.06060606060606</v>
      </c>
    </row>
    <row r="1414" spans="1:10" x14ac:dyDescent="0.3">
      <c r="A1414" s="9">
        <v>38587</v>
      </c>
      <c r="B1414" s="2" t="str">
        <f>TEXT(Raw_Data!$A1414, "MMM")</f>
        <v>Aug</v>
      </c>
      <c r="C1414" s="2">
        <f>YEAR(Raw_Data!$A1414)</f>
        <v>2005</v>
      </c>
      <c r="D1414" s="2" t="s">
        <v>1233</v>
      </c>
      <c r="E1414" s="2" t="s">
        <v>29</v>
      </c>
      <c r="F1414" s="2" t="s">
        <v>18</v>
      </c>
      <c r="G1414" s="2"/>
      <c r="H1414" s="2">
        <v>949</v>
      </c>
      <c r="I1414" s="10">
        <v>295612</v>
      </c>
      <c r="J1414" s="10">
        <f>Raw_Data!$I1414/Raw_Data!$H1414</f>
        <v>311.49841938883037</v>
      </c>
    </row>
    <row r="1415" spans="1:10" x14ac:dyDescent="0.3">
      <c r="A1415" s="8">
        <v>41414</v>
      </c>
      <c r="B1415" t="str">
        <f>TEXT(Raw_Data!$A1415, "MMM")</f>
        <v>May</v>
      </c>
      <c r="C1415">
        <f>YEAR(Raw_Data!$A1415)</f>
        <v>2013</v>
      </c>
      <c r="D1415" t="s">
        <v>931</v>
      </c>
      <c r="E1415" t="s">
        <v>15</v>
      </c>
      <c r="F1415" t="s">
        <v>11</v>
      </c>
      <c r="G1415">
        <v>2</v>
      </c>
      <c r="H1415">
        <v>1962</v>
      </c>
      <c r="I1415" s="1">
        <v>458279</v>
      </c>
      <c r="J1415" s="1">
        <f>Raw_Data!$I1415/Raw_Data!$H1415</f>
        <v>233.57747196738023</v>
      </c>
    </row>
    <row r="1416" spans="1:10" x14ac:dyDescent="0.3">
      <c r="A1416" s="9">
        <v>43209</v>
      </c>
      <c r="B1416" s="2" t="str">
        <f>TEXT(Raw_Data!$A1416, "MMM")</f>
        <v>Apr</v>
      </c>
      <c r="C1416" s="2">
        <f>YEAR(Raw_Data!$A1416)</f>
        <v>2018</v>
      </c>
      <c r="D1416" s="2" t="s">
        <v>1234</v>
      </c>
      <c r="E1416" s="2" t="s">
        <v>21</v>
      </c>
      <c r="F1416" s="2" t="s">
        <v>11</v>
      </c>
      <c r="G1416" s="2"/>
      <c r="H1416" s="2">
        <v>1651</v>
      </c>
      <c r="I1416" s="10">
        <v>867127</v>
      </c>
      <c r="J1416" s="10">
        <f>Raw_Data!$I1416/Raw_Data!$H1416</f>
        <v>525.21320411871591</v>
      </c>
    </row>
    <row r="1417" spans="1:10" x14ac:dyDescent="0.3">
      <c r="A1417" s="8">
        <v>41591</v>
      </c>
      <c r="B1417" t="str">
        <f>TEXT(Raw_Data!$A1417, "MMM")</f>
        <v>Nov</v>
      </c>
      <c r="C1417">
        <f>YEAR(Raw_Data!$A1417)</f>
        <v>2013</v>
      </c>
      <c r="D1417" t="s">
        <v>1235</v>
      </c>
      <c r="E1417" t="s">
        <v>25</v>
      </c>
      <c r="F1417" t="s">
        <v>16</v>
      </c>
      <c r="G1417">
        <v>2</v>
      </c>
      <c r="H1417">
        <v>2942</v>
      </c>
      <c r="I1417" s="1">
        <v>131530</v>
      </c>
      <c r="J1417" s="1">
        <f>Raw_Data!$I1417/Raw_Data!$H1417</f>
        <v>44.707681849082256</v>
      </c>
    </row>
    <row r="1418" spans="1:10" x14ac:dyDescent="0.3">
      <c r="A1418" s="9">
        <v>39467</v>
      </c>
      <c r="B1418" s="2" t="str">
        <f>TEXT(Raw_Data!$A1418, "MMM")</f>
        <v>Jan</v>
      </c>
      <c r="C1418" s="2">
        <f>YEAR(Raw_Data!$A1418)</f>
        <v>2008</v>
      </c>
      <c r="D1418" s="2" t="s">
        <v>1236</v>
      </c>
      <c r="E1418" s="2" t="s">
        <v>15</v>
      </c>
      <c r="F1418" s="2" t="s">
        <v>11</v>
      </c>
      <c r="G1418" s="2">
        <v>5</v>
      </c>
      <c r="H1418" s="2">
        <v>3084</v>
      </c>
      <c r="I1418" s="10">
        <v>142751</v>
      </c>
      <c r="J1418" s="10">
        <f>Raw_Data!$I1418/Raw_Data!$H1418</f>
        <v>46.28761348897536</v>
      </c>
    </row>
    <row r="1419" spans="1:10" x14ac:dyDescent="0.3">
      <c r="A1419" s="8">
        <v>42383</v>
      </c>
      <c r="B1419" t="str">
        <f>TEXT(Raw_Data!$A1419, "MMM")</f>
        <v>Jan</v>
      </c>
      <c r="C1419">
        <f>YEAR(Raw_Data!$A1419)</f>
        <v>2016</v>
      </c>
      <c r="D1419" t="s">
        <v>314</v>
      </c>
      <c r="E1419" t="s">
        <v>32</v>
      </c>
      <c r="F1419" t="s">
        <v>11</v>
      </c>
      <c r="H1419">
        <v>1805</v>
      </c>
      <c r="I1419" s="1">
        <v>761483</v>
      </c>
      <c r="J1419" s="1">
        <f>Raw_Data!$I1419/Raw_Data!$H1419</f>
        <v>421.8742382271468</v>
      </c>
    </row>
    <row r="1420" spans="1:10" x14ac:dyDescent="0.3">
      <c r="A1420" s="9">
        <v>38752</v>
      </c>
      <c r="B1420" s="2" t="str">
        <f>TEXT(Raw_Data!$A1420, "MMM")</f>
        <v>Feb</v>
      </c>
      <c r="C1420" s="2">
        <f>YEAR(Raw_Data!$A1420)</f>
        <v>2006</v>
      </c>
      <c r="D1420" s="2" t="s">
        <v>1237</v>
      </c>
      <c r="E1420" s="2" t="s">
        <v>25</v>
      </c>
      <c r="F1420" s="2" t="s">
        <v>16</v>
      </c>
      <c r="G1420" s="2">
        <v>5</v>
      </c>
      <c r="H1420" s="2">
        <v>1933</v>
      </c>
      <c r="I1420" s="10">
        <v>160944</v>
      </c>
      <c r="J1420" s="10">
        <f>Raw_Data!$I1420/Raw_Data!$H1420</f>
        <v>83.261251939989648</v>
      </c>
    </row>
    <row r="1421" spans="1:10" x14ac:dyDescent="0.3">
      <c r="A1421" s="8">
        <v>37720</v>
      </c>
      <c r="B1421" t="str">
        <f>TEXT(Raw_Data!$A1421, "MMM")</f>
        <v>Apr</v>
      </c>
      <c r="C1421">
        <f>YEAR(Raw_Data!$A1421)</f>
        <v>2003</v>
      </c>
      <c r="D1421" t="s">
        <v>1238</v>
      </c>
      <c r="E1421" t="s">
        <v>25</v>
      </c>
      <c r="F1421" t="s">
        <v>11</v>
      </c>
      <c r="G1421">
        <v>2</v>
      </c>
      <c r="H1421">
        <v>2165</v>
      </c>
      <c r="I1421" s="1">
        <v>780274</v>
      </c>
      <c r="J1421" s="1">
        <f>Raw_Data!$I1421/Raw_Data!$H1421</f>
        <v>360.40369515011548</v>
      </c>
    </row>
    <row r="1422" spans="1:10" x14ac:dyDescent="0.3">
      <c r="A1422" s="9">
        <v>38344</v>
      </c>
      <c r="B1422" s="2" t="str">
        <f>TEXT(Raw_Data!$A1422, "MMM")</f>
        <v>Dec</v>
      </c>
      <c r="C1422" s="2">
        <f>YEAR(Raw_Data!$A1422)</f>
        <v>2004</v>
      </c>
      <c r="D1422" s="2" t="s">
        <v>1239</v>
      </c>
      <c r="E1422" s="2" t="s">
        <v>29</v>
      </c>
      <c r="F1422" s="2" t="s">
        <v>11</v>
      </c>
      <c r="G1422" s="2">
        <v>2</v>
      </c>
      <c r="H1422" s="2">
        <v>2439</v>
      </c>
      <c r="I1422" s="10">
        <v>833560</v>
      </c>
      <c r="J1422" s="10">
        <f>Raw_Data!$I1422/Raw_Data!$H1422</f>
        <v>341.76301763017631</v>
      </c>
    </row>
    <row r="1423" spans="1:10" x14ac:dyDescent="0.3">
      <c r="A1423" s="8">
        <v>42828</v>
      </c>
      <c r="B1423" t="str">
        <f>TEXT(Raw_Data!$A1423, "MMM")</f>
        <v>Apr</v>
      </c>
      <c r="C1423">
        <f>YEAR(Raw_Data!$A1423)</f>
        <v>2017</v>
      </c>
      <c r="D1423" t="s">
        <v>1240</v>
      </c>
      <c r="E1423" t="s">
        <v>15</v>
      </c>
      <c r="F1423" t="s">
        <v>27</v>
      </c>
      <c r="G1423">
        <v>5</v>
      </c>
      <c r="H1423">
        <v>3039</v>
      </c>
      <c r="I1423" s="1">
        <v>522553</v>
      </c>
      <c r="J1423" s="1">
        <f>Raw_Data!$I1423/Raw_Data!$H1423</f>
        <v>171.94899638038828</v>
      </c>
    </row>
    <row r="1424" spans="1:10" x14ac:dyDescent="0.3">
      <c r="A1424" s="9">
        <v>43336</v>
      </c>
      <c r="B1424" s="2" t="str">
        <f>TEXT(Raw_Data!$A1424, "MMM")</f>
        <v>Aug</v>
      </c>
      <c r="C1424" s="2">
        <f>YEAR(Raw_Data!$A1424)</f>
        <v>2018</v>
      </c>
      <c r="D1424" s="2" t="s">
        <v>1241</v>
      </c>
      <c r="E1424" s="2" t="s">
        <v>32</v>
      </c>
      <c r="F1424" s="2" t="s">
        <v>27</v>
      </c>
      <c r="G1424" s="2">
        <v>3</v>
      </c>
      <c r="H1424" s="2">
        <v>1788</v>
      </c>
      <c r="I1424" s="10">
        <v>500329</v>
      </c>
      <c r="J1424" s="10">
        <f>Raw_Data!$I1424/Raw_Data!$H1424</f>
        <v>279.82606263982103</v>
      </c>
    </row>
    <row r="1425" spans="1:10" x14ac:dyDescent="0.3">
      <c r="A1425" s="8">
        <v>38247</v>
      </c>
      <c r="B1425" t="str">
        <f>TEXT(Raw_Data!$A1425, "MMM")</f>
        <v>Sep</v>
      </c>
      <c r="C1425">
        <f>YEAR(Raw_Data!$A1425)</f>
        <v>2004</v>
      </c>
      <c r="D1425" t="s">
        <v>1242</v>
      </c>
      <c r="E1425" t="s">
        <v>32</v>
      </c>
      <c r="F1425" t="s">
        <v>18</v>
      </c>
      <c r="H1425">
        <v>2046</v>
      </c>
      <c r="I1425" s="1">
        <v>870115</v>
      </c>
      <c r="J1425" s="1">
        <f>Raw_Data!$I1425/Raw_Data!$H1425</f>
        <v>425.27614858260017</v>
      </c>
    </row>
    <row r="1426" spans="1:10" x14ac:dyDescent="0.3">
      <c r="A1426" s="9">
        <v>41154</v>
      </c>
      <c r="B1426" s="2" t="str">
        <f>TEXT(Raw_Data!$A1426, "MMM")</f>
        <v>Sep</v>
      </c>
      <c r="C1426" s="2">
        <f>YEAR(Raw_Data!$A1426)</f>
        <v>2012</v>
      </c>
      <c r="D1426" s="2" t="s">
        <v>1243</v>
      </c>
      <c r="E1426" s="2" t="s">
        <v>32</v>
      </c>
      <c r="F1426" s="2" t="s">
        <v>16</v>
      </c>
      <c r="G1426" s="2"/>
      <c r="H1426" s="2">
        <v>1320</v>
      </c>
      <c r="I1426" s="10">
        <v>726610</v>
      </c>
      <c r="J1426" s="10">
        <f>Raw_Data!$I1426/Raw_Data!$H1426</f>
        <v>550.46212121212125</v>
      </c>
    </row>
    <row r="1427" spans="1:10" x14ac:dyDescent="0.3">
      <c r="A1427" s="8">
        <v>43531</v>
      </c>
      <c r="B1427" t="str">
        <f>TEXT(Raw_Data!$A1427, "MMM")</f>
        <v>Mar</v>
      </c>
      <c r="C1427">
        <f>YEAR(Raw_Data!$A1427)</f>
        <v>2019</v>
      </c>
      <c r="D1427" t="s">
        <v>1244</v>
      </c>
      <c r="E1427" t="s">
        <v>25</v>
      </c>
      <c r="F1427" t="s">
        <v>18</v>
      </c>
      <c r="G1427">
        <v>3</v>
      </c>
      <c r="H1427">
        <v>3131</v>
      </c>
      <c r="I1427" s="1">
        <v>305195</v>
      </c>
      <c r="J1427" s="1">
        <f>Raw_Data!$I1427/Raw_Data!$H1427</f>
        <v>97.475247524752476</v>
      </c>
    </row>
    <row r="1428" spans="1:10" x14ac:dyDescent="0.3">
      <c r="A1428" s="9">
        <v>39572</v>
      </c>
      <c r="B1428" s="2" t="str">
        <f>TEXT(Raw_Data!$A1428, "MMM")</f>
        <v>May</v>
      </c>
      <c r="C1428" s="2">
        <f>YEAR(Raw_Data!$A1428)</f>
        <v>2008</v>
      </c>
      <c r="D1428" s="2" t="s">
        <v>167</v>
      </c>
      <c r="E1428" s="2" t="s">
        <v>23</v>
      </c>
      <c r="F1428" s="2" t="s">
        <v>18</v>
      </c>
      <c r="G1428" s="2">
        <v>3</v>
      </c>
      <c r="H1428" s="2">
        <v>1193</v>
      </c>
      <c r="I1428" s="10">
        <v>371235</v>
      </c>
      <c r="J1428" s="10">
        <f>Raw_Data!$I1428/Raw_Data!$H1428</f>
        <v>311.17770326906958</v>
      </c>
    </row>
    <row r="1429" spans="1:10" x14ac:dyDescent="0.3">
      <c r="A1429" s="8">
        <v>40463</v>
      </c>
      <c r="B1429" t="str">
        <f>TEXT(Raw_Data!$A1429, "MMM")</f>
        <v>Oct</v>
      </c>
      <c r="C1429">
        <f>YEAR(Raw_Data!$A1429)</f>
        <v>2010</v>
      </c>
      <c r="D1429" t="s">
        <v>1245</v>
      </c>
      <c r="E1429" t="s">
        <v>15</v>
      </c>
      <c r="F1429" t="s">
        <v>27</v>
      </c>
      <c r="G1429">
        <v>4</v>
      </c>
      <c r="H1429">
        <v>3244</v>
      </c>
      <c r="I1429" s="1">
        <v>343253</v>
      </c>
      <c r="J1429" s="1">
        <f>Raw_Data!$I1429/Raw_Data!$H1429</f>
        <v>105.8116522811344</v>
      </c>
    </row>
    <row r="1430" spans="1:10" x14ac:dyDescent="0.3">
      <c r="A1430" s="9">
        <v>39437</v>
      </c>
      <c r="B1430" s="2" t="str">
        <f>TEXT(Raw_Data!$A1430, "MMM")</f>
        <v>Dec</v>
      </c>
      <c r="C1430" s="2">
        <f>YEAR(Raw_Data!$A1430)</f>
        <v>2007</v>
      </c>
      <c r="D1430" s="2" t="s">
        <v>1246</v>
      </c>
      <c r="E1430" s="2" t="s">
        <v>25</v>
      </c>
      <c r="F1430" s="2" t="s">
        <v>27</v>
      </c>
      <c r="G1430" s="2">
        <v>5</v>
      </c>
      <c r="H1430" s="2">
        <v>821</v>
      </c>
      <c r="I1430" s="10">
        <v>629936</v>
      </c>
      <c r="J1430" s="10">
        <f>Raw_Data!$I1430/Raw_Data!$H1430</f>
        <v>767.27892813641904</v>
      </c>
    </row>
    <row r="1431" spans="1:10" x14ac:dyDescent="0.3">
      <c r="A1431" s="8">
        <v>39039</v>
      </c>
      <c r="B1431" t="str">
        <f>TEXT(Raw_Data!$A1431, "MMM")</f>
        <v>Nov</v>
      </c>
      <c r="C1431">
        <f>YEAR(Raw_Data!$A1431)</f>
        <v>2006</v>
      </c>
      <c r="D1431" t="s">
        <v>1247</v>
      </c>
      <c r="E1431" t="s">
        <v>25</v>
      </c>
      <c r="F1431" t="s">
        <v>11</v>
      </c>
      <c r="G1431">
        <v>3</v>
      </c>
      <c r="H1431">
        <v>2235</v>
      </c>
      <c r="I1431" s="1">
        <v>443873</v>
      </c>
      <c r="J1431" s="1">
        <f>Raw_Data!$I1431/Raw_Data!$H1431</f>
        <v>198.60089485458613</v>
      </c>
    </row>
    <row r="1432" spans="1:10" x14ac:dyDescent="0.3">
      <c r="A1432" s="9">
        <v>43256</v>
      </c>
      <c r="B1432" s="2" t="str">
        <f>TEXT(Raw_Data!$A1432, "MMM")</f>
        <v>Jun</v>
      </c>
      <c r="C1432" s="2">
        <f>YEAR(Raw_Data!$A1432)</f>
        <v>2018</v>
      </c>
      <c r="D1432" s="2" t="s">
        <v>695</v>
      </c>
      <c r="E1432" s="2" t="s">
        <v>32</v>
      </c>
      <c r="F1432" s="2" t="s">
        <v>27</v>
      </c>
      <c r="G1432" s="2">
        <v>5</v>
      </c>
      <c r="H1432" s="2">
        <v>2619</v>
      </c>
      <c r="I1432" s="10">
        <v>384178</v>
      </c>
      <c r="J1432" s="10">
        <f>Raw_Data!$I1432/Raw_Data!$H1432</f>
        <v>146.68881252386407</v>
      </c>
    </row>
    <row r="1433" spans="1:10" x14ac:dyDescent="0.3">
      <c r="A1433" s="8">
        <v>41501</v>
      </c>
      <c r="B1433" t="str">
        <f>TEXT(Raw_Data!$A1433, "MMM")</f>
        <v>Aug</v>
      </c>
      <c r="C1433">
        <f>YEAR(Raw_Data!$A1433)</f>
        <v>2013</v>
      </c>
      <c r="D1433" t="s">
        <v>1248</v>
      </c>
      <c r="E1433" t="s">
        <v>25</v>
      </c>
      <c r="F1433" t="s">
        <v>16</v>
      </c>
      <c r="H1433">
        <v>2709</v>
      </c>
      <c r="I1433" s="1">
        <v>767310</v>
      </c>
      <c r="J1433" s="1">
        <f>Raw_Data!$I1433/Raw_Data!$H1433</f>
        <v>283.24473975636766</v>
      </c>
    </row>
    <row r="1434" spans="1:10" x14ac:dyDescent="0.3">
      <c r="A1434" s="9">
        <v>39089</v>
      </c>
      <c r="B1434" s="2" t="str">
        <f>TEXT(Raw_Data!$A1434, "MMM")</f>
        <v>Jan</v>
      </c>
      <c r="C1434" s="2">
        <f>YEAR(Raw_Data!$A1434)</f>
        <v>2007</v>
      </c>
      <c r="D1434" s="2" t="s">
        <v>1249</v>
      </c>
      <c r="E1434" s="2" t="s">
        <v>15</v>
      </c>
      <c r="F1434" s="2" t="s">
        <v>27</v>
      </c>
      <c r="G1434" s="2">
        <v>2</v>
      </c>
      <c r="H1434" s="2">
        <v>2729</v>
      </c>
      <c r="I1434" s="10">
        <v>790047</v>
      </c>
      <c r="J1434" s="10">
        <f>Raw_Data!$I1434/Raw_Data!$H1434</f>
        <v>289.50054965188713</v>
      </c>
    </row>
    <row r="1435" spans="1:10" x14ac:dyDescent="0.3">
      <c r="A1435" s="8">
        <v>37737</v>
      </c>
      <c r="B1435" t="str">
        <f>TEXT(Raw_Data!$A1435, "MMM")</f>
        <v>Apr</v>
      </c>
      <c r="C1435">
        <f>YEAR(Raw_Data!$A1435)</f>
        <v>2003</v>
      </c>
      <c r="D1435" t="s">
        <v>1250</v>
      </c>
      <c r="E1435" t="s">
        <v>23</v>
      </c>
      <c r="F1435" t="s">
        <v>16</v>
      </c>
      <c r="H1435">
        <v>2355</v>
      </c>
      <c r="I1435" s="1">
        <v>633943</v>
      </c>
      <c r="J1435" s="1">
        <f>Raw_Data!$I1435/Raw_Data!$H1435</f>
        <v>269.19023354564757</v>
      </c>
    </row>
    <row r="1436" spans="1:10" x14ac:dyDescent="0.3">
      <c r="A1436" s="9">
        <v>37331</v>
      </c>
      <c r="B1436" s="2" t="str">
        <f>TEXT(Raw_Data!$A1436, "MMM")</f>
        <v>Mar</v>
      </c>
      <c r="C1436" s="2">
        <f>YEAR(Raw_Data!$A1436)</f>
        <v>2002</v>
      </c>
      <c r="D1436" s="2" t="s">
        <v>1251</v>
      </c>
      <c r="E1436" s="2" t="s">
        <v>15</v>
      </c>
      <c r="F1436" s="2" t="s">
        <v>11</v>
      </c>
      <c r="G1436" s="2"/>
      <c r="H1436" s="2">
        <v>2996</v>
      </c>
      <c r="I1436" s="10">
        <v>892977</v>
      </c>
      <c r="J1436" s="10">
        <f>Raw_Data!$I1436/Raw_Data!$H1436</f>
        <v>298.05640854472631</v>
      </c>
    </row>
    <row r="1437" spans="1:10" x14ac:dyDescent="0.3">
      <c r="A1437" s="8">
        <v>40933</v>
      </c>
      <c r="B1437" t="str">
        <f>TEXT(Raw_Data!$A1437, "MMM")</f>
        <v>Jan</v>
      </c>
      <c r="C1437">
        <f>YEAR(Raw_Data!$A1437)</f>
        <v>2012</v>
      </c>
      <c r="D1437" t="s">
        <v>1252</v>
      </c>
      <c r="E1437" t="s">
        <v>21</v>
      </c>
      <c r="F1437" t="s">
        <v>11</v>
      </c>
      <c r="G1437">
        <v>2</v>
      </c>
      <c r="H1437">
        <v>3454</v>
      </c>
      <c r="I1437" s="1">
        <v>232511</v>
      </c>
      <c r="J1437" s="1">
        <f>Raw_Data!$I1437/Raw_Data!$H1437</f>
        <v>67.316444701795021</v>
      </c>
    </row>
    <row r="1438" spans="1:10" x14ac:dyDescent="0.3">
      <c r="A1438" s="9">
        <v>43243</v>
      </c>
      <c r="B1438" s="2" t="str">
        <f>TEXT(Raw_Data!$A1438, "MMM")</f>
        <v>May</v>
      </c>
      <c r="C1438" s="2">
        <f>YEAR(Raw_Data!$A1438)</f>
        <v>2018</v>
      </c>
      <c r="D1438" s="2" t="s">
        <v>1253</v>
      </c>
      <c r="E1438" s="2" t="s">
        <v>25</v>
      </c>
      <c r="F1438" s="2" t="s">
        <v>11</v>
      </c>
      <c r="G1438" s="2"/>
      <c r="H1438" s="2">
        <v>1030</v>
      </c>
      <c r="I1438" s="10">
        <v>540687</v>
      </c>
      <c r="J1438" s="10">
        <f>Raw_Data!$I1438/Raw_Data!$H1438</f>
        <v>524.93883495145633</v>
      </c>
    </row>
    <row r="1439" spans="1:10" x14ac:dyDescent="0.3">
      <c r="A1439" s="8">
        <v>43547</v>
      </c>
      <c r="B1439" t="str">
        <f>TEXT(Raw_Data!$A1439, "MMM")</f>
        <v>Mar</v>
      </c>
      <c r="C1439">
        <f>YEAR(Raw_Data!$A1439)</f>
        <v>2019</v>
      </c>
      <c r="D1439" t="s">
        <v>1254</v>
      </c>
      <c r="E1439" t="s">
        <v>25</v>
      </c>
      <c r="F1439" t="s">
        <v>18</v>
      </c>
      <c r="G1439">
        <v>3</v>
      </c>
      <c r="H1439">
        <v>1658</v>
      </c>
      <c r="I1439" s="1"/>
      <c r="J1439" s="1">
        <f>Raw_Data!$I1439/Raw_Data!$H1439</f>
        <v>0</v>
      </c>
    </row>
    <row r="1440" spans="1:10" x14ac:dyDescent="0.3">
      <c r="A1440" s="9">
        <v>42986</v>
      </c>
      <c r="B1440" s="2" t="str">
        <f>TEXT(Raw_Data!$A1440, "MMM")</f>
        <v>Sep</v>
      </c>
      <c r="C1440" s="2">
        <f>YEAR(Raw_Data!$A1440)</f>
        <v>2017</v>
      </c>
      <c r="D1440" s="2" t="s">
        <v>1255</v>
      </c>
      <c r="E1440" s="2" t="s">
        <v>15</v>
      </c>
      <c r="F1440" s="2" t="s">
        <v>16</v>
      </c>
      <c r="G1440" s="2">
        <v>3</v>
      </c>
      <c r="H1440" s="2">
        <v>1623</v>
      </c>
      <c r="I1440" s="10">
        <v>689611</v>
      </c>
      <c r="J1440" s="10">
        <f>Raw_Data!$I1440/Raw_Data!$H1440</f>
        <v>424.89895255699321</v>
      </c>
    </row>
    <row r="1441" spans="1:10" x14ac:dyDescent="0.3">
      <c r="A1441" s="8">
        <v>41695</v>
      </c>
      <c r="B1441" t="str">
        <f>TEXT(Raw_Data!$A1441, "MMM")</f>
        <v>Feb</v>
      </c>
      <c r="C1441">
        <f>YEAR(Raw_Data!$A1441)</f>
        <v>2014</v>
      </c>
      <c r="D1441" t="s">
        <v>1256</v>
      </c>
      <c r="E1441" t="s">
        <v>32</v>
      </c>
      <c r="F1441" t="s">
        <v>27</v>
      </c>
      <c r="G1441">
        <v>5</v>
      </c>
      <c r="H1441">
        <v>1155</v>
      </c>
      <c r="I1441" s="1">
        <v>307380</v>
      </c>
      <c r="J1441" s="1">
        <f>Raw_Data!$I1441/Raw_Data!$H1441</f>
        <v>266.12987012987014</v>
      </c>
    </row>
    <row r="1442" spans="1:10" x14ac:dyDescent="0.3">
      <c r="A1442" s="9">
        <v>42387</v>
      </c>
      <c r="B1442" s="2" t="str">
        <f>TEXT(Raw_Data!$A1442, "MMM")</f>
        <v>Jan</v>
      </c>
      <c r="C1442" s="2">
        <f>YEAR(Raw_Data!$A1442)</f>
        <v>2016</v>
      </c>
      <c r="D1442" s="2" t="s">
        <v>1257</v>
      </c>
      <c r="E1442" s="2" t="s">
        <v>23</v>
      </c>
      <c r="F1442" s="2" t="s">
        <v>18</v>
      </c>
      <c r="G1442" s="2">
        <v>2</v>
      </c>
      <c r="H1442" s="2">
        <v>2166</v>
      </c>
      <c r="I1442" s="10">
        <v>396077</v>
      </c>
      <c r="J1442" s="10">
        <f>Raw_Data!$I1442/Raw_Data!$H1442</f>
        <v>182.86103416435827</v>
      </c>
    </row>
    <row r="1443" spans="1:10" x14ac:dyDescent="0.3">
      <c r="A1443" s="8">
        <v>43386</v>
      </c>
      <c r="B1443" t="str">
        <f>TEXT(Raw_Data!$A1443, "MMM")</f>
        <v>Oct</v>
      </c>
      <c r="C1443">
        <f>YEAR(Raw_Data!$A1443)</f>
        <v>2018</v>
      </c>
      <c r="D1443" t="s">
        <v>1258</v>
      </c>
      <c r="E1443" t="s">
        <v>15</v>
      </c>
      <c r="F1443" t="s">
        <v>11</v>
      </c>
      <c r="G1443">
        <v>3</v>
      </c>
      <c r="H1443">
        <v>2160</v>
      </c>
      <c r="I1443" s="1">
        <v>179279</v>
      </c>
      <c r="J1443" s="1">
        <f>Raw_Data!$I1443/Raw_Data!$H1443</f>
        <v>82.999537037037044</v>
      </c>
    </row>
    <row r="1444" spans="1:10" x14ac:dyDescent="0.3">
      <c r="A1444" s="9">
        <v>41885</v>
      </c>
      <c r="B1444" s="2" t="str">
        <f>TEXT(Raw_Data!$A1444, "MMM")</f>
        <v>Sep</v>
      </c>
      <c r="C1444" s="2">
        <f>YEAR(Raw_Data!$A1444)</f>
        <v>2014</v>
      </c>
      <c r="D1444" s="2" t="s">
        <v>131</v>
      </c>
      <c r="E1444" s="2" t="s">
        <v>15</v>
      </c>
      <c r="F1444" s="2" t="s">
        <v>27</v>
      </c>
      <c r="G1444" s="2">
        <v>5</v>
      </c>
      <c r="H1444" s="2">
        <v>1452</v>
      </c>
      <c r="I1444" s="10">
        <v>361520</v>
      </c>
      <c r="J1444" s="10">
        <f>Raw_Data!$I1444/Raw_Data!$H1444</f>
        <v>248.98071625344352</v>
      </c>
    </row>
    <row r="1445" spans="1:10" x14ac:dyDescent="0.3">
      <c r="A1445" s="8">
        <v>39909</v>
      </c>
      <c r="B1445" t="str">
        <f>TEXT(Raw_Data!$A1445, "MMM")</f>
        <v>Apr</v>
      </c>
      <c r="C1445">
        <f>YEAR(Raw_Data!$A1445)</f>
        <v>2009</v>
      </c>
      <c r="D1445" t="s">
        <v>1259</v>
      </c>
      <c r="E1445" t="s">
        <v>21</v>
      </c>
      <c r="F1445" t="s">
        <v>18</v>
      </c>
      <c r="G1445">
        <v>3</v>
      </c>
      <c r="H1445">
        <v>2871</v>
      </c>
      <c r="I1445" s="1">
        <v>782379</v>
      </c>
      <c r="J1445" s="1">
        <f>Raw_Data!$I1445/Raw_Data!$H1445</f>
        <v>272.51097178683386</v>
      </c>
    </row>
    <row r="1446" spans="1:10" x14ac:dyDescent="0.3">
      <c r="A1446" s="9">
        <v>38120</v>
      </c>
      <c r="B1446" s="2" t="str">
        <f>TEXT(Raw_Data!$A1446, "MMM")</f>
        <v>May</v>
      </c>
      <c r="C1446" s="2">
        <f>YEAR(Raw_Data!$A1446)</f>
        <v>2004</v>
      </c>
      <c r="D1446" s="2" t="s">
        <v>47</v>
      </c>
      <c r="E1446" s="2" t="s">
        <v>21</v>
      </c>
      <c r="F1446" s="2" t="s">
        <v>11</v>
      </c>
      <c r="G1446" s="2">
        <v>3</v>
      </c>
      <c r="H1446" s="2">
        <v>2793</v>
      </c>
      <c r="I1446" s="10">
        <v>437980</v>
      </c>
      <c r="J1446" s="10">
        <f>Raw_Data!$I1446/Raw_Data!$H1446</f>
        <v>156.81346222699605</v>
      </c>
    </row>
    <row r="1447" spans="1:10" x14ac:dyDescent="0.3">
      <c r="A1447" s="8">
        <v>41906</v>
      </c>
      <c r="B1447" t="str">
        <f>TEXT(Raw_Data!$A1447, "MMM")</f>
        <v>Sep</v>
      </c>
      <c r="C1447">
        <f>YEAR(Raw_Data!$A1447)</f>
        <v>2014</v>
      </c>
      <c r="D1447" t="s">
        <v>1260</v>
      </c>
      <c r="E1447" t="s">
        <v>15</v>
      </c>
      <c r="F1447" t="s">
        <v>11</v>
      </c>
      <c r="G1447">
        <v>5</v>
      </c>
      <c r="H1447">
        <v>3057</v>
      </c>
      <c r="I1447" s="1">
        <v>637773</v>
      </c>
      <c r="J1447" s="1">
        <f>Raw_Data!$I1447/Raw_Data!$H1447</f>
        <v>208.6270853778214</v>
      </c>
    </row>
    <row r="1448" spans="1:10" x14ac:dyDescent="0.3">
      <c r="A1448" s="9">
        <v>39700</v>
      </c>
      <c r="B1448" s="2" t="str">
        <f>TEXT(Raw_Data!$A1448, "MMM")</f>
        <v>Sep</v>
      </c>
      <c r="C1448" s="2">
        <f>YEAR(Raw_Data!$A1448)</f>
        <v>2008</v>
      </c>
      <c r="D1448" s="2" t="s">
        <v>600</v>
      </c>
      <c r="E1448" s="2" t="s">
        <v>29</v>
      </c>
      <c r="F1448" s="2" t="s">
        <v>11</v>
      </c>
      <c r="G1448" s="2">
        <v>4</v>
      </c>
      <c r="H1448" s="2">
        <v>1024</v>
      </c>
      <c r="I1448" s="10">
        <v>520245</v>
      </c>
      <c r="J1448" s="10">
        <f>Raw_Data!$I1448/Raw_Data!$H1448</f>
        <v>508.0517578125</v>
      </c>
    </row>
    <row r="1449" spans="1:10" x14ac:dyDescent="0.3">
      <c r="A1449" s="8">
        <v>37057</v>
      </c>
      <c r="B1449" t="str">
        <f>TEXT(Raw_Data!$A1449, "MMM")</f>
        <v>Jun</v>
      </c>
      <c r="C1449">
        <f>YEAR(Raw_Data!$A1449)</f>
        <v>2001</v>
      </c>
      <c r="D1449" t="s">
        <v>1261</v>
      </c>
      <c r="E1449" t="s">
        <v>15</v>
      </c>
      <c r="F1449" t="s">
        <v>27</v>
      </c>
      <c r="H1449">
        <v>2301</v>
      </c>
      <c r="I1449" s="1">
        <v>450663</v>
      </c>
      <c r="J1449" s="1">
        <f>Raw_Data!$I1449/Raw_Data!$H1449</f>
        <v>195.85528031290744</v>
      </c>
    </row>
    <row r="1450" spans="1:10" x14ac:dyDescent="0.3">
      <c r="A1450" s="9">
        <v>38953</v>
      </c>
      <c r="B1450" s="2" t="str">
        <f>TEXT(Raw_Data!$A1450, "MMM")</f>
        <v>Aug</v>
      </c>
      <c r="C1450" s="2">
        <f>YEAR(Raw_Data!$A1450)</f>
        <v>2006</v>
      </c>
      <c r="D1450" s="2" t="s">
        <v>1262</v>
      </c>
      <c r="E1450" s="2" t="s">
        <v>25</v>
      </c>
      <c r="F1450" s="2" t="s">
        <v>16</v>
      </c>
      <c r="G1450" s="2">
        <v>4</v>
      </c>
      <c r="H1450" s="2">
        <v>3253</v>
      </c>
      <c r="I1450" s="10">
        <v>412556</v>
      </c>
      <c r="J1450" s="10">
        <f>Raw_Data!$I1450/Raw_Data!$H1450</f>
        <v>126.82324008607439</v>
      </c>
    </row>
    <row r="1451" spans="1:10" x14ac:dyDescent="0.3">
      <c r="A1451" s="8">
        <v>38348</v>
      </c>
      <c r="B1451" t="str">
        <f>TEXT(Raw_Data!$A1451, "MMM")</f>
        <v>Dec</v>
      </c>
      <c r="C1451">
        <f>YEAR(Raw_Data!$A1451)</f>
        <v>2004</v>
      </c>
      <c r="D1451" t="s">
        <v>1263</v>
      </c>
      <c r="E1451" t="s">
        <v>15</v>
      </c>
      <c r="F1451" t="s">
        <v>16</v>
      </c>
      <c r="H1451">
        <v>2677</v>
      </c>
      <c r="I1451" s="1">
        <v>544440</v>
      </c>
      <c r="J1451" s="1">
        <f>Raw_Data!$I1451/Raw_Data!$H1451</f>
        <v>203.37691445648113</v>
      </c>
    </row>
    <row r="1452" spans="1:10" x14ac:dyDescent="0.3">
      <c r="A1452" s="9">
        <v>43831</v>
      </c>
      <c r="B1452" s="2" t="str">
        <f>TEXT(Raw_Data!$A1452, "MMM")</f>
        <v>Jan</v>
      </c>
      <c r="C1452" s="2">
        <f>YEAR(Raw_Data!$A1452)</f>
        <v>2020</v>
      </c>
      <c r="D1452" s="2" t="s">
        <v>427</v>
      </c>
      <c r="E1452" s="2" t="s">
        <v>25</v>
      </c>
      <c r="F1452" s="2" t="s">
        <v>27</v>
      </c>
      <c r="G1452" s="2">
        <v>4</v>
      </c>
      <c r="H1452" s="2">
        <v>3481</v>
      </c>
      <c r="I1452" s="10">
        <v>158072</v>
      </c>
      <c r="J1452" s="10">
        <f>Raw_Data!$I1452/Raw_Data!$H1452</f>
        <v>45.409939672507903</v>
      </c>
    </row>
    <row r="1453" spans="1:10" x14ac:dyDescent="0.3">
      <c r="A1453" s="8">
        <v>43502</v>
      </c>
      <c r="B1453" t="str">
        <f>TEXT(Raw_Data!$A1453, "MMM")</f>
        <v>Feb</v>
      </c>
      <c r="C1453">
        <f>YEAR(Raw_Data!$A1453)</f>
        <v>2019</v>
      </c>
      <c r="D1453" t="s">
        <v>1264</v>
      </c>
      <c r="E1453" t="s">
        <v>13</v>
      </c>
      <c r="F1453" t="s">
        <v>11</v>
      </c>
      <c r="G1453">
        <v>4</v>
      </c>
      <c r="H1453">
        <v>1673</v>
      </c>
      <c r="I1453" s="1">
        <v>412547</v>
      </c>
      <c r="J1453" s="1">
        <f>Raw_Data!$I1453/Raw_Data!$H1453</f>
        <v>246.59115361625823</v>
      </c>
    </row>
    <row r="1454" spans="1:10" x14ac:dyDescent="0.3">
      <c r="A1454" s="9">
        <v>40822</v>
      </c>
      <c r="B1454" s="2" t="str">
        <f>TEXT(Raw_Data!$A1454, "MMM")</f>
        <v>Oct</v>
      </c>
      <c r="C1454" s="2">
        <f>YEAR(Raw_Data!$A1454)</f>
        <v>2011</v>
      </c>
      <c r="D1454" s="2" t="s">
        <v>1265</v>
      </c>
      <c r="E1454" s="2" t="s">
        <v>21</v>
      </c>
      <c r="F1454" s="2" t="s">
        <v>11</v>
      </c>
      <c r="G1454" s="2">
        <v>2</v>
      </c>
      <c r="H1454" s="2">
        <v>1941</v>
      </c>
      <c r="I1454" s="10">
        <v>376118</v>
      </c>
      <c r="J1454" s="10">
        <f>Raw_Data!$I1454/Raw_Data!$H1454</f>
        <v>193.77537351880474</v>
      </c>
    </row>
    <row r="1455" spans="1:10" x14ac:dyDescent="0.3">
      <c r="A1455" s="8">
        <v>36971</v>
      </c>
      <c r="B1455" t="str">
        <f>TEXT(Raw_Data!$A1455, "MMM")</f>
        <v>Mar</v>
      </c>
      <c r="C1455">
        <f>YEAR(Raw_Data!$A1455)</f>
        <v>2001</v>
      </c>
      <c r="D1455" t="s">
        <v>1266</v>
      </c>
      <c r="E1455" t="s">
        <v>25</v>
      </c>
      <c r="F1455" t="s">
        <v>18</v>
      </c>
      <c r="G1455">
        <v>3</v>
      </c>
      <c r="H1455">
        <v>2588</v>
      </c>
      <c r="I1455" s="1">
        <v>835176</v>
      </c>
      <c r="J1455" s="1">
        <f>Raw_Data!$I1455/Raw_Data!$H1455</f>
        <v>322.71097372488407</v>
      </c>
    </row>
    <row r="1456" spans="1:10" x14ac:dyDescent="0.3">
      <c r="A1456" s="9">
        <v>43937</v>
      </c>
      <c r="B1456" s="2" t="str">
        <f>TEXT(Raw_Data!$A1456, "MMM")</f>
        <v>Apr</v>
      </c>
      <c r="C1456" s="2">
        <f>YEAR(Raw_Data!$A1456)</f>
        <v>2020</v>
      </c>
      <c r="D1456" s="2" t="s">
        <v>1267</v>
      </c>
      <c r="E1456" s="2" t="s">
        <v>32</v>
      </c>
      <c r="F1456" s="2" t="s">
        <v>27</v>
      </c>
      <c r="G1456" s="2">
        <v>3</v>
      </c>
      <c r="H1456" s="2">
        <v>1198</v>
      </c>
      <c r="I1456" s="10">
        <v>383197</v>
      </c>
      <c r="J1456" s="10">
        <f>Raw_Data!$I1456/Raw_Data!$H1456</f>
        <v>319.86393989983304</v>
      </c>
    </row>
    <row r="1457" spans="1:10" x14ac:dyDescent="0.3">
      <c r="A1457" s="8">
        <v>40552</v>
      </c>
      <c r="B1457" t="str">
        <f>TEXT(Raw_Data!$A1457, "MMM")</f>
        <v>Jan</v>
      </c>
      <c r="C1457">
        <f>YEAR(Raw_Data!$A1457)</f>
        <v>2011</v>
      </c>
      <c r="D1457" t="s">
        <v>1268</v>
      </c>
      <c r="E1457" t="s">
        <v>15</v>
      </c>
      <c r="F1457" t="s">
        <v>27</v>
      </c>
      <c r="G1457">
        <v>2</v>
      </c>
      <c r="H1457">
        <v>3379</v>
      </c>
      <c r="I1457" s="1">
        <v>431254</v>
      </c>
      <c r="J1457" s="1">
        <f>Raw_Data!$I1457/Raw_Data!$H1457</f>
        <v>127.62770050310743</v>
      </c>
    </row>
    <row r="1458" spans="1:10" x14ac:dyDescent="0.3">
      <c r="A1458" s="9">
        <v>42158</v>
      </c>
      <c r="B1458" s="2" t="str">
        <f>TEXT(Raw_Data!$A1458, "MMM")</f>
        <v>Jun</v>
      </c>
      <c r="C1458" s="2">
        <f>YEAR(Raw_Data!$A1458)</f>
        <v>2015</v>
      </c>
      <c r="D1458" s="2" t="s">
        <v>1269</v>
      </c>
      <c r="E1458" s="2" t="s">
        <v>32</v>
      </c>
      <c r="F1458" s="2" t="s">
        <v>11</v>
      </c>
      <c r="G1458" s="2"/>
      <c r="H1458" s="2">
        <v>1118</v>
      </c>
      <c r="I1458" s="10">
        <v>360916</v>
      </c>
      <c r="J1458" s="10">
        <f>Raw_Data!$I1458/Raw_Data!$H1458</f>
        <v>322.82289803220038</v>
      </c>
    </row>
    <row r="1459" spans="1:10" x14ac:dyDescent="0.3">
      <c r="A1459" s="8">
        <v>40786</v>
      </c>
      <c r="B1459" t="str">
        <f>TEXT(Raw_Data!$A1459, "MMM")</f>
        <v>Aug</v>
      </c>
      <c r="C1459">
        <f>YEAR(Raw_Data!$A1459)</f>
        <v>2011</v>
      </c>
      <c r="D1459" t="s">
        <v>238</v>
      </c>
      <c r="E1459" t="s">
        <v>23</v>
      </c>
      <c r="F1459" t="s">
        <v>11</v>
      </c>
      <c r="G1459">
        <v>3</v>
      </c>
      <c r="H1459">
        <v>1248</v>
      </c>
      <c r="I1459" s="1">
        <v>581098</v>
      </c>
      <c r="J1459" s="1">
        <f>Raw_Data!$I1459/Raw_Data!$H1459</f>
        <v>465.62339743589746</v>
      </c>
    </row>
    <row r="1460" spans="1:10" x14ac:dyDescent="0.3">
      <c r="A1460" s="9">
        <v>43064</v>
      </c>
      <c r="B1460" s="2" t="str">
        <f>TEXT(Raw_Data!$A1460, "MMM")</f>
        <v>Nov</v>
      </c>
      <c r="C1460" s="2">
        <f>YEAR(Raw_Data!$A1460)</f>
        <v>2017</v>
      </c>
      <c r="D1460" s="2" t="s">
        <v>1270</v>
      </c>
      <c r="E1460" s="2" t="s">
        <v>32</v>
      </c>
      <c r="F1460" s="2" t="s">
        <v>11</v>
      </c>
      <c r="G1460" s="2">
        <v>5</v>
      </c>
      <c r="H1460" s="2">
        <v>1420</v>
      </c>
      <c r="I1460" s="10">
        <v>829866</v>
      </c>
      <c r="J1460" s="10">
        <f>Raw_Data!$I1460/Raw_Data!$H1460</f>
        <v>584.412676056338</v>
      </c>
    </row>
    <row r="1461" spans="1:10" x14ac:dyDescent="0.3">
      <c r="A1461" s="8">
        <v>36963</v>
      </c>
      <c r="B1461" t="str">
        <f>TEXT(Raw_Data!$A1461, "MMM")</f>
        <v>Mar</v>
      </c>
      <c r="C1461">
        <f>YEAR(Raw_Data!$A1461)</f>
        <v>2001</v>
      </c>
      <c r="D1461" t="s">
        <v>134</v>
      </c>
      <c r="E1461" t="s">
        <v>25</v>
      </c>
      <c r="F1461" t="s">
        <v>16</v>
      </c>
      <c r="G1461">
        <v>3</v>
      </c>
      <c r="H1461">
        <v>3277</v>
      </c>
      <c r="I1461" s="1">
        <v>175072</v>
      </c>
      <c r="J1461" s="1">
        <f>Raw_Data!$I1461/Raw_Data!$H1461</f>
        <v>53.424473603906009</v>
      </c>
    </row>
    <row r="1462" spans="1:10" x14ac:dyDescent="0.3">
      <c r="A1462" s="9">
        <v>38647</v>
      </c>
      <c r="B1462" s="2" t="str">
        <f>TEXT(Raw_Data!$A1462, "MMM")</f>
        <v>Oct</v>
      </c>
      <c r="C1462" s="2">
        <f>YEAR(Raw_Data!$A1462)</f>
        <v>2005</v>
      </c>
      <c r="D1462" s="2" t="s">
        <v>1271</v>
      </c>
      <c r="E1462" s="2" t="s">
        <v>15</v>
      </c>
      <c r="F1462" s="2" t="s">
        <v>27</v>
      </c>
      <c r="G1462" s="2">
        <v>5</v>
      </c>
      <c r="H1462" s="2">
        <v>2354</v>
      </c>
      <c r="I1462" s="10">
        <v>854331</v>
      </c>
      <c r="J1462" s="10">
        <f>Raw_Data!$I1462/Raw_Data!$H1462</f>
        <v>362.92735768903992</v>
      </c>
    </row>
    <row r="1463" spans="1:10" x14ac:dyDescent="0.3">
      <c r="A1463" s="8">
        <v>41471</v>
      </c>
      <c r="B1463" t="str">
        <f>TEXT(Raw_Data!$A1463, "MMM")</f>
        <v>Jul</v>
      </c>
      <c r="C1463">
        <f>YEAR(Raw_Data!$A1463)</f>
        <v>2013</v>
      </c>
      <c r="D1463" t="s">
        <v>1272</v>
      </c>
      <c r="E1463" t="s">
        <v>15</v>
      </c>
      <c r="F1463" t="s">
        <v>18</v>
      </c>
      <c r="G1463">
        <v>5</v>
      </c>
      <c r="H1463">
        <v>3082</v>
      </c>
      <c r="I1463" s="1">
        <v>185725</v>
      </c>
      <c r="J1463" s="1">
        <f>Raw_Data!$I1463/Raw_Data!$H1463</f>
        <v>60.261194029850749</v>
      </c>
    </row>
    <row r="1464" spans="1:10" x14ac:dyDescent="0.3">
      <c r="A1464" s="9">
        <v>43475</v>
      </c>
      <c r="B1464" s="2" t="str">
        <f>TEXT(Raw_Data!$A1464, "MMM")</f>
        <v>Jan</v>
      </c>
      <c r="C1464" s="2">
        <f>YEAR(Raw_Data!$A1464)</f>
        <v>2019</v>
      </c>
      <c r="D1464" s="2" t="s">
        <v>106</v>
      </c>
      <c r="E1464" s="2" t="s">
        <v>25</v>
      </c>
      <c r="F1464" s="2" t="s">
        <v>18</v>
      </c>
      <c r="G1464" s="2">
        <v>3</v>
      </c>
      <c r="H1464" s="2">
        <v>930</v>
      </c>
      <c r="I1464" s="10">
        <v>384489</v>
      </c>
      <c r="J1464" s="10">
        <f>Raw_Data!$I1464/Raw_Data!$H1464</f>
        <v>413.42903225806452</v>
      </c>
    </row>
    <row r="1465" spans="1:10" x14ac:dyDescent="0.3">
      <c r="A1465" s="8">
        <v>40939</v>
      </c>
      <c r="B1465" t="str">
        <f>TEXT(Raw_Data!$A1465, "MMM")</f>
        <v>Jan</v>
      </c>
      <c r="C1465">
        <f>YEAR(Raw_Data!$A1465)</f>
        <v>2012</v>
      </c>
      <c r="D1465" t="s">
        <v>710</v>
      </c>
      <c r="E1465" t="s">
        <v>15</v>
      </c>
      <c r="F1465" t="s">
        <v>18</v>
      </c>
      <c r="G1465">
        <v>5</v>
      </c>
      <c r="H1465">
        <v>3280</v>
      </c>
      <c r="I1465" s="1">
        <v>332218</v>
      </c>
      <c r="J1465" s="1">
        <f>Raw_Data!$I1465/Raw_Data!$H1465</f>
        <v>101.28597560975609</v>
      </c>
    </row>
    <row r="1466" spans="1:10" x14ac:dyDescent="0.3">
      <c r="A1466" s="9">
        <v>42482</v>
      </c>
      <c r="B1466" s="2" t="str">
        <f>TEXT(Raw_Data!$A1466, "MMM")</f>
        <v>Apr</v>
      </c>
      <c r="C1466" s="2">
        <f>YEAR(Raw_Data!$A1466)</f>
        <v>2016</v>
      </c>
      <c r="D1466" s="2" t="s">
        <v>1273</v>
      </c>
      <c r="E1466" s="2" t="s">
        <v>32</v>
      </c>
      <c r="F1466" s="2" t="s">
        <v>27</v>
      </c>
      <c r="G1466" s="2"/>
      <c r="H1466" s="2">
        <v>822</v>
      </c>
      <c r="I1466" s="10">
        <v>358574</v>
      </c>
      <c r="J1466" s="10">
        <f>Raw_Data!$I1466/Raw_Data!$H1466</f>
        <v>436.22141119221413</v>
      </c>
    </row>
    <row r="1467" spans="1:10" x14ac:dyDescent="0.3">
      <c r="A1467" s="8">
        <v>37820</v>
      </c>
      <c r="B1467" t="str">
        <f>TEXT(Raw_Data!$A1467, "MMM")</f>
        <v>Jul</v>
      </c>
      <c r="C1467">
        <f>YEAR(Raw_Data!$A1467)</f>
        <v>2003</v>
      </c>
      <c r="D1467" t="s">
        <v>745</v>
      </c>
      <c r="E1467" t="s">
        <v>25</v>
      </c>
      <c r="F1467" t="s">
        <v>18</v>
      </c>
      <c r="G1467">
        <v>5</v>
      </c>
      <c r="H1467">
        <v>998</v>
      </c>
      <c r="I1467" s="1">
        <v>798131</v>
      </c>
      <c r="J1467" s="1">
        <f>Raw_Data!$I1467/Raw_Data!$H1467</f>
        <v>799.7304609218437</v>
      </c>
    </row>
    <row r="1468" spans="1:10" x14ac:dyDescent="0.3">
      <c r="A1468" s="9">
        <v>40523</v>
      </c>
      <c r="B1468" s="2" t="str">
        <f>TEXT(Raw_Data!$A1468, "MMM")</f>
        <v>Dec</v>
      </c>
      <c r="C1468" s="2">
        <f>YEAR(Raw_Data!$A1468)</f>
        <v>2010</v>
      </c>
      <c r="D1468" s="2" t="s">
        <v>1274</v>
      </c>
      <c r="E1468" s="2" t="s">
        <v>15</v>
      </c>
      <c r="F1468" s="2" t="s">
        <v>16</v>
      </c>
      <c r="G1468" s="2">
        <v>2</v>
      </c>
      <c r="H1468" s="2">
        <v>1236</v>
      </c>
      <c r="I1468" s="10">
        <v>513997</v>
      </c>
      <c r="J1468" s="10">
        <f>Raw_Data!$I1468/Raw_Data!$H1468</f>
        <v>415.85517799352749</v>
      </c>
    </row>
    <row r="1469" spans="1:10" x14ac:dyDescent="0.3">
      <c r="A1469" s="8">
        <v>37121</v>
      </c>
      <c r="B1469" t="str">
        <f>TEXT(Raw_Data!$A1469, "MMM")</f>
        <v>Aug</v>
      </c>
      <c r="C1469">
        <f>YEAR(Raw_Data!$A1469)</f>
        <v>2001</v>
      </c>
      <c r="D1469" t="s">
        <v>1275</v>
      </c>
      <c r="E1469" t="s">
        <v>15</v>
      </c>
      <c r="F1469" t="s">
        <v>27</v>
      </c>
      <c r="H1469">
        <v>1030</v>
      </c>
      <c r="I1469" s="1">
        <v>299824</v>
      </c>
      <c r="J1469" s="1">
        <f>Raw_Data!$I1469/Raw_Data!$H1469</f>
        <v>291.09126213592231</v>
      </c>
    </row>
    <row r="1470" spans="1:10" x14ac:dyDescent="0.3">
      <c r="A1470" s="9">
        <v>43355</v>
      </c>
      <c r="B1470" s="2" t="str">
        <f>TEXT(Raw_Data!$A1470, "MMM")</f>
        <v>Sep</v>
      </c>
      <c r="C1470" s="2">
        <f>YEAR(Raw_Data!$A1470)</f>
        <v>2018</v>
      </c>
      <c r="D1470" s="2" t="s">
        <v>1276</v>
      </c>
      <c r="E1470" s="2" t="s">
        <v>32</v>
      </c>
      <c r="F1470" s="2" t="s">
        <v>27</v>
      </c>
      <c r="G1470" s="2">
        <v>3</v>
      </c>
      <c r="H1470" s="2">
        <v>2930</v>
      </c>
      <c r="I1470" s="10">
        <v>896563</v>
      </c>
      <c r="J1470" s="10">
        <f>Raw_Data!$I1470/Raw_Data!$H1470</f>
        <v>305.99419795221843</v>
      </c>
    </row>
    <row r="1471" spans="1:10" x14ac:dyDescent="0.3">
      <c r="A1471" s="8">
        <v>42763</v>
      </c>
      <c r="B1471" t="str">
        <f>TEXT(Raw_Data!$A1471, "MMM")</f>
        <v>Jan</v>
      </c>
      <c r="C1471">
        <f>YEAR(Raw_Data!$A1471)</f>
        <v>2017</v>
      </c>
      <c r="D1471" t="s">
        <v>1277</v>
      </c>
      <c r="E1471" t="s">
        <v>25</v>
      </c>
      <c r="F1471" t="s">
        <v>18</v>
      </c>
      <c r="G1471">
        <v>4</v>
      </c>
      <c r="H1471">
        <v>2090</v>
      </c>
      <c r="I1471" s="1">
        <v>294578</v>
      </c>
      <c r="J1471" s="1">
        <f>Raw_Data!$I1471/Raw_Data!$H1471</f>
        <v>140.9464114832536</v>
      </c>
    </row>
    <row r="1472" spans="1:10" x14ac:dyDescent="0.3">
      <c r="A1472" s="9">
        <v>38983</v>
      </c>
      <c r="B1472" s="2" t="str">
        <f>TEXT(Raw_Data!$A1472, "MMM")</f>
        <v>Sep</v>
      </c>
      <c r="C1472" s="2">
        <f>YEAR(Raw_Data!$A1472)</f>
        <v>2006</v>
      </c>
      <c r="D1472" s="2" t="s">
        <v>1278</v>
      </c>
      <c r="E1472" s="2" t="s">
        <v>13</v>
      </c>
      <c r="F1472" s="2" t="s">
        <v>18</v>
      </c>
      <c r="G1472" s="2"/>
      <c r="H1472" s="2">
        <v>3054</v>
      </c>
      <c r="I1472" s="10">
        <v>717825</v>
      </c>
      <c r="J1472" s="10">
        <f>Raw_Data!$I1472/Raw_Data!$H1472</f>
        <v>235.04420432220039</v>
      </c>
    </row>
    <row r="1473" spans="1:10" x14ac:dyDescent="0.3">
      <c r="A1473" s="8">
        <v>40941</v>
      </c>
      <c r="B1473" t="str">
        <f>TEXT(Raw_Data!$A1473, "MMM")</f>
        <v>Feb</v>
      </c>
      <c r="C1473">
        <f>YEAR(Raw_Data!$A1473)</f>
        <v>2012</v>
      </c>
      <c r="D1473" t="s">
        <v>1279</v>
      </c>
      <c r="E1473" t="s">
        <v>32</v>
      </c>
      <c r="F1473" t="s">
        <v>11</v>
      </c>
      <c r="H1473">
        <v>2922</v>
      </c>
      <c r="I1473" s="1">
        <v>163060</v>
      </c>
      <c r="J1473" s="1">
        <f>Raw_Data!$I1473/Raw_Data!$H1473</f>
        <v>55.804243668720055</v>
      </c>
    </row>
    <row r="1474" spans="1:10" x14ac:dyDescent="0.3">
      <c r="A1474" s="9">
        <v>41236</v>
      </c>
      <c r="B1474" s="2" t="str">
        <f>TEXT(Raw_Data!$A1474, "MMM")</f>
        <v>Nov</v>
      </c>
      <c r="C1474" s="2">
        <f>YEAR(Raw_Data!$A1474)</f>
        <v>2012</v>
      </c>
      <c r="D1474" s="2" t="s">
        <v>1280</v>
      </c>
      <c r="E1474" s="2" t="s">
        <v>29</v>
      </c>
      <c r="F1474" s="2" t="s">
        <v>18</v>
      </c>
      <c r="G1474" s="2"/>
      <c r="H1474" s="2">
        <v>1427</v>
      </c>
      <c r="I1474" s="10">
        <v>219640</v>
      </c>
      <c r="J1474" s="10">
        <f>Raw_Data!$I1474/Raw_Data!$H1474</f>
        <v>153.91730903994394</v>
      </c>
    </row>
    <row r="1475" spans="1:10" x14ac:dyDescent="0.3">
      <c r="A1475" s="8">
        <v>37653</v>
      </c>
      <c r="B1475" t="str">
        <f>TEXT(Raw_Data!$A1475, "MMM")</f>
        <v>Feb</v>
      </c>
      <c r="C1475">
        <f>YEAR(Raw_Data!$A1475)</f>
        <v>2003</v>
      </c>
      <c r="D1475" t="s">
        <v>1281</v>
      </c>
      <c r="E1475" t="s">
        <v>15</v>
      </c>
      <c r="F1475" t="s">
        <v>27</v>
      </c>
      <c r="G1475">
        <v>2</v>
      </c>
      <c r="H1475">
        <v>2429</v>
      </c>
      <c r="I1475" s="1">
        <v>192606</v>
      </c>
      <c r="J1475" s="1">
        <f>Raw_Data!$I1475/Raw_Data!$H1475</f>
        <v>79.294359818855497</v>
      </c>
    </row>
    <row r="1476" spans="1:10" x14ac:dyDescent="0.3">
      <c r="A1476" s="9">
        <v>37241</v>
      </c>
      <c r="B1476" s="2" t="str">
        <f>TEXT(Raw_Data!$A1476, "MMM")</f>
        <v>Dec</v>
      </c>
      <c r="C1476" s="2">
        <f>YEAR(Raw_Data!$A1476)</f>
        <v>2001</v>
      </c>
      <c r="D1476" s="2" t="s">
        <v>1282</v>
      </c>
      <c r="E1476" s="2" t="s">
        <v>23</v>
      </c>
      <c r="F1476" s="2" t="s">
        <v>11</v>
      </c>
      <c r="G1476" s="2">
        <v>5</v>
      </c>
      <c r="H1476" s="2">
        <v>3347</v>
      </c>
      <c r="I1476" s="10">
        <v>381456</v>
      </c>
      <c r="J1476" s="10">
        <f>Raw_Data!$I1476/Raw_Data!$H1476</f>
        <v>113.96952494771438</v>
      </c>
    </row>
    <row r="1477" spans="1:10" x14ac:dyDescent="0.3">
      <c r="A1477" s="8">
        <v>41565</v>
      </c>
      <c r="B1477" t="str">
        <f>TEXT(Raw_Data!$A1477, "MMM")</f>
        <v>Oct</v>
      </c>
      <c r="C1477">
        <f>YEAR(Raw_Data!$A1477)</f>
        <v>2013</v>
      </c>
      <c r="D1477" t="s">
        <v>912</v>
      </c>
      <c r="E1477" t="s">
        <v>25</v>
      </c>
      <c r="F1477" t="s">
        <v>18</v>
      </c>
      <c r="G1477">
        <v>3</v>
      </c>
      <c r="H1477">
        <v>941</v>
      </c>
      <c r="I1477" s="1">
        <v>335990</v>
      </c>
      <c r="J1477" s="1">
        <f>Raw_Data!$I1477/Raw_Data!$H1477</f>
        <v>357.05632306057385</v>
      </c>
    </row>
    <row r="1478" spans="1:10" x14ac:dyDescent="0.3">
      <c r="A1478" s="9">
        <v>39381</v>
      </c>
      <c r="B1478" s="2" t="str">
        <f>TEXT(Raw_Data!$A1478, "MMM")</f>
        <v>Oct</v>
      </c>
      <c r="C1478" s="2">
        <f>YEAR(Raw_Data!$A1478)</f>
        <v>2007</v>
      </c>
      <c r="D1478" s="2" t="s">
        <v>1283</v>
      </c>
      <c r="E1478" s="2" t="s">
        <v>25</v>
      </c>
      <c r="F1478" s="2" t="s">
        <v>11</v>
      </c>
      <c r="G1478" s="2"/>
      <c r="H1478" s="2">
        <v>2834</v>
      </c>
      <c r="I1478" s="10">
        <v>745615</v>
      </c>
      <c r="J1478" s="10">
        <f>Raw_Data!$I1478/Raw_Data!$H1478</f>
        <v>263.09633027522938</v>
      </c>
    </row>
    <row r="1479" spans="1:10" x14ac:dyDescent="0.3">
      <c r="A1479" s="8">
        <v>40924</v>
      </c>
      <c r="B1479" t="str">
        <f>TEXT(Raw_Data!$A1479, "MMM")</f>
        <v>Jan</v>
      </c>
      <c r="C1479">
        <f>YEAR(Raw_Data!$A1479)</f>
        <v>2012</v>
      </c>
      <c r="D1479" t="s">
        <v>1284</v>
      </c>
      <c r="E1479" t="s">
        <v>15</v>
      </c>
      <c r="F1479" t="s">
        <v>16</v>
      </c>
      <c r="G1479">
        <v>5</v>
      </c>
      <c r="H1479">
        <v>3066</v>
      </c>
      <c r="I1479" s="1">
        <v>150533</v>
      </c>
      <c r="J1479" s="1">
        <f>Raw_Data!$I1479/Raw_Data!$H1479</f>
        <v>49.097521200260928</v>
      </c>
    </row>
    <row r="1480" spans="1:10" x14ac:dyDescent="0.3">
      <c r="A1480" s="9">
        <v>37157</v>
      </c>
      <c r="B1480" s="2" t="str">
        <f>TEXT(Raw_Data!$A1480, "MMM")</f>
        <v>Sep</v>
      </c>
      <c r="C1480" s="2">
        <f>YEAR(Raw_Data!$A1480)</f>
        <v>2001</v>
      </c>
      <c r="D1480" s="2" t="s">
        <v>1285</v>
      </c>
      <c r="E1480" s="2" t="s">
        <v>25</v>
      </c>
      <c r="F1480" s="2" t="s">
        <v>16</v>
      </c>
      <c r="G1480" s="2">
        <v>4</v>
      </c>
      <c r="H1480" s="2">
        <v>2479</v>
      </c>
      <c r="I1480" s="10">
        <v>591324</v>
      </c>
      <c r="J1480" s="10">
        <f>Raw_Data!$I1480/Raw_Data!$H1480</f>
        <v>238.53327954820492</v>
      </c>
    </row>
    <row r="1481" spans="1:10" x14ac:dyDescent="0.3">
      <c r="A1481" s="8">
        <v>42549</v>
      </c>
      <c r="B1481" t="str">
        <f>TEXT(Raw_Data!$A1481, "MMM")</f>
        <v>Jun</v>
      </c>
      <c r="C1481">
        <f>YEAR(Raw_Data!$A1481)</f>
        <v>2016</v>
      </c>
      <c r="D1481" t="s">
        <v>1286</v>
      </c>
      <c r="E1481" t="s">
        <v>13</v>
      </c>
      <c r="F1481" t="s">
        <v>18</v>
      </c>
      <c r="H1481">
        <v>2663</v>
      </c>
      <c r="I1481" s="1">
        <v>788602</v>
      </c>
      <c r="J1481" s="1">
        <f>Raw_Data!$I1481/Raw_Data!$H1481</f>
        <v>296.13293278257606</v>
      </c>
    </row>
    <row r="1482" spans="1:10" x14ac:dyDescent="0.3">
      <c r="A1482" s="9">
        <v>43474</v>
      </c>
      <c r="B1482" s="2" t="str">
        <f>TEXT(Raw_Data!$A1482, "MMM")</f>
        <v>Jan</v>
      </c>
      <c r="C1482" s="2">
        <f>YEAR(Raw_Data!$A1482)</f>
        <v>2019</v>
      </c>
      <c r="D1482" s="2" t="s">
        <v>1287</v>
      </c>
      <c r="E1482" s="2" t="s">
        <v>15</v>
      </c>
      <c r="F1482" s="2" t="s">
        <v>11</v>
      </c>
      <c r="G1482" s="2">
        <v>5</v>
      </c>
      <c r="H1482" s="2">
        <v>1713</v>
      </c>
      <c r="I1482" s="10">
        <v>798454</v>
      </c>
      <c r="J1482" s="10">
        <f>Raw_Data!$I1482/Raw_Data!$H1482</f>
        <v>466.11441914769409</v>
      </c>
    </row>
    <row r="1483" spans="1:10" x14ac:dyDescent="0.3">
      <c r="A1483" s="8">
        <v>40331</v>
      </c>
      <c r="B1483" t="str">
        <f>TEXT(Raw_Data!$A1483, "MMM")</f>
        <v>Jun</v>
      </c>
      <c r="C1483">
        <f>YEAR(Raw_Data!$A1483)</f>
        <v>2010</v>
      </c>
      <c r="D1483" t="s">
        <v>1288</v>
      </c>
      <c r="E1483" t="s">
        <v>23</v>
      </c>
      <c r="F1483" t="s">
        <v>18</v>
      </c>
      <c r="H1483">
        <v>2184</v>
      </c>
      <c r="I1483" s="1">
        <v>268131</v>
      </c>
      <c r="J1483" s="1">
        <f>Raw_Data!$I1483/Raw_Data!$H1483</f>
        <v>122.77060439560439</v>
      </c>
    </row>
    <row r="1484" spans="1:10" x14ac:dyDescent="0.3">
      <c r="A1484" s="9">
        <v>42008</v>
      </c>
      <c r="B1484" s="2" t="str">
        <f>TEXT(Raw_Data!$A1484, "MMM")</f>
        <v>Jan</v>
      </c>
      <c r="C1484" s="2">
        <f>YEAR(Raw_Data!$A1484)</f>
        <v>2015</v>
      </c>
      <c r="D1484" s="2" t="s">
        <v>1289</v>
      </c>
      <c r="E1484" s="2" t="s">
        <v>15</v>
      </c>
      <c r="F1484" s="2" t="s">
        <v>16</v>
      </c>
      <c r="G1484" s="2"/>
      <c r="H1484" s="2">
        <v>2759</v>
      </c>
      <c r="I1484" s="10">
        <v>555418</v>
      </c>
      <c r="J1484" s="10">
        <f>Raw_Data!$I1484/Raw_Data!$H1484</f>
        <v>201.3113446901051</v>
      </c>
    </row>
    <row r="1485" spans="1:10" x14ac:dyDescent="0.3">
      <c r="A1485" s="8">
        <v>43453</v>
      </c>
      <c r="B1485" t="str">
        <f>TEXT(Raw_Data!$A1485, "MMM")</f>
        <v>Dec</v>
      </c>
      <c r="C1485">
        <f>YEAR(Raw_Data!$A1485)</f>
        <v>2018</v>
      </c>
      <c r="D1485" t="s">
        <v>1290</v>
      </c>
      <c r="E1485" t="s">
        <v>32</v>
      </c>
      <c r="F1485" t="s">
        <v>11</v>
      </c>
      <c r="H1485">
        <v>2583</v>
      </c>
      <c r="I1485" s="1">
        <v>611293</v>
      </c>
      <c r="J1485" s="1">
        <f>Raw_Data!$I1485/Raw_Data!$H1485</f>
        <v>236.6600851722803</v>
      </c>
    </row>
    <row r="1486" spans="1:10" x14ac:dyDescent="0.3">
      <c r="A1486" s="9">
        <v>38756</v>
      </c>
      <c r="B1486" s="2" t="str">
        <f>TEXT(Raw_Data!$A1486, "MMM")</f>
        <v>Feb</v>
      </c>
      <c r="C1486" s="2">
        <f>YEAR(Raw_Data!$A1486)</f>
        <v>2006</v>
      </c>
      <c r="D1486" s="2" t="s">
        <v>1291</v>
      </c>
      <c r="E1486" s="2" t="s">
        <v>32</v>
      </c>
      <c r="F1486" s="2" t="s">
        <v>11</v>
      </c>
      <c r="G1486" s="2">
        <v>3</v>
      </c>
      <c r="H1486" s="2">
        <v>3330</v>
      </c>
      <c r="I1486" s="10">
        <v>768259</v>
      </c>
      <c r="J1486" s="10">
        <f>Raw_Data!$I1486/Raw_Data!$H1486</f>
        <v>230.70840840840842</v>
      </c>
    </row>
    <row r="1487" spans="1:10" x14ac:dyDescent="0.3">
      <c r="A1487" s="8">
        <v>41803</v>
      </c>
      <c r="B1487" t="str">
        <f>TEXT(Raw_Data!$A1487, "MMM")</f>
        <v>Jun</v>
      </c>
      <c r="C1487">
        <f>YEAR(Raw_Data!$A1487)</f>
        <v>2014</v>
      </c>
      <c r="D1487" t="s">
        <v>1292</v>
      </c>
      <c r="E1487" t="s">
        <v>15</v>
      </c>
      <c r="F1487" t="s">
        <v>18</v>
      </c>
      <c r="H1487">
        <v>1549</v>
      </c>
      <c r="I1487" s="1">
        <v>373367</v>
      </c>
      <c r="J1487" s="1">
        <f>Raw_Data!$I1487/Raw_Data!$H1487</f>
        <v>241.0374435119432</v>
      </c>
    </row>
    <row r="1488" spans="1:10" x14ac:dyDescent="0.3">
      <c r="A1488" s="9">
        <v>39345</v>
      </c>
      <c r="B1488" s="2" t="str">
        <f>TEXT(Raw_Data!$A1488, "MMM")</f>
        <v>Sep</v>
      </c>
      <c r="C1488" s="2">
        <f>YEAR(Raw_Data!$A1488)</f>
        <v>2007</v>
      </c>
      <c r="D1488" s="2" t="s">
        <v>309</v>
      </c>
      <c r="E1488" s="2" t="s">
        <v>21</v>
      </c>
      <c r="F1488" s="2" t="s">
        <v>16</v>
      </c>
      <c r="G1488" s="2"/>
      <c r="H1488" s="2">
        <v>1084</v>
      </c>
      <c r="I1488" s="10">
        <v>757915</v>
      </c>
      <c r="J1488" s="10">
        <f>Raw_Data!$I1488/Raw_Data!$H1488</f>
        <v>699.18357933579341</v>
      </c>
    </row>
    <row r="1489" spans="1:10" x14ac:dyDescent="0.3">
      <c r="A1489" s="8">
        <v>42495</v>
      </c>
      <c r="B1489" t="str">
        <f>TEXT(Raw_Data!$A1489, "MMM")</f>
        <v>May</v>
      </c>
      <c r="C1489">
        <f>YEAR(Raw_Data!$A1489)</f>
        <v>2016</v>
      </c>
      <c r="D1489" t="s">
        <v>1159</v>
      </c>
      <c r="E1489" t="s">
        <v>15</v>
      </c>
      <c r="F1489" t="s">
        <v>16</v>
      </c>
      <c r="G1489">
        <v>3</v>
      </c>
      <c r="H1489">
        <v>1486</v>
      </c>
      <c r="I1489" s="1">
        <v>293792</v>
      </c>
      <c r="J1489" s="1">
        <f>Raw_Data!$I1489/Raw_Data!$H1489</f>
        <v>197.70659488559892</v>
      </c>
    </row>
    <row r="1490" spans="1:10" x14ac:dyDescent="0.3">
      <c r="A1490" s="9">
        <v>39409</v>
      </c>
      <c r="B1490" s="2" t="str">
        <f>TEXT(Raw_Data!$A1490, "MMM")</f>
        <v>Nov</v>
      </c>
      <c r="C1490" s="2">
        <f>YEAR(Raw_Data!$A1490)</f>
        <v>2007</v>
      </c>
      <c r="D1490" s="2" t="s">
        <v>1285</v>
      </c>
      <c r="E1490" s="2" t="s">
        <v>25</v>
      </c>
      <c r="F1490" s="2" t="s">
        <v>16</v>
      </c>
      <c r="G1490" s="2"/>
      <c r="H1490" s="2">
        <v>3034</v>
      </c>
      <c r="I1490" s="10">
        <v>632112</v>
      </c>
      <c r="J1490" s="10">
        <f>Raw_Data!$I1490/Raw_Data!$H1490</f>
        <v>208.34278180619643</v>
      </c>
    </row>
    <row r="1491" spans="1:10" x14ac:dyDescent="0.3">
      <c r="A1491" s="8">
        <v>42786</v>
      </c>
      <c r="B1491" t="str">
        <f>TEXT(Raw_Data!$A1491, "MMM")</f>
        <v>Feb</v>
      </c>
      <c r="C1491">
        <f>YEAR(Raw_Data!$A1491)</f>
        <v>2017</v>
      </c>
      <c r="D1491" t="s">
        <v>1293</v>
      </c>
      <c r="E1491" t="s">
        <v>13</v>
      </c>
      <c r="F1491" t="s">
        <v>11</v>
      </c>
      <c r="G1491">
        <v>2</v>
      </c>
      <c r="H1491">
        <v>2237</v>
      </c>
      <c r="I1491" s="1">
        <v>454427</v>
      </c>
      <c r="J1491" s="1">
        <f>Raw_Data!$I1491/Raw_Data!$H1491</f>
        <v>203.14126061689763</v>
      </c>
    </row>
    <row r="1492" spans="1:10" x14ac:dyDescent="0.3">
      <c r="A1492" s="9">
        <v>41419</v>
      </c>
      <c r="B1492" s="2" t="str">
        <f>TEXT(Raw_Data!$A1492, "MMM")</f>
        <v>May</v>
      </c>
      <c r="C1492" s="2">
        <f>YEAR(Raw_Data!$A1492)</f>
        <v>2013</v>
      </c>
      <c r="D1492" s="2" t="s">
        <v>1294</v>
      </c>
      <c r="E1492" s="2" t="s">
        <v>32</v>
      </c>
      <c r="F1492" s="2" t="s">
        <v>16</v>
      </c>
      <c r="G1492" s="2">
        <v>3</v>
      </c>
      <c r="H1492" s="2">
        <v>1236</v>
      </c>
      <c r="I1492" s="10">
        <v>289713</v>
      </c>
      <c r="J1492" s="10">
        <f>Raw_Data!$I1492/Raw_Data!$H1492</f>
        <v>234.39563106796118</v>
      </c>
    </row>
    <row r="1493" spans="1:10" x14ac:dyDescent="0.3">
      <c r="A1493" s="8">
        <v>40123</v>
      </c>
      <c r="B1493" t="str">
        <f>TEXT(Raw_Data!$A1493, "MMM")</f>
        <v>Nov</v>
      </c>
      <c r="C1493">
        <f>YEAR(Raw_Data!$A1493)</f>
        <v>2009</v>
      </c>
      <c r="D1493" t="s">
        <v>1295</v>
      </c>
      <c r="E1493" t="s">
        <v>32</v>
      </c>
      <c r="F1493" t="s">
        <v>16</v>
      </c>
      <c r="G1493">
        <v>4</v>
      </c>
      <c r="H1493">
        <v>2133</v>
      </c>
      <c r="I1493" s="1">
        <v>729623</v>
      </c>
      <c r="J1493" s="1">
        <f>Raw_Data!$I1493/Raw_Data!$H1493</f>
        <v>342.06422878574779</v>
      </c>
    </row>
    <row r="1494" spans="1:10" x14ac:dyDescent="0.3">
      <c r="A1494" s="9">
        <v>41290</v>
      </c>
      <c r="B1494" s="2" t="str">
        <f>TEXT(Raw_Data!$A1494, "MMM")</f>
        <v>Jan</v>
      </c>
      <c r="C1494" s="2">
        <f>YEAR(Raw_Data!$A1494)</f>
        <v>2013</v>
      </c>
      <c r="D1494" s="2" t="s">
        <v>405</v>
      </c>
      <c r="E1494" s="2" t="s">
        <v>25</v>
      </c>
      <c r="F1494" s="2" t="s">
        <v>27</v>
      </c>
      <c r="G1494" s="2"/>
      <c r="H1494" s="2">
        <v>2948</v>
      </c>
      <c r="I1494" s="10">
        <v>239950</v>
      </c>
      <c r="J1494" s="10">
        <f>Raw_Data!$I1494/Raw_Data!$H1494</f>
        <v>81.394165535956574</v>
      </c>
    </row>
    <row r="1495" spans="1:10" x14ac:dyDescent="0.3">
      <c r="A1495" s="8">
        <v>43107</v>
      </c>
      <c r="B1495" t="str">
        <f>TEXT(Raw_Data!$A1495, "MMM")</f>
        <v>Jan</v>
      </c>
      <c r="C1495">
        <f>YEAR(Raw_Data!$A1495)</f>
        <v>2018</v>
      </c>
      <c r="D1495" t="s">
        <v>1296</v>
      </c>
      <c r="E1495" t="s">
        <v>25</v>
      </c>
      <c r="F1495" t="s">
        <v>11</v>
      </c>
      <c r="H1495">
        <v>2623</v>
      </c>
      <c r="I1495" s="1">
        <v>153041</v>
      </c>
      <c r="J1495" s="1">
        <f>Raw_Data!$I1495/Raw_Data!$H1495</f>
        <v>58.345787266488756</v>
      </c>
    </row>
    <row r="1496" spans="1:10" x14ac:dyDescent="0.3">
      <c r="A1496" s="9">
        <v>40314</v>
      </c>
      <c r="B1496" s="2" t="str">
        <f>TEXT(Raw_Data!$A1496, "MMM")</f>
        <v>May</v>
      </c>
      <c r="C1496" s="2">
        <f>YEAR(Raw_Data!$A1496)</f>
        <v>2010</v>
      </c>
      <c r="D1496" s="2" t="s">
        <v>852</v>
      </c>
      <c r="E1496" s="2" t="s">
        <v>21</v>
      </c>
      <c r="F1496" s="2" t="s">
        <v>16</v>
      </c>
      <c r="G1496" s="2">
        <v>4</v>
      </c>
      <c r="H1496" s="2">
        <v>2263</v>
      </c>
      <c r="I1496" s="10">
        <v>424741</v>
      </c>
      <c r="J1496" s="10">
        <f>Raw_Data!$I1496/Raw_Data!$H1496</f>
        <v>187.68935041979674</v>
      </c>
    </row>
    <row r="1497" spans="1:10" x14ac:dyDescent="0.3">
      <c r="A1497" s="8">
        <v>41350</v>
      </c>
      <c r="B1497" t="str">
        <f>TEXT(Raw_Data!$A1497, "MMM")</f>
        <v>Mar</v>
      </c>
      <c r="C1497">
        <f>YEAR(Raw_Data!$A1497)</f>
        <v>2013</v>
      </c>
      <c r="D1497" t="s">
        <v>1297</v>
      </c>
      <c r="E1497" t="s">
        <v>13</v>
      </c>
      <c r="F1497" t="s">
        <v>18</v>
      </c>
      <c r="G1497">
        <v>4</v>
      </c>
      <c r="H1497">
        <v>1872</v>
      </c>
      <c r="I1497" s="1">
        <v>303523</v>
      </c>
      <c r="J1497" s="1">
        <f>Raw_Data!$I1497/Raw_Data!$H1497</f>
        <v>162.13835470085471</v>
      </c>
    </row>
    <row r="1498" spans="1:10" x14ac:dyDescent="0.3">
      <c r="A1498" s="9">
        <v>37963</v>
      </c>
      <c r="B1498" s="2" t="str">
        <f>TEXT(Raw_Data!$A1498, "MMM")</f>
        <v>Dec</v>
      </c>
      <c r="C1498" s="2">
        <f>YEAR(Raw_Data!$A1498)</f>
        <v>2003</v>
      </c>
      <c r="D1498" s="2" t="s">
        <v>1298</v>
      </c>
      <c r="E1498" s="2" t="s">
        <v>29</v>
      </c>
      <c r="F1498" s="2" t="s">
        <v>16</v>
      </c>
      <c r="G1498" s="2">
        <v>2</v>
      </c>
      <c r="H1498" s="2">
        <v>1490</v>
      </c>
      <c r="I1498" s="10">
        <v>478828</v>
      </c>
      <c r="J1498" s="10">
        <f>Raw_Data!$I1498/Raw_Data!$H1498</f>
        <v>321.36107382550335</v>
      </c>
    </row>
    <row r="1499" spans="1:10" x14ac:dyDescent="0.3">
      <c r="A1499" s="8">
        <v>43172</v>
      </c>
      <c r="B1499" t="str">
        <f>TEXT(Raw_Data!$A1499, "MMM")</f>
        <v>Mar</v>
      </c>
      <c r="C1499">
        <f>YEAR(Raw_Data!$A1499)</f>
        <v>2018</v>
      </c>
      <c r="D1499" t="s">
        <v>1299</v>
      </c>
      <c r="E1499" t="s">
        <v>32</v>
      </c>
      <c r="F1499" t="s">
        <v>27</v>
      </c>
      <c r="G1499">
        <v>3</v>
      </c>
      <c r="H1499">
        <v>1500</v>
      </c>
      <c r="I1499" s="1">
        <v>894758</v>
      </c>
      <c r="J1499" s="1">
        <f>Raw_Data!$I1499/Raw_Data!$H1499</f>
        <v>596.50533333333328</v>
      </c>
    </row>
    <row r="1500" spans="1:10" x14ac:dyDescent="0.3">
      <c r="A1500" s="9">
        <v>37042</v>
      </c>
      <c r="B1500" s="2" t="str">
        <f>TEXT(Raw_Data!$A1500, "MMM")</f>
        <v>May</v>
      </c>
      <c r="C1500" s="2">
        <f>YEAR(Raw_Data!$A1500)</f>
        <v>2001</v>
      </c>
      <c r="D1500" s="2" t="s">
        <v>1300</v>
      </c>
      <c r="E1500" s="2" t="s">
        <v>32</v>
      </c>
      <c r="F1500" s="2" t="s">
        <v>27</v>
      </c>
      <c r="G1500" s="2">
        <v>5</v>
      </c>
      <c r="H1500" s="2">
        <v>3347</v>
      </c>
      <c r="I1500" s="10">
        <v>741817</v>
      </c>
      <c r="J1500" s="10">
        <f>Raw_Data!$I1500/Raw_Data!$H1500</f>
        <v>221.63639079772932</v>
      </c>
    </row>
    <row r="1501" spans="1:10" x14ac:dyDescent="0.3">
      <c r="A1501" s="8">
        <v>42311</v>
      </c>
      <c r="B1501" t="str">
        <f>TEXT(Raw_Data!$A1501, "MMM")</f>
        <v>Nov</v>
      </c>
      <c r="C1501">
        <f>YEAR(Raw_Data!$A1501)</f>
        <v>2015</v>
      </c>
      <c r="D1501" t="s">
        <v>1301</v>
      </c>
      <c r="E1501" t="s">
        <v>23</v>
      </c>
      <c r="F1501" t="s">
        <v>18</v>
      </c>
      <c r="G1501">
        <v>4</v>
      </c>
      <c r="H1501">
        <v>1644</v>
      </c>
      <c r="I1501" s="1">
        <v>174013</v>
      </c>
      <c r="J1501" s="1">
        <f>Raw_Data!$I1501/Raw_Data!$H1501</f>
        <v>105.84732360097324</v>
      </c>
    </row>
    <row r="1502" spans="1:10" x14ac:dyDescent="0.3">
      <c r="A1502" s="9">
        <v>43072</v>
      </c>
      <c r="B1502" s="2" t="str">
        <f>TEXT(Raw_Data!$A1502, "MMM")</f>
        <v>Dec</v>
      </c>
      <c r="C1502" s="2">
        <f>YEAR(Raw_Data!$A1502)</f>
        <v>2017</v>
      </c>
      <c r="D1502" s="2" t="s">
        <v>1302</v>
      </c>
      <c r="E1502" s="2" t="s">
        <v>15</v>
      </c>
      <c r="F1502" s="2" t="s">
        <v>27</v>
      </c>
      <c r="G1502" s="2"/>
      <c r="H1502" s="2">
        <v>3128</v>
      </c>
      <c r="I1502" s="10">
        <v>277808</v>
      </c>
      <c r="J1502" s="10">
        <f>Raw_Data!$I1502/Raw_Data!$H1502</f>
        <v>88.813299232736568</v>
      </c>
    </row>
    <row r="1503" spans="1:10" x14ac:dyDescent="0.3">
      <c r="A1503" s="8">
        <v>41049</v>
      </c>
      <c r="B1503" t="str">
        <f>TEXT(Raw_Data!$A1503, "MMM")</f>
        <v>May</v>
      </c>
      <c r="C1503">
        <f>YEAR(Raw_Data!$A1503)</f>
        <v>2012</v>
      </c>
      <c r="D1503" t="s">
        <v>1303</v>
      </c>
      <c r="E1503" t="s">
        <v>29</v>
      </c>
      <c r="F1503" t="s">
        <v>18</v>
      </c>
      <c r="G1503">
        <v>5</v>
      </c>
      <c r="H1503">
        <v>3242</v>
      </c>
      <c r="I1503" s="1">
        <v>375778</v>
      </c>
      <c r="J1503" s="1">
        <f>Raw_Data!$I1503/Raw_Data!$H1503</f>
        <v>115.90931523750771</v>
      </c>
    </row>
    <row r="1504" spans="1:10" x14ac:dyDescent="0.3">
      <c r="A1504" s="9">
        <v>37014</v>
      </c>
      <c r="B1504" s="2" t="str">
        <f>TEXT(Raw_Data!$A1504, "MMM")</f>
        <v>May</v>
      </c>
      <c r="C1504" s="2">
        <f>YEAR(Raw_Data!$A1504)</f>
        <v>2001</v>
      </c>
      <c r="D1504" s="2" t="s">
        <v>106</v>
      </c>
      <c r="E1504" s="2" t="s">
        <v>29</v>
      </c>
      <c r="F1504" s="2" t="s">
        <v>18</v>
      </c>
      <c r="G1504" s="2">
        <v>2</v>
      </c>
      <c r="H1504" s="2">
        <v>1474</v>
      </c>
      <c r="I1504" s="10">
        <v>315613</v>
      </c>
      <c r="J1504" s="10">
        <f>Raw_Data!$I1504/Raw_Data!$H1504</f>
        <v>214.12008141112619</v>
      </c>
    </row>
    <row r="1505" spans="1:10" x14ac:dyDescent="0.3">
      <c r="A1505" s="8">
        <v>40838</v>
      </c>
      <c r="B1505" t="str">
        <f>TEXT(Raw_Data!$A1505, "MMM")</f>
        <v>Oct</v>
      </c>
      <c r="C1505">
        <f>YEAR(Raw_Data!$A1505)</f>
        <v>2011</v>
      </c>
      <c r="D1505" t="s">
        <v>100</v>
      </c>
      <c r="E1505" t="s">
        <v>23</v>
      </c>
      <c r="F1505" t="s">
        <v>27</v>
      </c>
      <c r="G1505">
        <v>2</v>
      </c>
      <c r="H1505">
        <v>2133</v>
      </c>
      <c r="I1505" s="1">
        <v>871826</v>
      </c>
      <c r="J1505" s="1">
        <f>Raw_Data!$I1505/Raw_Data!$H1505</f>
        <v>408.73230192217534</v>
      </c>
    </row>
    <row r="1506" spans="1:10" x14ac:dyDescent="0.3">
      <c r="A1506" s="9">
        <v>42084</v>
      </c>
      <c r="B1506" s="2" t="str">
        <f>TEXT(Raw_Data!$A1506, "MMM")</f>
        <v>Mar</v>
      </c>
      <c r="C1506" s="2">
        <f>YEAR(Raw_Data!$A1506)</f>
        <v>2015</v>
      </c>
      <c r="D1506" s="2" t="s">
        <v>1304</v>
      </c>
      <c r="E1506" s="2" t="s">
        <v>25</v>
      </c>
      <c r="F1506" s="2" t="s">
        <v>11</v>
      </c>
      <c r="G1506" s="2"/>
      <c r="H1506" s="2">
        <v>1486</v>
      </c>
      <c r="I1506" s="10">
        <v>857347</v>
      </c>
      <c r="J1506" s="10">
        <f>Raw_Data!$I1506/Raw_Data!$H1506</f>
        <v>576.94952893674292</v>
      </c>
    </row>
    <row r="1507" spans="1:10" x14ac:dyDescent="0.3">
      <c r="A1507" s="8">
        <v>37064</v>
      </c>
      <c r="B1507" t="str">
        <f>TEXT(Raw_Data!$A1507, "MMM")</f>
        <v>Jun</v>
      </c>
      <c r="C1507">
        <f>YEAR(Raw_Data!$A1507)</f>
        <v>2001</v>
      </c>
      <c r="D1507" t="s">
        <v>1305</v>
      </c>
      <c r="E1507" t="s">
        <v>32</v>
      </c>
      <c r="F1507" t="s">
        <v>16</v>
      </c>
      <c r="G1507">
        <v>2</v>
      </c>
      <c r="H1507">
        <v>3188</v>
      </c>
      <c r="I1507" s="1">
        <v>535960</v>
      </c>
      <c r="J1507" s="1">
        <f>Raw_Data!$I1507/Raw_Data!$H1507</f>
        <v>168.11794228356337</v>
      </c>
    </row>
    <row r="1508" spans="1:10" x14ac:dyDescent="0.3">
      <c r="A1508" s="9">
        <v>38204</v>
      </c>
      <c r="B1508" s="2" t="str">
        <f>TEXT(Raw_Data!$A1508, "MMM")</f>
        <v>Aug</v>
      </c>
      <c r="C1508" s="2">
        <f>YEAR(Raw_Data!$A1508)</f>
        <v>2004</v>
      </c>
      <c r="D1508" s="2" t="s">
        <v>824</v>
      </c>
      <c r="E1508" s="2" t="s">
        <v>15</v>
      </c>
      <c r="F1508" s="2" t="s">
        <v>11</v>
      </c>
      <c r="G1508" s="2">
        <v>5</v>
      </c>
      <c r="H1508" s="2">
        <v>1435</v>
      </c>
      <c r="I1508" s="10">
        <v>430412</v>
      </c>
      <c r="J1508" s="10">
        <f>Raw_Data!$I1508/Raw_Data!$H1508</f>
        <v>299.93867595818813</v>
      </c>
    </row>
    <row r="1509" spans="1:10" x14ac:dyDescent="0.3">
      <c r="A1509" s="8">
        <v>42334</v>
      </c>
      <c r="B1509" t="str">
        <f>TEXT(Raw_Data!$A1509, "MMM")</f>
        <v>Nov</v>
      </c>
      <c r="C1509">
        <f>YEAR(Raw_Data!$A1509)</f>
        <v>2015</v>
      </c>
      <c r="D1509" t="s">
        <v>1306</v>
      </c>
      <c r="E1509" t="s">
        <v>29</v>
      </c>
      <c r="F1509" t="s">
        <v>18</v>
      </c>
      <c r="G1509">
        <v>2</v>
      </c>
      <c r="H1509">
        <v>2151</v>
      </c>
      <c r="I1509" s="1">
        <v>776314</v>
      </c>
      <c r="J1509" s="1">
        <f>Raw_Data!$I1509/Raw_Data!$H1509</f>
        <v>360.90841469084148</v>
      </c>
    </row>
    <row r="1510" spans="1:10" x14ac:dyDescent="0.3">
      <c r="A1510" s="9">
        <v>37107</v>
      </c>
      <c r="B1510" s="2" t="str">
        <f>TEXT(Raw_Data!$A1510, "MMM")</f>
        <v>Aug</v>
      </c>
      <c r="C1510" s="2">
        <f>YEAR(Raw_Data!$A1510)</f>
        <v>2001</v>
      </c>
      <c r="D1510" s="2" t="s">
        <v>1307</v>
      </c>
      <c r="E1510" s="2" t="s">
        <v>15</v>
      </c>
      <c r="F1510" s="2" t="s">
        <v>16</v>
      </c>
      <c r="G1510" s="2">
        <v>2</v>
      </c>
      <c r="H1510" s="2">
        <v>2285</v>
      </c>
      <c r="I1510" s="10">
        <v>626493</v>
      </c>
      <c r="J1510" s="10">
        <f>Raw_Data!$I1510/Raw_Data!$H1510</f>
        <v>274.17636761487967</v>
      </c>
    </row>
    <row r="1511" spans="1:10" x14ac:dyDescent="0.3">
      <c r="A1511" s="8">
        <v>40858</v>
      </c>
      <c r="B1511" t="str">
        <f>TEXT(Raw_Data!$A1511, "MMM")</f>
        <v>Nov</v>
      </c>
      <c r="C1511">
        <f>YEAR(Raw_Data!$A1511)</f>
        <v>2011</v>
      </c>
      <c r="D1511" t="s">
        <v>1308</v>
      </c>
      <c r="E1511" t="s">
        <v>23</v>
      </c>
      <c r="F1511" t="s">
        <v>18</v>
      </c>
      <c r="G1511">
        <v>4</v>
      </c>
      <c r="H1511">
        <v>1694</v>
      </c>
      <c r="I1511" s="1">
        <v>725206</v>
      </c>
      <c r="J1511" s="1">
        <f>Raw_Data!$I1511/Raw_Data!$H1511</f>
        <v>428.10271546635181</v>
      </c>
    </row>
    <row r="1512" spans="1:10" x14ac:dyDescent="0.3">
      <c r="A1512" s="9">
        <v>36941</v>
      </c>
      <c r="B1512" s="2" t="str">
        <f>TEXT(Raw_Data!$A1512, "MMM")</f>
        <v>Feb</v>
      </c>
      <c r="C1512" s="2">
        <f>YEAR(Raw_Data!$A1512)</f>
        <v>2001</v>
      </c>
      <c r="D1512" s="2" t="s">
        <v>1309</v>
      </c>
      <c r="E1512" s="2" t="s">
        <v>23</v>
      </c>
      <c r="F1512" s="2" t="s">
        <v>27</v>
      </c>
      <c r="G1512" s="2">
        <v>5</v>
      </c>
      <c r="H1512" s="2">
        <v>2327</v>
      </c>
      <c r="I1512" s="10">
        <v>801480</v>
      </c>
      <c r="J1512" s="10">
        <f>Raw_Data!$I1512/Raw_Data!$H1512</f>
        <v>344.42629995702623</v>
      </c>
    </row>
    <row r="1513" spans="1:10" x14ac:dyDescent="0.3">
      <c r="A1513" s="8">
        <v>43047</v>
      </c>
      <c r="B1513" t="str">
        <f>TEXT(Raw_Data!$A1513, "MMM")</f>
        <v>Nov</v>
      </c>
      <c r="C1513">
        <f>YEAR(Raw_Data!$A1513)</f>
        <v>2017</v>
      </c>
      <c r="D1513" t="s">
        <v>1310</v>
      </c>
      <c r="E1513" t="s">
        <v>25</v>
      </c>
      <c r="F1513" t="s">
        <v>27</v>
      </c>
      <c r="G1513">
        <v>4</v>
      </c>
      <c r="H1513">
        <v>3037</v>
      </c>
      <c r="I1513" s="1">
        <v>611292</v>
      </c>
      <c r="J1513" s="1">
        <f>Raw_Data!$I1513/Raw_Data!$H1513</f>
        <v>201.28152782351003</v>
      </c>
    </row>
    <row r="1514" spans="1:10" x14ac:dyDescent="0.3">
      <c r="A1514" s="9">
        <v>41596</v>
      </c>
      <c r="B1514" s="2" t="str">
        <f>TEXT(Raw_Data!$A1514, "MMM")</f>
        <v>Nov</v>
      </c>
      <c r="C1514" s="2">
        <f>YEAR(Raw_Data!$A1514)</f>
        <v>2013</v>
      </c>
      <c r="D1514" s="2" t="s">
        <v>408</v>
      </c>
      <c r="E1514" s="2" t="s">
        <v>32</v>
      </c>
      <c r="F1514" s="2" t="s">
        <v>11</v>
      </c>
      <c r="G1514" s="2"/>
      <c r="H1514" s="2">
        <v>1476</v>
      </c>
      <c r="I1514" s="10">
        <v>350036</v>
      </c>
      <c r="J1514" s="10">
        <f>Raw_Data!$I1514/Raw_Data!$H1514</f>
        <v>237.15176151761517</v>
      </c>
    </row>
    <row r="1515" spans="1:10" x14ac:dyDescent="0.3">
      <c r="A1515" s="8">
        <v>43741</v>
      </c>
      <c r="B1515" t="str">
        <f>TEXT(Raw_Data!$A1515, "MMM")</f>
        <v>Oct</v>
      </c>
      <c r="C1515">
        <f>YEAR(Raw_Data!$A1515)</f>
        <v>2019</v>
      </c>
      <c r="D1515" t="s">
        <v>217</v>
      </c>
      <c r="E1515" t="s">
        <v>15</v>
      </c>
      <c r="F1515" t="s">
        <v>16</v>
      </c>
      <c r="G1515">
        <v>3</v>
      </c>
      <c r="H1515">
        <v>1828</v>
      </c>
      <c r="I1515" s="1">
        <v>346863</v>
      </c>
      <c r="J1515" s="1">
        <f>Raw_Data!$I1515/Raw_Data!$H1515</f>
        <v>189.75</v>
      </c>
    </row>
    <row r="1516" spans="1:10" x14ac:dyDescent="0.3">
      <c r="A1516" s="9">
        <v>39802</v>
      </c>
      <c r="B1516" s="2" t="str">
        <f>TEXT(Raw_Data!$A1516, "MMM")</f>
        <v>Dec</v>
      </c>
      <c r="C1516" s="2">
        <f>YEAR(Raw_Data!$A1516)</f>
        <v>2008</v>
      </c>
      <c r="D1516" s="2" t="s">
        <v>1311</v>
      </c>
      <c r="E1516" s="2" t="s">
        <v>25</v>
      </c>
      <c r="F1516" s="2" t="s">
        <v>27</v>
      </c>
      <c r="G1516" s="2">
        <v>5</v>
      </c>
      <c r="H1516" s="2">
        <v>1383</v>
      </c>
      <c r="I1516" s="10">
        <v>583285</v>
      </c>
      <c r="J1516" s="10">
        <f>Raw_Data!$I1516/Raw_Data!$H1516</f>
        <v>421.75343456254518</v>
      </c>
    </row>
    <row r="1517" spans="1:10" x14ac:dyDescent="0.3">
      <c r="A1517" s="8">
        <v>40714</v>
      </c>
      <c r="B1517" t="str">
        <f>TEXT(Raw_Data!$A1517, "MMM")</f>
        <v>Jun</v>
      </c>
      <c r="C1517">
        <f>YEAR(Raw_Data!$A1517)</f>
        <v>2011</v>
      </c>
      <c r="D1517" t="s">
        <v>1312</v>
      </c>
      <c r="E1517" t="s">
        <v>13</v>
      </c>
      <c r="F1517" t="s">
        <v>16</v>
      </c>
      <c r="G1517">
        <v>5</v>
      </c>
      <c r="H1517">
        <v>2471</v>
      </c>
      <c r="I1517" s="1">
        <v>596887</v>
      </c>
      <c r="J1517" s="1">
        <f>Raw_Data!$I1517/Raw_Data!$H1517</f>
        <v>241.55685957102386</v>
      </c>
    </row>
    <row r="1518" spans="1:10" x14ac:dyDescent="0.3">
      <c r="A1518" s="9">
        <v>40034</v>
      </c>
      <c r="B1518" s="2" t="str">
        <f>TEXT(Raw_Data!$A1518, "MMM")</f>
        <v>Aug</v>
      </c>
      <c r="C1518" s="2">
        <f>YEAR(Raw_Data!$A1518)</f>
        <v>2009</v>
      </c>
      <c r="D1518" s="2" t="s">
        <v>160</v>
      </c>
      <c r="E1518" s="2" t="s">
        <v>13</v>
      </c>
      <c r="F1518" s="2" t="s">
        <v>27</v>
      </c>
      <c r="G1518" s="2"/>
      <c r="H1518" s="2">
        <v>2933</v>
      </c>
      <c r="I1518" s="10">
        <v>489476</v>
      </c>
      <c r="J1518" s="10">
        <f>Raw_Data!$I1518/Raw_Data!$H1518</f>
        <v>166.88578247528127</v>
      </c>
    </row>
    <row r="1519" spans="1:10" x14ac:dyDescent="0.3">
      <c r="A1519" s="8">
        <v>39913</v>
      </c>
      <c r="B1519" t="str">
        <f>TEXT(Raw_Data!$A1519, "MMM")</f>
        <v>Apr</v>
      </c>
      <c r="C1519">
        <f>YEAR(Raw_Data!$A1519)</f>
        <v>2009</v>
      </c>
      <c r="D1519" t="s">
        <v>1313</v>
      </c>
      <c r="E1519" t="s">
        <v>21</v>
      </c>
      <c r="F1519" t="s">
        <v>11</v>
      </c>
      <c r="G1519">
        <v>4</v>
      </c>
      <c r="H1519">
        <v>2676</v>
      </c>
      <c r="I1519" s="1">
        <v>402749</v>
      </c>
      <c r="J1519" s="1">
        <f>Raw_Data!$I1519/Raw_Data!$H1519</f>
        <v>150.50411061285502</v>
      </c>
    </row>
    <row r="1520" spans="1:10" x14ac:dyDescent="0.3">
      <c r="A1520" s="9">
        <v>42290</v>
      </c>
      <c r="B1520" s="2" t="str">
        <f>TEXT(Raw_Data!$A1520, "MMM")</f>
        <v>Oct</v>
      </c>
      <c r="C1520" s="2">
        <f>YEAR(Raw_Data!$A1520)</f>
        <v>2015</v>
      </c>
      <c r="D1520" s="2" t="s">
        <v>1314</v>
      </c>
      <c r="E1520" s="2" t="s">
        <v>15</v>
      </c>
      <c r="F1520" s="2" t="s">
        <v>11</v>
      </c>
      <c r="G1520" s="2"/>
      <c r="H1520" s="2">
        <v>2494</v>
      </c>
      <c r="I1520" s="10">
        <v>746956</v>
      </c>
      <c r="J1520" s="10">
        <f>Raw_Data!$I1520/Raw_Data!$H1520</f>
        <v>299.50120288692864</v>
      </c>
    </row>
    <row r="1521" spans="1:10" x14ac:dyDescent="0.3">
      <c r="A1521" s="8">
        <v>40284</v>
      </c>
      <c r="B1521" t="str">
        <f>TEXT(Raw_Data!$A1521, "MMM")</f>
        <v>Apr</v>
      </c>
      <c r="C1521">
        <f>YEAR(Raw_Data!$A1521)</f>
        <v>2010</v>
      </c>
      <c r="D1521" t="s">
        <v>1150</v>
      </c>
      <c r="E1521" t="s">
        <v>32</v>
      </c>
      <c r="F1521" t="s">
        <v>11</v>
      </c>
      <c r="G1521">
        <v>3</v>
      </c>
      <c r="H1521">
        <v>2803</v>
      </c>
      <c r="I1521" s="1">
        <v>164528</v>
      </c>
      <c r="J1521" s="1">
        <f>Raw_Data!$I1521/Raw_Data!$H1521</f>
        <v>58.697110239029612</v>
      </c>
    </row>
    <row r="1522" spans="1:10" x14ac:dyDescent="0.3">
      <c r="A1522" s="9">
        <v>42053</v>
      </c>
      <c r="B1522" s="2" t="str">
        <f>TEXT(Raw_Data!$A1522, "MMM")</f>
        <v>Feb</v>
      </c>
      <c r="C1522" s="2">
        <f>YEAR(Raw_Data!$A1522)</f>
        <v>2015</v>
      </c>
      <c r="D1522" s="2" t="s">
        <v>1315</v>
      </c>
      <c r="E1522" s="2" t="s">
        <v>21</v>
      </c>
      <c r="F1522" s="2" t="s">
        <v>16</v>
      </c>
      <c r="G1522" s="2">
        <v>4</v>
      </c>
      <c r="H1522" s="2">
        <v>3130</v>
      </c>
      <c r="I1522" s="10">
        <v>332531</v>
      </c>
      <c r="J1522" s="10">
        <f>Raw_Data!$I1522/Raw_Data!$H1522</f>
        <v>106.23993610223643</v>
      </c>
    </row>
    <row r="1523" spans="1:10" x14ac:dyDescent="0.3">
      <c r="A1523" s="8">
        <v>38598</v>
      </c>
      <c r="B1523" t="str">
        <f>TEXT(Raw_Data!$A1523, "MMM")</f>
        <v>Sep</v>
      </c>
      <c r="C1523">
        <f>YEAR(Raw_Data!$A1523)</f>
        <v>2005</v>
      </c>
      <c r="D1523" t="s">
        <v>1316</v>
      </c>
      <c r="E1523" t="s">
        <v>15</v>
      </c>
      <c r="F1523" t="s">
        <v>11</v>
      </c>
      <c r="G1523">
        <v>2</v>
      </c>
      <c r="H1523">
        <v>2403</v>
      </c>
      <c r="I1523" s="1">
        <v>267906</v>
      </c>
      <c r="J1523" s="1">
        <f>Raw_Data!$I1523/Raw_Data!$H1523</f>
        <v>111.48813982521848</v>
      </c>
    </row>
    <row r="1524" spans="1:10" x14ac:dyDescent="0.3">
      <c r="A1524" s="9">
        <v>42333</v>
      </c>
      <c r="B1524" s="2" t="str">
        <f>TEXT(Raw_Data!$A1524, "MMM")</f>
        <v>Nov</v>
      </c>
      <c r="C1524" s="2">
        <f>YEAR(Raw_Data!$A1524)</f>
        <v>2015</v>
      </c>
      <c r="D1524" s="2" t="s">
        <v>1317</v>
      </c>
      <c r="E1524" s="2" t="s">
        <v>25</v>
      </c>
      <c r="F1524" s="2" t="s">
        <v>16</v>
      </c>
      <c r="G1524" s="2">
        <v>4</v>
      </c>
      <c r="H1524" s="2">
        <v>2575</v>
      </c>
      <c r="I1524" s="10">
        <v>762381</v>
      </c>
      <c r="J1524" s="10">
        <f>Raw_Data!$I1524/Raw_Data!$H1524</f>
        <v>296.07029126213592</v>
      </c>
    </row>
    <row r="1525" spans="1:10" x14ac:dyDescent="0.3">
      <c r="A1525" s="8">
        <v>37919</v>
      </c>
      <c r="B1525" t="str">
        <f>TEXT(Raw_Data!$A1525, "MMM")</f>
        <v>Oct</v>
      </c>
      <c r="C1525">
        <f>YEAR(Raw_Data!$A1525)</f>
        <v>2003</v>
      </c>
      <c r="D1525" t="s">
        <v>1318</v>
      </c>
      <c r="E1525" t="s">
        <v>29</v>
      </c>
      <c r="F1525" t="s">
        <v>18</v>
      </c>
      <c r="G1525">
        <v>2</v>
      </c>
      <c r="H1525">
        <v>1932</v>
      </c>
      <c r="I1525" s="1">
        <v>559198</v>
      </c>
      <c r="J1525" s="1">
        <f>Raw_Data!$I1525/Raw_Data!$H1525</f>
        <v>289.43995859213248</v>
      </c>
    </row>
    <row r="1526" spans="1:10" x14ac:dyDescent="0.3">
      <c r="A1526" s="9">
        <v>39454</v>
      </c>
      <c r="B1526" s="2" t="str">
        <f>TEXT(Raw_Data!$A1526, "MMM")</f>
        <v>Jan</v>
      </c>
      <c r="C1526" s="2">
        <f>YEAR(Raw_Data!$A1526)</f>
        <v>2008</v>
      </c>
      <c r="D1526" s="2" t="s">
        <v>1319</v>
      </c>
      <c r="E1526" s="2" t="s">
        <v>23</v>
      </c>
      <c r="F1526" s="2" t="s">
        <v>11</v>
      </c>
      <c r="G1526" s="2">
        <v>3</v>
      </c>
      <c r="H1526" s="2">
        <v>2000</v>
      </c>
      <c r="I1526" s="10">
        <v>442438</v>
      </c>
      <c r="J1526" s="10">
        <f>Raw_Data!$I1526/Raw_Data!$H1526</f>
        <v>221.21899999999999</v>
      </c>
    </row>
    <row r="1527" spans="1:10" x14ac:dyDescent="0.3">
      <c r="A1527" s="8">
        <v>44131</v>
      </c>
      <c r="B1527" t="str">
        <f>TEXT(Raw_Data!$A1527, "MMM")</f>
        <v>Oct</v>
      </c>
      <c r="C1527">
        <f>YEAR(Raw_Data!$A1527)</f>
        <v>2020</v>
      </c>
      <c r="D1527" t="s">
        <v>243</v>
      </c>
      <c r="E1527" t="s">
        <v>29</v>
      </c>
      <c r="F1527" t="s">
        <v>27</v>
      </c>
      <c r="G1527">
        <v>3</v>
      </c>
      <c r="H1527">
        <v>2784</v>
      </c>
      <c r="I1527" s="1">
        <v>585207</v>
      </c>
      <c r="J1527" s="1">
        <f>Raw_Data!$I1527/Raw_Data!$H1527</f>
        <v>210.20366379310346</v>
      </c>
    </row>
    <row r="1528" spans="1:10" x14ac:dyDescent="0.3">
      <c r="A1528" s="9">
        <v>41413</v>
      </c>
      <c r="B1528" s="2" t="str">
        <f>TEXT(Raw_Data!$A1528, "MMM")</f>
        <v>May</v>
      </c>
      <c r="C1528" s="2">
        <f>YEAR(Raw_Data!$A1528)</f>
        <v>2013</v>
      </c>
      <c r="D1528" s="2" t="s">
        <v>1128</v>
      </c>
      <c r="E1528" s="2" t="s">
        <v>25</v>
      </c>
      <c r="F1528" s="2" t="s">
        <v>16</v>
      </c>
      <c r="G1528" s="2">
        <v>4</v>
      </c>
      <c r="H1528" s="2">
        <v>2430</v>
      </c>
      <c r="I1528" s="10">
        <v>653998</v>
      </c>
      <c r="J1528" s="10">
        <f>Raw_Data!$I1528/Raw_Data!$H1528</f>
        <v>269.13497942386829</v>
      </c>
    </row>
    <row r="1529" spans="1:10" x14ac:dyDescent="0.3">
      <c r="A1529" s="8">
        <v>42056</v>
      </c>
      <c r="B1529" t="str">
        <f>TEXT(Raw_Data!$A1529, "MMM")</f>
        <v>Feb</v>
      </c>
      <c r="C1529">
        <f>YEAR(Raw_Data!$A1529)</f>
        <v>2015</v>
      </c>
      <c r="D1529" t="s">
        <v>221</v>
      </c>
      <c r="E1529" t="s">
        <v>32</v>
      </c>
      <c r="F1529" t="s">
        <v>18</v>
      </c>
      <c r="G1529">
        <v>5</v>
      </c>
      <c r="H1529">
        <v>1542</v>
      </c>
      <c r="I1529" s="1">
        <v>124397</v>
      </c>
      <c r="J1529" s="1">
        <f>Raw_Data!$I1529/Raw_Data!$H1529</f>
        <v>80.672503242542149</v>
      </c>
    </row>
    <row r="1530" spans="1:10" x14ac:dyDescent="0.3">
      <c r="A1530" s="9">
        <v>42937</v>
      </c>
      <c r="B1530" s="2" t="str">
        <f>TEXT(Raw_Data!$A1530, "MMM")</f>
        <v>Jul</v>
      </c>
      <c r="C1530" s="2">
        <f>YEAR(Raw_Data!$A1530)</f>
        <v>2017</v>
      </c>
      <c r="D1530" s="2" t="s">
        <v>1320</v>
      </c>
      <c r="E1530" s="2" t="s">
        <v>25</v>
      </c>
      <c r="F1530" s="2" t="s">
        <v>27</v>
      </c>
      <c r="G1530" s="2"/>
      <c r="H1530" s="2">
        <v>885</v>
      </c>
      <c r="I1530" s="10">
        <v>827075</v>
      </c>
      <c r="J1530" s="10">
        <f>Raw_Data!$I1530/Raw_Data!$H1530</f>
        <v>934.54802259887003</v>
      </c>
    </row>
    <row r="1531" spans="1:10" x14ac:dyDescent="0.3">
      <c r="A1531" s="8">
        <v>38439</v>
      </c>
      <c r="B1531" t="str">
        <f>TEXT(Raw_Data!$A1531, "MMM")</f>
        <v>Mar</v>
      </c>
      <c r="C1531">
        <f>YEAR(Raw_Data!$A1531)</f>
        <v>2005</v>
      </c>
      <c r="D1531" t="s">
        <v>1321</v>
      </c>
      <c r="E1531" t="s">
        <v>32</v>
      </c>
      <c r="F1531" t="s">
        <v>11</v>
      </c>
      <c r="H1531">
        <v>2987</v>
      </c>
      <c r="I1531" s="1">
        <v>581012</v>
      </c>
      <c r="J1531" s="1">
        <f>Raw_Data!$I1531/Raw_Data!$H1531</f>
        <v>194.51355875460328</v>
      </c>
    </row>
    <row r="1532" spans="1:10" x14ac:dyDescent="0.3">
      <c r="A1532" s="9">
        <v>40710</v>
      </c>
      <c r="B1532" s="2" t="str">
        <f>TEXT(Raw_Data!$A1532, "MMM")</f>
        <v>Jun</v>
      </c>
      <c r="C1532" s="2">
        <f>YEAR(Raw_Data!$A1532)</f>
        <v>2011</v>
      </c>
      <c r="D1532" s="2" t="s">
        <v>1322</v>
      </c>
      <c r="E1532" s="2" t="s">
        <v>21</v>
      </c>
      <c r="F1532" s="2" t="s">
        <v>11</v>
      </c>
      <c r="G1532" s="2">
        <v>3</v>
      </c>
      <c r="H1532" s="2">
        <v>2993</v>
      </c>
      <c r="I1532" s="10">
        <v>889468</v>
      </c>
      <c r="J1532" s="10">
        <f>Raw_Data!$I1532/Raw_Data!$H1532</f>
        <v>297.18275977280319</v>
      </c>
    </row>
    <row r="1533" spans="1:10" x14ac:dyDescent="0.3">
      <c r="A1533" s="8">
        <v>42261</v>
      </c>
      <c r="B1533" t="str">
        <f>TEXT(Raw_Data!$A1533, "MMM")</f>
        <v>Sep</v>
      </c>
      <c r="C1533">
        <f>YEAR(Raw_Data!$A1533)</f>
        <v>2015</v>
      </c>
      <c r="D1533" t="s">
        <v>1323</v>
      </c>
      <c r="E1533" t="s">
        <v>21</v>
      </c>
      <c r="F1533" t="s">
        <v>16</v>
      </c>
      <c r="G1533">
        <v>3</v>
      </c>
      <c r="H1533">
        <v>1937</v>
      </c>
      <c r="I1533" s="1">
        <v>500200</v>
      </c>
      <c r="J1533" s="1">
        <f>Raw_Data!$I1533/Raw_Data!$H1533</f>
        <v>258.23438306659784</v>
      </c>
    </row>
    <row r="1534" spans="1:10" x14ac:dyDescent="0.3">
      <c r="A1534" s="9">
        <v>43551</v>
      </c>
      <c r="B1534" s="2" t="str">
        <f>TEXT(Raw_Data!$A1534, "MMM")</f>
        <v>Mar</v>
      </c>
      <c r="C1534" s="2">
        <f>YEAR(Raw_Data!$A1534)</f>
        <v>2019</v>
      </c>
      <c r="D1534" s="2" t="s">
        <v>1324</v>
      </c>
      <c r="E1534" s="2" t="s">
        <v>15</v>
      </c>
      <c r="F1534" s="2" t="s">
        <v>27</v>
      </c>
      <c r="G1534" s="2">
        <v>3</v>
      </c>
      <c r="H1534" s="2">
        <v>1069</v>
      </c>
      <c r="I1534" s="10">
        <v>844796</v>
      </c>
      <c r="J1534" s="10">
        <f>Raw_Data!$I1534/Raw_Data!$H1534</f>
        <v>790.26753975678207</v>
      </c>
    </row>
    <row r="1535" spans="1:10" x14ac:dyDescent="0.3">
      <c r="A1535" s="8">
        <v>41631</v>
      </c>
      <c r="B1535" t="str">
        <f>TEXT(Raw_Data!$A1535, "MMM")</f>
        <v>Dec</v>
      </c>
      <c r="C1535">
        <f>YEAR(Raw_Data!$A1535)</f>
        <v>2013</v>
      </c>
      <c r="D1535" t="s">
        <v>1325</v>
      </c>
      <c r="E1535" t="s">
        <v>32</v>
      </c>
      <c r="F1535" t="s">
        <v>18</v>
      </c>
      <c r="H1535">
        <v>879</v>
      </c>
      <c r="I1535" s="1">
        <v>629893</v>
      </c>
      <c r="J1535" s="1">
        <f>Raw_Data!$I1535/Raw_Data!$H1535</f>
        <v>716.60182025028439</v>
      </c>
    </row>
    <row r="1536" spans="1:10" x14ac:dyDescent="0.3">
      <c r="A1536" s="9">
        <v>38035</v>
      </c>
      <c r="B1536" s="2" t="str">
        <f>TEXT(Raw_Data!$A1536, "MMM")</f>
        <v>Feb</v>
      </c>
      <c r="C1536" s="2">
        <f>YEAR(Raw_Data!$A1536)</f>
        <v>2004</v>
      </c>
      <c r="D1536" s="2" t="s">
        <v>1326</v>
      </c>
      <c r="E1536" s="2" t="s">
        <v>21</v>
      </c>
      <c r="F1536" s="2" t="s">
        <v>27</v>
      </c>
      <c r="G1536" s="2">
        <v>2</v>
      </c>
      <c r="H1536" s="2">
        <v>2213</v>
      </c>
      <c r="I1536" s="10">
        <v>378806</v>
      </c>
      <c r="J1536" s="10">
        <f>Raw_Data!$I1536/Raw_Data!$H1536</f>
        <v>171.17306823316764</v>
      </c>
    </row>
    <row r="1537" spans="1:10" x14ac:dyDescent="0.3">
      <c r="A1537" s="8">
        <v>40803</v>
      </c>
      <c r="B1537" t="str">
        <f>TEXT(Raw_Data!$A1537, "MMM")</f>
        <v>Sep</v>
      </c>
      <c r="C1537">
        <f>YEAR(Raw_Data!$A1537)</f>
        <v>2011</v>
      </c>
      <c r="D1537" t="s">
        <v>1327</v>
      </c>
      <c r="E1537" t="s">
        <v>21</v>
      </c>
      <c r="F1537" t="s">
        <v>18</v>
      </c>
      <c r="G1537">
        <v>5</v>
      </c>
      <c r="H1537">
        <v>3473</v>
      </c>
      <c r="I1537" s="1">
        <v>276904</v>
      </c>
      <c r="J1537" s="1">
        <f>Raw_Data!$I1537/Raw_Data!$H1537</f>
        <v>79.730492369709182</v>
      </c>
    </row>
    <row r="1538" spans="1:10" x14ac:dyDescent="0.3">
      <c r="A1538" s="9">
        <v>39087</v>
      </c>
      <c r="B1538" s="2" t="str">
        <f>TEXT(Raw_Data!$A1538, "MMM")</f>
        <v>Jan</v>
      </c>
      <c r="C1538" s="2">
        <f>YEAR(Raw_Data!$A1538)</f>
        <v>2007</v>
      </c>
      <c r="D1538" s="2" t="s">
        <v>419</v>
      </c>
      <c r="E1538" s="2" t="s">
        <v>25</v>
      </c>
      <c r="F1538" s="2" t="s">
        <v>27</v>
      </c>
      <c r="G1538" s="2">
        <v>4</v>
      </c>
      <c r="H1538" s="2">
        <v>1359</v>
      </c>
      <c r="I1538" s="10">
        <v>829348</v>
      </c>
      <c r="J1538" s="10">
        <f>Raw_Data!$I1538/Raw_Data!$H1538</f>
        <v>610.26342899190581</v>
      </c>
    </row>
    <row r="1539" spans="1:10" x14ac:dyDescent="0.3">
      <c r="A1539" s="8">
        <v>38253</v>
      </c>
      <c r="B1539" t="str">
        <f>TEXT(Raw_Data!$A1539, "MMM")</f>
        <v>Sep</v>
      </c>
      <c r="C1539">
        <f>YEAR(Raw_Data!$A1539)</f>
        <v>2004</v>
      </c>
      <c r="D1539" t="s">
        <v>1163</v>
      </c>
      <c r="E1539" t="s">
        <v>13</v>
      </c>
      <c r="F1539" t="s">
        <v>11</v>
      </c>
      <c r="G1539">
        <v>2</v>
      </c>
      <c r="H1539">
        <v>3080</v>
      </c>
      <c r="I1539" s="1">
        <v>288505</v>
      </c>
      <c r="J1539" s="1">
        <f>Raw_Data!$I1539/Raw_Data!$H1539</f>
        <v>93.670454545454547</v>
      </c>
    </row>
    <row r="1540" spans="1:10" x14ac:dyDescent="0.3">
      <c r="A1540" s="9">
        <v>40551</v>
      </c>
      <c r="B1540" s="2" t="str">
        <f>TEXT(Raw_Data!$A1540, "MMM")</f>
        <v>Jan</v>
      </c>
      <c r="C1540" s="2">
        <f>YEAR(Raw_Data!$A1540)</f>
        <v>2011</v>
      </c>
      <c r="D1540" s="2" t="s">
        <v>1328</v>
      </c>
      <c r="E1540" s="2" t="s">
        <v>32</v>
      </c>
      <c r="F1540" s="2" t="s">
        <v>27</v>
      </c>
      <c r="G1540" s="2">
        <v>5</v>
      </c>
      <c r="H1540" s="2">
        <v>2771</v>
      </c>
      <c r="I1540" s="10">
        <v>863784</v>
      </c>
      <c r="J1540" s="10">
        <f>Raw_Data!$I1540/Raw_Data!$H1540</f>
        <v>311.72284373872247</v>
      </c>
    </row>
    <row r="1541" spans="1:10" x14ac:dyDescent="0.3">
      <c r="A1541" s="8">
        <v>43111</v>
      </c>
      <c r="B1541" t="str">
        <f>TEXT(Raw_Data!$A1541, "MMM")</f>
        <v>Jan</v>
      </c>
      <c r="C1541">
        <f>YEAR(Raw_Data!$A1541)</f>
        <v>2018</v>
      </c>
      <c r="D1541" t="s">
        <v>1329</v>
      </c>
      <c r="E1541" t="s">
        <v>21</v>
      </c>
      <c r="F1541" t="s">
        <v>11</v>
      </c>
      <c r="H1541">
        <v>3496</v>
      </c>
      <c r="I1541" s="1">
        <v>147047</v>
      </c>
      <c r="J1541" s="1">
        <f>Raw_Data!$I1541/Raw_Data!$H1541</f>
        <v>42.061498855835239</v>
      </c>
    </row>
    <row r="1542" spans="1:10" x14ac:dyDescent="0.3">
      <c r="A1542" s="9">
        <v>42071</v>
      </c>
      <c r="B1542" s="2" t="str">
        <f>TEXT(Raw_Data!$A1542, "MMM")</f>
        <v>Mar</v>
      </c>
      <c r="C1542" s="2">
        <f>YEAR(Raw_Data!$A1542)</f>
        <v>2015</v>
      </c>
      <c r="D1542" s="2" t="s">
        <v>1330</v>
      </c>
      <c r="E1542" s="2" t="s">
        <v>32</v>
      </c>
      <c r="F1542" s="2" t="s">
        <v>27</v>
      </c>
      <c r="G1542" s="2">
        <v>3</v>
      </c>
      <c r="H1542" s="2">
        <v>1308</v>
      </c>
      <c r="I1542" s="10">
        <v>790322</v>
      </c>
      <c r="J1542" s="10">
        <f>Raw_Data!$I1542/Raw_Data!$H1542</f>
        <v>604.22171253822626</v>
      </c>
    </row>
    <row r="1543" spans="1:10" x14ac:dyDescent="0.3">
      <c r="A1543" s="8">
        <v>42471</v>
      </c>
      <c r="B1543" t="str">
        <f>TEXT(Raw_Data!$A1543, "MMM")</f>
        <v>Apr</v>
      </c>
      <c r="C1543">
        <f>YEAR(Raw_Data!$A1543)</f>
        <v>2016</v>
      </c>
      <c r="D1543" t="s">
        <v>472</v>
      </c>
      <c r="E1543" t="s">
        <v>29</v>
      </c>
      <c r="F1543" t="s">
        <v>27</v>
      </c>
      <c r="H1543">
        <v>2887</v>
      </c>
      <c r="I1543" s="1">
        <v>465873</v>
      </c>
      <c r="J1543" s="1">
        <f>Raw_Data!$I1543/Raw_Data!$H1543</f>
        <v>161.36924142708693</v>
      </c>
    </row>
    <row r="1544" spans="1:10" x14ac:dyDescent="0.3">
      <c r="A1544" s="9">
        <v>44003</v>
      </c>
      <c r="B1544" s="2" t="str">
        <f>TEXT(Raw_Data!$A1544, "MMM")</f>
        <v>Jun</v>
      </c>
      <c r="C1544" s="2">
        <f>YEAR(Raw_Data!$A1544)</f>
        <v>2020</v>
      </c>
      <c r="D1544" s="2" t="s">
        <v>1331</v>
      </c>
      <c r="E1544" s="2" t="s">
        <v>25</v>
      </c>
      <c r="F1544" s="2" t="s">
        <v>27</v>
      </c>
      <c r="G1544" s="2">
        <v>3</v>
      </c>
      <c r="H1544" s="2">
        <v>1251</v>
      </c>
      <c r="I1544" s="10">
        <v>650612</v>
      </c>
      <c r="J1544" s="10">
        <f>Raw_Data!$I1544/Raw_Data!$H1544</f>
        <v>520.07354116706631</v>
      </c>
    </row>
    <row r="1545" spans="1:10" x14ac:dyDescent="0.3">
      <c r="A1545" s="8">
        <v>36976</v>
      </c>
      <c r="B1545" t="str">
        <f>TEXT(Raw_Data!$A1545, "MMM")</f>
        <v>Mar</v>
      </c>
      <c r="C1545">
        <f>YEAR(Raw_Data!$A1545)</f>
        <v>2001</v>
      </c>
      <c r="D1545" t="s">
        <v>1332</v>
      </c>
      <c r="E1545" t="s">
        <v>15</v>
      </c>
      <c r="F1545" t="s">
        <v>16</v>
      </c>
      <c r="H1545">
        <v>1385</v>
      </c>
      <c r="I1545" s="1">
        <v>223011</v>
      </c>
      <c r="J1545" s="1">
        <f>Raw_Data!$I1545/Raw_Data!$H1545</f>
        <v>161.0187725631769</v>
      </c>
    </row>
    <row r="1546" spans="1:10" x14ac:dyDescent="0.3">
      <c r="A1546" s="9">
        <v>43490</v>
      </c>
      <c r="B1546" s="2" t="str">
        <f>TEXT(Raw_Data!$A1546, "MMM")</f>
        <v>Jan</v>
      </c>
      <c r="C1546" s="2">
        <f>YEAR(Raw_Data!$A1546)</f>
        <v>2019</v>
      </c>
      <c r="D1546" s="2" t="s">
        <v>1100</v>
      </c>
      <c r="E1546" s="2" t="s">
        <v>23</v>
      </c>
      <c r="F1546" s="2" t="s">
        <v>11</v>
      </c>
      <c r="G1546" s="2"/>
      <c r="H1546" s="2">
        <v>3421</v>
      </c>
      <c r="I1546" s="10">
        <v>411858</v>
      </c>
      <c r="J1546" s="10">
        <f>Raw_Data!$I1546/Raw_Data!$H1546</f>
        <v>120.39111370944168</v>
      </c>
    </row>
    <row r="1547" spans="1:10" x14ac:dyDescent="0.3">
      <c r="A1547" s="8">
        <v>40544</v>
      </c>
      <c r="B1547" t="str">
        <f>TEXT(Raw_Data!$A1547, "MMM")</f>
        <v>Jan</v>
      </c>
      <c r="C1547">
        <f>YEAR(Raw_Data!$A1547)</f>
        <v>2011</v>
      </c>
      <c r="D1547" t="s">
        <v>1122</v>
      </c>
      <c r="E1547" t="s">
        <v>25</v>
      </c>
      <c r="F1547" t="s">
        <v>16</v>
      </c>
      <c r="G1547">
        <v>5</v>
      </c>
      <c r="H1547">
        <v>2723</v>
      </c>
      <c r="I1547" s="1">
        <v>648546</v>
      </c>
      <c r="J1547" s="1">
        <f>Raw_Data!$I1547/Raw_Data!$H1547</f>
        <v>238.17333822989349</v>
      </c>
    </row>
    <row r="1548" spans="1:10" x14ac:dyDescent="0.3">
      <c r="A1548" s="9">
        <v>43220</v>
      </c>
      <c r="B1548" s="2" t="str">
        <f>TEXT(Raw_Data!$A1548, "MMM")</f>
        <v>Apr</v>
      </c>
      <c r="C1548" s="2">
        <f>YEAR(Raw_Data!$A1548)</f>
        <v>2018</v>
      </c>
      <c r="D1548" s="2" t="s">
        <v>1333</v>
      </c>
      <c r="E1548" s="2" t="s">
        <v>13</v>
      </c>
      <c r="F1548" s="2" t="s">
        <v>16</v>
      </c>
      <c r="G1548" s="2"/>
      <c r="H1548" s="2">
        <v>911</v>
      </c>
      <c r="I1548" s="10">
        <v>138997</v>
      </c>
      <c r="J1548" s="10">
        <f>Raw_Data!$I1548/Raw_Data!$H1548</f>
        <v>152.57628979143797</v>
      </c>
    </row>
    <row r="1549" spans="1:10" x14ac:dyDescent="0.3">
      <c r="A1549" s="8">
        <v>40502</v>
      </c>
      <c r="B1549" t="str">
        <f>TEXT(Raw_Data!$A1549, "MMM")</f>
        <v>Nov</v>
      </c>
      <c r="C1549">
        <f>YEAR(Raw_Data!$A1549)</f>
        <v>2010</v>
      </c>
      <c r="D1549" t="s">
        <v>477</v>
      </c>
      <c r="E1549" t="s">
        <v>23</v>
      </c>
      <c r="F1549" t="s">
        <v>16</v>
      </c>
      <c r="H1549">
        <v>1939</v>
      </c>
      <c r="I1549" s="1">
        <v>663007</v>
      </c>
      <c r="J1549" s="1">
        <f>Raw_Data!$I1549/Raw_Data!$H1549</f>
        <v>341.93243940175347</v>
      </c>
    </row>
    <row r="1550" spans="1:10" x14ac:dyDescent="0.3">
      <c r="A1550" s="9">
        <v>41303</v>
      </c>
      <c r="B1550" s="2" t="str">
        <f>TEXT(Raw_Data!$A1550, "MMM")</f>
        <v>Jan</v>
      </c>
      <c r="C1550" s="2">
        <f>YEAR(Raw_Data!$A1550)</f>
        <v>2013</v>
      </c>
      <c r="D1550" s="2" t="s">
        <v>798</v>
      </c>
      <c r="E1550" s="2" t="s">
        <v>15</v>
      </c>
      <c r="F1550" s="2" t="s">
        <v>16</v>
      </c>
      <c r="G1550" s="2">
        <v>5</v>
      </c>
      <c r="H1550" s="2">
        <v>2833</v>
      </c>
      <c r="I1550" s="10">
        <v>472915</v>
      </c>
      <c r="J1550" s="10">
        <f>Raw_Data!$I1550/Raw_Data!$H1550</f>
        <v>166.93081539004589</v>
      </c>
    </row>
    <row r="1551" spans="1:10" x14ac:dyDescent="0.3">
      <c r="A1551" s="8">
        <v>43952</v>
      </c>
      <c r="B1551" t="str">
        <f>TEXT(Raw_Data!$A1551, "MMM")</f>
        <v>May</v>
      </c>
      <c r="C1551">
        <f>YEAR(Raw_Data!$A1551)</f>
        <v>2020</v>
      </c>
      <c r="D1551" t="s">
        <v>1334</v>
      </c>
      <c r="E1551" t="s">
        <v>25</v>
      </c>
      <c r="F1551" t="s">
        <v>27</v>
      </c>
      <c r="G1551">
        <v>4</v>
      </c>
      <c r="H1551">
        <v>2835</v>
      </c>
      <c r="I1551" s="1"/>
      <c r="J1551" s="1">
        <f>Raw_Data!$I1551/Raw_Data!$H1551</f>
        <v>0</v>
      </c>
    </row>
    <row r="1552" spans="1:10" x14ac:dyDescent="0.3">
      <c r="A1552" s="9">
        <v>39737</v>
      </c>
      <c r="B1552" s="2" t="str">
        <f>TEXT(Raw_Data!$A1552, "MMM")</f>
        <v>Oct</v>
      </c>
      <c r="C1552" s="2">
        <f>YEAR(Raw_Data!$A1552)</f>
        <v>2008</v>
      </c>
      <c r="D1552" s="2" t="s">
        <v>1335</v>
      </c>
      <c r="E1552" s="2" t="s">
        <v>15</v>
      </c>
      <c r="F1552" s="2" t="s">
        <v>27</v>
      </c>
      <c r="G1552" s="2">
        <v>2</v>
      </c>
      <c r="H1552" s="2">
        <v>2251</v>
      </c>
      <c r="I1552" s="10">
        <v>228054</v>
      </c>
      <c r="J1552" s="10">
        <f>Raw_Data!$I1552/Raw_Data!$H1552</f>
        <v>101.31230564193692</v>
      </c>
    </row>
    <row r="1553" spans="1:10" x14ac:dyDescent="0.3">
      <c r="A1553" s="8">
        <v>40198</v>
      </c>
      <c r="B1553" t="str">
        <f>TEXT(Raw_Data!$A1553, "MMM")</f>
        <v>Jan</v>
      </c>
      <c r="C1553">
        <f>YEAR(Raw_Data!$A1553)</f>
        <v>2010</v>
      </c>
      <c r="D1553" t="s">
        <v>1336</v>
      </c>
      <c r="E1553" t="s">
        <v>29</v>
      </c>
      <c r="F1553" t="s">
        <v>18</v>
      </c>
      <c r="H1553">
        <v>2665</v>
      </c>
      <c r="I1553" s="1">
        <v>532426</v>
      </c>
      <c r="J1553" s="1">
        <f>Raw_Data!$I1553/Raw_Data!$H1553</f>
        <v>199.78461538461539</v>
      </c>
    </row>
    <row r="1554" spans="1:10" x14ac:dyDescent="0.3">
      <c r="A1554" s="9">
        <v>38271</v>
      </c>
      <c r="B1554" s="2" t="str">
        <f>TEXT(Raw_Data!$A1554, "MMM")</f>
        <v>Oct</v>
      </c>
      <c r="C1554" s="2">
        <f>YEAR(Raw_Data!$A1554)</f>
        <v>2004</v>
      </c>
      <c r="D1554" s="2" t="s">
        <v>1337</v>
      </c>
      <c r="E1554" s="2" t="s">
        <v>15</v>
      </c>
      <c r="F1554" s="2" t="s">
        <v>18</v>
      </c>
      <c r="G1554" s="2">
        <v>3</v>
      </c>
      <c r="H1554" s="2">
        <v>2306</v>
      </c>
      <c r="I1554" s="10">
        <v>677142</v>
      </c>
      <c r="J1554" s="10">
        <f>Raw_Data!$I1554/Raw_Data!$H1554</f>
        <v>293.64353859496964</v>
      </c>
    </row>
    <row r="1555" spans="1:10" x14ac:dyDescent="0.3">
      <c r="A1555" s="8">
        <v>42275</v>
      </c>
      <c r="B1555" t="str">
        <f>TEXT(Raw_Data!$A1555, "MMM")</f>
        <v>Sep</v>
      </c>
      <c r="C1555">
        <f>YEAR(Raw_Data!$A1555)</f>
        <v>2015</v>
      </c>
      <c r="D1555" t="s">
        <v>1338</v>
      </c>
      <c r="E1555" t="s">
        <v>23</v>
      </c>
      <c r="F1555" t="s">
        <v>11</v>
      </c>
      <c r="G1555">
        <v>2</v>
      </c>
      <c r="H1555">
        <v>1103</v>
      </c>
      <c r="I1555" s="1">
        <v>163420</v>
      </c>
      <c r="J1555" s="1">
        <f>Raw_Data!$I1555/Raw_Data!$H1555</f>
        <v>148.15956482320942</v>
      </c>
    </row>
    <row r="1556" spans="1:10" x14ac:dyDescent="0.3">
      <c r="A1556" s="9">
        <v>37489</v>
      </c>
      <c r="B1556" s="2" t="str">
        <f>TEXT(Raw_Data!$A1556, "MMM")</f>
        <v>Aug</v>
      </c>
      <c r="C1556" s="2">
        <f>YEAR(Raw_Data!$A1556)</f>
        <v>2002</v>
      </c>
      <c r="D1556" s="2" t="s">
        <v>1339</v>
      </c>
      <c r="E1556" s="2" t="s">
        <v>23</v>
      </c>
      <c r="F1556" s="2" t="s">
        <v>18</v>
      </c>
      <c r="G1556" s="2"/>
      <c r="H1556" s="2">
        <v>1443</v>
      </c>
      <c r="I1556" s="10">
        <v>623989</v>
      </c>
      <c r="J1556" s="10">
        <f>Raw_Data!$I1556/Raw_Data!$H1556</f>
        <v>432.42480942480944</v>
      </c>
    </row>
    <row r="1557" spans="1:10" x14ac:dyDescent="0.3">
      <c r="A1557" s="8">
        <v>39640</v>
      </c>
      <c r="B1557" t="str">
        <f>TEXT(Raw_Data!$A1557, "MMM")</f>
        <v>Jul</v>
      </c>
      <c r="C1557">
        <f>YEAR(Raw_Data!$A1557)</f>
        <v>2008</v>
      </c>
      <c r="D1557" t="s">
        <v>1340</v>
      </c>
      <c r="E1557" t="s">
        <v>32</v>
      </c>
      <c r="F1557" t="s">
        <v>27</v>
      </c>
      <c r="G1557">
        <v>2</v>
      </c>
      <c r="H1557">
        <v>2670</v>
      </c>
      <c r="I1557" s="1">
        <v>642043</v>
      </c>
      <c r="J1557" s="1">
        <f>Raw_Data!$I1557/Raw_Data!$H1557</f>
        <v>240.46554307116105</v>
      </c>
    </row>
    <row r="1558" spans="1:10" x14ac:dyDescent="0.3">
      <c r="A1558" s="9">
        <v>37862</v>
      </c>
      <c r="B1558" s="2" t="str">
        <f>TEXT(Raw_Data!$A1558, "MMM")</f>
        <v>Aug</v>
      </c>
      <c r="C1558" s="2">
        <f>YEAR(Raw_Data!$A1558)</f>
        <v>2003</v>
      </c>
      <c r="D1558" s="2" t="s">
        <v>1341</v>
      </c>
      <c r="E1558" s="2" t="s">
        <v>23</v>
      </c>
      <c r="F1558" s="2" t="s">
        <v>16</v>
      </c>
      <c r="G1558" s="2"/>
      <c r="H1558" s="2">
        <v>2155</v>
      </c>
      <c r="I1558" s="10">
        <v>356006</v>
      </c>
      <c r="J1558" s="10">
        <f>Raw_Data!$I1558/Raw_Data!$H1558</f>
        <v>165.2</v>
      </c>
    </row>
    <row r="1559" spans="1:10" x14ac:dyDescent="0.3">
      <c r="A1559" s="8">
        <v>40235</v>
      </c>
      <c r="B1559" t="str">
        <f>TEXT(Raw_Data!$A1559, "MMM")</f>
        <v>Feb</v>
      </c>
      <c r="C1559">
        <f>YEAR(Raw_Data!$A1559)</f>
        <v>2010</v>
      </c>
      <c r="D1559" t="s">
        <v>646</v>
      </c>
      <c r="E1559" t="s">
        <v>29</v>
      </c>
      <c r="F1559" t="s">
        <v>16</v>
      </c>
      <c r="G1559">
        <v>4</v>
      </c>
      <c r="H1559">
        <v>2019</v>
      </c>
      <c r="I1559" s="1">
        <v>255679</v>
      </c>
      <c r="J1559" s="1">
        <f>Raw_Data!$I1559/Raw_Data!$H1559</f>
        <v>126.63645368994551</v>
      </c>
    </row>
    <row r="1560" spans="1:10" x14ac:dyDescent="0.3">
      <c r="A1560" s="9">
        <v>36986</v>
      </c>
      <c r="B1560" s="2" t="str">
        <f>TEXT(Raw_Data!$A1560, "MMM")</f>
        <v>Apr</v>
      </c>
      <c r="C1560" s="2">
        <f>YEAR(Raw_Data!$A1560)</f>
        <v>2001</v>
      </c>
      <c r="D1560" s="2" t="s">
        <v>1342</v>
      </c>
      <c r="E1560" s="2" t="s">
        <v>15</v>
      </c>
      <c r="F1560" s="2" t="s">
        <v>16</v>
      </c>
      <c r="G1560" s="2">
        <v>5</v>
      </c>
      <c r="H1560" s="2">
        <v>1678</v>
      </c>
      <c r="I1560" s="10">
        <v>814875</v>
      </c>
      <c r="J1560" s="10">
        <f>Raw_Data!$I1560/Raw_Data!$H1560</f>
        <v>485.62276519666267</v>
      </c>
    </row>
    <row r="1561" spans="1:10" x14ac:dyDescent="0.3">
      <c r="A1561" s="8">
        <v>43248</v>
      </c>
      <c r="B1561" t="str">
        <f>TEXT(Raw_Data!$A1561, "MMM")</f>
        <v>May</v>
      </c>
      <c r="C1561">
        <f>YEAR(Raw_Data!$A1561)</f>
        <v>2018</v>
      </c>
      <c r="D1561" t="s">
        <v>1343</v>
      </c>
      <c r="E1561" t="s">
        <v>32</v>
      </c>
      <c r="F1561" t="s">
        <v>27</v>
      </c>
      <c r="G1561">
        <v>5</v>
      </c>
      <c r="H1561">
        <v>2382</v>
      </c>
      <c r="I1561" s="1">
        <v>685251</v>
      </c>
      <c r="J1561" s="1">
        <f>Raw_Data!$I1561/Raw_Data!$H1561</f>
        <v>287.67884130982367</v>
      </c>
    </row>
    <row r="1562" spans="1:10" x14ac:dyDescent="0.3">
      <c r="A1562" s="9">
        <v>37011</v>
      </c>
      <c r="B1562" s="2" t="str">
        <f>TEXT(Raw_Data!$A1562, "MMM")</f>
        <v>Apr</v>
      </c>
      <c r="C1562" s="2">
        <f>YEAR(Raw_Data!$A1562)</f>
        <v>2001</v>
      </c>
      <c r="D1562" s="2" t="s">
        <v>1344</v>
      </c>
      <c r="E1562" s="2" t="s">
        <v>23</v>
      </c>
      <c r="F1562" s="2" t="s">
        <v>16</v>
      </c>
      <c r="G1562" s="2">
        <v>4</v>
      </c>
      <c r="H1562" s="2">
        <v>2210</v>
      </c>
      <c r="I1562" s="10">
        <v>771895</v>
      </c>
      <c r="J1562" s="10">
        <f>Raw_Data!$I1562/Raw_Data!$H1562</f>
        <v>349.27375565610862</v>
      </c>
    </row>
    <row r="1563" spans="1:10" x14ac:dyDescent="0.3">
      <c r="A1563" s="8">
        <v>43425</v>
      </c>
      <c r="B1563" t="str">
        <f>TEXT(Raw_Data!$A1563, "MMM")</f>
        <v>Nov</v>
      </c>
      <c r="C1563">
        <f>YEAR(Raw_Data!$A1563)</f>
        <v>2018</v>
      </c>
      <c r="D1563" t="s">
        <v>1345</v>
      </c>
      <c r="E1563" t="s">
        <v>32</v>
      </c>
      <c r="F1563" t="s">
        <v>27</v>
      </c>
      <c r="G1563">
        <v>3</v>
      </c>
      <c r="H1563">
        <v>1616</v>
      </c>
      <c r="I1563" s="1">
        <v>557231</v>
      </c>
      <c r="J1563" s="1">
        <f>Raw_Data!$I1563/Raw_Data!$H1563</f>
        <v>344.82116336633663</v>
      </c>
    </row>
    <row r="1564" spans="1:10" x14ac:dyDescent="0.3">
      <c r="A1564" s="9">
        <v>40898</v>
      </c>
      <c r="B1564" s="2" t="str">
        <f>TEXT(Raw_Data!$A1564, "MMM")</f>
        <v>Dec</v>
      </c>
      <c r="C1564" s="2">
        <f>YEAR(Raw_Data!$A1564)</f>
        <v>2011</v>
      </c>
      <c r="D1564" s="2" t="s">
        <v>1346</v>
      </c>
      <c r="E1564" s="2" t="s">
        <v>32</v>
      </c>
      <c r="F1564" s="2" t="s">
        <v>16</v>
      </c>
      <c r="G1564" s="2"/>
      <c r="H1564" s="2">
        <v>2337</v>
      </c>
      <c r="I1564" s="10">
        <v>471847</v>
      </c>
      <c r="J1564" s="10">
        <f>Raw_Data!$I1564/Raw_Data!$H1564</f>
        <v>201.90286692340607</v>
      </c>
    </row>
    <row r="1565" spans="1:10" x14ac:dyDescent="0.3">
      <c r="A1565" s="8">
        <v>41987</v>
      </c>
      <c r="B1565" t="str">
        <f>TEXT(Raw_Data!$A1565, "MMM")</f>
        <v>Dec</v>
      </c>
      <c r="C1565">
        <f>YEAR(Raw_Data!$A1565)</f>
        <v>2014</v>
      </c>
      <c r="D1565" t="s">
        <v>1347</v>
      </c>
      <c r="E1565" t="s">
        <v>29</v>
      </c>
      <c r="F1565" t="s">
        <v>16</v>
      </c>
      <c r="H1565">
        <v>1807</v>
      </c>
      <c r="I1565" s="1">
        <v>286341</v>
      </c>
      <c r="J1565" s="1">
        <f>Raw_Data!$I1565/Raw_Data!$H1565</f>
        <v>158.46209186496955</v>
      </c>
    </row>
    <row r="1566" spans="1:10" x14ac:dyDescent="0.3">
      <c r="A1566" s="9">
        <v>39263</v>
      </c>
      <c r="B1566" s="2" t="str">
        <f>TEXT(Raw_Data!$A1566, "MMM")</f>
        <v>Jun</v>
      </c>
      <c r="C1566" s="2">
        <f>YEAR(Raw_Data!$A1566)</f>
        <v>2007</v>
      </c>
      <c r="D1566" s="2" t="s">
        <v>1348</v>
      </c>
      <c r="E1566" s="2" t="s">
        <v>25</v>
      </c>
      <c r="F1566" s="2" t="s">
        <v>11</v>
      </c>
      <c r="G1566" s="2">
        <v>3</v>
      </c>
      <c r="H1566" s="2">
        <v>2388</v>
      </c>
      <c r="I1566" s="10">
        <v>228085</v>
      </c>
      <c r="J1566" s="10">
        <f>Raw_Data!$I1566/Raw_Data!$H1566</f>
        <v>95.512981574539367</v>
      </c>
    </row>
    <row r="1567" spans="1:10" x14ac:dyDescent="0.3">
      <c r="A1567" s="8">
        <v>42778</v>
      </c>
      <c r="B1567" t="str">
        <f>TEXT(Raw_Data!$A1567, "MMM")</f>
        <v>Feb</v>
      </c>
      <c r="C1567">
        <f>YEAR(Raw_Data!$A1567)</f>
        <v>2017</v>
      </c>
      <c r="D1567" t="s">
        <v>1349</v>
      </c>
      <c r="E1567" t="s">
        <v>29</v>
      </c>
      <c r="F1567" t="s">
        <v>27</v>
      </c>
      <c r="G1567">
        <v>5</v>
      </c>
      <c r="H1567">
        <v>3336</v>
      </c>
      <c r="I1567" s="1">
        <v>315684</v>
      </c>
      <c r="J1567" s="1">
        <f>Raw_Data!$I1567/Raw_Data!$H1567</f>
        <v>94.629496402877692</v>
      </c>
    </row>
    <row r="1568" spans="1:10" x14ac:dyDescent="0.3">
      <c r="A1568" s="9">
        <v>44041</v>
      </c>
      <c r="B1568" s="2" t="str">
        <f>TEXT(Raw_Data!$A1568, "MMM")</f>
        <v>Jul</v>
      </c>
      <c r="C1568" s="2">
        <f>YEAR(Raw_Data!$A1568)</f>
        <v>2020</v>
      </c>
      <c r="D1568" s="2" t="s">
        <v>916</v>
      </c>
      <c r="E1568" s="2" t="s">
        <v>15</v>
      </c>
      <c r="F1568" s="2" t="s">
        <v>27</v>
      </c>
      <c r="G1568" s="2">
        <v>3</v>
      </c>
      <c r="H1568" s="2">
        <v>3474</v>
      </c>
      <c r="I1568" s="10">
        <v>192652</v>
      </c>
      <c r="J1568" s="10">
        <f>Raw_Data!$I1568/Raw_Data!$H1568</f>
        <v>55.455382843983877</v>
      </c>
    </row>
    <row r="1569" spans="1:10" x14ac:dyDescent="0.3">
      <c r="A1569" s="8">
        <v>42226</v>
      </c>
      <c r="B1569" t="str">
        <f>TEXT(Raw_Data!$A1569, "MMM")</f>
        <v>Aug</v>
      </c>
      <c r="C1569">
        <f>YEAR(Raw_Data!$A1569)</f>
        <v>2015</v>
      </c>
      <c r="D1569" t="s">
        <v>1350</v>
      </c>
      <c r="E1569" t="s">
        <v>29</v>
      </c>
      <c r="F1569" t="s">
        <v>27</v>
      </c>
      <c r="H1569">
        <v>2939</v>
      </c>
      <c r="I1569" s="1">
        <v>103485</v>
      </c>
      <c r="J1569" s="1">
        <f>Raw_Data!$I1569/Raw_Data!$H1569</f>
        <v>35.210956107519564</v>
      </c>
    </row>
    <row r="1570" spans="1:10" x14ac:dyDescent="0.3">
      <c r="A1570" s="9">
        <v>40658</v>
      </c>
      <c r="B1570" s="2" t="str">
        <f>TEXT(Raw_Data!$A1570, "MMM")</f>
        <v>Apr</v>
      </c>
      <c r="C1570" s="2">
        <f>YEAR(Raw_Data!$A1570)</f>
        <v>2011</v>
      </c>
      <c r="D1570" s="2" t="s">
        <v>1351</v>
      </c>
      <c r="E1570" s="2" t="s">
        <v>15</v>
      </c>
      <c r="F1570" s="2" t="s">
        <v>18</v>
      </c>
      <c r="G1570" s="2">
        <v>4</v>
      </c>
      <c r="H1570" s="2">
        <v>1065</v>
      </c>
      <c r="I1570" s="10">
        <v>508115</v>
      </c>
      <c r="J1570" s="10">
        <f>Raw_Data!$I1570/Raw_Data!$H1570</f>
        <v>477.10328638497651</v>
      </c>
    </row>
    <row r="1571" spans="1:10" x14ac:dyDescent="0.3">
      <c r="A1571" s="8">
        <v>43390</v>
      </c>
      <c r="B1571" t="str">
        <f>TEXT(Raw_Data!$A1571, "MMM")</f>
        <v>Oct</v>
      </c>
      <c r="C1571">
        <f>YEAR(Raw_Data!$A1571)</f>
        <v>2018</v>
      </c>
      <c r="D1571" t="s">
        <v>1352</v>
      </c>
      <c r="E1571" t="s">
        <v>13</v>
      </c>
      <c r="F1571" t="s">
        <v>18</v>
      </c>
      <c r="H1571">
        <v>1940</v>
      </c>
      <c r="I1571" s="1">
        <v>150275</v>
      </c>
      <c r="J1571" s="1">
        <f>Raw_Data!$I1571/Raw_Data!$H1571</f>
        <v>77.461340206185568</v>
      </c>
    </row>
    <row r="1572" spans="1:10" x14ac:dyDescent="0.3">
      <c r="A1572" s="9">
        <v>37586</v>
      </c>
      <c r="B1572" s="2" t="str">
        <f>TEXT(Raw_Data!$A1572, "MMM")</f>
        <v>Nov</v>
      </c>
      <c r="C1572" s="2">
        <f>YEAR(Raw_Data!$A1572)</f>
        <v>2002</v>
      </c>
      <c r="D1572" s="2" t="s">
        <v>1353</v>
      </c>
      <c r="E1572" s="2" t="s">
        <v>32</v>
      </c>
      <c r="F1572" s="2" t="s">
        <v>18</v>
      </c>
      <c r="G1572" s="2">
        <v>4</v>
      </c>
      <c r="H1572" s="2">
        <v>1692</v>
      </c>
      <c r="I1572" s="10">
        <v>573974</v>
      </c>
      <c r="J1572" s="10">
        <f>Raw_Data!$I1572/Raw_Data!$H1572</f>
        <v>339.22813238770686</v>
      </c>
    </row>
    <row r="1573" spans="1:10" x14ac:dyDescent="0.3">
      <c r="A1573" s="8">
        <v>38732</v>
      </c>
      <c r="B1573" t="str">
        <f>TEXT(Raw_Data!$A1573, "MMM")</f>
        <v>Jan</v>
      </c>
      <c r="C1573">
        <f>YEAR(Raw_Data!$A1573)</f>
        <v>2006</v>
      </c>
      <c r="D1573" t="s">
        <v>1354</v>
      </c>
      <c r="E1573" t="s">
        <v>15</v>
      </c>
      <c r="F1573" t="s">
        <v>27</v>
      </c>
      <c r="H1573">
        <v>1995</v>
      </c>
      <c r="I1573" s="1">
        <v>435545</v>
      </c>
      <c r="J1573" s="1">
        <f>Raw_Data!$I1573/Raw_Data!$H1573</f>
        <v>218.31829573934837</v>
      </c>
    </row>
    <row r="1574" spans="1:10" x14ac:dyDescent="0.3">
      <c r="A1574" s="9">
        <v>41055</v>
      </c>
      <c r="B1574" s="2" t="str">
        <f>TEXT(Raw_Data!$A1574, "MMM")</f>
        <v>May</v>
      </c>
      <c r="C1574" s="2">
        <f>YEAR(Raw_Data!$A1574)</f>
        <v>2012</v>
      </c>
      <c r="D1574" s="2" t="s">
        <v>1355</v>
      </c>
      <c r="E1574" s="2" t="s">
        <v>29</v>
      </c>
      <c r="F1574" s="2" t="s">
        <v>18</v>
      </c>
      <c r="G1574" s="2"/>
      <c r="H1574" s="2">
        <v>1777</v>
      </c>
      <c r="I1574" s="10">
        <v>166110</v>
      </c>
      <c r="J1574" s="10">
        <f>Raw_Data!$I1574/Raw_Data!$H1574</f>
        <v>93.477771525042201</v>
      </c>
    </row>
    <row r="1575" spans="1:10" x14ac:dyDescent="0.3">
      <c r="A1575" s="8">
        <v>43838</v>
      </c>
      <c r="B1575" t="str">
        <f>TEXT(Raw_Data!$A1575, "MMM")</f>
        <v>Jan</v>
      </c>
      <c r="C1575">
        <f>YEAR(Raw_Data!$A1575)</f>
        <v>2020</v>
      </c>
      <c r="D1575" t="s">
        <v>1356</v>
      </c>
      <c r="E1575" t="s">
        <v>15</v>
      </c>
      <c r="F1575" t="s">
        <v>18</v>
      </c>
      <c r="G1575">
        <v>3</v>
      </c>
      <c r="H1575">
        <v>1531</v>
      </c>
      <c r="I1575" s="1">
        <v>125592</v>
      </c>
      <c r="J1575" s="1">
        <f>Raw_Data!$I1575/Raw_Data!$H1575</f>
        <v>82.032658393207058</v>
      </c>
    </row>
    <row r="1576" spans="1:10" x14ac:dyDescent="0.3">
      <c r="A1576" s="9">
        <v>39072</v>
      </c>
      <c r="B1576" s="2" t="str">
        <f>TEXT(Raw_Data!$A1576, "MMM")</f>
        <v>Dec</v>
      </c>
      <c r="C1576" s="2">
        <f>YEAR(Raw_Data!$A1576)</f>
        <v>2006</v>
      </c>
      <c r="D1576" s="2" t="s">
        <v>1357</v>
      </c>
      <c r="E1576" s="2" t="s">
        <v>29</v>
      </c>
      <c r="F1576" s="2" t="s">
        <v>11</v>
      </c>
      <c r="G1576" s="2">
        <v>5</v>
      </c>
      <c r="H1576" s="2">
        <v>3447</v>
      </c>
      <c r="I1576" s="10">
        <v>631911</v>
      </c>
      <c r="J1576" s="10">
        <f>Raw_Data!$I1576/Raw_Data!$H1576</f>
        <v>183.32201914708443</v>
      </c>
    </row>
    <row r="1577" spans="1:10" x14ac:dyDescent="0.3">
      <c r="A1577" s="8">
        <v>42308</v>
      </c>
      <c r="B1577" t="str">
        <f>TEXT(Raw_Data!$A1577, "MMM")</f>
        <v>Oct</v>
      </c>
      <c r="C1577">
        <f>YEAR(Raw_Data!$A1577)</f>
        <v>2015</v>
      </c>
      <c r="D1577" t="s">
        <v>1358</v>
      </c>
      <c r="E1577" t="s">
        <v>29</v>
      </c>
      <c r="F1577" t="s">
        <v>18</v>
      </c>
      <c r="H1577">
        <v>3284</v>
      </c>
      <c r="I1577" s="1">
        <v>284697</v>
      </c>
      <c r="J1577" s="1">
        <f>Raw_Data!$I1577/Raw_Data!$H1577</f>
        <v>86.692143727161991</v>
      </c>
    </row>
    <row r="1578" spans="1:10" x14ac:dyDescent="0.3">
      <c r="A1578" s="9">
        <v>39867</v>
      </c>
      <c r="B1578" s="2" t="str">
        <f>TEXT(Raw_Data!$A1578, "MMM")</f>
        <v>Feb</v>
      </c>
      <c r="C1578" s="2">
        <f>YEAR(Raw_Data!$A1578)</f>
        <v>2009</v>
      </c>
      <c r="D1578" s="2" t="s">
        <v>1359</v>
      </c>
      <c r="E1578" s="2" t="s">
        <v>15</v>
      </c>
      <c r="F1578" s="2" t="s">
        <v>16</v>
      </c>
      <c r="G1578" s="2">
        <v>4</v>
      </c>
      <c r="H1578" s="2">
        <v>3057</v>
      </c>
      <c r="I1578" s="10">
        <v>547630</v>
      </c>
      <c r="J1578" s="10">
        <f>Raw_Data!$I1578/Raw_Data!$H1578</f>
        <v>179.13967942427217</v>
      </c>
    </row>
    <row r="1579" spans="1:10" x14ac:dyDescent="0.3">
      <c r="A1579" s="8">
        <v>40456</v>
      </c>
      <c r="B1579" t="str">
        <f>TEXT(Raw_Data!$A1579, "MMM")</f>
        <v>Oct</v>
      </c>
      <c r="C1579">
        <f>YEAR(Raw_Data!$A1579)</f>
        <v>2010</v>
      </c>
      <c r="D1579" t="s">
        <v>1360</v>
      </c>
      <c r="E1579" t="s">
        <v>21</v>
      </c>
      <c r="F1579" t="s">
        <v>27</v>
      </c>
      <c r="H1579">
        <v>3080</v>
      </c>
      <c r="I1579" s="1">
        <v>475768</v>
      </c>
      <c r="J1579" s="1">
        <f>Raw_Data!$I1579/Raw_Data!$H1579</f>
        <v>154.47012987012988</v>
      </c>
    </row>
    <row r="1580" spans="1:10" x14ac:dyDescent="0.3">
      <c r="A1580" s="9">
        <v>39599</v>
      </c>
      <c r="B1580" s="2" t="str">
        <f>TEXT(Raw_Data!$A1580, "MMM")</f>
        <v>May</v>
      </c>
      <c r="C1580" s="2">
        <f>YEAR(Raw_Data!$A1580)</f>
        <v>2008</v>
      </c>
      <c r="D1580" s="2" t="s">
        <v>864</v>
      </c>
      <c r="E1580" s="2" t="s">
        <v>13</v>
      </c>
      <c r="F1580" s="2" t="s">
        <v>11</v>
      </c>
      <c r="G1580" s="2">
        <v>3</v>
      </c>
      <c r="H1580" s="2">
        <v>2630</v>
      </c>
      <c r="I1580" s="10">
        <v>164306</v>
      </c>
      <c r="J1580" s="10">
        <f>Raw_Data!$I1580/Raw_Data!$H1580</f>
        <v>62.473764258555136</v>
      </c>
    </row>
    <row r="1581" spans="1:10" x14ac:dyDescent="0.3">
      <c r="A1581" s="8">
        <v>39973</v>
      </c>
      <c r="B1581" t="str">
        <f>TEXT(Raw_Data!$A1581, "MMM")</f>
        <v>Jun</v>
      </c>
      <c r="C1581">
        <f>YEAR(Raw_Data!$A1581)</f>
        <v>2009</v>
      </c>
      <c r="D1581" t="s">
        <v>1361</v>
      </c>
      <c r="E1581" t="s">
        <v>25</v>
      </c>
      <c r="F1581" t="s">
        <v>11</v>
      </c>
      <c r="G1581">
        <v>4</v>
      </c>
      <c r="H1581">
        <v>872</v>
      </c>
      <c r="I1581" s="1">
        <v>105207</v>
      </c>
      <c r="J1581" s="1">
        <f>Raw_Data!$I1581/Raw_Data!$H1581</f>
        <v>120.65022935779817</v>
      </c>
    </row>
    <row r="1582" spans="1:10" x14ac:dyDescent="0.3">
      <c r="A1582" s="9">
        <v>38427</v>
      </c>
      <c r="B1582" s="2" t="str">
        <f>TEXT(Raw_Data!$A1582, "MMM")</f>
        <v>Mar</v>
      </c>
      <c r="C1582" s="2">
        <f>YEAR(Raw_Data!$A1582)</f>
        <v>2005</v>
      </c>
      <c r="D1582" s="2" t="s">
        <v>376</v>
      </c>
      <c r="E1582" s="2" t="s">
        <v>21</v>
      </c>
      <c r="F1582" s="2" t="s">
        <v>27</v>
      </c>
      <c r="G1582" s="2">
        <v>3</v>
      </c>
      <c r="H1582" s="2">
        <v>1125</v>
      </c>
      <c r="I1582" s="10">
        <v>108261</v>
      </c>
      <c r="J1582" s="10">
        <f>Raw_Data!$I1582/Raw_Data!$H1582</f>
        <v>96.231999999999999</v>
      </c>
    </row>
    <row r="1583" spans="1:10" x14ac:dyDescent="0.3">
      <c r="A1583" s="8">
        <v>38463</v>
      </c>
      <c r="B1583" t="str">
        <f>TEXT(Raw_Data!$A1583, "MMM")</f>
        <v>Apr</v>
      </c>
      <c r="C1583">
        <f>YEAR(Raw_Data!$A1583)</f>
        <v>2005</v>
      </c>
      <c r="D1583" t="s">
        <v>705</v>
      </c>
      <c r="E1583" t="s">
        <v>25</v>
      </c>
      <c r="F1583" t="s">
        <v>18</v>
      </c>
      <c r="H1583">
        <v>3395</v>
      </c>
      <c r="I1583" s="1">
        <v>720572</v>
      </c>
      <c r="J1583" s="1">
        <f>Raw_Data!$I1583/Raw_Data!$H1583</f>
        <v>212.24506627393225</v>
      </c>
    </row>
    <row r="1584" spans="1:10" x14ac:dyDescent="0.3">
      <c r="A1584" s="9">
        <v>39148</v>
      </c>
      <c r="B1584" s="2" t="str">
        <f>TEXT(Raw_Data!$A1584, "MMM")</f>
        <v>Mar</v>
      </c>
      <c r="C1584" s="2">
        <f>YEAR(Raw_Data!$A1584)</f>
        <v>2007</v>
      </c>
      <c r="D1584" s="2" t="s">
        <v>296</v>
      </c>
      <c r="E1584" s="2" t="s">
        <v>15</v>
      </c>
      <c r="F1584" s="2" t="s">
        <v>18</v>
      </c>
      <c r="G1584" s="2">
        <v>5</v>
      </c>
      <c r="H1584" s="2">
        <v>1464</v>
      </c>
      <c r="I1584" s="10">
        <v>814701</v>
      </c>
      <c r="J1584" s="10">
        <f>Raw_Data!$I1584/Raw_Data!$H1584</f>
        <v>556.48975409836066</v>
      </c>
    </row>
    <row r="1585" spans="1:10" x14ac:dyDescent="0.3">
      <c r="A1585" s="8">
        <v>42202</v>
      </c>
      <c r="B1585" t="str">
        <f>TEXT(Raw_Data!$A1585, "MMM")</f>
        <v>Jul</v>
      </c>
      <c r="C1585">
        <f>YEAR(Raw_Data!$A1585)</f>
        <v>2015</v>
      </c>
      <c r="D1585" t="s">
        <v>1362</v>
      </c>
      <c r="E1585" t="s">
        <v>25</v>
      </c>
      <c r="F1585" t="s">
        <v>18</v>
      </c>
      <c r="H1585">
        <v>1779</v>
      </c>
      <c r="I1585" s="1">
        <v>793111</v>
      </c>
      <c r="J1585" s="1">
        <f>Raw_Data!$I1585/Raw_Data!$H1585</f>
        <v>445.81843732433953</v>
      </c>
    </row>
    <row r="1586" spans="1:10" x14ac:dyDescent="0.3">
      <c r="A1586" s="9">
        <v>43876</v>
      </c>
      <c r="B1586" s="2" t="str">
        <f>TEXT(Raw_Data!$A1586, "MMM")</f>
        <v>Feb</v>
      </c>
      <c r="C1586" s="2">
        <f>YEAR(Raw_Data!$A1586)</f>
        <v>2020</v>
      </c>
      <c r="D1586" s="2" t="s">
        <v>1363</v>
      </c>
      <c r="E1586" s="2" t="s">
        <v>32</v>
      </c>
      <c r="F1586" s="2" t="s">
        <v>16</v>
      </c>
      <c r="G1586" s="2">
        <v>3</v>
      </c>
      <c r="H1586" s="2">
        <v>2382</v>
      </c>
      <c r="I1586" s="10">
        <v>691665</v>
      </c>
      <c r="J1586" s="10">
        <f>Raw_Data!$I1586/Raw_Data!$H1586</f>
        <v>290.37153652392948</v>
      </c>
    </row>
    <row r="1587" spans="1:10" x14ac:dyDescent="0.3">
      <c r="A1587" s="8">
        <v>40636</v>
      </c>
      <c r="B1587" t="str">
        <f>TEXT(Raw_Data!$A1587, "MMM")</f>
        <v>Apr</v>
      </c>
      <c r="C1587">
        <f>YEAR(Raw_Data!$A1587)</f>
        <v>2011</v>
      </c>
      <c r="D1587" t="s">
        <v>1364</v>
      </c>
      <c r="E1587" t="s">
        <v>23</v>
      </c>
      <c r="F1587" t="s">
        <v>27</v>
      </c>
      <c r="G1587">
        <v>2</v>
      </c>
      <c r="H1587">
        <v>916</v>
      </c>
      <c r="I1587" s="1">
        <v>742716</v>
      </c>
      <c r="J1587" s="1">
        <f>Raw_Data!$I1587/Raw_Data!$H1587</f>
        <v>810.82532751091708</v>
      </c>
    </row>
    <row r="1588" spans="1:10" x14ac:dyDescent="0.3">
      <c r="A1588" s="9">
        <v>39121</v>
      </c>
      <c r="B1588" s="2" t="str">
        <f>TEXT(Raw_Data!$A1588, "MMM")</f>
        <v>Feb</v>
      </c>
      <c r="C1588" s="2">
        <f>YEAR(Raw_Data!$A1588)</f>
        <v>2007</v>
      </c>
      <c r="D1588" s="2" t="s">
        <v>758</v>
      </c>
      <c r="E1588" s="2" t="s">
        <v>13</v>
      </c>
      <c r="F1588" s="2" t="s">
        <v>18</v>
      </c>
      <c r="G1588" s="2"/>
      <c r="H1588" s="2">
        <v>2752</v>
      </c>
      <c r="I1588" s="10">
        <v>356474</v>
      </c>
      <c r="J1588" s="10">
        <f>Raw_Data!$I1588/Raw_Data!$H1588</f>
        <v>129.53270348837211</v>
      </c>
    </row>
    <row r="1589" spans="1:10" x14ac:dyDescent="0.3">
      <c r="A1589" s="8">
        <v>37052</v>
      </c>
      <c r="B1589" t="str">
        <f>TEXT(Raw_Data!$A1589, "MMM")</f>
        <v>Jun</v>
      </c>
      <c r="C1589">
        <f>YEAR(Raw_Data!$A1589)</f>
        <v>2001</v>
      </c>
      <c r="D1589" t="s">
        <v>235</v>
      </c>
      <c r="E1589" t="s">
        <v>23</v>
      </c>
      <c r="F1589" t="s">
        <v>27</v>
      </c>
      <c r="H1589">
        <v>2552</v>
      </c>
      <c r="I1589" s="1">
        <v>193136</v>
      </c>
      <c r="J1589" s="1">
        <f>Raw_Data!$I1589/Raw_Data!$H1589</f>
        <v>75.680250783699066</v>
      </c>
    </row>
    <row r="1590" spans="1:10" x14ac:dyDescent="0.3">
      <c r="A1590" s="9">
        <v>37521</v>
      </c>
      <c r="B1590" s="2" t="str">
        <f>TEXT(Raw_Data!$A1590, "MMM")</f>
        <v>Sep</v>
      </c>
      <c r="C1590" s="2">
        <f>YEAR(Raw_Data!$A1590)</f>
        <v>2002</v>
      </c>
      <c r="D1590" s="2" t="s">
        <v>1365</v>
      </c>
      <c r="E1590" s="2" t="s">
        <v>29</v>
      </c>
      <c r="F1590" s="2" t="s">
        <v>18</v>
      </c>
      <c r="G1590" s="2"/>
      <c r="H1590" s="2">
        <v>1035</v>
      </c>
      <c r="I1590" s="10">
        <v>839335</v>
      </c>
      <c r="J1590" s="10">
        <f>Raw_Data!$I1590/Raw_Data!$H1590</f>
        <v>810.95169082125608</v>
      </c>
    </row>
    <row r="1591" spans="1:10" x14ac:dyDescent="0.3">
      <c r="A1591" s="8">
        <v>43113</v>
      </c>
      <c r="B1591" t="str">
        <f>TEXT(Raw_Data!$A1591, "MMM")</f>
        <v>Jan</v>
      </c>
      <c r="C1591">
        <f>YEAR(Raw_Data!$A1591)</f>
        <v>2018</v>
      </c>
      <c r="D1591" t="s">
        <v>1366</v>
      </c>
      <c r="E1591" t="s">
        <v>15</v>
      </c>
      <c r="F1591" t="s">
        <v>27</v>
      </c>
      <c r="G1591">
        <v>2</v>
      </c>
      <c r="H1591">
        <v>1112</v>
      </c>
      <c r="I1591" s="1">
        <v>605383</v>
      </c>
      <c r="J1591" s="1">
        <f>Raw_Data!$I1591/Raw_Data!$H1591</f>
        <v>544.40917266187046</v>
      </c>
    </row>
    <row r="1592" spans="1:10" x14ac:dyDescent="0.3">
      <c r="A1592" s="9">
        <v>41707</v>
      </c>
      <c r="B1592" s="2" t="str">
        <f>TEXT(Raw_Data!$A1592, "MMM")</f>
        <v>Mar</v>
      </c>
      <c r="C1592" s="2">
        <f>YEAR(Raw_Data!$A1592)</f>
        <v>2014</v>
      </c>
      <c r="D1592" s="2" t="s">
        <v>1367</v>
      </c>
      <c r="E1592" s="2" t="s">
        <v>15</v>
      </c>
      <c r="F1592" s="2" t="s">
        <v>27</v>
      </c>
      <c r="G1592" s="2">
        <v>2</v>
      </c>
      <c r="H1592" s="2">
        <v>1517</v>
      </c>
      <c r="I1592" s="10">
        <v>863117</v>
      </c>
      <c r="J1592" s="10">
        <f>Raw_Data!$I1592/Raw_Data!$H1592</f>
        <v>568.96308503625573</v>
      </c>
    </row>
    <row r="1593" spans="1:10" x14ac:dyDescent="0.3">
      <c r="A1593" s="8">
        <v>44027</v>
      </c>
      <c r="B1593" t="str">
        <f>TEXT(Raw_Data!$A1593, "MMM")</f>
        <v>Jul</v>
      </c>
      <c r="C1593">
        <f>YEAR(Raw_Data!$A1593)</f>
        <v>2020</v>
      </c>
      <c r="D1593" t="s">
        <v>1368</v>
      </c>
      <c r="E1593" t="s">
        <v>32</v>
      </c>
      <c r="F1593" t="s">
        <v>27</v>
      </c>
      <c r="H1593">
        <v>951</v>
      </c>
      <c r="I1593" s="1">
        <v>404433</v>
      </c>
      <c r="J1593" s="1">
        <f>Raw_Data!$I1593/Raw_Data!$H1593</f>
        <v>425.27129337539429</v>
      </c>
    </row>
    <row r="1594" spans="1:10" x14ac:dyDescent="0.3">
      <c r="A1594" s="9">
        <v>40930</v>
      </c>
      <c r="B1594" s="2" t="str">
        <f>TEXT(Raw_Data!$A1594, "MMM")</f>
        <v>Jan</v>
      </c>
      <c r="C1594" s="2">
        <f>YEAR(Raw_Data!$A1594)</f>
        <v>2012</v>
      </c>
      <c r="D1594" s="2" t="s">
        <v>1369</v>
      </c>
      <c r="E1594" s="2" t="s">
        <v>32</v>
      </c>
      <c r="F1594" s="2" t="s">
        <v>18</v>
      </c>
      <c r="G1594" s="2"/>
      <c r="H1594" s="2">
        <v>3225</v>
      </c>
      <c r="I1594" s="10">
        <v>188322</v>
      </c>
      <c r="J1594" s="10">
        <f>Raw_Data!$I1594/Raw_Data!$H1594</f>
        <v>58.394418604651165</v>
      </c>
    </row>
    <row r="1595" spans="1:10" x14ac:dyDescent="0.3">
      <c r="A1595" s="8">
        <v>40282</v>
      </c>
      <c r="B1595" t="str">
        <f>TEXT(Raw_Data!$A1595, "MMM")</f>
        <v>Apr</v>
      </c>
      <c r="C1595">
        <f>YEAR(Raw_Data!$A1595)</f>
        <v>2010</v>
      </c>
      <c r="D1595" t="s">
        <v>849</v>
      </c>
      <c r="E1595" t="s">
        <v>25</v>
      </c>
      <c r="F1595" t="s">
        <v>27</v>
      </c>
      <c r="G1595">
        <v>2</v>
      </c>
      <c r="H1595">
        <v>2578</v>
      </c>
      <c r="I1595" s="1">
        <v>545098</v>
      </c>
      <c r="J1595" s="1">
        <f>Raw_Data!$I1595/Raw_Data!$H1595</f>
        <v>211.44220325833979</v>
      </c>
    </row>
    <row r="1596" spans="1:10" x14ac:dyDescent="0.3">
      <c r="A1596" s="9">
        <v>41344</v>
      </c>
      <c r="B1596" s="2" t="str">
        <f>TEXT(Raw_Data!$A1596, "MMM")</f>
        <v>Mar</v>
      </c>
      <c r="C1596" s="2">
        <f>YEAR(Raw_Data!$A1596)</f>
        <v>2013</v>
      </c>
      <c r="D1596" s="2" t="s">
        <v>1370</v>
      </c>
      <c r="E1596" s="2" t="s">
        <v>25</v>
      </c>
      <c r="F1596" s="2" t="s">
        <v>27</v>
      </c>
      <c r="G1596" s="2">
        <v>3</v>
      </c>
      <c r="H1596" s="2">
        <v>2002</v>
      </c>
      <c r="I1596" s="10">
        <v>649284</v>
      </c>
      <c r="J1596" s="10">
        <f>Raw_Data!$I1596/Raw_Data!$H1596</f>
        <v>324.31768231768234</v>
      </c>
    </row>
    <row r="1597" spans="1:10" x14ac:dyDescent="0.3">
      <c r="A1597" s="8">
        <v>43442</v>
      </c>
      <c r="B1597" t="str">
        <f>TEXT(Raw_Data!$A1597, "MMM")</f>
        <v>Dec</v>
      </c>
      <c r="C1597">
        <f>YEAR(Raw_Data!$A1597)</f>
        <v>2018</v>
      </c>
      <c r="D1597" t="s">
        <v>1371</v>
      </c>
      <c r="E1597" t="s">
        <v>32</v>
      </c>
      <c r="F1597" t="s">
        <v>27</v>
      </c>
      <c r="G1597">
        <v>5</v>
      </c>
      <c r="H1597">
        <v>1372</v>
      </c>
      <c r="I1597" s="1">
        <v>140888</v>
      </c>
      <c r="J1597" s="1">
        <f>Raw_Data!$I1597/Raw_Data!$H1597</f>
        <v>102.68804664723032</v>
      </c>
    </row>
    <row r="1598" spans="1:10" x14ac:dyDescent="0.3">
      <c r="A1598" s="9">
        <v>42566</v>
      </c>
      <c r="B1598" s="2" t="str">
        <f>TEXT(Raw_Data!$A1598, "MMM")</f>
        <v>Jul</v>
      </c>
      <c r="C1598" s="2">
        <f>YEAR(Raw_Data!$A1598)</f>
        <v>2016</v>
      </c>
      <c r="D1598" s="2" t="s">
        <v>114</v>
      </c>
      <c r="E1598" s="2" t="s">
        <v>23</v>
      </c>
      <c r="F1598" s="2" t="s">
        <v>27</v>
      </c>
      <c r="G1598" s="2">
        <v>2</v>
      </c>
      <c r="H1598" s="2">
        <v>2227</v>
      </c>
      <c r="I1598" s="10">
        <v>478586</v>
      </c>
      <c r="J1598" s="10">
        <f>Raw_Data!$I1598/Raw_Data!$H1598</f>
        <v>214.90166142792995</v>
      </c>
    </row>
    <row r="1599" spans="1:10" x14ac:dyDescent="0.3">
      <c r="A1599" s="8">
        <v>43063</v>
      </c>
      <c r="B1599" t="str">
        <f>TEXT(Raw_Data!$A1599, "MMM")</f>
        <v>Nov</v>
      </c>
      <c r="C1599">
        <f>YEAR(Raw_Data!$A1599)</f>
        <v>2017</v>
      </c>
      <c r="D1599" t="s">
        <v>1372</v>
      </c>
      <c r="E1599" t="s">
        <v>25</v>
      </c>
      <c r="F1599" t="s">
        <v>18</v>
      </c>
      <c r="G1599">
        <v>3</v>
      </c>
      <c r="H1599">
        <v>2614</v>
      </c>
      <c r="I1599" s="1">
        <v>207902</v>
      </c>
      <c r="J1599" s="1">
        <f>Raw_Data!$I1599/Raw_Data!$H1599</f>
        <v>79.534047436878353</v>
      </c>
    </row>
    <row r="1600" spans="1:10" x14ac:dyDescent="0.3">
      <c r="A1600" s="9">
        <v>40281</v>
      </c>
      <c r="B1600" s="2" t="str">
        <f>TEXT(Raw_Data!$A1600, "MMM")</f>
        <v>Apr</v>
      </c>
      <c r="C1600" s="2">
        <f>YEAR(Raw_Data!$A1600)</f>
        <v>2010</v>
      </c>
      <c r="D1600" s="2" t="s">
        <v>1373</v>
      </c>
      <c r="E1600" s="2" t="s">
        <v>25</v>
      </c>
      <c r="F1600" s="2" t="s">
        <v>27</v>
      </c>
      <c r="G1600" s="2"/>
      <c r="H1600" s="2">
        <v>1479</v>
      </c>
      <c r="I1600" s="10">
        <v>121478</v>
      </c>
      <c r="J1600" s="10">
        <f>Raw_Data!$I1600/Raw_Data!$H1600</f>
        <v>82.135226504394865</v>
      </c>
    </row>
    <row r="1601" spans="1:10" x14ac:dyDescent="0.3">
      <c r="A1601" s="8">
        <v>43691</v>
      </c>
      <c r="B1601" t="str">
        <f>TEXT(Raw_Data!$A1601, "MMM")</f>
        <v>Aug</v>
      </c>
      <c r="C1601">
        <f>YEAR(Raw_Data!$A1601)</f>
        <v>2019</v>
      </c>
      <c r="D1601" t="s">
        <v>1374</v>
      </c>
      <c r="E1601" t="s">
        <v>32</v>
      </c>
      <c r="F1601" t="s">
        <v>18</v>
      </c>
      <c r="G1601">
        <v>4</v>
      </c>
      <c r="H1601">
        <v>1851</v>
      </c>
      <c r="I1601" s="1">
        <v>716394</v>
      </c>
      <c r="J1601" s="1">
        <f>Raw_Data!$I1601/Raw_Data!$H1601</f>
        <v>387.03079416531602</v>
      </c>
    </row>
    <row r="1602" spans="1:10" x14ac:dyDescent="0.3">
      <c r="A1602" s="9">
        <v>42473</v>
      </c>
      <c r="B1602" s="2" t="str">
        <f>TEXT(Raw_Data!$A1602, "MMM")</f>
        <v>Apr</v>
      </c>
      <c r="C1602" s="2">
        <f>YEAR(Raw_Data!$A1602)</f>
        <v>2016</v>
      </c>
      <c r="D1602" s="2" t="s">
        <v>1171</v>
      </c>
      <c r="E1602" s="2" t="s">
        <v>15</v>
      </c>
      <c r="F1602" s="2" t="s">
        <v>16</v>
      </c>
      <c r="G1602" s="2">
        <v>2</v>
      </c>
      <c r="H1602" s="2">
        <v>2350</v>
      </c>
      <c r="I1602" s="10">
        <v>753469</v>
      </c>
      <c r="J1602" s="10">
        <f>Raw_Data!$I1602/Raw_Data!$H1602</f>
        <v>320.62510638297874</v>
      </c>
    </row>
    <row r="1603" spans="1:10" x14ac:dyDescent="0.3">
      <c r="A1603" s="8">
        <v>38741</v>
      </c>
      <c r="B1603" t="str">
        <f>TEXT(Raw_Data!$A1603, "MMM")</f>
        <v>Jan</v>
      </c>
      <c r="C1603">
        <f>YEAR(Raw_Data!$A1603)</f>
        <v>2006</v>
      </c>
      <c r="D1603" t="s">
        <v>1375</v>
      </c>
      <c r="E1603" t="s">
        <v>25</v>
      </c>
      <c r="F1603" t="s">
        <v>11</v>
      </c>
      <c r="G1603">
        <v>2</v>
      </c>
      <c r="H1603">
        <v>2999</v>
      </c>
      <c r="I1603" s="1">
        <v>579341</v>
      </c>
      <c r="J1603" s="1">
        <f>Raw_Data!$I1603/Raw_Data!$H1603</f>
        <v>193.1780593531177</v>
      </c>
    </row>
    <row r="1604" spans="1:10" x14ac:dyDescent="0.3">
      <c r="A1604" s="9">
        <v>39688</v>
      </c>
      <c r="B1604" s="2" t="str">
        <f>TEXT(Raw_Data!$A1604, "MMM")</f>
        <v>Aug</v>
      </c>
      <c r="C1604" s="2">
        <f>YEAR(Raw_Data!$A1604)</f>
        <v>2008</v>
      </c>
      <c r="D1604" s="2" t="s">
        <v>1376</v>
      </c>
      <c r="E1604" s="2" t="s">
        <v>15</v>
      </c>
      <c r="F1604" s="2" t="s">
        <v>18</v>
      </c>
      <c r="G1604" s="2">
        <v>5</v>
      </c>
      <c r="H1604" s="2">
        <v>1152</v>
      </c>
      <c r="I1604" s="10">
        <v>456686</v>
      </c>
      <c r="J1604" s="10">
        <f>Raw_Data!$I1604/Raw_Data!$H1604</f>
        <v>396.42881944444446</v>
      </c>
    </row>
    <row r="1605" spans="1:10" x14ac:dyDescent="0.3">
      <c r="A1605" s="8">
        <v>42156</v>
      </c>
      <c r="B1605" t="str">
        <f>TEXT(Raw_Data!$A1605, "MMM")</f>
        <v>Jun</v>
      </c>
      <c r="C1605">
        <f>YEAR(Raw_Data!$A1605)</f>
        <v>2015</v>
      </c>
      <c r="D1605" t="s">
        <v>320</v>
      </c>
      <c r="E1605" t="s">
        <v>32</v>
      </c>
      <c r="F1605" t="s">
        <v>27</v>
      </c>
      <c r="G1605">
        <v>2</v>
      </c>
      <c r="H1605">
        <v>3178</v>
      </c>
      <c r="I1605" s="1">
        <v>679480</v>
      </c>
      <c r="J1605" s="1">
        <f>Raw_Data!$I1605/Raw_Data!$H1605</f>
        <v>213.80742605412209</v>
      </c>
    </row>
    <row r="1606" spans="1:10" x14ac:dyDescent="0.3">
      <c r="A1606" s="9">
        <v>38167</v>
      </c>
      <c r="B1606" s="2" t="str">
        <f>TEXT(Raw_Data!$A1606, "MMM")</f>
        <v>Jun</v>
      </c>
      <c r="C1606" s="2">
        <f>YEAR(Raw_Data!$A1606)</f>
        <v>2004</v>
      </c>
      <c r="D1606" s="2" t="s">
        <v>1377</v>
      </c>
      <c r="E1606" s="2" t="s">
        <v>32</v>
      </c>
      <c r="F1606" s="2" t="s">
        <v>27</v>
      </c>
      <c r="G1606" s="2"/>
      <c r="H1606" s="2">
        <v>3234</v>
      </c>
      <c r="I1606" s="10">
        <v>633581</v>
      </c>
      <c r="J1606" s="10">
        <f>Raw_Data!$I1606/Raw_Data!$H1606</f>
        <v>195.91249226963512</v>
      </c>
    </row>
    <row r="1607" spans="1:10" x14ac:dyDescent="0.3">
      <c r="A1607" s="8">
        <v>37887</v>
      </c>
      <c r="B1607" t="str">
        <f>TEXT(Raw_Data!$A1607, "MMM")</f>
        <v>Sep</v>
      </c>
      <c r="C1607">
        <f>YEAR(Raw_Data!$A1607)</f>
        <v>2003</v>
      </c>
      <c r="D1607" t="s">
        <v>1378</v>
      </c>
      <c r="E1607" t="s">
        <v>15</v>
      </c>
      <c r="F1607" t="s">
        <v>11</v>
      </c>
      <c r="G1607">
        <v>3</v>
      </c>
      <c r="H1607">
        <v>865</v>
      </c>
      <c r="I1607" s="1">
        <v>829653</v>
      </c>
      <c r="J1607" s="1">
        <f>Raw_Data!$I1607/Raw_Data!$H1607</f>
        <v>959.13641618497115</v>
      </c>
    </row>
    <row r="1608" spans="1:10" x14ac:dyDescent="0.3">
      <c r="A1608" s="9">
        <v>38914</v>
      </c>
      <c r="B1608" s="2" t="str">
        <f>TEXT(Raw_Data!$A1608, "MMM")</f>
        <v>Jul</v>
      </c>
      <c r="C1608" s="2">
        <f>YEAR(Raw_Data!$A1608)</f>
        <v>2006</v>
      </c>
      <c r="D1608" s="2" t="s">
        <v>1379</v>
      </c>
      <c r="E1608" s="2" t="s">
        <v>32</v>
      </c>
      <c r="F1608" s="2" t="s">
        <v>11</v>
      </c>
      <c r="G1608" s="2">
        <v>3</v>
      </c>
      <c r="H1608" s="2">
        <v>2601</v>
      </c>
      <c r="I1608" s="10">
        <v>801515</v>
      </c>
      <c r="J1608" s="10">
        <f>Raw_Data!$I1608/Raw_Data!$H1608</f>
        <v>308.15647827758556</v>
      </c>
    </row>
    <row r="1609" spans="1:10" x14ac:dyDescent="0.3">
      <c r="A1609" s="8">
        <v>42959</v>
      </c>
      <c r="B1609" t="str">
        <f>TEXT(Raw_Data!$A1609, "MMM")</f>
        <v>Aug</v>
      </c>
      <c r="C1609">
        <f>YEAR(Raw_Data!$A1609)</f>
        <v>2017</v>
      </c>
      <c r="D1609" t="s">
        <v>336</v>
      </c>
      <c r="E1609" t="s">
        <v>32</v>
      </c>
      <c r="F1609" t="s">
        <v>11</v>
      </c>
      <c r="G1609">
        <v>2</v>
      </c>
      <c r="H1609">
        <v>2553</v>
      </c>
      <c r="I1609" s="1">
        <v>516006</v>
      </c>
      <c r="J1609" s="1">
        <f>Raw_Data!$I1609/Raw_Data!$H1609</f>
        <v>202.11750881316098</v>
      </c>
    </row>
    <row r="1610" spans="1:10" x14ac:dyDescent="0.3">
      <c r="A1610" s="9">
        <v>41671</v>
      </c>
      <c r="B1610" s="2" t="str">
        <f>TEXT(Raw_Data!$A1610, "MMM")</f>
        <v>Feb</v>
      </c>
      <c r="C1610" s="2">
        <f>YEAR(Raw_Data!$A1610)</f>
        <v>2014</v>
      </c>
      <c r="D1610" s="2" t="s">
        <v>1380</v>
      </c>
      <c r="E1610" s="2" t="s">
        <v>25</v>
      </c>
      <c r="F1610" s="2" t="s">
        <v>18</v>
      </c>
      <c r="G1610" s="2">
        <v>4</v>
      </c>
      <c r="H1610" s="2">
        <v>1591</v>
      </c>
      <c r="I1610" s="10">
        <v>392018</v>
      </c>
      <c r="J1610" s="10">
        <f>Raw_Data!$I1610/Raw_Data!$H1610</f>
        <v>246.39723444374607</v>
      </c>
    </row>
    <row r="1611" spans="1:10" x14ac:dyDescent="0.3">
      <c r="A1611" s="8">
        <v>43259</v>
      </c>
      <c r="B1611" t="str">
        <f>TEXT(Raw_Data!$A1611, "MMM")</f>
        <v>Jun</v>
      </c>
      <c r="C1611">
        <f>YEAR(Raw_Data!$A1611)</f>
        <v>2018</v>
      </c>
      <c r="D1611" t="s">
        <v>1381</v>
      </c>
      <c r="E1611" t="s">
        <v>15</v>
      </c>
      <c r="F1611" t="s">
        <v>16</v>
      </c>
      <c r="G1611">
        <v>2</v>
      </c>
      <c r="H1611">
        <v>2861</v>
      </c>
      <c r="I1611" s="1">
        <v>500121</v>
      </c>
      <c r="J1611" s="1">
        <f>Raw_Data!$I1611/Raw_Data!$H1611</f>
        <v>174.80636141209368</v>
      </c>
    </row>
    <row r="1612" spans="1:10" x14ac:dyDescent="0.3">
      <c r="A1612" s="9">
        <v>39035</v>
      </c>
      <c r="B1612" s="2" t="str">
        <f>TEXT(Raw_Data!$A1612, "MMM")</f>
        <v>Nov</v>
      </c>
      <c r="C1612" s="2">
        <f>YEAR(Raw_Data!$A1612)</f>
        <v>2006</v>
      </c>
      <c r="D1612" s="2" t="s">
        <v>1382</v>
      </c>
      <c r="E1612" s="2" t="s">
        <v>15</v>
      </c>
      <c r="F1612" s="2" t="s">
        <v>11</v>
      </c>
      <c r="G1612" s="2">
        <v>5</v>
      </c>
      <c r="H1612" s="2">
        <v>1117</v>
      </c>
      <c r="I1612" s="10">
        <v>261238</v>
      </c>
      <c r="J1612" s="10">
        <f>Raw_Data!$I1612/Raw_Data!$H1612</f>
        <v>233.8746642793196</v>
      </c>
    </row>
    <row r="1613" spans="1:10" x14ac:dyDescent="0.3">
      <c r="A1613" s="8">
        <v>41584</v>
      </c>
      <c r="B1613" t="str">
        <f>TEXT(Raw_Data!$A1613, "MMM")</f>
        <v>Nov</v>
      </c>
      <c r="C1613">
        <f>YEAR(Raw_Data!$A1613)</f>
        <v>2013</v>
      </c>
      <c r="D1613" t="s">
        <v>1383</v>
      </c>
      <c r="E1613" t="s">
        <v>15</v>
      </c>
      <c r="F1613" t="s">
        <v>18</v>
      </c>
      <c r="G1613">
        <v>5</v>
      </c>
      <c r="H1613">
        <v>1327</v>
      </c>
      <c r="I1613" s="1">
        <v>524470</v>
      </c>
      <c r="J1613" s="1">
        <f>Raw_Data!$I1613/Raw_Data!$H1613</f>
        <v>395.22984174830447</v>
      </c>
    </row>
    <row r="1614" spans="1:10" x14ac:dyDescent="0.3">
      <c r="A1614" s="9">
        <v>40860</v>
      </c>
      <c r="B1614" s="2" t="str">
        <f>TEXT(Raw_Data!$A1614, "MMM")</f>
        <v>Nov</v>
      </c>
      <c r="C1614" s="2">
        <f>YEAR(Raw_Data!$A1614)</f>
        <v>2011</v>
      </c>
      <c r="D1614" s="2" t="s">
        <v>1384</v>
      </c>
      <c r="E1614" s="2" t="s">
        <v>32</v>
      </c>
      <c r="F1614" s="2" t="s">
        <v>11</v>
      </c>
      <c r="G1614" s="2">
        <v>4</v>
      </c>
      <c r="H1614" s="2">
        <v>2214</v>
      </c>
      <c r="I1614" s="10">
        <v>291721</v>
      </c>
      <c r="J1614" s="10">
        <f>Raw_Data!$I1614/Raw_Data!$H1614</f>
        <v>131.76196928635952</v>
      </c>
    </row>
    <row r="1615" spans="1:10" x14ac:dyDescent="0.3">
      <c r="A1615" s="8">
        <v>39203</v>
      </c>
      <c r="B1615" t="str">
        <f>TEXT(Raw_Data!$A1615, "MMM")</f>
        <v>May</v>
      </c>
      <c r="C1615">
        <f>YEAR(Raw_Data!$A1615)</f>
        <v>2007</v>
      </c>
      <c r="D1615" t="s">
        <v>1385</v>
      </c>
      <c r="E1615" t="s">
        <v>25</v>
      </c>
      <c r="F1615" t="s">
        <v>16</v>
      </c>
      <c r="G1615">
        <v>2</v>
      </c>
      <c r="H1615">
        <v>3221</v>
      </c>
      <c r="I1615" s="1">
        <v>887017</v>
      </c>
      <c r="J1615" s="1">
        <f>Raw_Data!$I1615/Raw_Data!$H1615</f>
        <v>275.38559453585844</v>
      </c>
    </row>
    <row r="1616" spans="1:10" x14ac:dyDescent="0.3">
      <c r="A1616" s="9">
        <v>39117</v>
      </c>
      <c r="B1616" s="2" t="str">
        <f>TEXT(Raw_Data!$A1616, "MMM")</f>
        <v>Feb</v>
      </c>
      <c r="C1616" s="2">
        <f>YEAR(Raw_Data!$A1616)</f>
        <v>2007</v>
      </c>
      <c r="D1616" s="2" t="s">
        <v>1253</v>
      </c>
      <c r="E1616" s="2" t="s">
        <v>25</v>
      </c>
      <c r="F1616" s="2" t="s">
        <v>27</v>
      </c>
      <c r="G1616" s="2">
        <v>2</v>
      </c>
      <c r="H1616" s="2">
        <v>3196</v>
      </c>
      <c r="I1616" s="10">
        <v>225995</v>
      </c>
      <c r="J1616" s="10">
        <f>Raw_Data!$I1616/Raw_Data!$H1616</f>
        <v>70.711827284105127</v>
      </c>
    </row>
    <row r="1617" spans="1:10" x14ac:dyDescent="0.3">
      <c r="A1617" s="8">
        <v>43049</v>
      </c>
      <c r="B1617" t="str">
        <f>TEXT(Raw_Data!$A1617, "MMM")</f>
        <v>Nov</v>
      </c>
      <c r="C1617">
        <f>YEAR(Raw_Data!$A1617)</f>
        <v>2017</v>
      </c>
      <c r="D1617" t="s">
        <v>1386</v>
      </c>
      <c r="E1617" t="s">
        <v>32</v>
      </c>
      <c r="F1617" t="s">
        <v>16</v>
      </c>
      <c r="G1617">
        <v>2</v>
      </c>
      <c r="H1617">
        <v>2147</v>
      </c>
      <c r="I1617" s="1">
        <v>421504</v>
      </c>
      <c r="J1617" s="1">
        <f>Raw_Data!$I1617/Raw_Data!$H1617</f>
        <v>196.32231020027945</v>
      </c>
    </row>
    <row r="1618" spans="1:10" x14ac:dyDescent="0.3">
      <c r="A1618" s="9">
        <v>38806</v>
      </c>
      <c r="B1618" s="2" t="str">
        <f>TEXT(Raw_Data!$A1618, "MMM")</f>
        <v>Mar</v>
      </c>
      <c r="C1618" s="2">
        <f>YEAR(Raw_Data!$A1618)</f>
        <v>2006</v>
      </c>
      <c r="D1618" s="2" t="s">
        <v>933</v>
      </c>
      <c r="E1618" s="2" t="s">
        <v>15</v>
      </c>
      <c r="F1618" s="2" t="s">
        <v>27</v>
      </c>
      <c r="G1618" s="2">
        <v>2</v>
      </c>
      <c r="H1618" s="2">
        <v>3113</v>
      </c>
      <c r="I1618" s="10">
        <v>194120</v>
      </c>
      <c r="J1618" s="10">
        <f>Raw_Data!$I1618/Raw_Data!$H1618</f>
        <v>62.357854159974302</v>
      </c>
    </row>
    <row r="1619" spans="1:10" x14ac:dyDescent="0.3">
      <c r="A1619" s="8">
        <v>42487</v>
      </c>
      <c r="B1619" t="str">
        <f>TEXT(Raw_Data!$A1619, "MMM")</f>
        <v>Apr</v>
      </c>
      <c r="C1619">
        <f>YEAR(Raw_Data!$A1619)</f>
        <v>2016</v>
      </c>
      <c r="D1619" t="s">
        <v>171</v>
      </c>
      <c r="E1619" t="s">
        <v>32</v>
      </c>
      <c r="F1619" t="s">
        <v>27</v>
      </c>
      <c r="G1619">
        <v>2</v>
      </c>
      <c r="H1619">
        <v>1734</v>
      </c>
      <c r="I1619" s="1">
        <v>512616</v>
      </c>
      <c r="J1619" s="1">
        <f>Raw_Data!$I1619/Raw_Data!$H1619</f>
        <v>295.62629757785464</v>
      </c>
    </row>
    <row r="1620" spans="1:10" x14ac:dyDescent="0.3">
      <c r="A1620" s="9">
        <v>37445</v>
      </c>
      <c r="B1620" s="2" t="str">
        <f>TEXT(Raw_Data!$A1620, "MMM")</f>
        <v>Jul</v>
      </c>
      <c r="C1620" s="2">
        <f>YEAR(Raw_Data!$A1620)</f>
        <v>2002</v>
      </c>
      <c r="D1620" s="2" t="s">
        <v>751</v>
      </c>
      <c r="E1620" s="2" t="s">
        <v>32</v>
      </c>
      <c r="F1620" s="2" t="s">
        <v>27</v>
      </c>
      <c r="G1620" s="2">
        <v>5</v>
      </c>
      <c r="H1620" s="2">
        <v>2470</v>
      </c>
      <c r="I1620" s="10">
        <v>604175</v>
      </c>
      <c r="J1620" s="10">
        <f>Raw_Data!$I1620/Raw_Data!$H1620</f>
        <v>244.60526315789474</v>
      </c>
    </row>
    <row r="1621" spans="1:10" x14ac:dyDescent="0.3">
      <c r="A1621" s="8">
        <v>43708</v>
      </c>
      <c r="B1621" t="str">
        <f>TEXT(Raw_Data!$A1621, "MMM")</f>
        <v>Aug</v>
      </c>
      <c r="C1621">
        <f>YEAR(Raw_Data!$A1621)</f>
        <v>2019</v>
      </c>
      <c r="D1621" t="s">
        <v>1387</v>
      </c>
      <c r="E1621" t="s">
        <v>13</v>
      </c>
      <c r="F1621" t="s">
        <v>27</v>
      </c>
      <c r="H1621">
        <v>2524</v>
      </c>
      <c r="I1621" s="1">
        <v>641523</v>
      </c>
      <c r="J1621" s="1">
        <f>Raw_Data!$I1621/Raw_Data!$H1621</f>
        <v>254.16917591125198</v>
      </c>
    </row>
    <row r="1622" spans="1:10" x14ac:dyDescent="0.3">
      <c r="A1622" s="9">
        <v>39230</v>
      </c>
      <c r="B1622" s="2" t="str">
        <f>TEXT(Raw_Data!$A1622, "MMM")</f>
        <v>May</v>
      </c>
      <c r="C1622" s="2">
        <f>YEAR(Raw_Data!$A1622)</f>
        <v>2007</v>
      </c>
      <c r="D1622" s="2" t="s">
        <v>1388</v>
      </c>
      <c r="E1622" s="2" t="s">
        <v>32</v>
      </c>
      <c r="F1622" s="2" t="s">
        <v>18</v>
      </c>
      <c r="G1622" s="2">
        <v>5</v>
      </c>
      <c r="H1622" s="2">
        <v>1208</v>
      </c>
      <c r="I1622" s="10">
        <v>646017</v>
      </c>
      <c r="J1622" s="10">
        <f>Raw_Data!$I1622/Raw_Data!$H1622</f>
        <v>534.78228476821187</v>
      </c>
    </row>
    <row r="1623" spans="1:10" x14ac:dyDescent="0.3">
      <c r="A1623" s="8">
        <v>43422</v>
      </c>
      <c r="B1623" t="str">
        <f>TEXT(Raw_Data!$A1623, "MMM")</f>
        <v>Nov</v>
      </c>
      <c r="C1623">
        <f>YEAR(Raw_Data!$A1623)</f>
        <v>2018</v>
      </c>
      <c r="D1623" t="s">
        <v>1389</v>
      </c>
      <c r="E1623" t="s">
        <v>32</v>
      </c>
      <c r="F1623" t="s">
        <v>18</v>
      </c>
      <c r="G1623">
        <v>5</v>
      </c>
      <c r="H1623">
        <v>1066</v>
      </c>
      <c r="I1623" s="1">
        <v>292326</v>
      </c>
      <c r="J1623" s="1">
        <f>Raw_Data!$I1623/Raw_Data!$H1623</f>
        <v>274.2270168855535</v>
      </c>
    </row>
    <row r="1624" spans="1:10" x14ac:dyDescent="0.3">
      <c r="A1624" s="9">
        <v>41108</v>
      </c>
      <c r="B1624" s="2" t="str">
        <f>TEXT(Raw_Data!$A1624, "MMM")</f>
        <v>Jul</v>
      </c>
      <c r="C1624" s="2">
        <f>YEAR(Raw_Data!$A1624)</f>
        <v>2012</v>
      </c>
      <c r="D1624" s="2" t="s">
        <v>1390</v>
      </c>
      <c r="E1624" s="2" t="s">
        <v>29</v>
      </c>
      <c r="F1624" s="2" t="s">
        <v>27</v>
      </c>
      <c r="G1624" s="2">
        <v>4</v>
      </c>
      <c r="H1624" s="2">
        <v>1591</v>
      </c>
      <c r="I1624" s="10">
        <v>339290</v>
      </c>
      <c r="J1624" s="10">
        <f>Raw_Data!$I1624/Raw_Data!$H1624</f>
        <v>213.25581395348837</v>
      </c>
    </row>
    <row r="1625" spans="1:10" x14ac:dyDescent="0.3">
      <c r="A1625" s="8">
        <v>39895</v>
      </c>
      <c r="B1625" t="str">
        <f>TEXT(Raw_Data!$A1625, "MMM")</f>
        <v>Mar</v>
      </c>
      <c r="C1625">
        <f>YEAR(Raw_Data!$A1625)</f>
        <v>2009</v>
      </c>
      <c r="D1625" t="s">
        <v>730</v>
      </c>
      <c r="E1625" t="s">
        <v>25</v>
      </c>
      <c r="F1625" t="s">
        <v>27</v>
      </c>
      <c r="H1625">
        <v>1833</v>
      </c>
      <c r="I1625" s="1">
        <v>154542</v>
      </c>
      <c r="J1625" s="1">
        <f>Raw_Data!$I1625/Raw_Data!$H1625</f>
        <v>84.310965630114566</v>
      </c>
    </row>
    <row r="1626" spans="1:10" x14ac:dyDescent="0.3">
      <c r="A1626" s="9">
        <v>41276</v>
      </c>
      <c r="B1626" s="2" t="str">
        <f>TEXT(Raw_Data!$A1626, "MMM")</f>
        <v>Jan</v>
      </c>
      <c r="C1626" s="2">
        <f>YEAR(Raw_Data!$A1626)</f>
        <v>2013</v>
      </c>
      <c r="D1626" s="2" t="s">
        <v>1391</v>
      </c>
      <c r="E1626" s="2" t="s">
        <v>15</v>
      </c>
      <c r="F1626" s="2" t="s">
        <v>18</v>
      </c>
      <c r="G1626" s="2">
        <v>5</v>
      </c>
      <c r="H1626" s="2">
        <v>2469</v>
      </c>
      <c r="I1626" s="10">
        <v>129068</v>
      </c>
      <c r="J1626" s="10">
        <f>Raw_Data!$I1626/Raw_Data!$H1626</f>
        <v>52.275415147833129</v>
      </c>
    </row>
    <row r="1627" spans="1:10" x14ac:dyDescent="0.3">
      <c r="A1627" s="8">
        <v>40294</v>
      </c>
      <c r="B1627" t="str">
        <f>TEXT(Raw_Data!$A1627, "MMM")</f>
        <v>Apr</v>
      </c>
      <c r="C1627">
        <f>YEAR(Raw_Data!$A1627)</f>
        <v>2010</v>
      </c>
      <c r="D1627" t="s">
        <v>1392</v>
      </c>
      <c r="E1627" t="s">
        <v>25</v>
      </c>
      <c r="F1627" t="s">
        <v>27</v>
      </c>
      <c r="H1627">
        <v>3494</v>
      </c>
      <c r="I1627" s="1">
        <v>410680</v>
      </c>
      <c r="J1627" s="1">
        <f>Raw_Data!$I1627/Raw_Data!$H1627</f>
        <v>117.53863766456783</v>
      </c>
    </row>
    <row r="1628" spans="1:10" x14ac:dyDescent="0.3">
      <c r="A1628" s="9">
        <v>37032</v>
      </c>
      <c r="B1628" s="2" t="str">
        <f>TEXT(Raw_Data!$A1628, "MMM")</f>
        <v>May</v>
      </c>
      <c r="C1628" s="2">
        <f>YEAR(Raw_Data!$A1628)</f>
        <v>2001</v>
      </c>
      <c r="D1628" s="2" t="s">
        <v>1393</v>
      </c>
      <c r="E1628" s="2" t="s">
        <v>23</v>
      </c>
      <c r="F1628" s="2" t="s">
        <v>11</v>
      </c>
      <c r="G1628" s="2">
        <v>5</v>
      </c>
      <c r="H1628" s="2">
        <v>3185</v>
      </c>
      <c r="I1628" s="10">
        <v>676125</v>
      </c>
      <c r="J1628" s="10">
        <f>Raw_Data!$I1628/Raw_Data!$H1628</f>
        <v>212.28414442700156</v>
      </c>
    </row>
    <row r="1629" spans="1:10" x14ac:dyDescent="0.3">
      <c r="A1629" s="8">
        <v>39638</v>
      </c>
      <c r="B1629" t="str">
        <f>TEXT(Raw_Data!$A1629, "MMM")</f>
        <v>Jul</v>
      </c>
      <c r="C1629">
        <f>YEAR(Raw_Data!$A1629)</f>
        <v>2008</v>
      </c>
      <c r="D1629" t="s">
        <v>1394</v>
      </c>
      <c r="E1629" t="s">
        <v>29</v>
      </c>
      <c r="F1629" t="s">
        <v>27</v>
      </c>
      <c r="G1629">
        <v>4</v>
      </c>
      <c r="H1629">
        <v>2850</v>
      </c>
      <c r="I1629" s="1">
        <v>623293</v>
      </c>
      <c r="J1629" s="1">
        <f>Raw_Data!$I1629/Raw_Data!$H1629</f>
        <v>218.69929824561405</v>
      </c>
    </row>
    <row r="1630" spans="1:10" x14ac:dyDescent="0.3">
      <c r="A1630" s="9">
        <v>39864</v>
      </c>
      <c r="B1630" s="2" t="str">
        <f>TEXT(Raw_Data!$A1630, "MMM")</f>
        <v>Feb</v>
      </c>
      <c r="C1630" s="2">
        <f>YEAR(Raw_Data!$A1630)</f>
        <v>2009</v>
      </c>
      <c r="D1630" s="2" t="s">
        <v>1395</v>
      </c>
      <c r="E1630" s="2" t="s">
        <v>15</v>
      </c>
      <c r="F1630" s="2" t="s">
        <v>27</v>
      </c>
      <c r="G1630" s="2"/>
      <c r="H1630" s="2">
        <v>2530</v>
      </c>
      <c r="I1630" s="10">
        <v>136819</v>
      </c>
      <c r="J1630" s="10">
        <f>Raw_Data!$I1630/Raw_Data!$H1630</f>
        <v>54.078656126482215</v>
      </c>
    </row>
    <row r="1631" spans="1:10" x14ac:dyDescent="0.3">
      <c r="A1631" s="8">
        <v>39724</v>
      </c>
      <c r="B1631" t="str">
        <f>TEXT(Raw_Data!$A1631, "MMM")</f>
        <v>Oct</v>
      </c>
      <c r="C1631">
        <f>YEAR(Raw_Data!$A1631)</f>
        <v>2008</v>
      </c>
      <c r="D1631" t="s">
        <v>1396</v>
      </c>
      <c r="E1631" t="s">
        <v>15</v>
      </c>
      <c r="F1631" t="s">
        <v>16</v>
      </c>
      <c r="G1631">
        <v>5</v>
      </c>
      <c r="H1631">
        <v>1961</v>
      </c>
      <c r="I1631" s="1">
        <v>443976</v>
      </c>
      <c r="J1631" s="1">
        <f>Raw_Data!$I1631/Raw_Data!$H1631</f>
        <v>226.40285568587456</v>
      </c>
    </row>
    <row r="1632" spans="1:10" x14ac:dyDescent="0.3">
      <c r="A1632" s="9">
        <v>38372</v>
      </c>
      <c r="B1632" s="2" t="str">
        <f>TEXT(Raw_Data!$A1632, "MMM")</f>
        <v>Jan</v>
      </c>
      <c r="C1632" s="2">
        <f>YEAR(Raw_Data!$A1632)</f>
        <v>2005</v>
      </c>
      <c r="D1632" s="2" t="s">
        <v>1320</v>
      </c>
      <c r="E1632" s="2" t="s">
        <v>13</v>
      </c>
      <c r="F1632" s="2" t="s">
        <v>18</v>
      </c>
      <c r="G1632" s="2">
        <v>4</v>
      </c>
      <c r="H1632" s="2">
        <v>1547</v>
      </c>
      <c r="I1632" s="10">
        <v>330148</v>
      </c>
      <c r="J1632" s="10">
        <f>Raw_Data!$I1632/Raw_Data!$H1632</f>
        <v>213.41176470588235</v>
      </c>
    </row>
    <row r="1633" spans="1:10" x14ac:dyDescent="0.3">
      <c r="A1633" s="8">
        <v>37536</v>
      </c>
      <c r="B1633" t="str">
        <f>TEXT(Raw_Data!$A1633, "MMM")</f>
        <v>Oct</v>
      </c>
      <c r="C1633">
        <f>YEAR(Raw_Data!$A1633)</f>
        <v>2002</v>
      </c>
      <c r="D1633" t="s">
        <v>1397</v>
      </c>
      <c r="E1633" t="s">
        <v>15</v>
      </c>
      <c r="F1633" t="s">
        <v>11</v>
      </c>
      <c r="H1633">
        <v>1458</v>
      </c>
      <c r="I1633" s="1">
        <v>640918</v>
      </c>
      <c r="J1633" s="1">
        <f>Raw_Data!$I1633/Raw_Data!$H1633</f>
        <v>439.58710562414268</v>
      </c>
    </row>
    <row r="1634" spans="1:10" x14ac:dyDescent="0.3">
      <c r="A1634" s="9">
        <v>41856</v>
      </c>
      <c r="B1634" s="2" t="str">
        <f>TEXT(Raw_Data!$A1634, "MMM")</f>
        <v>Aug</v>
      </c>
      <c r="C1634" s="2">
        <f>YEAR(Raw_Data!$A1634)</f>
        <v>2014</v>
      </c>
      <c r="D1634" s="2" t="s">
        <v>916</v>
      </c>
      <c r="E1634" s="2" t="s">
        <v>23</v>
      </c>
      <c r="F1634" s="2" t="s">
        <v>11</v>
      </c>
      <c r="G1634" s="2">
        <v>5</v>
      </c>
      <c r="H1634" s="2">
        <v>2397</v>
      </c>
      <c r="I1634" s="10">
        <v>673728</v>
      </c>
      <c r="J1634" s="10">
        <f>Raw_Data!$I1634/Raw_Data!$H1634</f>
        <v>281.07133917396749</v>
      </c>
    </row>
    <row r="1635" spans="1:10" x14ac:dyDescent="0.3">
      <c r="A1635" s="8">
        <v>38878</v>
      </c>
      <c r="B1635" t="str">
        <f>TEXT(Raw_Data!$A1635, "MMM")</f>
        <v>Jun</v>
      </c>
      <c r="C1635">
        <f>YEAR(Raw_Data!$A1635)</f>
        <v>2006</v>
      </c>
      <c r="D1635" t="s">
        <v>69</v>
      </c>
      <c r="E1635" t="s">
        <v>32</v>
      </c>
      <c r="F1635" t="s">
        <v>11</v>
      </c>
      <c r="G1635">
        <v>3</v>
      </c>
      <c r="H1635">
        <v>2368</v>
      </c>
      <c r="I1635" s="1">
        <v>444185</v>
      </c>
      <c r="J1635" s="1">
        <f>Raw_Data!$I1635/Raw_Data!$H1635</f>
        <v>187.578125</v>
      </c>
    </row>
    <row r="1636" spans="1:10" x14ac:dyDescent="0.3">
      <c r="A1636" s="9">
        <v>39430</v>
      </c>
      <c r="B1636" s="2" t="str">
        <f>TEXT(Raw_Data!$A1636, "MMM")</f>
        <v>Dec</v>
      </c>
      <c r="C1636" s="2">
        <f>YEAR(Raw_Data!$A1636)</f>
        <v>2007</v>
      </c>
      <c r="D1636" s="2" t="s">
        <v>1398</v>
      </c>
      <c r="E1636" s="2" t="s">
        <v>23</v>
      </c>
      <c r="F1636" s="2" t="s">
        <v>16</v>
      </c>
      <c r="G1636" s="2"/>
      <c r="H1636" s="2">
        <v>1798</v>
      </c>
      <c r="I1636" s="10">
        <v>387677</v>
      </c>
      <c r="J1636" s="10">
        <f>Raw_Data!$I1636/Raw_Data!$H1636</f>
        <v>215.61568409343715</v>
      </c>
    </row>
    <row r="1637" spans="1:10" x14ac:dyDescent="0.3">
      <c r="A1637" s="8">
        <v>41907</v>
      </c>
      <c r="B1637" t="str">
        <f>TEXT(Raw_Data!$A1637, "MMM")</f>
        <v>Sep</v>
      </c>
      <c r="C1637">
        <f>YEAR(Raw_Data!$A1637)</f>
        <v>2014</v>
      </c>
      <c r="D1637" t="s">
        <v>1399</v>
      </c>
      <c r="E1637" t="s">
        <v>25</v>
      </c>
      <c r="F1637" t="s">
        <v>11</v>
      </c>
      <c r="H1637">
        <v>3440</v>
      </c>
      <c r="I1637" s="1">
        <v>582893</v>
      </c>
      <c r="J1637" s="1">
        <f>Raw_Data!$I1637/Raw_Data!$H1637</f>
        <v>169.44563953488372</v>
      </c>
    </row>
    <row r="1638" spans="1:10" x14ac:dyDescent="0.3">
      <c r="A1638" s="9">
        <v>43714</v>
      </c>
      <c r="B1638" s="2" t="str">
        <f>TEXT(Raw_Data!$A1638, "MMM")</f>
        <v>Sep</v>
      </c>
      <c r="C1638" s="2">
        <f>YEAR(Raw_Data!$A1638)</f>
        <v>2019</v>
      </c>
      <c r="D1638" s="2" t="s">
        <v>1086</v>
      </c>
      <c r="E1638" s="2" t="s">
        <v>15</v>
      </c>
      <c r="F1638" s="2" t="s">
        <v>16</v>
      </c>
      <c r="G1638" s="2">
        <v>5</v>
      </c>
      <c r="H1638" s="2">
        <v>1317</v>
      </c>
      <c r="I1638" s="10">
        <v>293923</v>
      </c>
      <c r="J1638" s="10">
        <f>Raw_Data!$I1638/Raw_Data!$H1638</f>
        <v>223.17615793470009</v>
      </c>
    </row>
    <row r="1639" spans="1:10" x14ac:dyDescent="0.3">
      <c r="A1639" s="8">
        <v>38815</v>
      </c>
      <c r="B1639" t="str">
        <f>TEXT(Raw_Data!$A1639, "MMM")</f>
        <v>Apr</v>
      </c>
      <c r="C1639">
        <f>YEAR(Raw_Data!$A1639)</f>
        <v>2006</v>
      </c>
      <c r="D1639" t="s">
        <v>637</v>
      </c>
      <c r="E1639" t="s">
        <v>15</v>
      </c>
      <c r="F1639" t="s">
        <v>11</v>
      </c>
      <c r="G1639">
        <v>4</v>
      </c>
      <c r="H1639">
        <v>1313</v>
      </c>
      <c r="I1639" s="1">
        <v>705282</v>
      </c>
      <c r="J1639" s="1">
        <f>Raw_Data!$I1639/Raw_Data!$H1639</f>
        <v>537.15308453922319</v>
      </c>
    </row>
    <row r="1640" spans="1:10" x14ac:dyDescent="0.3">
      <c r="A1640" s="9">
        <v>42623</v>
      </c>
      <c r="B1640" s="2" t="str">
        <f>TEXT(Raw_Data!$A1640, "MMM")</f>
        <v>Sep</v>
      </c>
      <c r="C1640" s="2">
        <f>YEAR(Raw_Data!$A1640)</f>
        <v>2016</v>
      </c>
      <c r="D1640" s="2" t="s">
        <v>1400</v>
      </c>
      <c r="E1640" s="2" t="s">
        <v>32</v>
      </c>
      <c r="F1640" s="2" t="s">
        <v>11</v>
      </c>
      <c r="G1640" s="2">
        <v>3</v>
      </c>
      <c r="H1640" s="2">
        <v>1440</v>
      </c>
      <c r="I1640" s="10">
        <v>540258</v>
      </c>
      <c r="J1640" s="10">
        <f>Raw_Data!$I1640/Raw_Data!$H1640</f>
        <v>375.17916666666667</v>
      </c>
    </row>
    <row r="1641" spans="1:10" x14ac:dyDescent="0.3">
      <c r="A1641" s="8">
        <v>40744</v>
      </c>
      <c r="B1641" t="str">
        <f>TEXT(Raw_Data!$A1641, "MMM")</f>
        <v>Jul</v>
      </c>
      <c r="C1641">
        <f>YEAR(Raw_Data!$A1641)</f>
        <v>2011</v>
      </c>
      <c r="D1641" t="s">
        <v>1401</v>
      </c>
      <c r="E1641" t="s">
        <v>13</v>
      </c>
      <c r="F1641" t="s">
        <v>27</v>
      </c>
      <c r="G1641">
        <v>4</v>
      </c>
      <c r="H1641">
        <v>2257</v>
      </c>
      <c r="I1641" s="1">
        <v>430246</v>
      </c>
      <c r="J1641" s="1">
        <f>Raw_Data!$I1641/Raw_Data!$H1641</f>
        <v>190.62738147984049</v>
      </c>
    </row>
    <row r="1642" spans="1:10" x14ac:dyDescent="0.3">
      <c r="A1642" s="9">
        <v>38188</v>
      </c>
      <c r="B1642" s="2" t="str">
        <f>TEXT(Raw_Data!$A1642, "MMM")</f>
        <v>Jul</v>
      </c>
      <c r="C1642" s="2">
        <f>YEAR(Raw_Data!$A1642)</f>
        <v>2004</v>
      </c>
      <c r="D1642" s="2" t="s">
        <v>533</v>
      </c>
      <c r="E1642" s="2" t="s">
        <v>13</v>
      </c>
      <c r="F1642" s="2" t="s">
        <v>18</v>
      </c>
      <c r="G1642" s="2">
        <v>5</v>
      </c>
      <c r="H1642" s="2">
        <v>2119</v>
      </c>
      <c r="I1642" s="10">
        <v>273329</v>
      </c>
      <c r="J1642" s="10">
        <f>Raw_Data!$I1642/Raw_Data!$H1642</f>
        <v>128.98961774421898</v>
      </c>
    </row>
    <row r="1643" spans="1:10" x14ac:dyDescent="0.3">
      <c r="A1643" s="8">
        <v>42307</v>
      </c>
      <c r="B1643" t="str">
        <f>TEXT(Raw_Data!$A1643, "MMM")</f>
        <v>Oct</v>
      </c>
      <c r="C1643">
        <f>YEAR(Raw_Data!$A1643)</f>
        <v>2015</v>
      </c>
      <c r="D1643" t="s">
        <v>1402</v>
      </c>
      <c r="E1643" t="s">
        <v>15</v>
      </c>
      <c r="F1643" t="s">
        <v>27</v>
      </c>
      <c r="G1643">
        <v>3</v>
      </c>
      <c r="H1643">
        <v>2553</v>
      </c>
      <c r="I1643" s="1">
        <v>467403</v>
      </c>
      <c r="J1643" s="1">
        <f>Raw_Data!$I1643/Raw_Data!$H1643</f>
        <v>183.07990599294948</v>
      </c>
    </row>
    <row r="1644" spans="1:10" x14ac:dyDescent="0.3">
      <c r="A1644" s="9">
        <v>37837</v>
      </c>
      <c r="B1644" s="2" t="str">
        <f>TEXT(Raw_Data!$A1644, "MMM")</f>
        <v>Aug</v>
      </c>
      <c r="C1644" s="2">
        <f>YEAR(Raw_Data!$A1644)</f>
        <v>2003</v>
      </c>
      <c r="D1644" s="2" t="s">
        <v>1403</v>
      </c>
      <c r="E1644" s="2" t="s">
        <v>32</v>
      </c>
      <c r="F1644" s="2" t="s">
        <v>11</v>
      </c>
      <c r="G1644" s="2">
        <v>3</v>
      </c>
      <c r="H1644" s="2">
        <v>1877</v>
      </c>
      <c r="I1644" s="10">
        <v>807568</v>
      </c>
      <c r="J1644" s="10">
        <f>Raw_Data!$I1644/Raw_Data!$H1644</f>
        <v>430.2440063931806</v>
      </c>
    </row>
    <row r="1645" spans="1:10" x14ac:dyDescent="0.3">
      <c r="A1645" s="8">
        <v>41490</v>
      </c>
      <c r="B1645" t="str">
        <f>TEXT(Raw_Data!$A1645, "MMM")</f>
        <v>Aug</v>
      </c>
      <c r="C1645">
        <f>YEAR(Raw_Data!$A1645)</f>
        <v>2013</v>
      </c>
      <c r="D1645" t="s">
        <v>1404</v>
      </c>
      <c r="E1645" t="s">
        <v>13</v>
      </c>
      <c r="F1645" t="s">
        <v>27</v>
      </c>
      <c r="H1645">
        <v>851</v>
      </c>
      <c r="I1645" s="1">
        <v>204830</v>
      </c>
      <c r="J1645" s="1">
        <f>Raw_Data!$I1645/Raw_Data!$H1645</f>
        <v>240.69330199764983</v>
      </c>
    </row>
    <row r="1646" spans="1:10" x14ac:dyDescent="0.3">
      <c r="A1646" s="9">
        <v>38550</v>
      </c>
      <c r="B1646" s="2" t="str">
        <f>TEXT(Raw_Data!$A1646, "MMM")</f>
        <v>Jul</v>
      </c>
      <c r="C1646" s="2">
        <f>YEAR(Raw_Data!$A1646)</f>
        <v>2005</v>
      </c>
      <c r="D1646" s="2" t="s">
        <v>1405</v>
      </c>
      <c r="E1646" s="2" t="s">
        <v>15</v>
      </c>
      <c r="F1646" s="2" t="s">
        <v>27</v>
      </c>
      <c r="G1646" s="2">
        <v>4</v>
      </c>
      <c r="H1646" s="2">
        <v>3044</v>
      </c>
      <c r="I1646" s="10">
        <v>222628</v>
      </c>
      <c r="J1646" s="10">
        <f>Raw_Data!$I1646/Raw_Data!$H1646</f>
        <v>73.136662286465182</v>
      </c>
    </row>
    <row r="1647" spans="1:10" x14ac:dyDescent="0.3">
      <c r="A1647" s="8">
        <v>39287</v>
      </c>
      <c r="B1647" t="str">
        <f>TEXT(Raw_Data!$A1647, "MMM")</f>
        <v>Jul</v>
      </c>
      <c r="C1647">
        <f>YEAR(Raw_Data!$A1647)</f>
        <v>2007</v>
      </c>
      <c r="D1647" t="s">
        <v>1406</v>
      </c>
      <c r="E1647" t="s">
        <v>25</v>
      </c>
      <c r="F1647" t="s">
        <v>16</v>
      </c>
      <c r="G1647">
        <v>2</v>
      </c>
      <c r="H1647">
        <v>1649</v>
      </c>
      <c r="I1647" s="1">
        <v>845621</v>
      </c>
      <c r="J1647" s="1">
        <f>Raw_Data!$I1647/Raw_Data!$H1647</f>
        <v>512.80836870830808</v>
      </c>
    </row>
    <row r="1648" spans="1:10" x14ac:dyDescent="0.3">
      <c r="A1648" s="9">
        <v>38174</v>
      </c>
      <c r="B1648" s="2" t="str">
        <f>TEXT(Raw_Data!$A1648, "MMM")</f>
        <v>Jul</v>
      </c>
      <c r="C1648" s="2">
        <f>YEAR(Raw_Data!$A1648)</f>
        <v>2004</v>
      </c>
      <c r="D1648" s="2" t="s">
        <v>1407</v>
      </c>
      <c r="E1648" s="2" t="s">
        <v>13</v>
      </c>
      <c r="F1648" s="2" t="s">
        <v>16</v>
      </c>
      <c r="G1648" s="2">
        <v>3</v>
      </c>
      <c r="H1648" s="2">
        <v>1196</v>
      </c>
      <c r="I1648" s="10">
        <v>500041</v>
      </c>
      <c r="J1648" s="10">
        <f>Raw_Data!$I1648/Raw_Data!$H1648</f>
        <v>418.09448160535118</v>
      </c>
    </row>
    <row r="1649" spans="1:10" x14ac:dyDescent="0.3">
      <c r="A1649" s="8">
        <v>43913</v>
      </c>
      <c r="B1649" t="str">
        <f>TEXT(Raw_Data!$A1649, "MMM")</f>
        <v>Mar</v>
      </c>
      <c r="C1649">
        <f>YEAR(Raw_Data!$A1649)</f>
        <v>2020</v>
      </c>
      <c r="D1649" t="s">
        <v>1408</v>
      </c>
      <c r="E1649" t="s">
        <v>15</v>
      </c>
      <c r="F1649" t="s">
        <v>11</v>
      </c>
      <c r="G1649">
        <v>3</v>
      </c>
      <c r="H1649">
        <v>1916</v>
      </c>
      <c r="I1649" s="1">
        <v>468757</v>
      </c>
      <c r="J1649" s="1">
        <f>Raw_Data!$I1649/Raw_Data!$H1649</f>
        <v>244.65396659707724</v>
      </c>
    </row>
    <row r="1650" spans="1:10" x14ac:dyDescent="0.3">
      <c r="A1650" s="9">
        <v>38425</v>
      </c>
      <c r="B1650" s="2" t="str">
        <f>TEXT(Raw_Data!$A1650, "MMM")</f>
        <v>Mar</v>
      </c>
      <c r="C1650" s="2">
        <f>YEAR(Raw_Data!$A1650)</f>
        <v>2005</v>
      </c>
      <c r="D1650" s="2" t="s">
        <v>1409</v>
      </c>
      <c r="E1650" s="2" t="s">
        <v>25</v>
      </c>
      <c r="F1650" s="2" t="s">
        <v>11</v>
      </c>
      <c r="G1650" s="2"/>
      <c r="H1650" s="2">
        <v>1731</v>
      </c>
      <c r="I1650" s="10">
        <v>123126</v>
      </c>
      <c r="J1650" s="10">
        <f>Raw_Data!$I1650/Raw_Data!$H1650</f>
        <v>71.129982668977476</v>
      </c>
    </row>
    <row r="1651" spans="1:10" x14ac:dyDescent="0.3">
      <c r="A1651" s="8">
        <v>39841</v>
      </c>
      <c r="B1651" t="str">
        <f>TEXT(Raw_Data!$A1651, "MMM")</f>
        <v>Jan</v>
      </c>
      <c r="C1651">
        <f>YEAR(Raw_Data!$A1651)</f>
        <v>2009</v>
      </c>
      <c r="D1651" t="s">
        <v>1410</v>
      </c>
      <c r="E1651" t="s">
        <v>23</v>
      </c>
      <c r="F1651" t="s">
        <v>18</v>
      </c>
      <c r="H1651">
        <v>1306</v>
      </c>
      <c r="I1651" s="1">
        <v>884710</v>
      </c>
      <c r="J1651" s="1">
        <f>Raw_Data!$I1651/Raw_Data!$H1651</f>
        <v>677.4196018376723</v>
      </c>
    </row>
    <row r="1652" spans="1:10" x14ac:dyDescent="0.3">
      <c r="A1652" s="9">
        <v>42594</v>
      </c>
      <c r="B1652" s="2" t="str">
        <f>TEXT(Raw_Data!$A1652, "MMM")</f>
        <v>Aug</v>
      </c>
      <c r="C1652" s="2">
        <f>YEAR(Raw_Data!$A1652)</f>
        <v>2016</v>
      </c>
      <c r="D1652" s="2" t="s">
        <v>1102</v>
      </c>
      <c r="E1652" s="2" t="s">
        <v>13</v>
      </c>
      <c r="F1652" s="2" t="s">
        <v>27</v>
      </c>
      <c r="G1652" s="2"/>
      <c r="H1652" s="2">
        <v>3290</v>
      </c>
      <c r="I1652" s="10">
        <v>345283</v>
      </c>
      <c r="J1652" s="10">
        <f>Raw_Data!$I1652/Raw_Data!$H1652</f>
        <v>104.94924012158054</v>
      </c>
    </row>
    <row r="1653" spans="1:10" x14ac:dyDescent="0.3">
      <c r="A1653" s="8">
        <v>43247</v>
      </c>
      <c r="B1653" t="str">
        <f>TEXT(Raw_Data!$A1653, "MMM")</f>
        <v>May</v>
      </c>
      <c r="C1653">
        <f>YEAR(Raw_Data!$A1653)</f>
        <v>2018</v>
      </c>
      <c r="D1653" t="s">
        <v>1411</v>
      </c>
      <c r="E1653" t="s">
        <v>15</v>
      </c>
      <c r="F1653" t="s">
        <v>27</v>
      </c>
      <c r="H1653">
        <v>967</v>
      </c>
      <c r="I1653" s="1">
        <v>659272</v>
      </c>
      <c r="J1653" s="1">
        <f>Raw_Data!$I1653/Raw_Data!$H1653</f>
        <v>681.77042399172694</v>
      </c>
    </row>
    <row r="1654" spans="1:10" x14ac:dyDescent="0.3">
      <c r="A1654" s="9">
        <v>41254</v>
      </c>
      <c r="B1654" s="2" t="str">
        <f>TEXT(Raw_Data!$A1654, "MMM")</f>
        <v>Dec</v>
      </c>
      <c r="C1654" s="2">
        <f>YEAR(Raw_Data!$A1654)</f>
        <v>2012</v>
      </c>
      <c r="D1654" s="2" t="s">
        <v>1412</v>
      </c>
      <c r="E1654" s="2" t="s">
        <v>32</v>
      </c>
      <c r="F1654" s="2" t="s">
        <v>16</v>
      </c>
      <c r="G1654" s="2"/>
      <c r="H1654" s="2">
        <v>1815</v>
      </c>
      <c r="I1654" s="10">
        <v>118712</v>
      </c>
      <c r="J1654" s="10">
        <f>Raw_Data!$I1654/Raw_Data!$H1654</f>
        <v>65.406060606060606</v>
      </c>
    </row>
    <row r="1655" spans="1:10" x14ac:dyDescent="0.3">
      <c r="A1655" s="8">
        <v>37308</v>
      </c>
      <c r="B1655" t="str">
        <f>TEXT(Raw_Data!$A1655, "MMM")</f>
        <v>Feb</v>
      </c>
      <c r="C1655">
        <f>YEAR(Raw_Data!$A1655)</f>
        <v>2002</v>
      </c>
      <c r="D1655" t="s">
        <v>385</v>
      </c>
      <c r="E1655" t="s">
        <v>32</v>
      </c>
      <c r="F1655" t="s">
        <v>11</v>
      </c>
      <c r="G1655">
        <v>2</v>
      </c>
      <c r="H1655">
        <v>3161</v>
      </c>
      <c r="I1655" s="1">
        <v>303576</v>
      </c>
      <c r="J1655" s="1">
        <f>Raw_Data!$I1655/Raw_Data!$H1655</f>
        <v>96.037962670041125</v>
      </c>
    </row>
    <row r="1656" spans="1:10" x14ac:dyDescent="0.3">
      <c r="A1656" s="9">
        <v>38467</v>
      </c>
      <c r="B1656" s="2" t="str">
        <f>TEXT(Raw_Data!$A1656, "MMM")</f>
        <v>Apr</v>
      </c>
      <c r="C1656" s="2">
        <f>YEAR(Raw_Data!$A1656)</f>
        <v>2005</v>
      </c>
      <c r="D1656" s="2" t="s">
        <v>1413</v>
      </c>
      <c r="E1656" s="2" t="s">
        <v>25</v>
      </c>
      <c r="F1656" s="2" t="s">
        <v>11</v>
      </c>
      <c r="G1656" s="2">
        <v>3</v>
      </c>
      <c r="H1656" s="2">
        <v>1179</v>
      </c>
      <c r="I1656" s="10">
        <v>840117</v>
      </c>
      <c r="J1656" s="10">
        <f>Raw_Data!$I1656/Raw_Data!$H1656</f>
        <v>712.56743002544533</v>
      </c>
    </row>
    <row r="1657" spans="1:10" x14ac:dyDescent="0.3">
      <c r="A1657" s="8">
        <v>37149</v>
      </c>
      <c r="B1657" t="str">
        <f>TEXT(Raw_Data!$A1657, "MMM")</f>
        <v>Sep</v>
      </c>
      <c r="C1657">
        <f>YEAR(Raw_Data!$A1657)</f>
        <v>2001</v>
      </c>
      <c r="D1657" t="s">
        <v>1414</v>
      </c>
      <c r="E1657" t="s">
        <v>15</v>
      </c>
      <c r="F1657" t="s">
        <v>18</v>
      </c>
      <c r="G1657">
        <v>4</v>
      </c>
      <c r="H1657">
        <v>3008</v>
      </c>
      <c r="I1657" s="1">
        <v>799000</v>
      </c>
      <c r="J1657" s="1">
        <f>Raw_Data!$I1657/Raw_Data!$H1657</f>
        <v>265.625</v>
      </c>
    </row>
    <row r="1658" spans="1:10" x14ac:dyDescent="0.3">
      <c r="A1658" s="9">
        <v>43757</v>
      </c>
      <c r="B1658" s="2" t="str">
        <f>TEXT(Raw_Data!$A1658, "MMM")</f>
        <v>Oct</v>
      </c>
      <c r="C1658" s="2">
        <f>YEAR(Raw_Data!$A1658)</f>
        <v>2019</v>
      </c>
      <c r="D1658" s="2" t="s">
        <v>1415</v>
      </c>
      <c r="E1658" s="2" t="s">
        <v>25</v>
      </c>
      <c r="F1658" s="2" t="s">
        <v>18</v>
      </c>
      <c r="G1658" s="2">
        <v>4</v>
      </c>
      <c r="H1658" s="2">
        <v>2470</v>
      </c>
      <c r="I1658" s="10">
        <v>301270</v>
      </c>
      <c r="J1658" s="10">
        <f>Raw_Data!$I1658/Raw_Data!$H1658</f>
        <v>121.97165991902834</v>
      </c>
    </row>
    <row r="1659" spans="1:10" x14ac:dyDescent="0.3">
      <c r="A1659" s="8">
        <v>39971</v>
      </c>
      <c r="B1659" t="str">
        <f>TEXT(Raw_Data!$A1659, "MMM")</f>
        <v>Jun</v>
      </c>
      <c r="C1659">
        <f>YEAR(Raw_Data!$A1659)</f>
        <v>2009</v>
      </c>
      <c r="D1659" t="s">
        <v>611</v>
      </c>
      <c r="E1659" t="s">
        <v>25</v>
      </c>
      <c r="F1659" t="s">
        <v>27</v>
      </c>
      <c r="G1659">
        <v>5</v>
      </c>
      <c r="H1659">
        <v>2751</v>
      </c>
      <c r="I1659" s="1">
        <v>844712</v>
      </c>
      <c r="J1659" s="1">
        <f>Raw_Data!$I1659/Raw_Data!$H1659</f>
        <v>307.05634314794622</v>
      </c>
    </row>
    <row r="1660" spans="1:10" x14ac:dyDescent="0.3">
      <c r="A1660" s="9">
        <v>43595</v>
      </c>
      <c r="B1660" s="2" t="str">
        <f>TEXT(Raw_Data!$A1660, "MMM")</f>
        <v>May</v>
      </c>
      <c r="C1660" s="2">
        <f>YEAR(Raw_Data!$A1660)</f>
        <v>2019</v>
      </c>
      <c r="D1660" s="2" t="s">
        <v>1416</v>
      </c>
      <c r="E1660" s="2" t="s">
        <v>13</v>
      </c>
      <c r="F1660" s="2" t="s">
        <v>27</v>
      </c>
      <c r="G1660" s="2"/>
      <c r="H1660" s="2">
        <v>3200</v>
      </c>
      <c r="I1660" s="10">
        <v>429646</v>
      </c>
      <c r="J1660" s="10">
        <f>Raw_Data!$I1660/Raw_Data!$H1660</f>
        <v>134.264375</v>
      </c>
    </row>
    <row r="1661" spans="1:10" x14ac:dyDescent="0.3">
      <c r="A1661" s="8">
        <v>41962</v>
      </c>
      <c r="B1661" t="str">
        <f>TEXT(Raw_Data!$A1661, "MMM")</f>
        <v>Nov</v>
      </c>
      <c r="C1661">
        <f>YEAR(Raw_Data!$A1661)</f>
        <v>2014</v>
      </c>
      <c r="D1661" t="s">
        <v>1417</v>
      </c>
      <c r="E1661" t="s">
        <v>21</v>
      </c>
      <c r="F1661" t="s">
        <v>16</v>
      </c>
      <c r="G1661">
        <v>4</v>
      </c>
      <c r="H1661">
        <v>944</v>
      </c>
      <c r="I1661" s="1">
        <v>492735</v>
      </c>
      <c r="J1661" s="1">
        <f>Raw_Data!$I1661/Raw_Data!$H1661</f>
        <v>521.96504237288138</v>
      </c>
    </row>
    <row r="1662" spans="1:10" x14ac:dyDescent="0.3">
      <c r="A1662" s="9">
        <v>37296</v>
      </c>
      <c r="B1662" s="2" t="str">
        <f>TEXT(Raw_Data!$A1662, "MMM")</f>
        <v>Feb</v>
      </c>
      <c r="C1662" s="2">
        <f>YEAR(Raw_Data!$A1662)</f>
        <v>2002</v>
      </c>
      <c r="D1662" s="2" t="s">
        <v>1418</v>
      </c>
      <c r="E1662" s="2" t="s">
        <v>29</v>
      </c>
      <c r="F1662" s="2" t="s">
        <v>16</v>
      </c>
      <c r="G1662" s="2">
        <v>2</v>
      </c>
      <c r="H1662" s="2">
        <v>1268</v>
      </c>
      <c r="I1662" s="10"/>
      <c r="J1662" s="10">
        <f>Raw_Data!$I1662/Raw_Data!$H1662</f>
        <v>0</v>
      </c>
    </row>
    <row r="1663" spans="1:10" x14ac:dyDescent="0.3">
      <c r="A1663" s="8">
        <v>43439</v>
      </c>
      <c r="B1663" t="str">
        <f>TEXT(Raw_Data!$A1663, "MMM")</f>
        <v>Dec</v>
      </c>
      <c r="C1663">
        <f>YEAR(Raw_Data!$A1663)</f>
        <v>2018</v>
      </c>
      <c r="D1663" t="s">
        <v>1419</v>
      </c>
      <c r="E1663" t="s">
        <v>29</v>
      </c>
      <c r="F1663" t="s">
        <v>16</v>
      </c>
      <c r="H1663">
        <v>1367</v>
      </c>
      <c r="I1663" s="1">
        <v>455761</v>
      </c>
      <c r="J1663" s="1">
        <f>Raw_Data!$I1663/Raw_Data!$H1663</f>
        <v>333.40234089246525</v>
      </c>
    </row>
    <row r="1664" spans="1:10" x14ac:dyDescent="0.3">
      <c r="A1664" s="9">
        <v>41100</v>
      </c>
      <c r="B1664" s="2" t="str">
        <f>TEXT(Raw_Data!$A1664, "MMM")</f>
        <v>Jul</v>
      </c>
      <c r="C1664" s="2">
        <f>YEAR(Raw_Data!$A1664)</f>
        <v>2012</v>
      </c>
      <c r="D1664" s="2" t="s">
        <v>437</v>
      </c>
      <c r="E1664" s="2" t="s">
        <v>23</v>
      </c>
      <c r="F1664" s="2" t="s">
        <v>16</v>
      </c>
      <c r="G1664" s="2">
        <v>5</v>
      </c>
      <c r="H1664" s="2">
        <v>2750</v>
      </c>
      <c r="I1664" s="10">
        <v>364687</v>
      </c>
      <c r="J1664" s="10">
        <f>Raw_Data!$I1664/Raw_Data!$H1664</f>
        <v>132.61345454545454</v>
      </c>
    </row>
    <row r="1665" spans="1:10" x14ac:dyDescent="0.3">
      <c r="A1665" s="8">
        <v>41612</v>
      </c>
      <c r="B1665" t="str">
        <f>TEXT(Raw_Data!$A1665, "MMM")</f>
        <v>Dec</v>
      </c>
      <c r="C1665">
        <f>YEAR(Raw_Data!$A1665)</f>
        <v>2013</v>
      </c>
      <c r="D1665" t="s">
        <v>1420</v>
      </c>
      <c r="E1665" t="s">
        <v>25</v>
      </c>
      <c r="F1665" t="s">
        <v>11</v>
      </c>
      <c r="H1665">
        <v>2563</v>
      </c>
      <c r="I1665" s="1">
        <v>304846</v>
      </c>
      <c r="J1665" s="1">
        <f>Raw_Data!$I1665/Raw_Data!$H1665</f>
        <v>118.94108466640655</v>
      </c>
    </row>
    <row r="1666" spans="1:10" x14ac:dyDescent="0.3">
      <c r="A1666" s="9">
        <v>37623</v>
      </c>
      <c r="B1666" s="2" t="str">
        <f>TEXT(Raw_Data!$A1666, "MMM")</f>
        <v>Jan</v>
      </c>
      <c r="C1666" s="2">
        <f>YEAR(Raw_Data!$A1666)</f>
        <v>2003</v>
      </c>
      <c r="D1666" s="2" t="s">
        <v>1421</v>
      </c>
      <c r="E1666" s="2" t="s">
        <v>13</v>
      </c>
      <c r="F1666" s="2" t="s">
        <v>27</v>
      </c>
      <c r="G1666" s="2">
        <v>2</v>
      </c>
      <c r="H1666" s="2">
        <v>2598</v>
      </c>
      <c r="I1666" s="10">
        <v>547380</v>
      </c>
      <c r="J1666" s="10">
        <f>Raw_Data!$I1666/Raw_Data!$H1666</f>
        <v>210.69284064665126</v>
      </c>
    </row>
    <row r="1667" spans="1:10" x14ac:dyDescent="0.3">
      <c r="A1667" s="8">
        <v>41841</v>
      </c>
      <c r="B1667" t="str">
        <f>TEXT(Raw_Data!$A1667, "MMM")</f>
        <v>Jul</v>
      </c>
      <c r="C1667">
        <f>YEAR(Raw_Data!$A1667)</f>
        <v>2014</v>
      </c>
      <c r="D1667" t="s">
        <v>619</v>
      </c>
      <c r="E1667" t="s">
        <v>25</v>
      </c>
      <c r="F1667" t="s">
        <v>11</v>
      </c>
      <c r="G1667">
        <v>2</v>
      </c>
      <c r="H1667">
        <v>3444</v>
      </c>
      <c r="I1667" s="1">
        <v>359555</v>
      </c>
      <c r="J1667" s="1">
        <f>Raw_Data!$I1667/Raw_Data!$H1667</f>
        <v>104.40040650406505</v>
      </c>
    </row>
    <row r="1668" spans="1:10" x14ac:dyDescent="0.3">
      <c r="A1668" s="9">
        <v>40131</v>
      </c>
      <c r="B1668" s="2" t="str">
        <f>TEXT(Raw_Data!$A1668, "MMM")</f>
        <v>Nov</v>
      </c>
      <c r="C1668" s="2">
        <f>YEAR(Raw_Data!$A1668)</f>
        <v>2009</v>
      </c>
      <c r="D1668" s="2" t="s">
        <v>1422</v>
      </c>
      <c r="E1668" s="2" t="s">
        <v>25</v>
      </c>
      <c r="F1668" s="2" t="s">
        <v>18</v>
      </c>
      <c r="G1668" s="2">
        <v>3</v>
      </c>
      <c r="H1668" s="2">
        <v>1637</v>
      </c>
      <c r="I1668" s="10">
        <v>280959</v>
      </c>
      <c r="J1668" s="10">
        <f>Raw_Data!$I1668/Raw_Data!$H1668</f>
        <v>171.63042150274893</v>
      </c>
    </row>
    <row r="1669" spans="1:10" x14ac:dyDescent="0.3">
      <c r="A1669" s="8">
        <v>38393</v>
      </c>
      <c r="B1669" t="str">
        <f>TEXT(Raw_Data!$A1669, "MMM")</f>
        <v>Feb</v>
      </c>
      <c r="C1669">
        <f>YEAR(Raw_Data!$A1669)</f>
        <v>2005</v>
      </c>
      <c r="D1669" t="s">
        <v>1423</v>
      </c>
      <c r="E1669" t="s">
        <v>15</v>
      </c>
      <c r="F1669" t="s">
        <v>27</v>
      </c>
      <c r="H1669">
        <v>2747</v>
      </c>
      <c r="I1669" s="1">
        <v>147244</v>
      </c>
      <c r="J1669" s="1">
        <f>Raw_Data!$I1669/Raw_Data!$H1669</f>
        <v>53.601747360757187</v>
      </c>
    </row>
    <row r="1670" spans="1:10" x14ac:dyDescent="0.3">
      <c r="A1670" s="9">
        <v>40298</v>
      </c>
      <c r="B1670" s="2" t="str">
        <f>TEXT(Raw_Data!$A1670, "MMM")</f>
        <v>Apr</v>
      </c>
      <c r="C1670" s="2">
        <f>YEAR(Raw_Data!$A1670)</f>
        <v>2010</v>
      </c>
      <c r="D1670" s="2" t="s">
        <v>1424</v>
      </c>
      <c r="E1670" s="2" t="s">
        <v>25</v>
      </c>
      <c r="F1670" s="2" t="s">
        <v>27</v>
      </c>
      <c r="G1670" s="2"/>
      <c r="H1670" s="2">
        <v>2785</v>
      </c>
      <c r="I1670" s="10">
        <v>857920</v>
      </c>
      <c r="J1670" s="10">
        <f>Raw_Data!$I1670/Raw_Data!$H1670</f>
        <v>308.05026929982046</v>
      </c>
    </row>
    <row r="1671" spans="1:10" x14ac:dyDescent="0.3">
      <c r="A1671" s="8">
        <v>38931</v>
      </c>
      <c r="B1671" t="str">
        <f>TEXT(Raw_Data!$A1671, "MMM")</f>
        <v>Aug</v>
      </c>
      <c r="C1671">
        <f>YEAR(Raw_Data!$A1671)</f>
        <v>2006</v>
      </c>
      <c r="D1671" t="s">
        <v>532</v>
      </c>
      <c r="E1671" t="s">
        <v>15</v>
      </c>
      <c r="F1671" t="s">
        <v>11</v>
      </c>
      <c r="G1671">
        <v>5</v>
      </c>
      <c r="H1671">
        <v>3210</v>
      </c>
      <c r="I1671" s="1">
        <v>143867</v>
      </c>
      <c r="J1671" s="1">
        <f>Raw_Data!$I1671/Raw_Data!$H1671</f>
        <v>44.818380062305295</v>
      </c>
    </row>
    <row r="1672" spans="1:10" x14ac:dyDescent="0.3">
      <c r="A1672" s="9">
        <v>39008</v>
      </c>
      <c r="B1672" s="2" t="str">
        <f>TEXT(Raw_Data!$A1672, "MMM")</f>
        <v>Oct</v>
      </c>
      <c r="C1672" s="2">
        <f>YEAR(Raw_Data!$A1672)</f>
        <v>2006</v>
      </c>
      <c r="D1672" s="2" t="s">
        <v>946</v>
      </c>
      <c r="E1672" s="2" t="s">
        <v>21</v>
      </c>
      <c r="F1672" s="2" t="s">
        <v>16</v>
      </c>
      <c r="G1672" s="2">
        <v>3</v>
      </c>
      <c r="H1672" s="2">
        <v>2857</v>
      </c>
      <c r="I1672" s="10">
        <v>499455</v>
      </c>
      <c r="J1672" s="10">
        <f>Raw_Data!$I1672/Raw_Data!$H1672</f>
        <v>174.81799089954498</v>
      </c>
    </row>
    <row r="1673" spans="1:10" x14ac:dyDescent="0.3">
      <c r="A1673" s="8">
        <v>42515</v>
      </c>
      <c r="B1673" t="str">
        <f>TEXT(Raw_Data!$A1673, "MMM")</f>
        <v>May</v>
      </c>
      <c r="C1673">
        <f>YEAR(Raw_Data!$A1673)</f>
        <v>2016</v>
      </c>
      <c r="D1673" t="s">
        <v>403</v>
      </c>
      <c r="E1673" t="s">
        <v>29</v>
      </c>
      <c r="F1673" t="s">
        <v>16</v>
      </c>
      <c r="H1673">
        <v>1822</v>
      </c>
      <c r="I1673" s="1">
        <v>265371</v>
      </c>
      <c r="J1673" s="1">
        <f>Raw_Data!$I1673/Raw_Data!$H1673</f>
        <v>145.64818880351262</v>
      </c>
    </row>
    <row r="1674" spans="1:10" x14ac:dyDescent="0.3">
      <c r="A1674" s="9">
        <v>37992</v>
      </c>
      <c r="B1674" s="2" t="str">
        <f>TEXT(Raw_Data!$A1674, "MMM")</f>
        <v>Jan</v>
      </c>
      <c r="C1674" s="2">
        <f>YEAR(Raw_Data!$A1674)</f>
        <v>2004</v>
      </c>
      <c r="D1674" s="2" t="s">
        <v>1119</v>
      </c>
      <c r="E1674" s="2" t="s">
        <v>25</v>
      </c>
      <c r="F1674" s="2" t="s">
        <v>11</v>
      </c>
      <c r="G1674" s="2">
        <v>4</v>
      </c>
      <c r="H1674" s="2">
        <v>1910</v>
      </c>
      <c r="I1674" s="10"/>
      <c r="J1674" s="10">
        <f>Raw_Data!$I1674/Raw_Data!$H1674</f>
        <v>0</v>
      </c>
    </row>
    <row r="1675" spans="1:10" x14ac:dyDescent="0.3">
      <c r="A1675" s="8">
        <v>43554</v>
      </c>
      <c r="B1675" t="str">
        <f>TEXT(Raw_Data!$A1675, "MMM")</f>
        <v>Mar</v>
      </c>
      <c r="C1675">
        <f>YEAR(Raw_Data!$A1675)</f>
        <v>2019</v>
      </c>
      <c r="D1675" t="s">
        <v>1425</v>
      </c>
      <c r="E1675" t="s">
        <v>32</v>
      </c>
      <c r="F1675" t="s">
        <v>11</v>
      </c>
      <c r="G1675">
        <v>3</v>
      </c>
      <c r="H1675">
        <v>1066</v>
      </c>
      <c r="I1675" s="1">
        <v>486571</v>
      </c>
      <c r="J1675" s="1">
        <f>Raw_Data!$I1675/Raw_Data!$H1675</f>
        <v>456.44559099437146</v>
      </c>
    </row>
    <row r="1676" spans="1:10" x14ac:dyDescent="0.3">
      <c r="A1676" s="9">
        <v>40065</v>
      </c>
      <c r="B1676" s="2" t="str">
        <f>TEXT(Raw_Data!$A1676, "MMM")</f>
        <v>Sep</v>
      </c>
      <c r="C1676" s="2">
        <f>YEAR(Raw_Data!$A1676)</f>
        <v>2009</v>
      </c>
      <c r="D1676" s="2" t="s">
        <v>1426</v>
      </c>
      <c r="E1676" s="2" t="s">
        <v>21</v>
      </c>
      <c r="F1676" s="2" t="s">
        <v>27</v>
      </c>
      <c r="G1676" s="2"/>
      <c r="H1676" s="2">
        <v>1373</v>
      </c>
      <c r="I1676" s="10">
        <v>717126</v>
      </c>
      <c r="J1676" s="10">
        <f>Raw_Data!$I1676/Raw_Data!$H1676</f>
        <v>522.30589949016746</v>
      </c>
    </row>
    <row r="1677" spans="1:10" x14ac:dyDescent="0.3">
      <c r="A1677" s="8">
        <v>40315</v>
      </c>
      <c r="B1677" t="str">
        <f>TEXT(Raw_Data!$A1677, "MMM")</f>
        <v>May</v>
      </c>
      <c r="C1677">
        <f>YEAR(Raw_Data!$A1677)</f>
        <v>2010</v>
      </c>
      <c r="D1677" t="s">
        <v>1186</v>
      </c>
      <c r="E1677" t="s">
        <v>32</v>
      </c>
      <c r="F1677" t="s">
        <v>27</v>
      </c>
      <c r="G1677">
        <v>2</v>
      </c>
      <c r="H1677">
        <v>1992</v>
      </c>
      <c r="I1677" s="1">
        <v>397071</v>
      </c>
      <c r="J1677" s="1">
        <f>Raw_Data!$I1677/Raw_Data!$H1677</f>
        <v>199.33283132530121</v>
      </c>
    </row>
    <row r="1678" spans="1:10" x14ac:dyDescent="0.3">
      <c r="A1678" s="9">
        <v>39233</v>
      </c>
      <c r="B1678" s="2" t="str">
        <f>TEXT(Raw_Data!$A1678, "MMM")</f>
        <v>May</v>
      </c>
      <c r="C1678" s="2">
        <f>YEAR(Raw_Data!$A1678)</f>
        <v>2007</v>
      </c>
      <c r="D1678" s="2" t="s">
        <v>1427</v>
      </c>
      <c r="E1678" s="2" t="s">
        <v>32</v>
      </c>
      <c r="F1678" s="2" t="s">
        <v>18</v>
      </c>
      <c r="G1678" s="2"/>
      <c r="H1678" s="2">
        <v>1007</v>
      </c>
      <c r="I1678" s="10">
        <v>814673</v>
      </c>
      <c r="J1678" s="10">
        <f>Raw_Data!$I1678/Raw_Data!$H1678</f>
        <v>809.00993048659382</v>
      </c>
    </row>
    <row r="1679" spans="1:10" x14ac:dyDescent="0.3">
      <c r="A1679" s="8">
        <v>42855</v>
      </c>
      <c r="B1679" t="str">
        <f>TEXT(Raw_Data!$A1679, "MMM")</f>
        <v>Apr</v>
      </c>
      <c r="C1679">
        <f>YEAR(Raw_Data!$A1679)</f>
        <v>2017</v>
      </c>
      <c r="D1679" t="s">
        <v>1428</v>
      </c>
      <c r="E1679" t="s">
        <v>32</v>
      </c>
      <c r="F1679" t="s">
        <v>18</v>
      </c>
      <c r="H1679">
        <v>1021</v>
      </c>
      <c r="I1679" s="1">
        <v>541659</v>
      </c>
      <c r="J1679" s="1">
        <f>Raw_Data!$I1679/Raw_Data!$H1679</f>
        <v>530.51811949069543</v>
      </c>
    </row>
    <row r="1680" spans="1:10" x14ac:dyDescent="0.3">
      <c r="A1680" s="9">
        <v>40828</v>
      </c>
      <c r="B1680" s="2" t="str">
        <f>TEXT(Raw_Data!$A1680, "MMM")</f>
        <v>Oct</v>
      </c>
      <c r="C1680" s="2">
        <f>YEAR(Raw_Data!$A1680)</f>
        <v>2011</v>
      </c>
      <c r="D1680" s="2" t="s">
        <v>1429</v>
      </c>
      <c r="E1680" s="2" t="s">
        <v>15</v>
      </c>
      <c r="F1680" s="2" t="s">
        <v>11</v>
      </c>
      <c r="G1680" s="2">
        <v>2</v>
      </c>
      <c r="H1680" s="2">
        <v>1092</v>
      </c>
      <c r="I1680" s="10">
        <v>264779</v>
      </c>
      <c r="J1680" s="10">
        <f>Raw_Data!$I1680/Raw_Data!$H1680</f>
        <v>242.47161172161171</v>
      </c>
    </row>
    <row r="1681" spans="1:10" x14ac:dyDescent="0.3">
      <c r="A1681" s="8">
        <v>39441</v>
      </c>
      <c r="B1681" t="str">
        <f>TEXT(Raw_Data!$A1681, "MMM")</f>
        <v>Dec</v>
      </c>
      <c r="C1681">
        <f>YEAR(Raw_Data!$A1681)</f>
        <v>2007</v>
      </c>
      <c r="D1681" t="s">
        <v>1430</v>
      </c>
      <c r="E1681" t="s">
        <v>25</v>
      </c>
      <c r="F1681" t="s">
        <v>11</v>
      </c>
      <c r="G1681">
        <v>4</v>
      </c>
      <c r="H1681">
        <v>1832</v>
      </c>
      <c r="I1681" s="1">
        <v>530947</v>
      </c>
      <c r="J1681" s="1">
        <f>Raw_Data!$I1681/Raw_Data!$H1681</f>
        <v>289.81823144104806</v>
      </c>
    </row>
    <row r="1682" spans="1:10" x14ac:dyDescent="0.3">
      <c r="A1682" s="9">
        <v>41988</v>
      </c>
      <c r="B1682" s="2" t="str">
        <f>TEXT(Raw_Data!$A1682, "MMM")</f>
        <v>Dec</v>
      </c>
      <c r="C1682" s="2">
        <f>YEAR(Raw_Data!$A1682)</f>
        <v>2014</v>
      </c>
      <c r="D1682" s="2" t="s">
        <v>1431</v>
      </c>
      <c r="E1682" s="2" t="s">
        <v>25</v>
      </c>
      <c r="F1682" s="2" t="s">
        <v>18</v>
      </c>
      <c r="G1682" s="2"/>
      <c r="H1682" s="2">
        <v>3420</v>
      </c>
      <c r="I1682" s="10">
        <v>523841</v>
      </c>
      <c r="J1682" s="10">
        <f>Raw_Data!$I1682/Raw_Data!$H1682</f>
        <v>153.16988304093567</v>
      </c>
    </row>
    <row r="1683" spans="1:10" x14ac:dyDescent="0.3">
      <c r="A1683" s="8">
        <v>41490</v>
      </c>
      <c r="B1683" t="str">
        <f>TEXT(Raw_Data!$A1683, "MMM")</f>
        <v>Aug</v>
      </c>
      <c r="C1683">
        <f>YEAR(Raw_Data!$A1683)</f>
        <v>2013</v>
      </c>
      <c r="D1683" t="s">
        <v>450</v>
      </c>
      <c r="E1683" t="s">
        <v>29</v>
      </c>
      <c r="F1683" t="s">
        <v>27</v>
      </c>
      <c r="G1683">
        <v>3</v>
      </c>
      <c r="H1683">
        <v>1411</v>
      </c>
      <c r="I1683" s="1">
        <v>263485</v>
      </c>
      <c r="J1683" s="1">
        <f>Raw_Data!$I1683/Raw_Data!$H1683</f>
        <v>186.73635719347979</v>
      </c>
    </row>
    <row r="1684" spans="1:10" x14ac:dyDescent="0.3">
      <c r="A1684" s="9">
        <v>36962</v>
      </c>
      <c r="B1684" s="2" t="str">
        <f>TEXT(Raw_Data!$A1684, "MMM")</f>
        <v>Mar</v>
      </c>
      <c r="C1684" s="2">
        <f>YEAR(Raw_Data!$A1684)</f>
        <v>2001</v>
      </c>
      <c r="D1684" s="2" t="s">
        <v>241</v>
      </c>
      <c r="E1684" s="2" t="s">
        <v>15</v>
      </c>
      <c r="F1684" s="2" t="s">
        <v>16</v>
      </c>
      <c r="G1684" s="2"/>
      <c r="H1684" s="2">
        <v>2048</v>
      </c>
      <c r="I1684" s="10">
        <v>376265</v>
      </c>
      <c r="J1684" s="10">
        <f>Raw_Data!$I1684/Raw_Data!$H1684</f>
        <v>183.72314453125</v>
      </c>
    </row>
    <row r="1685" spans="1:10" x14ac:dyDescent="0.3">
      <c r="A1685" s="8">
        <v>37542</v>
      </c>
      <c r="B1685" t="str">
        <f>TEXT(Raw_Data!$A1685, "MMM")</f>
        <v>Oct</v>
      </c>
      <c r="C1685">
        <f>YEAR(Raw_Data!$A1685)</f>
        <v>2002</v>
      </c>
      <c r="D1685" t="s">
        <v>1432</v>
      </c>
      <c r="E1685" t="s">
        <v>32</v>
      </c>
      <c r="F1685" t="s">
        <v>16</v>
      </c>
      <c r="G1685">
        <v>5</v>
      </c>
      <c r="H1685">
        <v>1645</v>
      </c>
      <c r="I1685" s="1">
        <v>571818</v>
      </c>
      <c r="J1685" s="1">
        <f>Raw_Data!$I1685/Raw_Data!$H1685</f>
        <v>347.60972644376898</v>
      </c>
    </row>
    <row r="1686" spans="1:10" x14ac:dyDescent="0.3">
      <c r="A1686" s="9">
        <v>43283</v>
      </c>
      <c r="B1686" s="2" t="str">
        <f>TEXT(Raw_Data!$A1686, "MMM")</f>
        <v>Jul</v>
      </c>
      <c r="C1686" s="2">
        <f>YEAR(Raw_Data!$A1686)</f>
        <v>2018</v>
      </c>
      <c r="D1686" s="2" t="s">
        <v>1433</v>
      </c>
      <c r="E1686" s="2" t="s">
        <v>15</v>
      </c>
      <c r="F1686" s="2" t="s">
        <v>27</v>
      </c>
      <c r="G1686" s="2"/>
      <c r="H1686" s="2">
        <v>1977</v>
      </c>
      <c r="I1686" s="10"/>
      <c r="J1686" s="10">
        <f>Raw_Data!$I1686/Raw_Data!$H1686</f>
        <v>0</v>
      </c>
    </row>
    <row r="1687" spans="1:10" x14ac:dyDescent="0.3">
      <c r="A1687" s="8">
        <v>38891</v>
      </c>
      <c r="B1687" t="str">
        <f>TEXT(Raw_Data!$A1687, "MMM")</f>
        <v>Jun</v>
      </c>
      <c r="C1687">
        <f>YEAR(Raw_Data!$A1687)</f>
        <v>2006</v>
      </c>
      <c r="D1687" t="s">
        <v>1434</v>
      </c>
      <c r="E1687" t="s">
        <v>21</v>
      </c>
      <c r="F1687" t="s">
        <v>16</v>
      </c>
      <c r="G1687">
        <v>5</v>
      </c>
      <c r="H1687">
        <v>835</v>
      </c>
      <c r="I1687" s="1">
        <v>519794</v>
      </c>
      <c r="J1687" s="1">
        <f>Raw_Data!$I1687/Raw_Data!$H1687</f>
        <v>622.50778443113768</v>
      </c>
    </row>
    <row r="1688" spans="1:10" x14ac:dyDescent="0.3">
      <c r="A1688" s="9">
        <v>39356</v>
      </c>
      <c r="B1688" s="2" t="str">
        <f>TEXT(Raw_Data!$A1688, "MMM")</f>
        <v>Oct</v>
      </c>
      <c r="C1688" s="2">
        <f>YEAR(Raw_Data!$A1688)</f>
        <v>2007</v>
      </c>
      <c r="D1688" s="2" t="s">
        <v>1435</v>
      </c>
      <c r="E1688" s="2" t="s">
        <v>23</v>
      </c>
      <c r="F1688" s="2" t="s">
        <v>18</v>
      </c>
      <c r="G1688" s="2">
        <v>2</v>
      </c>
      <c r="H1688" s="2">
        <v>1630</v>
      </c>
      <c r="I1688" s="10">
        <v>319709</v>
      </c>
      <c r="J1688" s="10">
        <f>Raw_Data!$I1688/Raw_Data!$H1688</f>
        <v>196.14049079754602</v>
      </c>
    </row>
    <row r="1689" spans="1:10" x14ac:dyDescent="0.3">
      <c r="A1689" s="8">
        <v>43624</v>
      </c>
      <c r="B1689" t="str">
        <f>TEXT(Raw_Data!$A1689, "MMM")</f>
        <v>Jun</v>
      </c>
      <c r="C1689">
        <f>YEAR(Raw_Data!$A1689)</f>
        <v>2019</v>
      </c>
      <c r="D1689" t="s">
        <v>921</v>
      </c>
      <c r="E1689" t="s">
        <v>32</v>
      </c>
      <c r="F1689" t="s">
        <v>16</v>
      </c>
      <c r="G1689">
        <v>3</v>
      </c>
      <c r="H1689">
        <v>1854</v>
      </c>
      <c r="I1689" s="1">
        <v>116062</v>
      </c>
      <c r="J1689" s="1">
        <f>Raw_Data!$I1689/Raw_Data!$H1689</f>
        <v>62.600862998921251</v>
      </c>
    </row>
    <row r="1690" spans="1:10" x14ac:dyDescent="0.3">
      <c r="A1690" s="9">
        <v>37786</v>
      </c>
      <c r="B1690" s="2" t="str">
        <f>TEXT(Raw_Data!$A1690, "MMM")</f>
        <v>Jun</v>
      </c>
      <c r="C1690" s="2">
        <f>YEAR(Raw_Data!$A1690)</f>
        <v>2003</v>
      </c>
      <c r="D1690" s="2" t="s">
        <v>1436</v>
      </c>
      <c r="E1690" s="2" t="s">
        <v>32</v>
      </c>
      <c r="F1690" s="2" t="s">
        <v>27</v>
      </c>
      <c r="G1690" s="2"/>
      <c r="H1690" s="2">
        <v>3012</v>
      </c>
      <c r="I1690" s="10">
        <v>761381</v>
      </c>
      <c r="J1690" s="10">
        <f>Raw_Data!$I1690/Raw_Data!$H1690</f>
        <v>252.78253652058433</v>
      </c>
    </row>
    <row r="1691" spans="1:10" x14ac:dyDescent="0.3">
      <c r="A1691" s="8">
        <v>38479</v>
      </c>
      <c r="B1691" t="str">
        <f>TEXT(Raw_Data!$A1691, "MMM")</f>
        <v>May</v>
      </c>
      <c r="C1691">
        <f>YEAR(Raw_Data!$A1691)</f>
        <v>2005</v>
      </c>
      <c r="D1691" t="s">
        <v>1437</v>
      </c>
      <c r="E1691" t="s">
        <v>25</v>
      </c>
      <c r="F1691" t="s">
        <v>16</v>
      </c>
      <c r="G1691">
        <v>3</v>
      </c>
      <c r="H1691">
        <v>1984</v>
      </c>
      <c r="I1691" s="1">
        <v>798607</v>
      </c>
      <c r="J1691" s="1">
        <f>Raw_Data!$I1691/Raw_Data!$H1691</f>
        <v>402.52368951612902</v>
      </c>
    </row>
    <row r="1692" spans="1:10" x14ac:dyDescent="0.3">
      <c r="A1692" s="9">
        <v>37750</v>
      </c>
      <c r="B1692" s="2" t="str">
        <f>TEXT(Raw_Data!$A1692, "MMM")</f>
        <v>May</v>
      </c>
      <c r="C1692" s="2">
        <f>YEAR(Raw_Data!$A1692)</f>
        <v>2003</v>
      </c>
      <c r="D1692" s="2" t="s">
        <v>1438</v>
      </c>
      <c r="E1692" s="2" t="s">
        <v>32</v>
      </c>
      <c r="F1692" s="2" t="s">
        <v>27</v>
      </c>
      <c r="G1692" s="2">
        <v>2</v>
      </c>
      <c r="H1692" s="2">
        <v>1276</v>
      </c>
      <c r="I1692" s="10">
        <v>662763</v>
      </c>
      <c r="J1692" s="10">
        <f>Raw_Data!$I1692/Raw_Data!$H1692</f>
        <v>519.40673981191219</v>
      </c>
    </row>
    <row r="1693" spans="1:10" x14ac:dyDescent="0.3">
      <c r="A1693" s="8">
        <v>43459</v>
      </c>
      <c r="B1693" t="str">
        <f>TEXT(Raw_Data!$A1693, "MMM")</f>
        <v>Dec</v>
      </c>
      <c r="C1693">
        <f>YEAR(Raw_Data!$A1693)</f>
        <v>2018</v>
      </c>
      <c r="D1693" t="s">
        <v>185</v>
      </c>
      <c r="E1693" t="s">
        <v>29</v>
      </c>
      <c r="F1693" t="s">
        <v>11</v>
      </c>
      <c r="G1693">
        <v>2</v>
      </c>
      <c r="H1693">
        <v>2587</v>
      </c>
      <c r="I1693" s="1">
        <v>638115</v>
      </c>
      <c r="J1693" s="1">
        <f>Raw_Data!$I1693/Raw_Data!$H1693</f>
        <v>246.66215693853886</v>
      </c>
    </row>
    <row r="1694" spans="1:10" x14ac:dyDescent="0.3">
      <c r="A1694" s="9">
        <v>42386</v>
      </c>
      <c r="B1694" s="2" t="str">
        <f>TEXT(Raw_Data!$A1694, "MMM")</f>
        <v>Jan</v>
      </c>
      <c r="C1694" s="2">
        <f>YEAR(Raw_Data!$A1694)</f>
        <v>2016</v>
      </c>
      <c r="D1694" s="2" t="s">
        <v>477</v>
      </c>
      <c r="E1694" s="2" t="s">
        <v>13</v>
      </c>
      <c r="F1694" s="2" t="s">
        <v>11</v>
      </c>
      <c r="G1694" s="2"/>
      <c r="H1694" s="2">
        <v>2467</v>
      </c>
      <c r="I1694" s="10">
        <v>102106</v>
      </c>
      <c r="J1694" s="10">
        <f>Raw_Data!$I1694/Raw_Data!$H1694</f>
        <v>41.388731252533439</v>
      </c>
    </row>
    <row r="1695" spans="1:10" x14ac:dyDescent="0.3">
      <c r="A1695" s="8">
        <v>41470</v>
      </c>
      <c r="B1695" t="str">
        <f>TEXT(Raw_Data!$A1695, "MMM")</f>
        <v>Jul</v>
      </c>
      <c r="C1695">
        <f>YEAR(Raw_Data!$A1695)</f>
        <v>2013</v>
      </c>
      <c r="D1695" t="s">
        <v>1439</v>
      </c>
      <c r="E1695" t="s">
        <v>32</v>
      </c>
      <c r="F1695" t="s">
        <v>18</v>
      </c>
      <c r="G1695">
        <v>2</v>
      </c>
      <c r="H1695">
        <v>3316</v>
      </c>
      <c r="I1695" s="1">
        <v>731511</v>
      </c>
      <c r="J1695" s="1">
        <f>Raw_Data!$I1695/Raw_Data!$H1695</f>
        <v>220.60042219541617</v>
      </c>
    </row>
    <row r="1696" spans="1:10" x14ac:dyDescent="0.3">
      <c r="A1696" s="9">
        <v>37452</v>
      </c>
      <c r="B1696" s="2" t="str">
        <f>TEXT(Raw_Data!$A1696, "MMM")</f>
        <v>Jul</v>
      </c>
      <c r="C1696" s="2">
        <f>YEAR(Raw_Data!$A1696)</f>
        <v>2002</v>
      </c>
      <c r="D1696" s="2" t="s">
        <v>1440</v>
      </c>
      <c r="E1696" s="2" t="s">
        <v>32</v>
      </c>
      <c r="F1696" s="2" t="s">
        <v>11</v>
      </c>
      <c r="G1696" s="2">
        <v>4</v>
      </c>
      <c r="H1696" s="2">
        <v>3042</v>
      </c>
      <c r="I1696" s="10">
        <v>385854</v>
      </c>
      <c r="J1696" s="10">
        <f>Raw_Data!$I1696/Raw_Data!$H1696</f>
        <v>126.84220907297831</v>
      </c>
    </row>
    <row r="1697" spans="1:10" x14ac:dyDescent="0.3">
      <c r="A1697" s="8">
        <v>41890</v>
      </c>
      <c r="B1697" t="str">
        <f>TEXT(Raw_Data!$A1697, "MMM")</f>
        <v>Sep</v>
      </c>
      <c r="C1697">
        <f>YEAR(Raw_Data!$A1697)</f>
        <v>2014</v>
      </c>
      <c r="D1697" t="s">
        <v>1441</v>
      </c>
      <c r="E1697" t="s">
        <v>25</v>
      </c>
      <c r="F1697" t="s">
        <v>11</v>
      </c>
      <c r="G1697">
        <v>5</v>
      </c>
      <c r="H1697">
        <v>3165</v>
      </c>
      <c r="I1697" s="1">
        <v>883749</v>
      </c>
      <c r="J1697" s="1">
        <f>Raw_Data!$I1697/Raw_Data!$H1697</f>
        <v>279.22559241706159</v>
      </c>
    </row>
    <row r="1698" spans="1:10" x14ac:dyDescent="0.3">
      <c r="A1698" s="9">
        <v>40929</v>
      </c>
      <c r="B1698" s="2" t="str">
        <f>TEXT(Raw_Data!$A1698, "MMM")</f>
        <v>Jan</v>
      </c>
      <c r="C1698" s="2">
        <f>YEAR(Raw_Data!$A1698)</f>
        <v>2012</v>
      </c>
      <c r="D1698" s="2" t="s">
        <v>597</v>
      </c>
      <c r="E1698" s="2" t="s">
        <v>13</v>
      </c>
      <c r="F1698" s="2" t="s">
        <v>27</v>
      </c>
      <c r="G1698" s="2">
        <v>4</v>
      </c>
      <c r="H1698" s="2">
        <v>2248</v>
      </c>
      <c r="I1698" s="10">
        <v>617667</v>
      </c>
      <c r="J1698" s="10">
        <f>Raw_Data!$I1698/Raw_Data!$H1698</f>
        <v>274.76290035587186</v>
      </c>
    </row>
    <row r="1699" spans="1:10" x14ac:dyDescent="0.3">
      <c r="A1699" s="8">
        <v>37173</v>
      </c>
      <c r="B1699" t="str">
        <f>TEXT(Raw_Data!$A1699, "MMM")</f>
        <v>Oct</v>
      </c>
      <c r="C1699">
        <f>YEAR(Raw_Data!$A1699)</f>
        <v>2001</v>
      </c>
      <c r="D1699" t="s">
        <v>1442</v>
      </c>
      <c r="E1699" t="s">
        <v>15</v>
      </c>
      <c r="F1699" t="s">
        <v>11</v>
      </c>
      <c r="G1699">
        <v>2</v>
      </c>
      <c r="H1699">
        <v>2845</v>
      </c>
      <c r="I1699" s="1"/>
      <c r="J1699" s="1">
        <f>Raw_Data!$I1699/Raw_Data!$H1699</f>
        <v>0</v>
      </c>
    </row>
    <row r="1700" spans="1:10" x14ac:dyDescent="0.3">
      <c r="A1700" s="9">
        <v>43034</v>
      </c>
      <c r="B1700" s="2" t="str">
        <f>TEXT(Raw_Data!$A1700, "MMM")</f>
        <v>Oct</v>
      </c>
      <c r="C1700" s="2">
        <f>YEAR(Raw_Data!$A1700)</f>
        <v>2017</v>
      </c>
      <c r="D1700" s="2" t="s">
        <v>1108</v>
      </c>
      <c r="E1700" s="2" t="s">
        <v>15</v>
      </c>
      <c r="F1700" s="2" t="s">
        <v>16</v>
      </c>
      <c r="G1700" s="2">
        <v>4</v>
      </c>
      <c r="H1700" s="2">
        <v>2105</v>
      </c>
      <c r="I1700" s="10">
        <v>692828</v>
      </c>
      <c r="J1700" s="10">
        <f>Raw_Data!$I1700/Raw_Data!$H1700</f>
        <v>329.13444180522566</v>
      </c>
    </row>
    <row r="1701" spans="1:10" x14ac:dyDescent="0.3">
      <c r="A1701" s="8">
        <v>37455</v>
      </c>
      <c r="B1701" t="str">
        <f>TEXT(Raw_Data!$A1701, "MMM")</f>
        <v>Jul</v>
      </c>
      <c r="C1701">
        <f>YEAR(Raw_Data!$A1701)</f>
        <v>2002</v>
      </c>
      <c r="D1701" t="s">
        <v>272</v>
      </c>
      <c r="E1701" t="s">
        <v>25</v>
      </c>
      <c r="F1701" t="s">
        <v>27</v>
      </c>
      <c r="G1701">
        <v>3</v>
      </c>
      <c r="H1701">
        <v>1561</v>
      </c>
      <c r="I1701" s="1">
        <v>848130</v>
      </c>
      <c r="J1701" s="1">
        <f>Raw_Data!$I1701/Raw_Data!$H1701</f>
        <v>543.32479180012808</v>
      </c>
    </row>
    <row r="1702" spans="1:10" x14ac:dyDescent="0.3">
      <c r="A1702" s="9">
        <v>43100</v>
      </c>
      <c r="B1702" s="2" t="str">
        <f>TEXT(Raw_Data!$A1702, "MMM")</f>
        <v>Dec</v>
      </c>
      <c r="C1702" s="2">
        <f>YEAR(Raw_Data!$A1702)</f>
        <v>2017</v>
      </c>
      <c r="D1702" s="2" t="s">
        <v>1443</v>
      </c>
      <c r="E1702" s="2" t="s">
        <v>25</v>
      </c>
      <c r="F1702" s="2" t="s">
        <v>27</v>
      </c>
      <c r="G1702" s="2"/>
      <c r="H1702" s="2">
        <v>1996</v>
      </c>
      <c r="I1702" s="10">
        <v>798172</v>
      </c>
      <c r="J1702" s="10">
        <f>Raw_Data!$I1702/Raw_Data!$H1702</f>
        <v>399.88577154308615</v>
      </c>
    </row>
    <row r="1703" spans="1:10" x14ac:dyDescent="0.3">
      <c r="A1703" s="8">
        <v>37019</v>
      </c>
      <c r="B1703" t="str">
        <f>TEXT(Raw_Data!$A1703, "MMM")</f>
        <v>May</v>
      </c>
      <c r="C1703">
        <f>YEAR(Raw_Data!$A1703)</f>
        <v>2001</v>
      </c>
      <c r="D1703" t="s">
        <v>215</v>
      </c>
      <c r="E1703" t="s">
        <v>15</v>
      </c>
      <c r="F1703" t="s">
        <v>16</v>
      </c>
      <c r="G1703">
        <v>4</v>
      </c>
      <c r="H1703">
        <v>2172</v>
      </c>
      <c r="I1703" s="1">
        <v>862606</v>
      </c>
      <c r="J1703" s="1">
        <f>Raw_Data!$I1703/Raw_Data!$H1703</f>
        <v>397.14825046040517</v>
      </c>
    </row>
    <row r="1704" spans="1:10" x14ac:dyDescent="0.3">
      <c r="A1704" s="9">
        <v>39526</v>
      </c>
      <c r="B1704" s="2" t="str">
        <f>TEXT(Raw_Data!$A1704, "MMM")</f>
        <v>Mar</v>
      </c>
      <c r="C1704" s="2">
        <f>YEAR(Raw_Data!$A1704)</f>
        <v>2008</v>
      </c>
      <c r="D1704" s="2" t="s">
        <v>1444</v>
      </c>
      <c r="E1704" s="2" t="s">
        <v>29</v>
      </c>
      <c r="F1704" s="2" t="s">
        <v>18</v>
      </c>
      <c r="G1704" s="2">
        <v>5</v>
      </c>
      <c r="H1704" s="2">
        <v>2118</v>
      </c>
      <c r="I1704" s="10">
        <v>406787</v>
      </c>
      <c r="J1704" s="10">
        <f>Raw_Data!$I1704/Raw_Data!$H1704</f>
        <v>192.06185080264402</v>
      </c>
    </row>
    <row r="1705" spans="1:10" x14ac:dyDescent="0.3">
      <c r="A1705" s="8">
        <v>42160</v>
      </c>
      <c r="B1705" t="str">
        <f>TEXT(Raw_Data!$A1705, "MMM")</f>
        <v>Jun</v>
      </c>
      <c r="C1705">
        <f>YEAR(Raw_Data!$A1705)</f>
        <v>2015</v>
      </c>
      <c r="D1705" t="s">
        <v>362</v>
      </c>
      <c r="E1705" t="s">
        <v>13</v>
      </c>
      <c r="F1705" t="s">
        <v>27</v>
      </c>
      <c r="G1705">
        <v>5</v>
      </c>
      <c r="H1705">
        <v>3462</v>
      </c>
      <c r="I1705" s="1">
        <v>414566</v>
      </c>
      <c r="J1705" s="1">
        <f>Raw_Data!$I1705/Raw_Data!$H1705</f>
        <v>119.74754477180821</v>
      </c>
    </row>
    <row r="1706" spans="1:10" x14ac:dyDescent="0.3">
      <c r="A1706" s="9">
        <v>42316</v>
      </c>
      <c r="B1706" s="2" t="str">
        <f>TEXT(Raw_Data!$A1706, "MMM")</f>
        <v>Nov</v>
      </c>
      <c r="C1706" s="2">
        <f>YEAR(Raw_Data!$A1706)</f>
        <v>2015</v>
      </c>
      <c r="D1706" s="2" t="s">
        <v>1445</v>
      </c>
      <c r="E1706" s="2" t="s">
        <v>32</v>
      </c>
      <c r="F1706" s="2" t="s">
        <v>18</v>
      </c>
      <c r="G1706" s="2">
        <v>4</v>
      </c>
      <c r="H1706" s="2">
        <v>1397</v>
      </c>
      <c r="I1706" s="10">
        <v>274786</v>
      </c>
      <c r="J1706" s="10">
        <f>Raw_Data!$I1706/Raw_Data!$H1706</f>
        <v>196.69720830350752</v>
      </c>
    </row>
    <row r="1707" spans="1:10" x14ac:dyDescent="0.3">
      <c r="A1707" s="8">
        <v>41008</v>
      </c>
      <c r="B1707" t="str">
        <f>TEXT(Raw_Data!$A1707, "MMM")</f>
        <v>Apr</v>
      </c>
      <c r="C1707">
        <f>YEAR(Raw_Data!$A1707)</f>
        <v>2012</v>
      </c>
      <c r="D1707" t="s">
        <v>1446</v>
      </c>
      <c r="E1707" t="s">
        <v>25</v>
      </c>
      <c r="F1707" t="s">
        <v>27</v>
      </c>
      <c r="G1707">
        <v>3</v>
      </c>
      <c r="H1707">
        <v>1989</v>
      </c>
      <c r="I1707" s="1">
        <v>196290</v>
      </c>
      <c r="J1707" s="1">
        <f>Raw_Data!$I1707/Raw_Data!$H1707</f>
        <v>98.687782805429862</v>
      </c>
    </row>
    <row r="1708" spans="1:10" x14ac:dyDescent="0.3">
      <c r="A1708" s="9">
        <v>43524</v>
      </c>
      <c r="B1708" s="2" t="str">
        <f>TEXT(Raw_Data!$A1708, "MMM")</f>
        <v>Feb</v>
      </c>
      <c r="C1708" s="2">
        <f>YEAR(Raw_Data!$A1708)</f>
        <v>2019</v>
      </c>
      <c r="D1708" s="2" t="s">
        <v>1447</v>
      </c>
      <c r="E1708" s="2" t="s">
        <v>32</v>
      </c>
      <c r="F1708" s="2" t="s">
        <v>18</v>
      </c>
      <c r="G1708" s="2">
        <v>5</v>
      </c>
      <c r="H1708" s="2">
        <v>2664</v>
      </c>
      <c r="I1708" s="10">
        <v>230721</v>
      </c>
      <c r="J1708" s="10">
        <f>Raw_Data!$I1708/Raw_Data!$H1708</f>
        <v>86.606981981981988</v>
      </c>
    </row>
    <row r="1709" spans="1:10" x14ac:dyDescent="0.3">
      <c r="A1709" s="8">
        <v>43118</v>
      </c>
      <c r="B1709" t="str">
        <f>TEXT(Raw_Data!$A1709, "MMM")</f>
        <v>Jan</v>
      </c>
      <c r="C1709">
        <f>YEAR(Raw_Data!$A1709)</f>
        <v>2018</v>
      </c>
      <c r="D1709" t="s">
        <v>1448</v>
      </c>
      <c r="E1709" t="s">
        <v>15</v>
      </c>
      <c r="F1709" t="s">
        <v>11</v>
      </c>
      <c r="G1709">
        <v>4</v>
      </c>
      <c r="H1709">
        <v>901</v>
      </c>
      <c r="I1709" s="1">
        <v>498676</v>
      </c>
      <c r="J1709" s="1">
        <f>Raw_Data!$I1709/Raw_Data!$H1709</f>
        <v>553.46947835738069</v>
      </c>
    </row>
    <row r="1710" spans="1:10" x14ac:dyDescent="0.3">
      <c r="A1710" s="9">
        <v>38595</v>
      </c>
      <c r="B1710" s="2" t="str">
        <f>TEXT(Raw_Data!$A1710, "MMM")</f>
        <v>Aug</v>
      </c>
      <c r="C1710" s="2">
        <f>YEAR(Raw_Data!$A1710)</f>
        <v>2005</v>
      </c>
      <c r="D1710" s="2" t="s">
        <v>1449</v>
      </c>
      <c r="E1710" s="2" t="s">
        <v>32</v>
      </c>
      <c r="F1710" s="2" t="s">
        <v>16</v>
      </c>
      <c r="G1710" s="2">
        <v>3</v>
      </c>
      <c r="H1710" s="2">
        <v>1286</v>
      </c>
      <c r="I1710" s="10">
        <v>184359</v>
      </c>
      <c r="J1710" s="10">
        <f>Raw_Data!$I1710/Raw_Data!$H1710</f>
        <v>143.35847589424571</v>
      </c>
    </row>
    <row r="1711" spans="1:10" x14ac:dyDescent="0.3">
      <c r="A1711" s="8">
        <v>42786</v>
      </c>
      <c r="B1711" t="str">
        <f>TEXT(Raw_Data!$A1711, "MMM")</f>
        <v>Feb</v>
      </c>
      <c r="C1711">
        <f>YEAR(Raw_Data!$A1711)</f>
        <v>2017</v>
      </c>
      <c r="D1711" t="s">
        <v>1067</v>
      </c>
      <c r="E1711" t="s">
        <v>13</v>
      </c>
      <c r="F1711" t="s">
        <v>18</v>
      </c>
      <c r="H1711">
        <v>2944</v>
      </c>
      <c r="I1711" s="1">
        <v>434273</v>
      </c>
      <c r="J1711" s="1">
        <f>Raw_Data!$I1711/Raw_Data!$H1711</f>
        <v>147.51120923913044</v>
      </c>
    </row>
    <row r="1712" spans="1:10" x14ac:dyDescent="0.3">
      <c r="A1712" s="9">
        <v>43823</v>
      </c>
      <c r="B1712" s="2" t="str">
        <f>TEXT(Raw_Data!$A1712, "MMM")</f>
        <v>Dec</v>
      </c>
      <c r="C1712" s="2">
        <f>YEAR(Raw_Data!$A1712)</f>
        <v>2019</v>
      </c>
      <c r="D1712" s="2" t="s">
        <v>1450</v>
      </c>
      <c r="E1712" s="2" t="s">
        <v>32</v>
      </c>
      <c r="F1712" s="2" t="s">
        <v>18</v>
      </c>
      <c r="G1712" s="2"/>
      <c r="H1712" s="2">
        <v>2041</v>
      </c>
      <c r="I1712" s="10">
        <v>268321</v>
      </c>
      <c r="J1712" s="10">
        <f>Raw_Data!$I1712/Raw_Data!$H1712</f>
        <v>131.46545810877021</v>
      </c>
    </row>
    <row r="1713" spans="1:10" x14ac:dyDescent="0.3">
      <c r="A1713" s="8">
        <v>40092</v>
      </c>
      <c r="B1713" t="str">
        <f>TEXT(Raw_Data!$A1713, "MMM")</f>
        <v>Oct</v>
      </c>
      <c r="C1713">
        <f>YEAR(Raw_Data!$A1713)</f>
        <v>2009</v>
      </c>
      <c r="D1713" t="s">
        <v>1451</v>
      </c>
      <c r="E1713" t="s">
        <v>15</v>
      </c>
      <c r="F1713" t="s">
        <v>27</v>
      </c>
      <c r="G1713">
        <v>2</v>
      </c>
      <c r="H1713">
        <v>2059</v>
      </c>
      <c r="I1713" s="1">
        <v>220868</v>
      </c>
      <c r="J1713" s="1">
        <f>Raw_Data!$I1713/Raw_Data!$H1713</f>
        <v>107.26954832442934</v>
      </c>
    </row>
    <row r="1714" spans="1:10" x14ac:dyDescent="0.3">
      <c r="A1714" s="9">
        <v>40008</v>
      </c>
      <c r="B1714" s="2" t="str">
        <f>TEXT(Raw_Data!$A1714, "MMM")</f>
        <v>Jul</v>
      </c>
      <c r="C1714" s="2">
        <f>YEAR(Raw_Data!$A1714)</f>
        <v>2009</v>
      </c>
      <c r="D1714" s="2" t="s">
        <v>1449</v>
      </c>
      <c r="E1714" s="2" t="s">
        <v>29</v>
      </c>
      <c r="F1714" s="2" t="s">
        <v>16</v>
      </c>
      <c r="G1714" s="2">
        <v>4</v>
      </c>
      <c r="H1714" s="2">
        <v>2018</v>
      </c>
      <c r="I1714" s="10">
        <v>420033</v>
      </c>
      <c r="J1714" s="10">
        <f>Raw_Data!$I1714/Raw_Data!$H1714</f>
        <v>208.14321110009911</v>
      </c>
    </row>
    <row r="1715" spans="1:10" x14ac:dyDescent="0.3">
      <c r="A1715" s="8">
        <v>41328</v>
      </c>
      <c r="B1715" t="str">
        <f>TEXT(Raw_Data!$A1715, "MMM")</f>
        <v>Feb</v>
      </c>
      <c r="C1715">
        <f>YEAR(Raw_Data!$A1715)</f>
        <v>2013</v>
      </c>
      <c r="D1715" t="s">
        <v>1452</v>
      </c>
      <c r="E1715" t="s">
        <v>32</v>
      </c>
      <c r="F1715" t="s">
        <v>11</v>
      </c>
      <c r="G1715">
        <v>3</v>
      </c>
      <c r="H1715">
        <v>1316</v>
      </c>
      <c r="I1715" s="1">
        <v>431256</v>
      </c>
      <c r="J1715" s="1">
        <f>Raw_Data!$I1715/Raw_Data!$H1715</f>
        <v>327.70212765957444</v>
      </c>
    </row>
    <row r="1716" spans="1:10" x14ac:dyDescent="0.3">
      <c r="A1716" s="9">
        <v>44142</v>
      </c>
      <c r="B1716" s="2" t="str">
        <f>TEXT(Raw_Data!$A1716, "MMM")</f>
        <v>Nov</v>
      </c>
      <c r="C1716" s="2">
        <f>YEAR(Raw_Data!$A1716)</f>
        <v>2020</v>
      </c>
      <c r="D1716" s="2" t="s">
        <v>1453</v>
      </c>
      <c r="E1716" s="2" t="s">
        <v>21</v>
      </c>
      <c r="F1716" s="2" t="s">
        <v>11</v>
      </c>
      <c r="G1716" s="2">
        <v>4</v>
      </c>
      <c r="H1716" s="2">
        <v>3248</v>
      </c>
      <c r="I1716" s="10">
        <v>830606</v>
      </c>
      <c r="J1716" s="10">
        <f>Raw_Data!$I1716/Raw_Data!$H1716</f>
        <v>255.72844827586206</v>
      </c>
    </row>
    <row r="1717" spans="1:10" x14ac:dyDescent="0.3">
      <c r="A1717" s="8">
        <v>43624</v>
      </c>
      <c r="B1717" t="str">
        <f>TEXT(Raw_Data!$A1717, "MMM")</f>
        <v>Jun</v>
      </c>
      <c r="C1717">
        <f>YEAR(Raw_Data!$A1717)</f>
        <v>2019</v>
      </c>
      <c r="D1717" t="s">
        <v>1454</v>
      </c>
      <c r="E1717" t="s">
        <v>32</v>
      </c>
      <c r="F1717" t="s">
        <v>18</v>
      </c>
      <c r="G1717">
        <v>3</v>
      </c>
      <c r="H1717">
        <v>2724</v>
      </c>
      <c r="I1717" s="1">
        <v>335270</v>
      </c>
      <c r="J1717" s="1">
        <f>Raw_Data!$I1717/Raw_Data!$H1717</f>
        <v>123.08002936857562</v>
      </c>
    </row>
    <row r="1718" spans="1:10" x14ac:dyDescent="0.3">
      <c r="A1718" s="9">
        <v>38750</v>
      </c>
      <c r="B1718" s="2" t="str">
        <f>TEXT(Raw_Data!$A1718, "MMM")</f>
        <v>Feb</v>
      </c>
      <c r="C1718" s="2">
        <f>YEAR(Raw_Data!$A1718)</f>
        <v>2006</v>
      </c>
      <c r="D1718" s="2" t="s">
        <v>1172</v>
      </c>
      <c r="E1718" s="2" t="s">
        <v>25</v>
      </c>
      <c r="F1718" s="2" t="s">
        <v>11</v>
      </c>
      <c r="G1718" s="2">
        <v>3</v>
      </c>
      <c r="H1718" s="2">
        <v>3160</v>
      </c>
      <c r="I1718" s="10">
        <v>876631</v>
      </c>
      <c r="J1718" s="10">
        <f>Raw_Data!$I1718/Raw_Data!$H1718</f>
        <v>277.41487341772154</v>
      </c>
    </row>
    <row r="1719" spans="1:10" x14ac:dyDescent="0.3">
      <c r="A1719" s="8">
        <v>43154</v>
      </c>
      <c r="B1719" t="str">
        <f>TEXT(Raw_Data!$A1719, "MMM")</f>
        <v>Feb</v>
      </c>
      <c r="C1719">
        <f>YEAR(Raw_Data!$A1719)</f>
        <v>2018</v>
      </c>
      <c r="D1719" t="s">
        <v>76</v>
      </c>
      <c r="E1719" t="s">
        <v>23</v>
      </c>
      <c r="F1719" t="s">
        <v>16</v>
      </c>
      <c r="H1719">
        <v>3217</v>
      </c>
      <c r="I1719" s="1">
        <v>185618</v>
      </c>
      <c r="J1719" s="1">
        <f>Raw_Data!$I1719/Raw_Data!$H1719</f>
        <v>57.699098539011501</v>
      </c>
    </row>
    <row r="1720" spans="1:10" x14ac:dyDescent="0.3">
      <c r="A1720" s="9">
        <v>36996</v>
      </c>
      <c r="B1720" s="2" t="str">
        <f>TEXT(Raw_Data!$A1720, "MMM")</f>
        <v>Apr</v>
      </c>
      <c r="C1720" s="2">
        <f>YEAR(Raw_Data!$A1720)</f>
        <v>2001</v>
      </c>
      <c r="D1720" s="2" t="s">
        <v>1419</v>
      </c>
      <c r="E1720" s="2" t="s">
        <v>23</v>
      </c>
      <c r="F1720" s="2" t="s">
        <v>27</v>
      </c>
      <c r="G1720" s="2">
        <v>2</v>
      </c>
      <c r="H1720" s="2">
        <v>2395</v>
      </c>
      <c r="I1720" s="10">
        <v>391775</v>
      </c>
      <c r="J1720" s="10">
        <f>Raw_Data!$I1720/Raw_Data!$H1720</f>
        <v>163.58037578288099</v>
      </c>
    </row>
    <row r="1721" spans="1:10" x14ac:dyDescent="0.3">
      <c r="A1721" s="8">
        <v>40359</v>
      </c>
      <c r="B1721" t="str">
        <f>TEXT(Raw_Data!$A1721, "MMM")</f>
        <v>Jun</v>
      </c>
      <c r="C1721">
        <f>YEAR(Raw_Data!$A1721)</f>
        <v>2010</v>
      </c>
      <c r="D1721" t="s">
        <v>1455</v>
      </c>
      <c r="E1721" t="s">
        <v>21</v>
      </c>
      <c r="F1721" t="s">
        <v>11</v>
      </c>
      <c r="G1721">
        <v>5</v>
      </c>
      <c r="H1721">
        <v>1552</v>
      </c>
      <c r="I1721" s="1">
        <v>708030</v>
      </c>
      <c r="J1721" s="1">
        <f>Raw_Data!$I1721/Raw_Data!$H1721</f>
        <v>456.20489690721649</v>
      </c>
    </row>
    <row r="1722" spans="1:10" x14ac:dyDescent="0.3">
      <c r="A1722" s="9">
        <v>42562</v>
      </c>
      <c r="B1722" s="2" t="str">
        <f>TEXT(Raw_Data!$A1722, "MMM")</f>
        <v>Jul</v>
      </c>
      <c r="C1722" s="2">
        <f>YEAR(Raw_Data!$A1722)</f>
        <v>2016</v>
      </c>
      <c r="D1722" s="2" t="s">
        <v>458</v>
      </c>
      <c r="E1722" s="2" t="s">
        <v>15</v>
      </c>
      <c r="F1722" s="2" t="s">
        <v>18</v>
      </c>
      <c r="G1722" s="2">
        <v>3</v>
      </c>
      <c r="H1722" s="2">
        <v>1401</v>
      </c>
      <c r="I1722" s="10">
        <v>851537</v>
      </c>
      <c r="J1722" s="10">
        <f>Raw_Data!$I1722/Raw_Data!$H1722</f>
        <v>607.80656673804424</v>
      </c>
    </row>
    <row r="1723" spans="1:10" x14ac:dyDescent="0.3">
      <c r="A1723" s="8">
        <v>42136</v>
      </c>
      <c r="B1723" t="str">
        <f>TEXT(Raw_Data!$A1723, "MMM")</f>
        <v>May</v>
      </c>
      <c r="C1723">
        <f>YEAR(Raw_Data!$A1723)</f>
        <v>2015</v>
      </c>
      <c r="D1723" t="s">
        <v>1268</v>
      </c>
      <c r="E1723" t="s">
        <v>15</v>
      </c>
      <c r="F1723" t="s">
        <v>11</v>
      </c>
      <c r="H1723">
        <v>2361</v>
      </c>
      <c r="I1723" s="1">
        <v>166283</v>
      </c>
      <c r="J1723" s="1">
        <f>Raw_Data!$I1723/Raw_Data!$H1723</f>
        <v>70.429055484963996</v>
      </c>
    </row>
    <row r="1724" spans="1:10" x14ac:dyDescent="0.3">
      <c r="A1724" s="9">
        <v>37644</v>
      </c>
      <c r="B1724" s="2" t="str">
        <f>TEXT(Raw_Data!$A1724, "MMM")</f>
        <v>Jan</v>
      </c>
      <c r="C1724" s="2">
        <f>YEAR(Raw_Data!$A1724)</f>
        <v>2003</v>
      </c>
      <c r="D1724" s="2" t="s">
        <v>1456</v>
      </c>
      <c r="E1724" s="2" t="s">
        <v>15</v>
      </c>
      <c r="F1724" s="2" t="s">
        <v>27</v>
      </c>
      <c r="G1724" s="2">
        <v>2</v>
      </c>
      <c r="H1724" s="2">
        <v>907</v>
      </c>
      <c r="I1724" s="10">
        <v>127658</v>
      </c>
      <c r="J1724" s="10">
        <f>Raw_Data!$I1724/Raw_Data!$H1724</f>
        <v>140.74751929437707</v>
      </c>
    </row>
    <row r="1725" spans="1:10" x14ac:dyDescent="0.3">
      <c r="A1725" s="8">
        <v>39664</v>
      </c>
      <c r="B1725" t="str">
        <f>TEXT(Raw_Data!$A1725, "MMM")</f>
        <v>Aug</v>
      </c>
      <c r="C1725">
        <f>YEAR(Raw_Data!$A1725)</f>
        <v>2008</v>
      </c>
      <c r="D1725" t="s">
        <v>1457</v>
      </c>
      <c r="E1725" t="s">
        <v>15</v>
      </c>
      <c r="F1725" t="s">
        <v>27</v>
      </c>
      <c r="H1725">
        <v>3020</v>
      </c>
      <c r="I1725" s="1">
        <v>169231</v>
      </c>
      <c r="J1725" s="1">
        <f>Raw_Data!$I1725/Raw_Data!$H1725</f>
        <v>56.036754966887415</v>
      </c>
    </row>
    <row r="1726" spans="1:10" x14ac:dyDescent="0.3">
      <c r="A1726" s="9">
        <v>38964</v>
      </c>
      <c r="B1726" s="2" t="str">
        <f>TEXT(Raw_Data!$A1726, "MMM")</f>
        <v>Sep</v>
      </c>
      <c r="C1726" s="2">
        <f>YEAR(Raw_Data!$A1726)</f>
        <v>2006</v>
      </c>
      <c r="D1726" s="2" t="s">
        <v>1458</v>
      </c>
      <c r="E1726" s="2" t="s">
        <v>15</v>
      </c>
      <c r="F1726" s="2" t="s">
        <v>18</v>
      </c>
      <c r="G1726" s="2"/>
      <c r="H1726" s="2">
        <v>2642</v>
      </c>
      <c r="I1726" s="10">
        <v>861490</v>
      </c>
      <c r="J1726" s="10">
        <f>Raw_Data!$I1726/Raw_Data!$H1726</f>
        <v>326.07494322482967</v>
      </c>
    </row>
    <row r="1727" spans="1:10" x14ac:dyDescent="0.3">
      <c r="A1727" s="8">
        <v>38491</v>
      </c>
      <c r="B1727" t="str">
        <f>TEXT(Raw_Data!$A1727, "MMM")</f>
        <v>May</v>
      </c>
      <c r="C1727">
        <f>YEAR(Raw_Data!$A1727)</f>
        <v>2005</v>
      </c>
      <c r="D1727" t="s">
        <v>1459</v>
      </c>
      <c r="E1727" t="s">
        <v>15</v>
      </c>
      <c r="F1727" t="s">
        <v>18</v>
      </c>
      <c r="G1727">
        <v>4</v>
      </c>
      <c r="H1727">
        <v>2591</v>
      </c>
      <c r="I1727" s="1">
        <v>278999</v>
      </c>
      <c r="J1727" s="1">
        <f>Raw_Data!$I1727/Raw_Data!$H1727</f>
        <v>107.68004631416441</v>
      </c>
    </row>
    <row r="1728" spans="1:10" x14ac:dyDescent="0.3">
      <c r="A1728" s="9">
        <v>41503</v>
      </c>
      <c r="B1728" s="2" t="str">
        <f>TEXT(Raw_Data!$A1728, "MMM")</f>
        <v>Aug</v>
      </c>
      <c r="C1728" s="2">
        <f>YEAR(Raw_Data!$A1728)</f>
        <v>2013</v>
      </c>
      <c r="D1728" s="2" t="s">
        <v>1460</v>
      </c>
      <c r="E1728" s="2" t="s">
        <v>25</v>
      </c>
      <c r="F1728" s="2" t="s">
        <v>18</v>
      </c>
      <c r="G1728" s="2">
        <v>3</v>
      </c>
      <c r="H1728" s="2">
        <v>1990</v>
      </c>
      <c r="I1728" s="10">
        <v>737437</v>
      </c>
      <c r="J1728" s="10">
        <f>Raw_Data!$I1728/Raw_Data!$H1728</f>
        <v>370.57135678391961</v>
      </c>
    </row>
    <row r="1729" spans="1:10" x14ac:dyDescent="0.3">
      <c r="A1729" s="8">
        <v>41136</v>
      </c>
      <c r="B1729" t="str">
        <f>TEXT(Raw_Data!$A1729, "MMM")</f>
        <v>Aug</v>
      </c>
      <c r="C1729">
        <f>YEAR(Raw_Data!$A1729)</f>
        <v>2012</v>
      </c>
      <c r="D1729" t="s">
        <v>1461</v>
      </c>
      <c r="E1729" t="s">
        <v>29</v>
      </c>
      <c r="F1729" t="s">
        <v>16</v>
      </c>
      <c r="H1729">
        <v>929</v>
      </c>
      <c r="I1729" s="1">
        <v>683218</v>
      </c>
      <c r="J1729" s="1">
        <f>Raw_Data!$I1729/Raw_Data!$H1729</f>
        <v>735.43379978471478</v>
      </c>
    </row>
    <row r="1730" spans="1:10" x14ac:dyDescent="0.3">
      <c r="A1730" s="9">
        <v>37493</v>
      </c>
      <c r="B1730" s="2" t="str">
        <f>TEXT(Raw_Data!$A1730, "MMM")</f>
        <v>Aug</v>
      </c>
      <c r="C1730" s="2">
        <f>YEAR(Raw_Data!$A1730)</f>
        <v>2002</v>
      </c>
      <c r="D1730" s="2" t="s">
        <v>1462</v>
      </c>
      <c r="E1730" s="2" t="s">
        <v>21</v>
      </c>
      <c r="F1730" s="2" t="s">
        <v>27</v>
      </c>
      <c r="G1730" s="2">
        <v>3</v>
      </c>
      <c r="H1730" s="2">
        <v>1112</v>
      </c>
      <c r="I1730" s="10">
        <v>756416</v>
      </c>
      <c r="J1730" s="10">
        <f>Raw_Data!$I1730/Raw_Data!$H1730</f>
        <v>680.23021582733816</v>
      </c>
    </row>
    <row r="1731" spans="1:10" x14ac:dyDescent="0.3">
      <c r="A1731" s="8">
        <v>42123</v>
      </c>
      <c r="B1731" t="str">
        <f>TEXT(Raw_Data!$A1731, "MMM")</f>
        <v>Apr</v>
      </c>
      <c r="C1731">
        <f>YEAR(Raw_Data!$A1731)</f>
        <v>2015</v>
      </c>
      <c r="D1731" t="s">
        <v>1205</v>
      </c>
      <c r="E1731" t="s">
        <v>21</v>
      </c>
      <c r="F1731" t="s">
        <v>11</v>
      </c>
      <c r="H1731">
        <v>1712</v>
      </c>
      <c r="I1731" s="1">
        <v>895731</v>
      </c>
      <c r="J1731" s="1">
        <f>Raw_Data!$I1731/Raw_Data!$H1731</f>
        <v>523.20735981308417</v>
      </c>
    </row>
    <row r="1732" spans="1:10" x14ac:dyDescent="0.3">
      <c r="A1732" s="9">
        <v>43079</v>
      </c>
      <c r="B1732" s="2" t="str">
        <f>TEXT(Raw_Data!$A1732, "MMM")</f>
        <v>Dec</v>
      </c>
      <c r="C1732" s="2">
        <f>YEAR(Raw_Data!$A1732)</f>
        <v>2017</v>
      </c>
      <c r="D1732" s="2" t="s">
        <v>1463</v>
      </c>
      <c r="E1732" s="2" t="s">
        <v>29</v>
      </c>
      <c r="F1732" s="2" t="s">
        <v>16</v>
      </c>
      <c r="G1732" s="2">
        <v>5</v>
      </c>
      <c r="H1732" s="2">
        <v>3384</v>
      </c>
      <c r="I1732" s="10">
        <v>507840</v>
      </c>
      <c r="J1732" s="10">
        <f>Raw_Data!$I1732/Raw_Data!$H1732</f>
        <v>150.0709219858156</v>
      </c>
    </row>
    <row r="1733" spans="1:10" x14ac:dyDescent="0.3">
      <c r="A1733" s="8">
        <v>40737</v>
      </c>
      <c r="B1733" t="str">
        <f>TEXT(Raw_Data!$A1733, "MMM")</f>
        <v>Jul</v>
      </c>
      <c r="C1733">
        <f>YEAR(Raw_Data!$A1733)</f>
        <v>2011</v>
      </c>
      <c r="D1733" t="s">
        <v>748</v>
      </c>
      <c r="E1733" t="s">
        <v>29</v>
      </c>
      <c r="F1733" t="s">
        <v>16</v>
      </c>
      <c r="G1733">
        <v>2</v>
      </c>
      <c r="H1733">
        <v>1962</v>
      </c>
      <c r="I1733" s="1">
        <v>743659</v>
      </c>
      <c r="J1733" s="1">
        <f>Raw_Data!$I1733/Raw_Data!$H1733</f>
        <v>379.03109072375128</v>
      </c>
    </row>
    <row r="1734" spans="1:10" x14ac:dyDescent="0.3">
      <c r="A1734" s="9">
        <v>42391</v>
      </c>
      <c r="B1734" s="2" t="str">
        <f>TEXT(Raw_Data!$A1734, "MMM")</f>
        <v>Jan</v>
      </c>
      <c r="C1734" s="2">
        <f>YEAR(Raw_Data!$A1734)</f>
        <v>2016</v>
      </c>
      <c r="D1734" s="2" t="s">
        <v>1464</v>
      </c>
      <c r="E1734" s="2" t="s">
        <v>25</v>
      </c>
      <c r="F1734" s="2" t="s">
        <v>11</v>
      </c>
      <c r="G1734" s="2">
        <v>2</v>
      </c>
      <c r="H1734" s="2">
        <v>1021</v>
      </c>
      <c r="I1734" s="10">
        <v>367692</v>
      </c>
      <c r="J1734" s="10">
        <f>Raw_Data!$I1734/Raw_Data!$H1734</f>
        <v>360.1292850146915</v>
      </c>
    </row>
    <row r="1735" spans="1:10" x14ac:dyDescent="0.3">
      <c r="A1735" s="8">
        <v>43684</v>
      </c>
      <c r="B1735" t="str">
        <f>TEXT(Raw_Data!$A1735, "MMM")</f>
        <v>Aug</v>
      </c>
      <c r="C1735">
        <f>YEAR(Raw_Data!$A1735)</f>
        <v>2019</v>
      </c>
      <c r="D1735" t="s">
        <v>1465</v>
      </c>
      <c r="E1735" t="s">
        <v>32</v>
      </c>
      <c r="F1735" t="s">
        <v>27</v>
      </c>
      <c r="G1735">
        <v>2</v>
      </c>
      <c r="H1735">
        <v>1212</v>
      </c>
      <c r="I1735" s="1">
        <v>660586</v>
      </c>
      <c r="J1735" s="1">
        <f>Raw_Data!$I1735/Raw_Data!$H1735</f>
        <v>545.03795379537951</v>
      </c>
    </row>
    <row r="1736" spans="1:10" x14ac:dyDescent="0.3">
      <c r="A1736" s="9">
        <v>38003</v>
      </c>
      <c r="B1736" s="2" t="str">
        <f>TEXT(Raw_Data!$A1736, "MMM")</f>
        <v>Jan</v>
      </c>
      <c r="C1736" s="2">
        <f>YEAR(Raw_Data!$A1736)</f>
        <v>2004</v>
      </c>
      <c r="D1736" s="2" t="s">
        <v>1466</v>
      </c>
      <c r="E1736" s="2" t="s">
        <v>23</v>
      </c>
      <c r="F1736" s="2" t="s">
        <v>11</v>
      </c>
      <c r="G1736" s="2"/>
      <c r="H1736" s="2">
        <v>2336</v>
      </c>
      <c r="I1736" s="10">
        <v>239273</v>
      </c>
      <c r="J1736" s="10">
        <f>Raw_Data!$I1736/Raw_Data!$H1736</f>
        <v>102.42851027397261</v>
      </c>
    </row>
    <row r="1737" spans="1:10" x14ac:dyDescent="0.3">
      <c r="A1737" s="8">
        <v>43482</v>
      </c>
      <c r="B1737" t="str">
        <f>TEXT(Raw_Data!$A1737, "MMM")</f>
        <v>Jan</v>
      </c>
      <c r="C1737">
        <f>YEAR(Raw_Data!$A1737)</f>
        <v>2019</v>
      </c>
      <c r="D1737" t="s">
        <v>1467</v>
      </c>
      <c r="E1737" t="s">
        <v>15</v>
      </c>
      <c r="F1737" t="s">
        <v>27</v>
      </c>
      <c r="H1737">
        <v>1296</v>
      </c>
      <c r="I1737" s="1">
        <v>285175</v>
      </c>
      <c r="J1737" s="1">
        <f>Raw_Data!$I1737/Raw_Data!$H1737</f>
        <v>220.04243827160494</v>
      </c>
    </row>
    <row r="1738" spans="1:10" x14ac:dyDescent="0.3">
      <c r="A1738" s="9">
        <v>41798</v>
      </c>
      <c r="B1738" s="2" t="str">
        <f>TEXT(Raw_Data!$A1738, "MMM")</f>
        <v>Jun</v>
      </c>
      <c r="C1738" s="2">
        <f>YEAR(Raw_Data!$A1738)</f>
        <v>2014</v>
      </c>
      <c r="D1738" s="2" t="s">
        <v>330</v>
      </c>
      <c r="E1738" s="2" t="s">
        <v>15</v>
      </c>
      <c r="F1738" s="2" t="s">
        <v>11</v>
      </c>
      <c r="G1738" s="2">
        <v>3</v>
      </c>
      <c r="H1738" s="2">
        <v>999</v>
      </c>
      <c r="I1738" s="10">
        <v>820725</v>
      </c>
      <c r="J1738" s="10">
        <f>Raw_Data!$I1738/Raw_Data!$H1738</f>
        <v>821.54654654654655</v>
      </c>
    </row>
    <row r="1739" spans="1:10" x14ac:dyDescent="0.3">
      <c r="A1739" s="8">
        <v>42795</v>
      </c>
      <c r="B1739" t="str">
        <f>TEXT(Raw_Data!$A1739, "MMM")</f>
        <v>Mar</v>
      </c>
      <c r="C1739">
        <f>YEAR(Raw_Data!$A1739)</f>
        <v>2017</v>
      </c>
      <c r="D1739" t="s">
        <v>1468</v>
      </c>
      <c r="E1739" t="s">
        <v>15</v>
      </c>
      <c r="F1739" t="s">
        <v>16</v>
      </c>
      <c r="G1739">
        <v>5</v>
      </c>
      <c r="H1739">
        <v>1405</v>
      </c>
      <c r="I1739" s="1">
        <v>826606</v>
      </c>
      <c r="J1739" s="1">
        <f>Raw_Data!$I1739/Raw_Data!$H1739</f>
        <v>588.33167259786478</v>
      </c>
    </row>
    <row r="1740" spans="1:10" x14ac:dyDescent="0.3">
      <c r="A1740" s="9">
        <v>43361</v>
      </c>
      <c r="B1740" s="2" t="str">
        <f>TEXT(Raw_Data!$A1740, "MMM")</f>
        <v>Sep</v>
      </c>
      <c r="C1740" s="2">
        <f>YEAR(Raw_Data!$A1740)</f>
        <v>2018</v>
      </c>
      <c r="D1740" s="2" t="s">
        <v>992</v>
      </c>
      <c r="E1740" s="2" t="s">
        <v>23</v>
      </c>
      <c r="F1740" s="2" t="s">
        <v>11</v>
      </c>
      <c r="G1740" s="2">
        <v>2</v>
      </c>
      <c r="H1740" s="2">
        <v>2595</v>
      </c>
      <c r="I1740" s="10">
        <v>276194</v>
      </c>
      <c r="J1740" s="10">
        <f>Raw_Data!$I1740/Raw_Data!$H1740</f>
        <v>106.43314065510597</v>
      </c>
    </row>
    <row r="1741" spans="1:10" x14ac:dyDescent="0.3">
      <c r="A1741" s="8">
        <v>38683</v>
      </c>
      <c r="B1741" t="str">
        <f>TEXT(Raw_Data!$A1741, "MMM")</f>
        <v>Nov</v>
      </c>
      <c r="C1741">
        <f>YEAR(Raw_Data!$A1741)</f>
        <v>2005</v>
      </c>
      <c r="D1741" t="s">
        <v>1469</v>
      </c>
      <c r="E1741" t="s">
        <v>21</v>
      </c>
      <c r="F1741" t="s">
        <v>27</v>
      </c>
      <c r="H1741">
        <v>2560</v>
      </c>
      <c r="I1741" s="1">
        <v>707470</v>
      </c>
      <c r="J1741" s="1">
        <f>Raw_Data!$I1741/Raw_Data!$H1741</f>
        <v>276.35546875</v>
      </c>
    </row>
    <row r="1742" spans="1:10" x14ac:dyDescent="0.3">
      <c r="A1742" s="9">
        <v>41457</v>
      </c>
      <c r="B1742" s="2" t="str">
        <f>TEXT(Raw_Data!$A1742, "MMM")</f>
        <v>Jul</v>
      </c>
      <c r="C1742" s="2">
        <f>YEAR(Raw_Data!$A1742)</f>
        <v>2013</v>
      </c>
      <c r="D1742" s="2" t="s">
        <v>1192</v>
      </c>
      <c r="E1742" s="2" t="s">
        <v>25</v>
      </c>
      <c r="F1742" s="2" t="s">
        <v>16</v>
      </c>
      <c r="G1742" s="2">
        <v>5</v>
      </c>
      <c r="H1742" s="2">
        <v>1051</v>
      </c>
      <c r="I1742" s="10">
        <v>894181</v>
      </c>
      <c r="J1742" s="10">
        <f>Raw_Data!$I1742/Raw_Data!$H1742</f>
        <v>850.79067554709798</v>
      </c>
    </row>
    <row r="1743" spans="1:10" x14ac:dyDescent="0.3">
      <c r="A1743" s="8">
        <v>43374</v>
      </c>
      <c r="B1743" t="str">
        <f>TEXT(Raw_Data!$A1743, "MMM")</f>
        <v>Oct</v>
      </c>
      <c r="C1743">
        <f>YEAR(Raw_Data!$A1743)</f>
        <v>2018</v>
      </c>
      <c r="D1743" t="s">
        <v>1470</v>
      </c>
      <c r="E1743" t="s">
        <v>15</v>
      </c>
      <c r="F1743" t="s">
        <v>27</v>
      </c>
      <c r="G1743">
        <v>3</v>
      </c>
      <c r="H1743">
        <v>3382</v>
      </c>
      <c r="I1743" s="1">
        <v>572323</v>
      </c>
      <c r="J1743" s="1">
        <f>Raw_Data!$I1743/Raw_Data!$H1743</f>
        <v>169.22619751626257</v>
      </c>
    </row>
    <row r="1744" spans="1:10" x14ac:dyDescent="0.3">
      <c r="A1744" s="9">
        <v>43547</v>
      </c>
      <c r="B1744" s="2" t="str">
        <f>TEXT(Raw_Data!$A1744, "MMM")</f>
        <v>Mar</v>
      </c>
      <c r="C1744" s="2">
        <f>YEAR(Raw_Data!$A1744)</f>
        <v>2019</v>
      </c>
      <c r="D1744" s="2" t="s">
        <v>1471</v>
      </c>
      <c r="E1744" s="2" t="s">
        <v>25</v>
      </c>
      <c r="F1744" s="2" t="s">
        <v>18</v>
      </c>
      <c r="G1744" s="2">
        <v>4</v>
      </c>
      <c r="H1744" s="2">
        <v>1516</v>
      </c>
      <c r="I1744" s="10">
        <v>131228</v>
      </c>
      <c r="J1744" s="10">
        <f>Raw_Data!$I1744/Raw_Data!$H1744</f>
        <v>86.562005277044861</v>
      </c>
    </row>
    <row r="1745" spans="1:10" x14ac:dyDescent="0.3">
      <c r="A1745" s="8">
        <v>37101</v>
      </c>
      <c r="B1745" t="str">
        <f>TEXT(Raw_Data!$A1745, "MMM")</f>
        <v>Jul</v>
      </c>
      <c r="C1745">
        <f>YEAR(Raw_Data!$A1745)</f>
        <v>2001</v>
      </c>
      <c r="D1745" t="s">
        <v>1472</v>
      </c>
      <c r="E1745" t="s">
        <v>25</v>
      </c>
      <c r="F1745" t="s">
        <v>18</v>
      </c>
      <c r="G1745">
        <v>5</v>
      </c>
      <c r="H1745">
        <v>2747</v>
      </c>
      <c r="I1745" s="1">
        <v>779835</v>
      </c>
      <c r="J1745" s="1">
        <f>Raw_Data!$I1745/Raw_Data!$H1745</f>
        <v>283.88605751729159</v>
      </c>
    </row>
    <row r="1746" spans="1:10" x14ac:dyDescent="0.3">
      <c r="A1746" s="9">
        <v>41853</v>
      </c>
      <c r="B1746" s="2" t="str">
        <f>TEXT(Raw_Data!$A1746, "MMM")</f>
        <v>Aug</v>
      </c>
      <c r="C1746" s="2">
        <f>YEAR(Raw_Data!$A1746)</f>
        <v>2014</v>
      </c>
      <c r="D1746" s="2" t="s">
        <v>1473</v>
      </c>
      <c r="E1746" s="2" t="s">
        <v>15</v>
      </c>
      <c r="F1746" s="2" t="s">
        <v>18</v>
      </c>
      <c r="G1746" s="2"/>
      <c r="H1746" s="2">
        <v>2657</v>
      </c>
      <c r="I1746" s="10">
        <v>444373</v>
      </c>
      <c r="J1746" s="10">
        <f>Raw_Data!$I1746/Raw_Data!$H1746</f>
        <v>167.24614226571322</v>
      </c>
    </row>
    <row r="1747" spans="1:10" x14ac:dyDescent="0.3">
      <c r="A1747" s="8">
        <v>38721</v>
      </c>
      <c r="B1747" t="str">
        <f>TEXT(Raw_Data!$A1747, "MMM")</f>
        <v>Jan</v>
      </c>
      <c r="C1747">
        <f>YEAR(Raw_Data!$A1747)</f>
        <v>2006</v>
      </c>
      <c r="D1747" t="s">
        <v>1474</v>
      </c>
      <c r="E1747" t="s">
        <v>15</v>
      </c>
      <c r="F1747" t="s">
        <v>11</v>
      </c>
      <c r="G1747">
        <v>2</v>
      </c>
      <c r="H1747">
        <v>2165</v>
      </c>
      <c r="I1747" s="1">
        <v>709772</v>
      </c>
      <c r="J1747" s="1">
        <f>Raw_Data!$I1747/Raw_Data!$H1747</f>
        <v>327.83926096997692</v>
      </c>
    </row>
    <row r="1748" spans="1:10" x14ac:dyDescent="0.3">
      <c r="A1748" s="9">
        <v>39034</v>
      </c>
      <c r="B1748" s="2" t="str">
        <f>TEXT(Raw_Data!$A1748, "MMM")</f>
        <v>Nov</v>
      </c>
      <c r="C1748" s="2">
        <f>YEAR(Raw_Data!$A1748)</f>
        <v>2006</v>
      </c>
      <c r="D1748" s="2" t="s">
        <v>1475</v>
      </c>
      <c r="E1748" s="2" t="s">
        <v>15</v>
      </c>
      <c r="F1748" s="2" t="s">
        <v>27</v>
      </c>
      <c r="G1748" s="2"/>
      <c r="H1748" s="2">
        <v>2395</v>
      </c>
      <c r="I1748" s="10">
        <v>301645</v>
      </c>
      <c r="J1748" s="10">
        <f>Raw_Data!$I1748/Raw_Data!$H1748</f>
        <v>125.94780793319416</v>
      </c>
    </row>
    <row r="1749" spans="1:10" x14ac:dyDescent="0.3">
      <c r="A1749" s="8">
        <v>38247</v>
      </c>
      <c r="B1749" t="str">
        <f>TEXT(Raw_Data!$A1749, "MMM")</f>
        <v>Sep</v>
      </c>
      <c r="C1749">
        <f>YEAR(Raw_Data!$A1749)</f>
        <v>2004</v>
      </c>
      <c r="D1749" t="s">
        <v>1476</v>
      </c>
      <c r="E1749" t="s">
        <v>32</v>
      </c>
      <c r="F1749" t="s">
        <v>27</v>
      </c>
      <c r="H1749">
        <v>1093</v>
      </c>
      <c r="I1749" s="1">
        <v>569334</v>
      </c>
      <c r="J1749" s="1">
        <f>Raw_Data!$I1749/Raw_Data!$H1749</f>
        <v>520.89112534309243</v>
      </c>
    </row>
    <row r="1750" spans="1:10" x14ac:dyDescent="0.3">
      <c r="A1750" s="9">
        <v>39133</v>
      </c>
      <c r="B1750" s="2" t="str">
        <f>TEXT(Raw_Data!$A1750, "MMM")</f>
        <v>Feb</v>
      </c>
      <c r="C1750" s="2">
        <f>YEAR(Raw_Data!$A1750)</f>
        <v>2007</v>
      </c>
      <c r="D1750" s="2" t="s">
        <v>618</v>
      </c>
      <c r="E1750" s="2" t="s">
        <v>15</v>
      </c>
      <c r="F1750" s="2" t="s">
        <v>16</v>
      </c>
      <c r="G1750" s="2">
        <v>2</v>
      </c>
      <c r="H1750" s="2">
        <v>1435</v>
      </c>
      <c r="I1750" s="10">
        <v>553790</v>
      </c>
      <c r="J1750" s="10">
        <f>Raw_Data!$I1750/Raw_Data!$H1750</f>
        <v>385.91637630662024</v>
      </c>
    </row>
    <row r="1751" spans="1:10" x14ac:dyDescent="0.3">
      <c r="A1751" s="8">
        <v>41039</v>
      </c>
      <c r="B1751" t="str">
        <f>TEXT(Raw_Data!$A1751, "MMM")</f>
        <v>May</v>
      </c>
      <c r="C1751">
        <f>YEAR(Raw_Data!$A1751)</f>
        <v>2012</v>
      </c>
      <c r="D1751" t="s">
        <v>1477</v>
      </c>
      <c r="E1751" t="s">
        <v>15</v>
      </c>
      <c r="F1751" t="s">
        <v>16</v>
      </c>
      <c r="H1751">
        <v>2239</v>
      </c>
      <c r="I1751" s="1">
        <v>410881</v>
      </c>
      <c r="J1751" s="1">
        <f>Raw_Data!$I1751/Raw_Data!$H1751</f>
        <v>183.51094238499331</v>
      </c>
    </row>
    <row r="1752" spans="1:10" x14ac:dyDescent="0.3">
      <c r="A1752" s="9">
        <v>37624</v>
      </c>
      <c r="B1752" s="2" t="str">
        <f>TEXT(Raw_Data!$A1752, "MMM")</f>
        <v>Jan</v>
      </c>
      <c r="C1752" s="2">
        <f>YEAR(Raw_Data!$A1752)</f>
        <v>2003</v>
      </c>
      <c r="D1752" s="2" t="s">
        <v>1351</v>
      </c>
      <c r="E1752" s="2" t="s">
        <v>23</v>
      </c>
      <c r="F1752" s="2" t="s">
        <v>11</v>
      </c>
      <c r="G1752" s="2">
        <v>2</v>
      </c>
      <c r="H1752" s="2">
        <v>1933</v>
      </c>
      <c r="I1752" s="10">
        <v>294847</v>
      </c>
      <c r="J1752" s="10">
        <f>Raw_Data!$I1752/Raw_Data!$H1752</f>
        <v>152.53336782203829</v>
      </c>
    </row>
    <row r="1753" spans="1:10" x14ac:dyDescent="0.3">
      <c r="A1753" s="8">
        <v>39957</v>
      </c>
      <c r="B1753" t="str">
        <f>TEXT(Raw_Data!$A1753, "MMM")</f>
        <v>May</v>
      </c>
      <c r="C1753">
        <f>YEAR(Raw_Data!$A1753)</f>
        <v>2009</v>
      </c>
      <c r="D1753" t="s">
        <v>1478</v>
      </c>
      <c r="E1753" t="s">
        <v>23</v>
      </c>
      <c r="F1753" t="s">
        <v>27</v>
      </c>
      <c r="G1753">
        <v>2</v>
      </c>
      <c r="H1753">
        <v>2932</v>
      </c>
      <c r="I1753" s="1"/>
      <c r="J1753" s="1">
        <f>Raw_Data!$I1753/Raw_Data!$H1753</f>
        <v>0</v>
      </c>
    </row>
    <row r="1754" spans="1:10" x14ac:dyDescent="0.3">
      <c r="A1754" s="9">
        <v>43571</v>
      </c>
      <c r="B1754" s="2" t="str">
        <f>TEXT(Raw_Data!$A1754, "MMM")</f>
        <v>Apr</v>
      </c>
      <c r="C1754" s="2">
        <f>YEAR(Raw_Data!$A1754)</f>
        <v>2019</v>
      </c>
      <c r="D1754" s="2" t="s">
        <v>1479</v>
      </c>
      <c r="E1754" s="2" t="s">
        <v>15</v>
      </c>
      <c r="F1754" s="2" t="s">
        <v>16</v>
      </c>
      <c r="G1754" s="2">
        <v>2</v>
      </c>
      <c r="H1754" s="2">
        <v>2377</v>
      </c>
      <c r="I1754" s="10">
        <v>350837</v>
      </c>
      <c r="J1754" s="10">
        <f>Raw_Data!$I1754/Raw_Data!$H1754</f>
        <v>147.59655027345394</v>
      </c>
    </row>
    <row r="1755" spans="1:10" x14ac:dyDescent="0.3">
      <c r="A1755" s="8">
        <v>37264</v>
      </c>
      <c r="B1755" t="str">
        <f>TEXT(Raw_Data!$A1755, "MMM")</f>
        <v>Jan</v>
      </c>
      <c r="C1755">
        <f>YEAR(Raw_Data!$A1755)</f>
        <v>2002</v>
      </c>
      <c r="D1755" t="s">
        <v>1480</v>
      </c>
      <c r="E1755" t="s">
        <v>15</v>
      </c>
      <c r="F1755" t="s">
        <v>11</v>
      </c>
      <c r="G1755">
        <v>5</v>
      </c>
      <c r="H1755">
        <v>2889</v>
      </c>
      <c r="I1755" s="1">
        <v>812147</v>
      </c>
      <c r="J1755" s="1">
        <f>Raw_Data!$I1755/Raw_Data!$H1755</f>
        <v>281.11699550017306</v>
      </c>
    </row>
    <row r="1756" spans="1:10" x14ac:dyDescent="0.3">
      <c r="A1756" s="9">
        <v>37500</v>
      </c>
      <c r="B1756" s="2" t="str">
        <f>TEXT(Raw_Data!$A1756, "MMM")</f>
        <v>Sep</v>
      </c>
      <c r="C1756" s="2">
        <f>YEAR(Raw_Data!$A1756)</f>
        <v>2002</v>
      </c>
      <c r="D1756" s="2" t="s">
        <v>1481</v>
      </c>
      <c r="E1756" s="2" t="s">
        <v>15</v>
      </c>
      <c r="F1756" s="2" t="s">
        <v>11</v>
      </c>
      <c r="G1756" s="2">
        <v>3</v>
      </c>
      <c r="H1756" s="2">
        <v>1396</v>
      </c>
      <c r="I1756" s="10">
        <v>755820</v>
      </c>
      <c r="J1756" s="10">
        <f>Raw_Data!$I1756/Raw_Data!$H1756</f>
        <v>541.41833810888249</v>
      </c>
    </row>
    <row r="1757" spans="1:10" x14ac:dyDescent="0.3">
      <c r="A1757" s="8">
        <v>36895</v>
      </c>
      <c r="B1757" t="str">
        <f>TEXT(Raw_Data!$A1757, "MMM")</f>
        <v>Jan</v>
      </c>
      <c r="C1757">
        <f>YEAR(Raw_Data!$A1757)</f>
        <v>2001</v>
      </c>
      <c r="D1757" t="s">
        <v>1482</v>
      </c>
      <c r="E1757" t="s">
        <v>32</v>
      </c>
      <c r="F1757" t="s">
        <v>18</v>
      </c>
      <c r="H1757">
        <v>2480</v>
      </c>
      <c r="I1757" s="1">
        <v>281574</v>
      </c>
      <c r="J1757" s="1">
        <f>Raw_Data!$I1757/Raw_Data!$H1757</f>
        <v>113.53790322580645</v>
      </c>
    </row>
    <row r="1758" spans="1:10" x14ac:dyDescent="0.3">
      <c r="A1758" s="9">
        <v>38564</v>
      </c>
      <c r="B1758" s="2" t="str">
        <f>TEXT(Raw_Data!$A1758, "MMM")</f>
        <v>Jul</v>
      </c>
      <c r="C1758" s="2">
        <f>YEAR(Raw_Data!$A1758)</f>
        <v>2005</v>
      </c>
      <c r="D1758" s="2" t="s">
        <v>1483</v>
      </c>
      <c r="E1758" s="2" t="s">
        <v>23</v>
      </c>
      <c r="F1758" s="2" t="s">
        <v>11</v>
      </c>
      <c r="G1758" s="2">
        <v>5</v>
      </c>
      <c r="H1758" s="2">
        <v>2480</v>
      </c>
      <c r="I1758" s="10">
        <v>757207</v>
      </c>
      <c r="J1758" s="10">
        <f>Raw_Data!$I1758/Raw_Data!$H1758</f>
        <v>305.32540322580644</v>
      </c>
    </row>
    <row r="1759" spans="1:10" x14ac:dyDescent="0.3">
      <c r="A1759" s="8">
        <v>40268</v>
      </c>
      <c r="B1759" t="str">
        <f>TEXT(Raw_Data!$A1759, "MMM")</f>
        <v>Mar</v>
      </c>
      <c r="C1759">
        <f>YEAR(Raw_Data!$A1759)</f>
        <v>2010</v>
      </c>
      <c r="D1759" t="s">
        <v>1337</v>
      </c>
      <c r="E1759" t="s">
        <v>25</v>
      </c>
      <c r="F1759" t="s">
        <v>27</v>
      </c>
      <c r="G1759">
        <v>5</v>
      </c>
      <c r="H1759">
        <v>1036</v>
      </c>
      <c r="I1759" s="1">
        <v>618674</v>
      </c>
      <c r="J1759" s="1">
        <f>Raw_Data!$I1759/Raw_Data!$H1759</f>
        <v>597.17567567567562</v>
      </c>
    </row>
    <row r="1760" spans="1:10" x14ac:dyDescent="0.3">
      <c r="A1760" s="9">
        <v>38324</v>
      </c>
      <c r="B1760" s="2" t="str">
        <f>TEXT(Raw_Data!$A1760, "MMM")</f>
        <v>Dec</v>
      </c>
      <c r="C1760" s="2">
        <f>YEAR(Raw_Data!$A1760)</f>
        <v>2004</v>
      </c>
      <c r="D1760" s="2" t="s">
        <v>237</v>
      </c>
      <c r="E1760" s="2" t="s">
        <v>15</v>
      </c>
      <c r="F1760" s="2" t="s">
        <v>27</v>
      </c>
      <c r="G1760" s="2">
        <v>3</v>
      </c>
      <c r="H1760" s="2">
        <v>2123</v>
      </c>
      <c r="I1760" s="10">
        <v>144668</v>
      </c>
      <c r="J1760" s="10">
        <f>Raw_Data!$I1760/Raw_Data!$H1760</f>
        <v>68.143193593970793</v>
      </c>
    </row>
    <row r="1761" spans="1:10" x14ac:dyDescent="0.3">
      <c r="A1761" s="8">
        <v>43004</v>
      </c>
      <c r="B1761" t="str">
        <f>TEXT(Raw_Data!$A1761, "MMM")</f>
        <v>Sep</v>
      </c>
      <c r="C1761">
        <f>YEAR(Raw_Data!$A1761)</f>
        <v>2017</v>
      </c>
      <c r="D1761" t="s">
        <v>1484</v>
      </c>
      <c r="E1761" t="s">
        <v>15</v>
      </c>
      <c r="F1761" t="s">
        <v>11</v>
      </c>
      <c r="G1761">
        <v>4</v>
      </c>
      <c r="H1761">
        <v>3459</v>
      </c>
      <c r="I1761" s="1">
        <v>596190</v>
      </c>
      <c r="J1761" s="1">
        <f>Raw_Data!$I1761/Raw_Data!$H1761</f>
        <v>172.35906331309627</v>
      </c>
    </row>
    <row r="1762" spans="1:10" x14ac:dyDescent="0.3">
      <c r="A1762" s="9">
        <v>37045</v>
      </c>
      <c r="B1762" s="2" t="str">
        <f>TEXT(Raw_Data!$A1762, "MMM")</f>
        <v>Jun</v>
      </c>
      <c r="C1762" s="2">
        <f>YEAR(Raw_Data!$A1762)</f>
        <v>2001</v>
      </c>
      <c r="D1762" s="2" t="s">
        <v>269</v>
      </c>
      <c r="E1762" s="2" t="s">
        <v>29</v>
      </c>
      <c r="F1762" s="2" t="s">
        <v>16</v>
      </c>
      <c r="G1762" s="2">
        <v>4</v>
      </c>
      <c r="H1762" s="2">
        <v>2250</v>
      </c>
      <c r="I1762" s="10">
        <v>622746</v>
      </c>
      <c r="J1762" s="10">
        <f>Raw_Data!$I1762/Raw_Data!$H1762</f>
        <v>276.77600000000001</v>
      </c>
    </row>
    <row r="1763" spans="1:10" x14ac:dyDescent="0.3">
      <c r="A1763" s="8">
        <v>38273</v>
      </c>
      <c r="B1763" t="str">
        <f>TEXT(Raw_Data!$A1763, "MMM")</f>
        <v>Oct</v>
      </c>
      <c r="C1763">
        <f>YEAR(Raw_Data!$A1763)</f>
        <v>2004</v>
      </c>
      <c r="D1763" t="s">
        <v>1485</v>
      </c>
      <c r="E1763" t="s">
        <v>13</v>
      </c>
      <c r="F1763" t="s">
        <v>11</v>
      </c>
      <c r="H1763">
        <v>1991</v>
      </c>
      <c r="I1763" s="1">
        <v>709919</v>
      </c>
      <c r="J1763" s="1">
        <f>Raw_Data!$I1763/Raw_Data!$H1763</f>
        <v>356.56403817177301</v>
      </c>
    </row>
    <row r="1764" spans="1:10" x14ac:dyDescent="0.3">
      <c r="A1764" s="9">
        <v>41550</v>
      </c>
      <c r="B1764" s="2" t="str">
        <f>TEXT(Raw_Data!$A1764, "MMM")</f>
        <v>Oct</v>
      </c>
      <c r="C1764" s="2">
        <f>YEAR(Raw_Data!$A1764)</f>
        <v>2013</v>
      </c>
      <c r="D1764" s="2" t="s">
        <v>1067</v>
      </c>
      <c r="E1764" s="2" t="s">
        <v>21</v>
      </c>
      <c r="F1764" s="2" t="s">
        <v>16</v>
      </c>
      <c r="G1764" s="2"/>
      <c r="H1764" s="2">
        <v>1506</v>
      </c>
      <c r="I1764" s="10">
        <v>277769</v>
      </c>
      <c r="J1764" s="10">
        <f>Raw_Data!$I1764/Raw_Data!$H1764</f>
        <v>184.44156706507303</v>
      </c>
    </row>
    <row r="1765" spans="1:10" x14ac:dyDescent="0.3">
      <c r="A1765" s="8">
        <v>40248</v>
      </c>
      <c r="B1765" t="str">
        <f>TEXT(Raw_Data!$A1765, "MMM")</f>
        <v>Mar</v>
      </c>
      <c r="C1765">
        <f>YEAR(Raw_Data!$A1765)</f>
        <v>2010</v>
      </c>
      <c r="D1765" t="s">
        <v>1486</v>
      </c>
      <c r="E1765" t="s">
        <v>15</v>
      </c>
      <c r="F1765" t="s">
        <v>16</v>
      </c>
      <c r="H1765">
        <v>2694</v>
      </c>
      <c r="I1765" s="1">
        <v>499345</v>
      </c>
      <c r="J1765" s="1">
        <f>Raw_Data!$I1765/Raw_Data!$H1765</f>
        <v>185.35449146250929</v>
      </c>
    </row>
    <row r="1766" spans="1:10" x14ac:dyDescent="0.3">
      <c r="A1766" s="9">
        <v>39366</v>
      </c>
      <c r="B1766" s="2" t="str">
        <f>TEXT(Raw_Data!$A1766, "MMM")</f>
        <v>Oct</v>
      </c>
      <c r="C1766" s="2">
        <f>YEAR(Raw_Data!$A1766)</f>
        <v>2007</v>
      </c>
      <c r="D1766" s="2" t="s">
        <v>1487</v>
      </c>
      <c r="E1766" s="2" t="s">
        <v>25</v>
      </c>
      <c r="F1766" s="2" t="s">
        <v>27</v>
      </c>
      <c r="G1766" s="2">
        <v>2</v>
      </c>
      <c r="H1766" s="2">
        <v>2653</v>
      </c>
      <c r="I1766" s="10">
        <v>500684</v>
      </c>
      <c r="J1766" s="10">
        <f>Raw_Data!$I1766/Raw_Data!$H1766</f>
        <v>188.72370900866943</v>
      </c>
    </row>
    <row r="1767" spans="1:10" x14ac:dyDescent="0.3">
      <c r="A1767" s="8">
        <v>42854</v>
      </c>
      <c r="B1767" t="str">
        <f>TEXT(Raw_Data!$A1767, "MMM")</f>
        <v>Apr</v>
      </c>
      <c r="C1767">
        <f>YEAR(Raw_Data!$A1767)</f>
        <v>2017</v>
      </c>
      <c r="D1767" t="s">
        <v>317</v>
      </c>
      <c r="E1767" t="s">
        <v>29</v>
      </c>
      <c r="F1767" t="s">
        <v>18</v>
      </c>
      <c r="G1767">
        <v>2</v>
      </c>
      <c r="H1767">
        <v>3214</v>
      </c>
      <c r="I1767" s="1">
        <v>506853</v>
      </c>
      <c r="J1767" s="1">
        <f>Raw_Data!$I1767/Raw_Data!$H1767</f>
        <v>157.70161792159303</v>
      </c>
    </row>
    <row r="1768" spans="1:10" x14ac:dyDescent="0.3">
      <c r="A1768" s="9">
        <v>42924</v>
      </c>
      <c r="B1768" s="2" t="str">
        <f>TEXT(Raw_Data!$A1768, "MMM")</f>
        <v>Jul</v>
      </c>
      <c r="C1768" s="2">
        <f>YEAR(Raw_Data!$A1768)</f>
        <v>2017</v>
      </c>
      <c r="D1768" s="2" t="s">
        <v>1488</v>
      </c>
      <c r="E1768" s="2" t="s">
        <v>15</v>
      </c>
      <c r="F1768" s="2" t="s">
        <v>18</v>
      </c>
      <c r="G1768" s="2"/>
      <c r="H1768" s="2">
        <v>2272</v>
      </c>
      <c r="I1768" s="10">
        <v>375478</v>
      </c>
      <c r="J1768" s="10">
        <f>Raw_Data!$I1768/Raw_Data!$H1768</f>
        <v>165.26320422535213</v>
      </c>
    </row>
    <row r="1769" spans="1:10" x14ac:dyDescent="0.3">
      <c r="A1769" s="8">
        <v>41268</v>
      </c>
      <c r="B1769" t="str">
        <f>TEXT(Raw_Data!$A1769, "MMM")</f>
        <v>Dec</v>
      </c>
      <c r="C1769">
        <f>YEAR(Raw_Data!$A1769)</f>
        <v>2012</v>
      </c>
      <c r="D1769" t="s">
        <v>1489</v>
      </c>
      <c r="E1769" t="s">
        <v>23</v>
      </c>
      <c r="F1769" t="s">
        <v>27</v>
      </c>
      <c r="G1769">
        <v>2</v>
      </c>
      <c r="H1769">
        <v>2211</v>
      </c>
      <c r="I1769" s="1">
        <v>634752</v>
      </c>
      <c r="J1769" s="1">
        <f>Raw_Data!$I1769/Raw_Data!$H1769</f>
        <v>287.08819538670286</v>
      </c>
    </row>
    <row r="1770" spans="1:10" x14ac:dyDescent="0.3">
      <c r="A1770" s="9">
        <v>42707</v>
      </c>
      <c r="B1770" s="2" t="str">
        <f>TEXT(Raw_Data!$A1770, "MMM")</f>
        <v>Dec</v>
      </c>
      <c r="C1770" s="2">
        <f>YEAR(Raw_Data!$A1770)</f>
        <v>2016</v>
      </c>
      <c r="D1770" s="2" t="s">
        <v>1490</v>
      </c>
      <c r="E1770" s="2" t="s">
        <v>21</v>
      </c>
      <c r="F1770" s="2" t="s">
        <v>18</v>
      </c>
      <c r="G1770" s="2"/>
      <c r="H1770" s="2">
        <v>1852</v>
      </c>
      <c r="I1770" s="10">
        <v>635471</v>
      </c>
      <c r="J1770" s="10">
        <f>Raw_Data!$I1770/Raw_Data!$H1770</f>
        <v>343.12688984881208</v>
      </c>
    </row>
    <row r="1771" spans="1:10" x14ac:dyDescent="0.3">
      <c r="A1771" s="8">
        <v>41263</v>
      </c>
      <c r="B1771" t="str">
        <f>TEXT(Raw_Data!$A1771, "MMM")</f>
        <v>Dec</v>
      </c>
      <c r="C1771">
        <f>YEAR(Raw_Data!$A1771)</f>
        <v>2012</v>
      </c>
      <c r="D1771" t="s">
        <v>88</v>
      </c>
      <c r="E1771" t="s">
        <v>32</v>
      </c>
      <c r="F1771" t="s">
        <v>11</v>
      </c>
      <c r="H1771">
        <v>906</v>
      </c>
      <c r="I1771" s="1">
        <v>280082</v>
      </c>
      <c r="J1771" s="1">
        <f>Raw_Data!$I1771/Raw_Data!$H1771</f>
        <v>309.1412803532009</v>
      </c>
    </row>
    <row r="1772" spans="1:10" x14ac:dyDescent="0.3">
      <c r="A1772" s="9">
        <v>39993</v>
      </c>
      <c r="B1772" s="2" t="str">
        <f>TEXT(Raw_Data!$A1772, "MMM")</f>
        <v>Jun</v>
      </c>
      <c r="C1772" s="2">
        <f>YEAR(Raw_Data!$A1772)</f>
        <v>2009</v>
      </c>
      <c r="D1772" s="2" t="s">
        <v>1491</v>
      </c>
      <c r="E1772" s="2" t="s">
        <v>25</v>
      </c>
      <c r="F1772" s="2" t="s">
        <v>18</v>
      </c>
      <c r="G1772" s="2">
        <v>4</v>
      </c>
      <c r="H1772" s="2">
        <v>2123</v>
      </c>
      <c r="I1772" s="10">
        <v>894014</v>
      </c>
      <c r="J1772" s="10">
        <f>Raw_Data!$I1772/Raw_Data!$H1772</f>
        <v>421.10880829015542</v>
      </c>
    </row>
    <row r="1773" spans="1:10" x14ac:dyDescent="0.3">
      <c r="A1773" s="8">
        <v>41056</v>
      </c>
      <c r="B1773" t="str">
        <f>TEXT(Raw_Data!$A1773, "MMM")</f>
        <v>May</v>
      </c>
      <c r="C1773">
        <f>YEAR(Raw_Data!$A1773)</f>
        <v>2012</v>
      </c>
      <c r="D1773" t="s">
        <v>1194</v>
      </c>
      <c r="E1773" t="s">
        <v>29</v>
      </c>
      <c r="F1773" t="s">
        <v>18</v>
      </c>
      <c r="H1773">
        <v>2362</v>
      </c>
      <c r="I1773" s="1">
        <v>476296</v>
      </c>
      <c r="J1773" s="1">
        <f>Raw_Data!$I1773/Raw_Data!$H1773</f>
        <v>201.64944961896697</v>
      </c>
    </row>
    <row r="1774" spans="1:10" x14ac:dyDescent="0.3">
      <c r="A1774" s="9">
        <v>43040</v>
      </c>
      <c r="B1774" s="2" t="str">
        <f>TEXT(Raw_Data!$A1774, "MMM")</f>
        <v>Nov</v>
      </c>
      <c r="C1774" s="2">
        <f>YEAR(Raw_Data!$A1774)</f>
        <v>2017</v>
      </c>
      <c r="D1774" s="2" t="s">
        <v>762</v>
      </c>
      <c r="E1774" s="2" t="s">
        <v>32</v>
      </c>
      <c r="F1774" s="2" t="s">
        <v>18</v>
      </c>
      <c r="G1774" s="2">
        <v>2</v>
      </c>
      <c r="H1774" s="2">
        <v>1487</v>
      </c>
      <c r="I1774" s="10">
        <v>265582</v>
      </c>
      <c r="J1774" s="10">
        <f>Raw_Data!$I1774/Raw_Data!$H1774</f>
        <v>178.6025554808339</v>
      </c>
    </row>
    <row r="1775" spans="1:10" x14ac:dyDescent="0.3">
      <c r="A1775" s="8">
        <v>42330</v>
      </c>
      <c r="B1775" t="str">
        <f>TEXT(Raw_Data!$A1775, "MMM")</f>
        <v>Nov</v>
      </c>
      <c r="C1775">
        <f>YEAR(Raw_Data!$A1775)</f>
        <v>2015</v>
      </c>
      <c r="D1775" t="s">
        <v>291</v>
      </c>
      <c r="E1775" t="s">
        <v>23</v>
      </c>
      <c r="F1775" t="s">
        <v>27</v>
      </c>
      <c r="G1775">
        <v>3</v>
      </c>
      <c r="H1775">
        <v>2080</v>
      </c>
      <c r="I1775" s="1">
        <v>441361</v>
      </c>
      <c r="J1775" s="1">
        <f>Raw_Data!$I1775/Raw_Data!$H1775</f>
        <v>212.19278846153847</v>
      </c>
    </row>
    <row r="1776" spans="1:10" x14ac:dyDescent="0.3">
      <c r="A1776" s="9">
        <v>41057</v>
      </c>
      <c r="B1776" s="2" t="str">
        <f>TEXT(Raw_Data!$A1776, "MMM")</f>
        <v>May</v>
      </c>
      <c r="C1776" s="2">
        <f>YEAR(Raw_Data!$A1776)</f>
        <v>2012</v>
      </c>
      <c r="D1776" s="2" t="s">
        <v>1492</v>
      </c>
      <c r="E1776" s="2" t="s">
        <v>15</v>
      </c>
      <c r="F1776" s="2" t="s">
        <v>11</v>
      </c>
      <c r="G1776" s="2"/>
      <c r="H1776" s="2">
        <v>2817</v>
      </c>
      <c r="I1776" s="10">
        <v>128333</v>
      </c>
      <c r="J1776" s="10">
        <f>Raw_Data!$I1776/Raw_Data!$H1776</f>
        <v>45.556620518281861</v>
      </c>
    </row>
    <row r="1777" spans="1:10" x14ac:dyDescent="0.3">
      <c r="A1777" s="8">
        <v>39415</v>
      </c>
      <c r="B1777" t="str">
        <f>TEXT(Raw_Data!$A1777, "MMM")</f>
        <v>Nov</v>
      </c>
      <c r="C1777">
        <f>YEAR(Raw_Data!$A1777)</f>
        <v>2007</v>
      </c>
      <c r="D1777" t="s">
        <v>1493</v>
      </c>
      <c r="E1777" t="s">
        <v>25</v>
      </c>
      <c r="F1777" t="s">
        <v>27</v>
      </c>
      <c r="G1777">
        <v>4</v>
      </c>
      <c r="H1777">
        <v>2776</v>
      </c>
      <c r="I1777" s="1">
        <v>539433</v>
      </c>
      <c r="J1777" s="1">
        <f>Raw_Data!$I1777/Raw_Data!$H1777</f>
        <v>194.32024495677234</v>
      </c>
    </row>
    <row r="1778" spans="1:10" x14ac:dyDescent="0.3">
      <c r="A1778" s="9">
        <v>38617</v>
      </c>
      <c r="B1778" s="2" t="str">
        <f>TEXT(Raw_Data!$A1778, "MMM")</f>
        <v>Sep</v>
      </c>
      <c r="C1778" s="2">
        <f>YEAR(Raw_Data!$A1778)</f>
        <v>2005</v>
      </c>
      <c r="D1778" s="2" t="s">
        <v>1494</v>
      </c>
      <c r="E1778" s="2" t="s">
        <v>29</v>
      </c>
      <c r="F1778" s="2" t="s">
        <v>16</v>
      </c>
      <c r="G1778" s="2"/>
      <c r="H1778" s="2">
        <v>2232</v>
      </c>
      <c r="I1778" s="10"/>
      <c r="J1778" s="10">
        <f>Raw_Data!$I1778/Raw_Data!$H1778</f>
        <v>0</v>
      </c>
    </row>
    <row r="1779" spans="1:10" x14ac:dyDescent="0.3">
      <c r="A1779" s="8">
        <v>41828</v>
      </c>
      <c r="B1779" t="str">
        <f>TEXT(Raw_Data!$A1779, "MMM")</f>
        <v>Jul</v>
      </c>
      <c r="C1779">
        <f>YEAR(Raw_Data!$A1779)</f>
        <v>2014</v>
      </c>
      <c r="D1779" t="s">
        <v>562</v>
      </c>
      <c r="E1779" t="s">
        <v>25</v>
      </c>
      <c r="F1779" t="s">
        <v>18</v>
      </c>
      <c r="G1779">
        <v>4</v>
      </c>
      <c r="H1779">
        <v>1851</v>
      </c>
      <c r="I1779" s="1">
        <v>412351</v>
      </c>
      <c r="J1779" s="1">
        <f>Raw_Data!$I1779/Raw_Data!$H1779</f>
        <v>222.77201512695839</v>
      </c>
    </row>
    <row r="1780" spans="1:10" x14ac:dyDescent="0.3">
      <c r="A1780" s="9">
        <v>39735</v>
      </c>
      <c r="B1780" s="2" t="str">
        <f>TEXT(Raw_Data!$A1780, "MMM")</f>
        <v>Oct</v>
      </c>
      <c r="C1780" s="2">
        <f>YEAR(Raw_Data!$A1780)</f>
        <v>2008</v>
      </c>
      <c r="D1780" s="2" t="s">
        <v>1495</v>
      </c>
      <c r="E1780" s="2" t="s">
        <v>23</v>
      </c>
      <c r="F1780" s="2" t="s">
        <v>11</v>
      </c>
      <c r="G1780" s="2"/>
      <c r="H1780" s="2">
        <v>2271</v>
      </c>
      <c r="I1780" s="10">
        <v>715633</v>
      </c>
      <c r="J1780" s="10">
        <f>Raw_Data!$I1780/Raw_Data!$H1780</f>
        <v>315.11800968736242</v>
      </c>
    </row>
    <row r="1781" spans="1:10" x14ac:dyDescent="0.3">
      <c r="A1781" s="8">
        <v>39778</v>
      </c>
      <c r="B1781" t="str">
        <f>TEXT(Raw_Data!$A1781, "MMM")</f>
        <v>Nov</v>
      </c>
      <c r="C1781">
        <f>YEAR(Raw_Data!$A1781)</f>
        <v>2008</v>
      </c>
      <c r="D1781" t="s">
        <v>1496</v>
      </c>
      <c r="E1781" t="s">
        <v>23</v>
      </c>
      <c r="F1781" t="s">
        <v>27</v>
      </c>
      <c r="H1781">
        <v>2715</v>
      </c>
      <c r="I1781" s="1">
        <v>541995</v>
      </c>
      <c r="J1781" s="1">
        <f>Raw_Data!$I1781/Raw_Data!$H1781</f>
        <v>199.62983425414365</v>
      </c>
    </row>
    <row r="1782" spans="1:10" x14ac:dyDescent="0.3">
      <c r="A1782" s="9">
        <v>43712</v>
      </c>
      <c r="B1782" s="2" t="str">
        <f>TEXT(Raw_Data!$A1782, "MMM")</f>
        <v>Sep</v>
      </c>
      <c r="C1782" s="2">
        <f>YEAR(Raw_Data!$A1782)</f>
        <v>2019</v>
      </c>
      <c r="D1782" s="2" t="s">
        <v>1497</v>
      </c>
      <c r="E1782" s="2" t="s">
        <v>13</v>
      </c>
      <c r="F1782" s="2" t="s">
        <v>16</v>
      </c>
      <c r="G1782" s="2"/>
      <c r="H1782" s="2">
        <v>879</v>
      </c>
      <c r="I1782" s="10">
        <v>510086</v>
      </c>
      <c r="J1782" s="10">
        <f>Raw_Data!$I1782/Raw_Data!$H1782</f>
        <v>580.30261660978385</v>
      </c>
    </row>
    <row r="1783" spans="1:10" x14ac:dyDescent="0.3">
      <c r="A1783" s="8">
        <v>42023</v>
      </c>
      <c r="B1783" t="str">
        <f>TEXT(Raw_Data!$A1783, "MMM")</f>
        <v>Jan</v>
      </c>
      <c r="C1783">
        <f>YEAR(Raw_Data!$A1783)</f>
        <v>2015</v>
      </c>
      <c r="D1783" t="s">
        <v>1498</v>
      </c>
      <c r="E1783" t="s">
        <v>15</v>
      </c>
      <c r="F1783" t="s">
        <v>27</v>
      </c>
      <c r="G1783">
        <v>2</v>
      </c>
      <c r="H1783">
        <v>1131</v>
      </c>
      <c r="I1783" s="1">
        <v>568331</v>
      </c>
      <c r="J1783" s="1">
        <f>Raw_Data!$I1783/Raw_Data!$H1783</f>
        <v>502.5030946065429</v>
      </c>
    </row>
    <row r="1784" spans="1:10" x14ac:dyDescent="0.3">
      <c r="A1784" s="9">
        <v>41477</v>
      </c>
      <c r="B1784" s="2" t="str">
        <f>TEXT(Raw_Data!$A1784, "MMM")</f>
        <v>Jul</v>
      </c>
      <c r="C1784" s="2">
        <f>YEAR(Raw_Data!$A1784)</f>
        <v>2013</v>
      </c>
      <c r="D1784" s="2" t="s">
        <v>615</v>
      </c>
      <c r="E1784" s="2" t="s">
        <v>32</v>
      </c>
      <c r="F1784" s="2" t="s">
        <v>18</v>
      </c>
      <c r="G1784" s="2"/>
      <c r="H1784" s="2">
        <v>3090</v>
      </c>
      <c r="I1784" s="10">
        <v>628767</v>
      </c>
      <c r="J1784" s="10">
        <f>Raw_Data!$I1784/Raw_Data!$H1784</f>
        <v>203.48446601941748</v>
      </c>
    </row>
    <row r="1785" spans="1:10" x14ac:dyDescent="0.3">
      <c r="A1785" s="8">
        <v>40688</v>
      </c>
      <c r="B1785" t="str">
        <f>TEXT(Raw_Data!$A1785, "MMM")</f>
        <v>May</v>
      </c>
      <c r="C1785">
        <f>YEAR(Raw_Data!$A1785)</f>
        <v>2011</v>
      </c>
      <c r="D1785" t="s">
        <v>1499</v>
      </c>
      <c r="E1785" t="s">
        <v>32</v>
      </c>
      <c r="F1785" t="s">
        <v>11</v>
      </c>
      <c r="G1785">
        <v>4</v>
      </c>
      <c r="H1785">
        <v>3056</v>
      </c>
      <c r="I1785" s="1">
        <v>759748</v>
      </c>
      <c r="J1785" s="1">
        <f>Raw_Data!$I1785/Raw_Data!$H1785</f>
        <v>248.60863874345549</v>
      </c>
    </row>
    <row r="1786" spans="1:10" x14ac:dyDescent="0.3">
      <c r="A1786" s="9">
        <v>38439</v>
      </c>
      <c r="B1786" s="2" t="str">
        <f>TEXT(Raw_Data!$A1786, "MMM")</f>
        <v>Mar</v>
      </c>
      <c r="C1786" s="2">
        <f>YEAR(Raw_Data!$A1786)</f>
        <v>2005</v>
      </c>
      <c r="D1786" s="2" t="s">
        <v>1500</v>
      </c>
      <c r="E1786" s="2" t="s">
        <v>21</v>
      </c>
      <c r="F1786" s="2" t="s">
        <v>27</v>
      </c>
      <c r="G1786" s="2">
        <v>3</v>
      </c>
      <c r="H1786" s="2">
        <v>987</v>
      </c>
      <c r="I1786" s="10">
        <v>818501</v>
      </c>
      <c r="J1786" s="10">
        <f>Raw_Data!$I1786/Raw_Data!$H1786</f>
        <v>829.28166160081048</v>
      </c>
    </row>
    <row r="1787" spans="1:10" x14ac:dyDescent="0.3">
      <c r="A1787" s="8">
        <v>43672</v>
      </c>
      <c r="B1787" t="str">
        <f>TEXT(Raw_Data!$A1787, "MMM")</f>
        <v>Jul</v>
      </c>
      <c r="C1787">
        <f>YEAR(Raw_Data!$A1787)</f>
        <v>2019</v>
      </c>
      <c r="D1787" t="s">
        <v>1134</v>
      </c>
      <c r="E1787" t="s">
        <v>25</v>
      </c>
      <c r="F1787" t="s">
        <v>11</v>
      </c>
      <c r="G1787">
        <v>5</v>
      </c>
      <c r="H1787">
        <v>2736</v>
      </c>
      <c r="I1787" s="1">
        <v>737988</v>
      </c>
      <c r="J1787" s="1">
        <f>Raw_Data!$I1787/Raw_Data!$H1787</f>
        <v>269.73245614035091</v>
      </c>
    </row>
    <row r="1788" spans="1:10" x14ac:dyDescent="0.3">
      <c r="A1788" s="9">
        <v>42863</v>
      </c>
      <c r="B1788" s="2" t="str">
        <f>TEXT(Raw_Data!$A1788, "MMM")</f>
        <v>May</v>
      </c>
      <c r="C1788" s="2">
        <f>YEAR(Raw_Data!$A1788)</f>
        <v>2017</v>
      </c>
      <c r="D1788" s="2" t="s">
        <v>1327</v>
      </c>
      <c r="E1788" s="2" t="s">
        <v>13</v>
      </c>
      <c r="F1788" s="2" t="s">
        <v>18</v>
      </c>
      <c r="G1788" s="2">
        <v>2</v>
      </c>
      <c r="H1788" s="2">
        <v>3448</v>
      </c>
      <c r="I1788" s="10">
        <v>480334</v>
      </c>
      <c r="J1788" s="10">
        <f>Raw_Data!$I1788/Raw_Data!$H1788</f>
        <v>139.30800464037122</v>
      </c>
    </row>
    <row r="1789" spans="1:10" x14ac:dyDescent="0.3">
      <c r="A1789" s="8">
        <v>38179</v>
      </c>
      <c r="B1789" t="str">
        <f>TEXT(Raw_Data!$A1789, "MMM")</f>
        <v>Jul</v>
      </c>
      <c r="C1789">
        <f>YEAR(Raw_Data!$A1789)</f>
        <v>2004</v>
      </c>
      <c r="D1789" t="s">
        <v>950</v>
      </c>
      <c r="E1789" t="s">
        <v>25</v>
      </c>
      <c r="F1789" t="s">
        <v>27</v>
      </c>
      <c r="H1789">
        <v>1458</v>
      </c>
      <c r="I1789" s="1">
        <v>236847</v>
      </c>
      <c r="J1789" s="1">
        <f>Raw_Data!$I1789/Raw_Data!$H1789</f>
        <v>162.44650205761317</v>
      </c>
    </row>
    <row r="1790" spans="1:10" x14ac:dyDescent="0.3">
      <c r="A1790" s="9">
        <v>43195</v>
      </c>
      <c r="B1790" s="2" t="str">
        <f>TEXT(Raw_Data!$A1790, "MMM")</f>
        <v>Apr</v>
      </c>
      <c r="C1790" s="2">
        <f>YEAR(Raw_Data!$A1790)</f>
        <v>2018</v>
      </c>
      <c r="D1790" s="2" t="s">
        <v>468</v>
      </c>
      <c r="E1790" s="2" t="s">
        <v>29</v>
      </c>
      <c r="F1790" s="2" t="s">
        <v>27</v>
      </c>
      <c r="G1790" s="2"/>
      <c r="H1790" s="2">
        <v>2681</v>
      </c>
      <c r="I1790" s="10">
        <v>630311</v>
      </c>
      <c r="J1790" s="10">
        <f>Raw_Data!$I1790/Raw_Data!$H1790</f>
        <v>235.10294666169341</v>
      </c>
    </row>
    <row r="1791" spans="1:10" x14ac:dyDescent="0.3">
      <c r="A1791" s="8">
        <v>40165</v>
      </c>
      <c r="B1791" t="str">
        <f>TEXT(Raw_Data!$A1791, "MMM")</f>
        <v>Dec</v>
      </c>
      <c r="C1791">
        <f>YEAR(Raw_Data!$A1791)</f>
        <v>2009</v>
      </c>
      <c r="D1791" t="s">
        <v>1501</v>
      </c>
      <c r="E1791" t="s">
        <v>29</v>
      </c>
      <c r="F1791" t="s">
        <v>11</v>
      </c>
      <c r="H1791">
        <v>3469</v>
      </c>
      <c r="I1791" s="1">
        <v>631847</v>
      </c>
      <c r="J1791" s="1">
        <f>Raw_Data!$I1791/Raw_Data!$H1791</f>
        <v>182.14096281349092</v>
      </c>
    </row>
    <row r="1792" spans="1:10" x14ac:dyDescent="0.3">
      <c r="A1792" s="9">
        <v>42336</v>
      </c>
      <c r="B1792" s="2" t="str">
        <f>TEXT(Raw_Data!$A1792, "MMM")</f>
        <v>Nov</v>
      </c>
      <c r="C1792" s="2">
        <f>YEAR(Raw_Data!$A1792)</f>
        <v>2015</v>
      </c>
      <c r="D1792" s="2" t="s">
        <v>1502</v>
      </c>
      <c r="E1792" s="2" t="s">
        <v>25</v>
      </c>
      <c r="F1792" s="2" t="s">
        <v>18</v>
      </c>
      <c r="G1792" s="2"/>
      <c r="H1792" s="2">
        <v>1417</v>
      </c>
      <c r="I1792" s="10">
        <v>463316</v>
      </c>
      <c r="J1792" s="10">
        <f>Raw_Data!$I1792/Raw_Data!$H1792</f>
        <v>326.96965419901198</v>
      </c>
    </row>
    <row r="1793" spans="1:10" x14ac:dyDescent="0.3">
      <c r="A1793" s="8">
        <v>38466</v>
      </c>
      <c r="B1793" t="str">
        <f>TEXT(Raw_Data!$A1793, "MMM")</f>
        <v>Apr</v>
      </c>
      <c r="C1793">
        <f>YEAR(Raw_Data!$A1793)</f>
        <v>2005</v>
      </c>
      <c r="D1793" t="s">
        <v>1503</v>
      </c>
      <c r="E1793" t="s">
        <v>21</v>
      </c>
      <c r="F1793" t="s">
        <v>16</v>
      </c>
      <c r="G1793">
        <v>2</v>
      </c>
      <c r="H1793">
        <v>2932</v>
      </c>
      <c r="I1793" s="1">
        <v>671914</v>
      </c>
      <c r="J1793" s="1">
        <f>Raw_Data!$I1793/Raw_Data!$H1793</f>
        <v>229.16575716234652</v>
      </c>
    </row>
    <row r="1794" spans="1:10" x14ac:dyDescent="0.3">
      <c r="A1794" s="9">
        <v>41428</v>
      </c>
      <c r="B1794" s="2" t="str">
        <f>TEXT(Raw_Data!$A1794, "MMM")</f>
        <v>Jun</v>
      </c>
      <c r="C1794" s="2">
        <f>YEAR(Raw_Data!$A1794)</f>
        <v>2013</v>
      </c>
      <c r="D1794" s="2" t="s">
        <v>1504</v>
      </c>
      <c r="E1794" s="2" t="s">
        <v>25</v>
      </c>
      <c r="F1794" s="2" t="s">
        <v>18</v>
      </c>
      <c r="G1794" s="2">
        <v>3</v>
      </c>
      <c r="H1794" s="2">
        <v>1737</v>
      </c>
      <c r="I1794" s="10">
        <v>848925</v>
      </c>
      <c r="J1794" s="10">
        <f>Raw_Data!$I1794/Raw_Data!$H1794</f>
        <v>488.73056994818654</v>
      </c>
    </row>
    <row r="1795" spans="1:10" x14ac:dyDescent="0.3">
      <c r="A1795" s="8">
        <v>39789</v>
      </c>
      <c r="B1795" t="str">
        <f>TEXT(Raw_Data!$A1795, "MMM")</f>
        <v>Dec</v>
      </c>
      <c r="C1795">
        <f>YEAR(Raw_Data!$A1795)</f>
        <v>2008</v>
      </c>
      <c r="D1795" t="s">
        <v>1505</v>
      </c>
      <c r="E1795" t="s">
        <v>32</v>
      </c>
      <c r="F1795" t="s">
        <v>27</v>
      </c>
      <c r="H1795">
        <v>971</v>
      </c>
      <c r="I1795" s="1">
        <v>689829</v>
      </c>
      <c r="J1795" s="1">
        <f>Raw_Data!$I1795/Raw_Data!$H1795</f>
        <v>710.43151390319258</v>
      </c>
    </row>
    <row r="1796" spans="1:10" x14ac:dyDescent="0.3">
      <c r="A1796" s="9">
        <v>38986</v>
      </c>
      <c r="B1796" s="2" t="str">
        <f>TEXT(Raw_Data!$A1796, "MMM")</f>
        <v>Sep</v>
      </c>
      <c r="C1796" s="2">
        <f>YEAR(Raw_Data!$A1796)</f>
        <v>2006</v>
      </c>
      <c r="D1796" s="2" t="s">
        <v>673</v>
      </c>
      <c r="E1796" s="2" t="s">
        <v>15</v>
      </c>
      <c r="F1796" s="2" t="s">
        <v>11</v>
      </c>
      <c r="G1796" s="2">
        <v>2</v>
      </c>
      <c r="H1796" s="2">
        <v>2709</v>
      </c>
      <c r="I1796" s="10">
        <v>267827</v>
      </c>
      <c r="J1796" s="10">
        <f>Raw_Data!$I1796/Raw_Data!$H1796</f>
        <v>98.865633074935403</v>
      </c>
    </row>
    <row r="1797" spans="1:10" x14ac:dyDescent="0.3">
      <c r="A1797" s="8">
        <v>37928</v>
      </c>
      <c r="B1797" t="str">
        <f>TEXT(Raw_Data!$A1797, "MMM")</f>
        <v>Nov</v>
      </c>
      <c r="C1797">
        <f>YEAR(Raw_Data!$A1797)</f>
        <v>2003</v>
      </c>
      <c r="D1797" t="s">
        <v>1506</v>
      </c>
      <c r="E1797" t="s">
        <v>21</v>
      </c>
      <c r="F1797" t="s">
        <v>11</v>
      </c>
      <c r="G1797">
        <v>2</v>
      </c>
      <c r="H1797">
        <v>2612</v>
      </c>
      <c r="I1797" s="1">
        <v>849894</v>
      </c>
      <c r="J1797" s="1">
        <f>Raw_Data!$I1797/Raw_Data!$H1797</f>
        <v>325.38055130168453</v>
      </c>
    </row>
    <row r="1798" spans="1:10" x14ac:dyDescent="0.3">
      <c r="A1798" s="9">
        <v>41561</v>
      </c>
      <c r="B1798" s="2" t="str">
        <f>TEXT(Raw_Data!$A1798, "MMM")</f>
        <v>Oct</v>
      </c>
      <c r="C1798" s="2">
        <f>YEAR(Raw_Data!$A1798)</f>
        <v>2013</v>
      </c>
      <c r="D1798" s="2" t="s">
        <v>1507</v>
      </c>
      <c r="E1798" s="2" t="s">
        <v>21</v>
      </c>
      <c r="F1798" s="2" t="s">
        <v>16</v>
      </c>
      <c r="G1798" s="2">
        <v>5</v>
      </c>
      <c r="H1798" s="2">
        <v>1818</v>
      </c>
      <c r="I1798" s="10">
        <v>212728</v>
      </c>
      <c r="J1798" s="10">
        <f>Raw_Data!$I1798/Raw_Data!$H1798</f>
        <v>117.01210121012102</v>
      </c>
    </row>
    <row r="1799" spans="1:10" x14ac:dyDescent="0.3">
      <c r="A1799" s="8">
        <v>37758</v>
      </c>
      <c r="B1799" t="str">
        <f>TEXT(Raw_Data!$A1799, "MMM")</f>
        <v>May</v>
      </c>
      <c r="C1799">
        <f>YEAR(Raw_Data!$A1799)</f>
        <v>2003</v>
      </c>
      <c r="D1799" t="s">
        <v>1508</v>
      </c>
      <c r="E1799" t="s">
        <v>15</v>
      </c>
      <c r="F1799" t="s">
        <v>16</v>
      </c>
      <c r="G1799">
        <v>2</v>
      </c>
      <c r="H1799">
        <v>2706</v>
      </c>
      <c r="I1799" s="1">
        <v>754398</v>
      </c>
      <c r="J1799" s="1">
        <f>Raw_Data!$I1799/Raw_Data!$H1799</f>
        <v>278.78713968957874</v>
      </c>
    </row>
    <row r="1800" spans="1:10" x14ac:dyDescent="0.3">
      <c r="A1800" s="9">
        <v>39627</v>
      </c>
      <c r="B1800" s="2" t="str">
        <f>TEXT(Raw_Data!$A1800, "MMM")</f>
        <v>Jun</v>
      </c>
      <c r="C1800" s="2">
        <f>YEAR(Raw_Data!$A1800)</f>
        <v>2008</v>
      </c>
      <c r="D1800" s="2" t="s">
        <v>1509</v>
      </c>
      <c r="E1800" s="2" t="s">
        <v>32</v>
      </c>
      <c r="F1800" s="2" t="s">
        <v>27</v>
      </c>
      <c r="G1800" s="2"/>
      <c r="H1800" s="2">
        <v>2922</v>
      </c>
      <c r="I1800" s="10">
        <v>714578</v>
      </c>
      <c r="J1800" s="10">
        <f>Raw_Data!$I1800/Raw_Data!$H1800</f>
        <v>244.55099247091033</v>
      </c>
    </row>
    <row r="1801" spans="1:10" x14ac:dyDescent="0.3">
      <c r="A1801" s="8">
        <v>39284</v>
      </c>
      <c r="B1801" t="str">
        <f>TEXT(Raw_Data!$A1801, "MMM")</f>
        <v>Jul</v>
      </c>
      <c r="C1801">
        <f>YEAR(Raw_Data!$A1801)</f>
        <v>2007</v>
      </c>
      <c r="D1801" t="s">
        <v>1510</v>
      </c>
      <c r="E1801" t="s">
        <v>32</v>
      </c>
      <c r="F1801" t="s">
        <v>11</v>
      </c>
      <c r="G1801">
        <v>4</v>
      </c>
      <c r="H1801">
        <v>2108</v>
      </c>
      <c r="I1801" s="1">
        <v>454551</v>
      </c>
      <c r="J1801" s="1">
        <f>Raw_Data!$I1801/Raw_Data!$H1801</f>
        <v>215.63140417457305</v>
      </c>
    </row>
    <row r="1802" spans="1:10" x14ac:dyDescent="0.3">
      <c r="A1802" s="9">
        <v>40375</v>
      </c>
      <c r="B1802" s="2" t="str">
        <f>TEXT(Raw_Data!$A1802, "MMM")</f>
        <v>Jul</v>
      </c>
      <c r="C1802" s="2">
        <f>YEAR(Raw_Data!$A1802)</f>
        <v>2010</v>
      </c>
      <c r="D1802" s="2" t="s">
        <v>1511</v>
      </c>
      <c r="E1802" s="2" t="s">
        <v>32</v>
      </c>
      <c r="F1802" s="2" t="s">
        <v>27</v>
      </c>
      <c r="G1802" s="2">
        <v>4</v>
      </c>
      <c r="H1802" s="2">
        <v>1332</v>
      </c>
      <c r="I1802" s="10">
        <v>547158</v>
      </c>
      <c r="J1802" s="10">
        <f>Raw_Data!$I1802/Raw_Data!$H1802</f>
        <v>410.77927927927925</v>
      </c>
    </row>
    <row r="1803" spans="1:10" x14ac:dyDescent="0.3">
      <c r="A1803" s="8">
        <v>40720</v>
      </c>
      <c r="B1803" t="str">
        <f>TEXT(Raw_Data!$A1803, "MMM")</f>
        <v>Jun</v>
      </c>
      <c r="C1803">
        <f>YEAR(Raw_Data!$A1803)</f>
        <v>2011</v>
      </c>
      <c r="D1803" t="s">
        <v>1512</v>
      </c>
      <c r="E1803" t="s">
        <v>32</v>
      </c>
      <c r="F1803" t="s">
        <v>16</v>
      </c>
      <c r="G1803">
        <v>5</v>
      </c>
      <c r="H1803">
        <v>2969</v>
      </c>
      <c r="I1803" s="1">
        <v>239866</v>
      </c>
      <c r="J1803" s="1">
        <f>Raw_Data!$I1803/Raw_Data!$H1803</f>
        <v>80.790165038733576</v>
      </c>
    </row>
    <row r="1804" spans="1:10" x14ac:dyDescent="0.3">
      <c r="A1804" s="9">
        <v>40222</v>
      </c>
      <c r="B1804" s="2" t="str">
        <f>TEXT(Raw_Data!$A1804, "MMM")</f>
        <v>Feb</v>
      </c>
      <c r="C1804" s="2">
        <f>YEAR(Raw_Data!$A1804)</f>
        <v>2010</v>
      </c>
      <c r="D1804" s="2" t="s">
        <v>768</v>
      </c>
      <c r="E1804" s="2" t="s">
        <v>23</v>
      </c>
      <c r="F1804" s="2" t="s">
        <v>16</v>
      </c>
      <c r="G1804" s="2">
        <v>3</v>
      </c>
      <c r="H1804" s="2">
        <v>1320</v>
      </c>
      <c r="I1804" s="10">
        <v>179673</v>
      </c>
      <c r="J1804" s="10">
        <f>Raw_Data!$I1804/Raw_Data!$H1804</f>
        <v>136.1159090909091</v>
      </c>
    </row>
    <row r="1805" spans="1:10" x14ac:dyDescent="0.3">
      <c r="A1805" s="8">
        <v>43284</v>
      </c>
      <c r="B1805" t="str">
        <f>TEXT(Raw_Data!$A1805, "MMM")</f>
        <v>Jul</v>
      </c>
      <c r="C1805">
        <f>YEAR(Raw_Data!$A1805)</f>
        <v>2018</v>
      </c>
      <c r="D1805" t="s">
        <v>181</v>
      </c>
      <c r="E1805" t="s">
        <v>21</v>
      </c>
      <c r="F1805" t="s">
        <v>11</v>
      </c>
      <c r="H1805">
        <v>2935</v>
      </c>
      <c r="I1805" s="1">
        <v>703635</v>
      </c>
      <c r="J1805" s="1">
        <f>Raw_Data!$I1805/Raw_Data!$H1805</f>
        <v>239.73935264054515</v>
      </c>
    </row>
    <row r="1806" spans="1:10" x14ac:dyDescent="0.3">
      <c r="A1806" s="9">
        <v>37717</v>
      </c>
      <c r="B1806" s="2" t="str">
        <f>TEXT(Raw_Data!$A1806, "MMM")</f>
        <v>Apr</v>
      </c>
      <c r="C1806" s="2">
        <f>YEAR(Raw_Data!$A1806)</f>
        <v>2003</v>
      </c>
      <c r="D1806" s="2" t="s">
        <v>882</v>
      </c>
      <c r="E1806" s="2" t="s">
        <v>23</v>
      </c>
      <c r="F1806" s="2" t="s">
        <v>18</v>
      </c>
      <c r="G1806" s="2">
        <v>4</v>
      </c>
      <c r="H1806" s="2">
        <v>2485</v>
      </c>
      <c r="I1806" s="10">
        <v>898026</v>
      </c>
      <c r="J1806" s="10">
        <f>Raw_Data!$I1806/Raw_Data!$H1806</f>
        <v>361.37867203219315</v>
      </c>
    </row>
    <row r="1807" spans="1:10" x14ac:dyDescent="0.3">
      <c r="A1807" s="8">
        <v>43293</v>
      </c>
      <c r="B1807" t="str">
        <f>TEXT(Raw_Data!$A1807, "MMM")</f>
        <v>Jul</v>
      </c>
      <c r="C1807">
        <f>YEAR(Raw_Data!$A1807)</f>
        <v>2018</v>
      </c>
      <c r="D1807" t="s">
        <v>1513</v>
      </c>
      <c r="E1807" t="s">
        <v>21</v>
      </c>
      <c r="F1807" t="s">
        <v>16</v>
      </c>
      <c r="H1807">
        <v>2216</v>
      </c>
      <c r="I1807" s="1">
        <v>303655</v>
      </c>
      <c r="J1807" s="1">
        <f>Raw_Data!$I1807/Raw_Data!$H1807</f>
        <v>137.02842960288808</v>
      </c>
    </row>
    <row r="1808" spans="1:10" x14ac:dyDescent="0.3">
      <c r="A1808" s="9">
        <v>40358</v>
      </c>
      <c r="B1808" s="2" t="str">
        <f>TEXT(Raw_Data!$A1808, "MMM")</f>
        <v>Jun</v>
      </c>
      <c r="C1808" s="2">
        <f>YEAR(Raw_Data!$A1808)</f>
        <v>2010</v>
      </c>
      <c r="D1808" s="2" t="s">
        <v>1514</v>
      </c>
      <c r="E1808" s="2" t="s">
        <v>15</v>
      </c>
      <c r="F1808" s="2" t="s">
        <v>16</v>
      </c>
      <c r="G1808" s="2"/>
      <c r="H1808" s="2">
        <v>1899</v>
      </c>
      <c r="I1808" s="10">
        <v>428473</v>
      </c>
      <c r="J1808" s="10">
        <f>Raw_Data!$I1808/Raw_Data!$H1808</f>
        <v>225.63085834649814</v>
      </c>
    </row>
    <row r="1809" spans="1:10" x14ac:dyDescent="0.3">
      <c r="A1809" s="8">
        <v>37628</v>
      </c>
      <c r="B1809" t="str">
        <f>TEXT(Raw_Data!$A1809, "MMM")</f>
        <v>Jan</v>
      </c>
      <c r="C1809">
        <f>YEAR(Raw_Data!$A1809)</f>
        <v>2003</v>
      </c>
      <c r="D1809" t="s">
        <v>1515</v>
      </c>
      <c r="E1809" t="s">
        <v>23</v>
      </c>
      <c r="F1809" t="s">
        <v>18</v>
      </c>
      <c r="G1809">
        <v>3</v>
      </c>
      <c r="H1809">
        <v>2854</v>
      </c>
      <c r="I1809" s="1">
        <v>395345</v>
      </c>
      <c r="J1809" s="1">
        <f>Raw_Data!$I1809/Raw_Data!$H1809</f>
        <v>138.52312543798178</v>
      </c>
    </row>
    <row r="1810" spans="1:10" x14ac:dyDescent="0.3">
      <c r="A1810" s="9">
        <v>40277</v>
      </c>
      <c r="B1810" s="2" t="str">
        <f>TEXT(Raw_Data!$A1810, "MMM")</f>
        <v>Apr</v>
      </c>
      <c r="C1810" s="2">
        <f>YEAR(Raw_Data!$A1810)</f>
        <v>2010</v>
      </c>
      <c r="D1810" s="2" t="s">
        <v>281</v>
      </c>
      <c r="E1810" s="2" t="s">
        <v>23</v>
      </c>
      <c r="F1810" s="2" t="s">
        <v>11</v>
      </c>
      <c r="G1810" s="2">
        <v>5</v>
      </c>
      <c r="H1810" s="2">
        <v>2449</v>
      </c>
      <c r="I1810" s="10">
        <v>762632</v>
      </c>
      <c r="J1810" s="10">
        <f>Raw_Data!$I1810/Raw_Data!$H1810</f>
        <v>311.40547162106981</v>
      </c>
    </row>
    <row r="1811" spans="1:10" x14ac:dyDescent="0.3">
      <c r="A1811" s="8">
        <v>40550</v>
      </c>
      <c r="B1811" t="str">
        <f>TEXT(Raw_Data!$A1811, "MMM")</f>
        <v>Jan</v>
      </c>
      <c r="C1811">
        <f>YEAR(Raw_Data!$A1811)</f>
        <v>2011</v>
      </c>
      <c r="D1811" t="s">
        <v>316</v>
      </c>
      <c r="E1811" t="s">
        <v>13</v>
      </c>
      <c r="F1811" t="s">
        <v>11</v>
      </c>
      <c r="H1811">
        <v>1539</v>
      </c>
      <c r="I1811" s="1">
        <v>871334</v>
      </c>
      <c r="J1811" s="1">
        <f>Raw_Data!$I1811/Raw_Data!$H1811</f>
        <v>566.16894087069522</v>
      </c>
    </row>
    <row r="1812" spans="1:10" x14ac:dyDescent="0.3">
      <c r="A1812" s="9">
        <v>38482</v>
      </c>
      <c r="B1812" s="2" t="str">
        <f>TEXT(Raw_Data!$A1812, "MMM")</f>
        <v>May</v>
      </c>
      <c r="C1812" s="2">
        <f>YEAR(Raw_Data!$A1812)</f>
        <v>2005</v>
      </c>
      <c r="D1812" s="2" t="s">
        <v>390</v>
      </c>
      <c r="E1812" s="2" t="s">
        <v>15</v>
      </c>
      <c r="F1812" s="2" t="s">
        <v>16</v>
      </c>
      <c r="G1812" s="2">
        <v>2</v>
      </c>
      <c r="H1812" s="2">
        <v>2119</v>
      </c>
      <c r="I1812" s="10">
        <v>157437</v>
      </c>
      <c r="J1812" s="10">
        <f>Raw_Data!$I1812/Raw_Data!$H1812</f>
        <v>74.297781972628599</v>
      </c>
    </row>
    <row r="1813" spans="1:10" x14ac:dyDescent="0.3">
      <c r="A1813" s="8">
        <v>38984</v>
      </c>
      <c r="B1813" t="str">
        <f>TEXT(Raw_Data!$A1813, "MMM")</f>
        <v>Sep</v>
      </c>
      <c r="C1813">
        <f>YEAR(Raw_Data!$A1813)</f>
        <v>2006</v>
      </c>
      <c r="D1813" t="s">
        <v>114</v>
      </c>
      <c r="E1813" t="s">
        <v>32</v>
      </c>
      <c r="F1813" t="s">
        <v>16</v>
      </c>
      <c r="G1813">
        <v>4</v>
      </c>
      <c r="H1813">
        <v>2814</v>
      </c>
      <c r="I1813" s="1">
        <v>758671</v>
      </c>
      <c r="J1813" s="1">
        <f>Raw_Data!$I1813/Raw_Data!$H1813</f>
        <v>269.60589907604833</v>
      </c>
    </row>
    <row r="1814" spans="1:10" x14ac:dyDescent="0.3">
      <c r="A1814" s="9">
        <v>43046</v>
      </c>
      <c r="B1814" s="2" t="str">
        <f>TEXT(Raw_Data!$A1814, "MMM")</f>
        <v>Nov</v>
      </c>
      <c r="C1814" s="2">
        <f>YEAR(Raw_Data!$A1814)</f>
        <v>2017</v>
      </c>
      <c r="D1814" s="2" t="s">
        <v>1516</v>
      </c>
      <c r="E1814" s="2" t="s">
        <v>15</v>
      </c>
      <c r="F1814" s="2" t="s">
        <v>27</v>
      </c>
      <c r="G1814" s="2"/>
      <c r="H1814" s="2">
        <v>2548</v>
      </c>
      <c r="I1814" s="10">
        <v>569682</v>
      </c>
      <c r="J1814" s="10">
        <f>Raw_Data!$I1814/Raw_Data!$H1814</f>
        <v>223.58006279434852</v>
      </c>
    </row>
    <row r="1815" spans="1:10" x14ac:dyDescent="0.3">
      <c r="A1815" s="8">
        <v>37461</v>
      </c>
      <c r="B1815" t="str">
        <f>TEXT(Raw_Data!$A1815, "MMM")</f>
        <v>Jul</v>
      </c>
      <c r="C1815">
        <f>YEAR(Raw_Data!$A1815)</f>
        <v>2002</v>
      </c>
      <c r="D1815" t="s">
        <v>1517</v>
      </c>
      <c r="E1815" t="s">
        <v>25</v>
      </c>
      <c r="F1815" t="s">
        <v>11</v>
      </c>
      <c r="G1815">
        <v>4</v>
      </c>
      <c r="H1815">
        <v>1808</v>
      </c>
      <c r="I1815" s="1">
        <v>171750</v>
      </c>
      <c r="J1815" s="1">
        <f>Raw_Data!$I1815/Raw_Data!$H1815</f>
        <v>94.994469026548671</v>
      </c>
    </row>
    <row r="1816" spans="1:10" x14ac:dyDescent="0.3">
      <c r="A1816" s="9">
        <v>38099</v>
      </c>
      <c r="B1816" s="2" t="str">
        <f>TEXT(Raw_Data!$A1816, "MMM")</f>
        <v>Apr</v>
      </c>
      <c r="C1816" s="2">
        <f>YEAR(Raw_Data!$A1816)</f>
        <v>2004</v>
      </c>
      <c r="D1816" s="2" t="s">
        <v>181</v>
      </c>
      <c r="E1816" s="2" t="s">
        <v>32</v>
      </c>
      <c r="F1816" s="2" t="s">
        <v>27</v>
      </c>
      <c r="G1816" s="2"/>
      <c r="H1816" s="2">
        <v>2211</v>
      </c>
      <c r="I1816" s="10">
        <v>601803</v>
      </c>
      <c r="J1816" s="10">
        <f>Raw_Data!$I1816/Raw_Data!$H1816</f>
        <v>272.18588873812752</v>
      </c>
    </row>
    <row r="1817" spans="1:10" x14ac:dyDescent="0.3">
      <c r="A1817" s="8">
        <v>43259</v>
      </c>
      <c r="B1817" t="str">
        <f>TEXT(Raw_Data!$A1817, "MMM")</f>
        <v>Jun</v>
      </c>
      <c r="C1817">
        <f>YEAR(Raw_Data!$A1817)</f>
        <v>2018</v>
      </c>
      <c r="D1817" t="s">
        <v>1310</v>
      </c>
      <c r="E1817" t="s">
        <v>25</v>
      </c>
      <c r="F1817" t="s">
        <v>16</v>
      </c>
      <c r="G1817">
        <v>3</v>
      </c>
      <c r="H1817">
        <v>1662</v>
      </c>
      <c r="I1817" s="1">
        <v>250357</v>
      </c>
      <c r="J1817" s="1">
        <f>Raw_Data!$I1817/Raw_Data!$H1817</f>
        <v>150.63598074608905</v>
      </c>
    </row>
    <row r="1818" spans="1:10" x14ac:dyDescent="0.3">
      <c r="A1818" s="9">
        <v>37033</v>
      </c>
      <c r="B1818" s="2" t="str">
        <f>TEXT(Raw_Data!$A1818, "MMM")</f>
        <v>May</v>
      </c>
      <c r="C1818" s="2">
        <f>YEAR(Raw_Data!$A1818)</f>
        <v>2001</v>
      </c>
      <c r="D1818" s="2" t="s">
        <v>593</v>
      </c>
      <c r="E1818" s="2" t="s">
        <v>21</v>
      </c>
      <c r="F1818" s="2" t="s">
        <v>16</v>
      </c>
      <c r="G1818" s="2"/>
      <c r="H1818" s="2">
        <v>1296</v>
      </c>
      <c r="I1818" s="10">
        <v>135054</v>
      </c>
      <c r="J1818" s="10">
        <f>Raw_Data!$I1818/Raw_Data!$H1818</f>
        <v>104.20833333333333</v>
      </c>
    </row>
    <row r="1819" spans="1:10" x14ac:dyDescent="0.3">
      <c r="A1819" s="8">
        <v>41540</v>
      </c>
      <c r="B1819" t="str">
        <f>TEXT(Raw_Data!$A1819, "MMM")</f>
        <v>Sep</v>
      </c>
      <c r="C1819">
        <f>YEAR(Raw_Data!$A1819)</f>
        <v>2013</v>
      </c>
      <c r="D1819" t="s">
        <v>1518</v>
      </c>
      <c r="E1819" t="s">
        <v>32</v>
      </c>
      <c r="F1819" t="s">
        <v>11</v>
      </c>
      <c r="H1819">
        <v>2189</v>
      </c>
      <c r="I1819" s="1">
        <v>562220</v>
      </c>
      <c r="J1819" s="1">
        <f>Raw_Data!$I1819/Raw_Data!$H1819</f>
        <v>256.83873915029693</v>
      </c>
    </row>
    <row r="1820" spans="1:10" x14ac:dyDescent="0.3">
      <c r="A1820" s="9">
        <v>37640</v>
      </c>
      <c r="B1820" s="2" t="str">
        <f>TEXT(Raw_Data!$A1820, "MMM")</f>
        <v>Jan</v>
      </c>
      <c r="C1820" s="2">
        <f>YEAR(Raw_Data!$A1820)</f>
        <v>2003</v>
      </c>
      <c r="D1820" s="2" t="s">
        <v>1318</v>
      </c>
      <c r="E1820" s="2" t="s">
        <v>29</v>
      </c>
      <c r="F1820" s="2" t="s">
        <v>16</v>
      </c>
      <c r="G1820" s="2">
        <v>4</v>
      </c>
      <c r="H1820" s="2">
        <v>1893</v>
      </c>
      <c r="I1820" s="10">
        <v>372541</v>
      </c>
      <c r="J1820" s="10">
        <f>Raw_Data!$I1820/Raw_Data!$H1820</f>
        <v>196.79926043317485</v>
      </c>
    </row>
    <row r="1821" spans="1:10" x14ac:dyDescent="0.3">
      <c r="A1821" s="8">
        <v>37685</v>
      </c>
      <c r="B1821" t="str">
        <f>TEXT(Raw_Data!$A1821, "MMM")</f>
        <v>Mar</v>
      </c>
      <c r="C1821">
        <f>YEAR(Raw_Data!$A1821)</f>
        <v>2003</v>
      </c>
      <c r="D1821" t="s">
        <v>1519</v>
      </c>
      <c r="E1821" t="s">
        <v>32</v>
      </c>
      <c r="F1821" t="s">
        <v>16</v>
      </c>
      <c r="G1821">
        <v>3</v>
      </c>
      <c r="H1821">
        <v>2334</v>
      </c>
      <c r="I1821" s="1">
        <v>444153</v>
      </c>
      <c r="J1821" s="1">
        <f>Raw_Data!$I1821/Raw_Data!$H1821</f>
        <v>190.29691516709511</v>
      </c>
    </row>
    <row r="1822" spans="1:10" x14ac:dyDescent="0.3">
      <c r="A1822" s="9">
        <v>41346</v>
      </c>
      <c r="B1822" s="2" t="str">
        <f>TEXT(Raw_Data!$A1822, "MMM")</f>
        <v>Mar</v>
      </c>
      <c r="C1822" s="2">
        <f>YEAR(Raw_Data!$A1822)</f>
        <v>2013</v>
      </c>
      <c r="D1822" s="2" t="s">
        <v>1056</v>
      </c>
      <c r="E1822" s="2" t="s">
        <v>32</v>
      </c>
      <c r="F1822" s="2" t="s">
        <v>27</v>
      </c>
      <c r="G1822" s="2">
        <v>4</v>
      </c>
      <c r="H1822" s="2">
        <v>3121</v>
      </c>
      <c r="I1822" s="10">
        <v>321962</v>
      </c>
      <c r="J1822" s="10">
        <f>Raw_Data!$I1822/Raw_Data!$H1822</f>
        <v>103.15988465235502</v>
      </c>
    </row>
    <row r="1823" spans="1:10" x14ac:dyDescent="0.3">
      <c r="A1823" s="8">
        <v>38686</v>
      </c>
      <c r="B1823" t="str">
        <f>TEXT(Raw_Data!$A1823, "MMM")</f>
        <v>Nov</v>
      </c>
      <c r="C1823">
        <f>YEAR(Raw_Data!$A1823)</f>
        <v>2005</v>
      </c>
      <c r="D1823" t="s">
        <v>282</v>
      </c>
      <c r="E1823" t="s">
        <v>25</v>
      </c>
      <c r="F1823" t="s">
        <v>18</v>
      </c>
      <c r="G1823">
        <v>2</v>
      </c>
      <c r="H1823">
        <v>2300</v>
      </c>
      <c r="I1823" s="1">
        <v>662442</v>
      </c>
      <c r="J1823" s="1">
        <f>Raw_Data!$I1823/Raw_Data!$H1823</f>
        <v>288.01826086956521</v>
      </c>
    </row>
    <row r="1824" spans="1:10" x14ac:dyDescent="0.3">
      <c r="A1824" s="9">
        <v>44122</v>
      </c>
      <c r="B1824" s="2" t="str">
        <f>TEXT(Raw_Data!$A1824, "MMM")</f>
        <v>Oct</v>
      </c>
      <c r="C1824" s="2">
        <f>YEAR(Raw_Data!$A1824)</f>
        <v>2020</v>
      </c>
      <c r="D1824" s="2" t="s">
        <v>1520</v>
      </c>
      <c r="E1824" s="2" t="s">
        <v>15</v>
      </c>
      <c r="F1824" s="2" t="s">
        <v>16</v>
      </c>
      <c r="G1824" s="2">
        <v>2</v>
      </c>
      <c r="H1824" s="2">
        <v>1470</v>
      </c>
      <c r="I1824" s="10">
        <v>839910</v>
      </c>
      <c r="J1824" s="10">
        <f>Raw_Data!$I1824/Raw_Data!$H1824</f>
        <v>571.36734693877554</v>
      </c>
    </row>
    <row r="1825" spans="1:10" x14ac:dyDescent="0.3">
      <c r="A1825" s="8">
        <v>40811</v>
      </c>
      <c r="B1825" t="str">
        <f>TEXT(Raw_Data!$A1825, "MMM")</f>
        <v>Sep</v>
      </c>
      <c r="C1825">
        <f>YEAR(Raw_Data!$A1825)</f>
        <v>2011</v>
      </c>
      <c r="D1825" t="s">
        <v>128</v>
      </c>
      <c r="E1825" t="s">
        <v>13</v>
      </c>
      <c r="F1825" t="s">
        <v>16</v>
      </c>
      <c r="G1825">
        <v>3</v>
      </c>
      <c r="H1825">
        <v>1401</v>
      </c>
      <c r="I1825" s="1">
        <v>727487</v>
      </c>
      <c r="J1825" s="1">
        <f>Raw_Data!$I1825/Raw_Data!$H1825</f>
        <v>519.26266952177014</v>
      </c>
    </row>
    <row r="1826" spans="1:10" x14ac:dyDescent="0.3">
      <c r="A1826" s="9">
        <v>39761</v>
      </c>
      <c r="B1826" s="2" t="str">
        <f>TEXT(Raw_Data!$A1826, "MMM")</f>
        <v>Nov</v>
      </c>
      <c r="C1826" s="2">
        <f>YEAR(Raw_Data!$A1826)</f>
        <v>2008</v>
      </c>
      <c r="D1826" s="2" t="s">
        <v>1521</v>
      </c>
      <c r="E1826" s="2" t="s">
        <v>15</v>
      </c>
      <c r="F1826" s="2" t="s">
        <v>18</v>
      </c>
      <c r="G1826" s="2">
        <v>3</v>
      </c>
      <c r="H1826" s="2">
        <v>2354</v>
      </c>
      <c r="I1826" s="10">
        <v>724506</v>
      </c>
      <c r="J1826" s="10">
        <f>Raw_Data!$I1826/Raw_Data!$H1826</f>
        <v>307.77655055225148</v>
      </c>
    </row>
    <row r="1827" spans="1:10" x14ac:dyDescent="0.3">
      <c r="A1827" s="8">
        <v>38215</v>
      </c>
      <c r="B1827" t="str">
        <f>TEXT(Raw_Data!$A1827, "MMM")</f>
        <v>Aug</v>
      </c>
      <c r="C1827">
        <f>YEAR(Raw_Data!$A1827)</f>
        <v>2004</v>
      </c>
      <c r="D1827" t="s">
        <v>889</v>
      </c>
      <c r="E1827" t="s">
        <v>21</v>
      </c>
      <c r="F1827" t="s">
        <v>27</v>
      </c>
      <c r="G1827">
        <v>3</v>
      </c>
      <c r="H1827">
        <v>2471</v>
      </c>
      <c r="I1827" s="1">
        <v>268651</v>
      </c>
      <c r="J1827" s="1">
        <f>Raw_Data!$I1827/Raw_Data!$H1827</f>
        <v>108.72157021448807</v>
      </c>
    </row>
    <row r="1828" spans="1:10" x14ac:dyDescent="0.3">
      <c r="A1828" s="9">
        <v>39983</v>
      </c>
      <c r="B1828" s="2" t="str">
        <f>TEXT(Raw_Data!$A1828, "MMM")</f>
        <v>Jun</v>
      </c>
      <c r="C1828" s="2">
        <f>YEAR(Raw_Data!$A1828)</f>
        <v>2009</v>
      </c>
      <c r="D1828" s="2" t="s">
        <v>1402</v>
      </c>
      <c r="E1828" s="2" t="s">
        <v>25</v>
      </c>
      <c r="F1828" s="2" t="s">
        <v>11</v>
      </c>
      <c r="G1828" s="2"/>
      <c r="H1828" s="2">
        <v>2582</v>
      </c>
      <c r="I1828" s="10">
        <v>868094</v>
      </c>
      <c r="J1828" s="10">
        <f>Raw_Data!$I1828/Raw_Data!$H1828</f>
        <v>336.20991479473275</v>
      </c>
    </row>
    <row r="1829" spans="1:10" x14ac:dyDescent="0.3">
      <c r="A1829" s="8">
        <v>39420</v>
      </c>
      <c r="B1829" t="str">
        <f>TEXT(Raw_Data!$A1829, "MMM")</f>
        <v>Dec</v>
      </c>
      <c r="C1829">
        <f>YEAR(Raw_Data!$A1829)</f>
        <v>2007</v>
      </c>
      <c r="D1829" t="s">
        <v>1522</v>
      </c>
      <c r="E1829" t="s">
        <v>15</v>
      </c>
      <c r="F1829" t="s">
        <v>16</v>
      </c>
      <c r="H1829">
        <v>1514</v>
      </c>
      <c r="I1829" s="1">
        <v>691499</v>
      </c>
      <c r="J1829" s="1">
        <f>Raw_Data!$I1829/Raw_Data!$H1829</f>
        <v>456.73645970937912</v>
      </c>
    </row>
    <row r="1830" spans="1:10" x14ac:dyDescent="0.3">
      <c r="A1830" s="9">
        <v>38970</v>
      </c>
      <c r="B1830" s="2" t="str">
        <f>TEXT(Raw_Data!$A1830, "MMM")</f>
        <v>Sep</v>
      </c>
      <c r="C1830" s="2">
        <f>YEAR(Raw_Data!$A1830)</f>
        <v>2006</v>
      </c>
      <c r="D1830" s="2" t="s">
        <v>1523</v>
      </c>
      <c r="E1830" s="2" t="s">
        <v>23</v>
      </c>
      <c r="F1830" s="2" t="s">
        <v>11</v>
      </c>
      <c r="G1830" s="2">
        <v>3</v>
      </c>
      <c r="H1830" s="2">
        <v>3191</v>
      </c>
      <c r="I1830" s="10">
        <v>175200</v>
      </c>
      <c r="J1830" s="10">
        <f>Raw_Data!$I1830/Raw_Data!$H1830</f>
        <v>54.904418677530558</v>
      </c>
    </row>
    <row r="1831" spans="1:10" x14ac:dyDescent="0.3">
      <c r="A1831" s="8">
        <v>38846</v>
      </c>
      <c r="B1831" t="str">
        <f>TEXT(Raw_Data!$A1831, "MMM")</f>
        <v>May</v>
      </c>
      <c r="C1831">
        <f>YEAR(Raw_Data!$A1831)</f>
        <v>2006</v>
      </c>
      <c r="D1831" t="s">
        <v>1524</v>
      </c>
      <c r="E1831" t="s">
        <v>25</v>
      </c>
      <c r="F1831" t="s">
        <v>16</v>
      </c>
      <c r="G1831">
        <v>3</v>
      </c>
      <c r="H1831">
        <v>2796</v>
      </c>
      <c r="I1831" s="1">
        <v>280420</v>
      </c>
      <c r="J1831" s="1">
        <f>Raw_Data!$I1831/Raw_Data!$H1831</f>
        <v>100.29327610872676</v>
      </c>
    </row>
    <row r="1832" spans="1:10" x14ac:dyDescent="0.3">
      <c r="A1832" s="9">
        <v>39670</v>
      </c>
      <c r="B1832" s="2" t="str">
        <f>TEXT(Raw_Data!$A1832, "MMM")</f>
        <v>Aug</v>
      </c>
      <c r="C1832" s="2">
        <f>YEAR(Raw_Data!$A1832)</f>
        <v>2008</v>
      </c>
      <c r="D1832" s="2" t="s">
        <v>655</v>
      </c>
      <c r="E1832" s="2" t="s">
        <v>25</v>
      </c>
      <c r="F1832" s="2" t="s">
        <v>18</v>
      </c>
      <c r="G1832" s="2">
        <v>5</v>
      </c>
      <c r="H1832" s="2">
        <v>1053</v>
      </c>
      <c r="I1832" s="10">
        <v>589631</v>
      </c>
      <c r="J1832" s="10">
        <f>Raw_Data!$I1832/Raw_Data!$H1832</f>
        <v>559.95346628679965</v>
      </c>
    </row>
    <row r="1833" spans="1:10" x14ac:dyDescent="0.3">
      <c r="A1833" s="8">
        <v>40797</v>
      </c>
      <c r="B1833" t="str">
        <f>TEXT(Raw_Data!$A1833, "MMM")</f>
        <v>Sep</v>
      </c>
      <c r="C1833">
        <f>YEAR(Raw_Data!$A1833)</f>
        <v>2011</v>
      </c>
      <c r="D1833" t="s">
        <v>1525</v>
      </c>
      <c r="E1833" t="s">
        <v>32</v>
      </c>
      <c r="F1833" t="s">
        <v>27</v>
      </c>
      <c r="G1833">
        <v>4</v>
      </c>
      <c r="H1833">
        <v>957</v>
      </c>
      <c r="I1833" s="1">
        <v>151074</v>
      </c>
      <c r="J1833" s="1">
        <f>Raw_Data!$I1833/Raw_Data!$H1833</f>
        <v>157.86206896551724</v>
      </c>
    </row>
    <row r="1834" spans="1:10" x14ac:dyDescent="0.3">
      <c r="A1834" s="9">
        <v>42631</v>
      </c>
      <c r="B1834" s="2" t="str">
        <f>TEXT(Raw_Data!$A1834, "MMM")</f>
        <v>Sep</v>
      </c>
      <c r="C1834" s="2">
        <f>YEAR(Raw_Data!$A1834)</f>
        <v>2016</v>
      </c>
      <c r="D1834" s="2" t="s">
        <v>255</v>
      </c>
      <c r="E1834" s="2" t="s">
        <v>32</v>
      </c>
      <c r="F1834" s="2" t="s">
        <v>18</v>
      </c>
      <c r="G1834" s="2">
        <v>5</v>
      </c>
      <c r="H1834" s="2">
        <v>2983</v>
      </c>
      <c r="I1834" s="10">
        <v>659032</v>
      </c>
      <c r="J1834" s="10">
        <f>Raw_Data!$I1834/Raw_Data!$H1834</f>
        <v>220.92926583975864</v>
      </c>
    </row>
    <row r="1835" spans="1:10" x14ac:dyDescent="0.3">
      <c r="A1835" s="8">
        <v>42790</v>
      </c>
      <c r="B1835" t="str">
        <f>TEXT(Raw_Data!$A1835, "MMM")</f>
        <v>Feb</v>
      </c>
      <c r="C1835">
        <f>YEAR(Raw_Data!$A1835)</f>
        <v>2017</v>
      </c>
      <c r="D1835" t="s">
        <v>1526</v>
      </c>
      <c r="E1835" t="s">
        <v>29</v>
      </c>
      <c r="F1835" t="s">
        <v>11</v>
      </c>
      <c r="G1835">
        <v>5</v>
      </c>
      <c r="H1835">
        <v>2716</v>
      </c>
      <c r="I1835" s="1">
        <v>214431</v>
      </c>
      <c r="J1835" s="1">
        <f>Raw_Data!$I1835/Raw_Data!$H1835</f>
        <v>78.951030927835049</v>
      </c>
    </row>
    <row r="1836" spans="1:10" x14ac:dyDescent="0.3">
      <c r="A1836" s="9">
        <v>43395</v>
      </c>
      <c r="B1836" s="2" t="str">
        <f>TEXT(Raw_Data!$A1836, "MMM")</f>
        <v>Oct</v>
      </c>
      <c r="C1836" s="2">
        <f>YEAR(Raw_Data!$A1836)</f>
        <v>2018</v>
      </c>
      <c r="D1836" s="2" t="s">
        <v>1527</v>
      </c>
      <c r="E1836" s="2" t="s">
        <v>15</v>
      </c>
      <c r="F1836" s="2" t="s">
        <v>18</v>
      </c>
      <c r="G1836" s="2">
        <v>3</v>
      </c>
      <c r="H1836" s="2">
        <v>3465</v>
      </c>
      <c r="I1836" s="10">
        <v>463273</v>
      </c>
      <c r="J1836" s="10">
        <f>Raw_Data!$I1836/Raw_Data!$H1836</f>
        <v>133.7007215007215</v>
      </c>
    </row>
    <row r="1837" spans="1:10" x14ac:dyDescent="0.3">
      <c r="A1837" s="8">
        <v>38841</v>
      </c>
      <c r="B1837" t="str">
        <f>TEXT(Raw_Data!$A1837, "MMM")</f>
        <v>May</v>
      </c>
      <c r="C1837">
        <f>YEAR(Raw_Data!$A1837)</f>
        <v>2006</v>
      </c>
      <c r="D1837" t="s">
        <v>1008</v>
      </c>
      <c r="E1837" t="s">
        <v>29</v>
      </c>
      <c r="F1837" t="s">
        <v>16</v>
      </c>
      <c r="G1837">
        <v>2</v>
      </c>
      <c r="H1837">
        <v>2775</v>
      </c>
      <c r="I1837" s="1">
        <v>543654</v>
      </c>
      <c r="J1837" s="1">
        <f>Raw_Data!$I1837/Raw_Data!$H1837</f>
        <v>195.91135135135136</v>
      </c>
    </row>
    <row r="1838" spans="1:10" x14ac:dyDescent="0.3">
      <c r="A1838" s="9">
        <v>44125</v>
      </c>
      <c r="B1838" s="2" t="str">
        <f>TEXT(Raw_Data!$A1838, "MMM")</f>
        <v>Oct</v>
      </c>
      <c r="C1838" s="2">
        <f>YEAR(Raw_Data!$A1838)</f>
        <v>2020</v>
      </c>
      <c r="D1838" s="2" t="s">
        <v>1528</v>
      </c>
      <c r="E1838" s="2" t="s">
        <v>32</v>
      </c>
      <c r="F1838" s="2" t="s">
        <v>27</v>
      </c>
      <c r="G1838" s="2">
        <v>2</v>
      </c>
      <c r="H1838" s="2">
        <v>2579</v>
      </c>
      <c r="I1838" s="10">
        <v>770831</v>
      </c>
      <c r="J1838" s="10">
        <f>Raw_Data!$I1838/Raw_Data!$H1838</f>
        <v>298.88755331523845</v>
      </c>
    </row>
    <row r="1839" spans="1:10" x14ac:dyDescent="0.3">
      <c r="A1839" s="8">
        <v>40355</v>
      </c>
      <c r="B1839" t="str">
        <f>TEXT(Raw_Data!$A1839, "MMM")</f>
        <v>Jun</v>
      </c>
      <c r="C1839">
        <f>YEAR(Raw_Data!$A1839)</f>
        <v>2010</v>
      </c>
      <c r="D1839" t="s">
        <v>1529</v>
      </c>
      <c r="E1839" t="s">
        <v>15</v>
      </c>
      <c r="F1839" t="s">
        <v>27</v>
      </c>
      <c r="G1839">
        <v>5</v>
      </c>
      <c r="H1839">
        <v>1988</v>
      </c>
      <c r="I1839" s="1">
        <v>143221</v>
      </c>
      <c r="J1839" s="1">
        <f>Raw_Data!$I1839/Raw_Data!$H1839</f>
        <v>72.042756539235413</v>
      </c>
    </row>
    <row r="1840" spans="1:10" x14ac:dyDescent="0.3">
      <c r="A1840" s="9">
        <v>40089</v>
      </c>
      <c r="B1840" s="2" t="str">
        <f>TEXT(Raw_Data!$A1840, "MMM")</f>
        <v>Oct</v>
      </c>
      <c r="C1840" s="2">
        <f>YEAR(Raw_Data!$A1840)</f>
        <v>2009</v>
      </c>
      <c r="D1840" s="2" t="s">
        <v>1530</v>
      </c>
      <c r="E1840" s="2" t="s">
        <v>21</v>
      </c>
      <c r="F1840" s="2" t="s">
        <v>27</v>
      </c>
      <c r="G1840" s="2"/>
      <c r="H1840" s="2">
        <v>2108</v>
      </c>
      <c r="I1840" s="10">
        <v>586059</v>
      </c>
      <c r="J1840" s="10">
        <f>Raw_Data!$I1840/Raw_Data!$H1840</f>
        <v>278.01660341555976</v>
      </c>
    </row>
    <row r="1841" spans="1:10" x14ac:dyDescent="0.3">
      <c r="A1841" s="8">
        <v>37785</v>
      </c>
      <c r="B1841" t="str">
        <f>TEXT(Raw_Data!$A1841, "MMM")</f>
        <v>Jun</v>
      </c>
      <c r="C1841">
        <f>YEAR(Raw_Data!$A1841)</f>
        <v>2003</v>
      </c>
      <c r="D1841" t="s">
        <v>1531</v>
      </c>
      <c r="E1841" t="s">
        <v>13</v>
      </c>
      <c r="F1841" t="s">
        <v>11</v>
      </c>
      <c r="H1841">
        <v>1774</v>
      </c>
      <c r="I1841" s="1">
        <v>290788</v>
      </c>
      <c r="J1841" s="1">
        <f>Raw_Data!$I1841/Raw_Data!$H1841</f>
        <v>163.91657271702368</v>
      </c>
    </row>
    <row r="1842" spans="1:10" x14ac:dyDescent="0.3">
      <c r="A1842" s="9">
        <v>38384</v>
      </c>
      <c r="B1842" s="2" t="str">
        <f>TEXT(Raw_Data!$A1842, "MMM")</f>
        <v>Feb</v>
      </c>
      <c r="C1842" s="2">
        <f>YEAR(Raw_Data!$A1842)</f>
        <v>2005</v>
      </c>
      <c r="D1842" s="2" t="s">
        <v>875</v>
      </c>
      <c r="E1842" s="2" t="s">
        <v>15</v>
      </c>
      <c r="F1842" s="2" t="s">
        <v>16</v>
      </c>
      <c r="G1842" s="2">
        <v>2</v>
      </c>
      <c r="H1842" s="2">
        <v>2489</v>
      </c>
      <c r="I1842" s="10">
        <v>578593</v>
      </c>
      <c r="J1842" s="10">
        <f>Raw_Data!$I1842/Raw_Data!$H1842</f>
        <v>232.4600241060667</v>
      </c>
    </row>
    <row r="1843" spans="1:10" x14ac:dyDescent="0.3">
      <c r="A1843" s="8">
        <v>43076</v>
      </c>
      <c r="B1843" t="str">
        <f>TEXT(Raw_Data!$A1843, "MMM")</f>
        <v>Dec</v>
      </c>
      <c r="C1843">
        <f>YEAR(Raw_Data!$A1843)</f>
        <v>2017</v>
      </c>
      <c r="D1843" t="s">
        <v>1532</v>
      </c>
      <c r="E1843" t="s">
        <v>25</v>
      </c>
      <c r="F1843" t="s">
        <v>27</v>
      </c>
      <c r="H1843">
        <v>1190</v>
      </c>
      <c r="I1843" s="1">
        <v>691048</v>
      </c>
      <c r="J1843" s="1">
        <f>Raw_Data!$I1843/Raw_Data!$H1843</f>
        <v>580.71260504201678</v>
      </c>
    </row>
    <row r="1844" spans="1:10" x14ac:dyDescent="0.3">
      <c r="A1844" s="9">
        <v>43247</v>
      </c>
      <c r="B1844" s="2" t="str">
        <f>TEXT(Raw_Data!$A1844, "MMM")</f>
        <v>May</v>
      </c>
      <c r="C1844" s="2">
        <f>YEAR(Raw_Data!$A1844)</f>
        <v>2018</v>
      </c>
      <c r="D1844" s="2" t="s">
        <v>1533</v>
      </c>
      <c r="E1844" s="2" t="s">
        <v>29</v>
      </c>
      <c r="F1844" s="2" t="s">
        <v>16</v>
      </c>
      <c r="G1844" s="2"/>
      <c r="H1844" s="2">
        <v>2096</v>
      </c>
      <c r="I1844" s="10">
        <v>897795</v>
      </c>
      <c r="J1844" s="10">
        <f>Raw_Data!$I1844/Raw_Data!$H1844</f>
        <v>428.33730916030532</v>
      </c>
    </row>
    <row r="1845" spans="1:10" x14ac:dyDescent="0.3">
      <c r="A1845" s="8">
        <v>38856</v>
      </c>
      <c r="B1845" t="str">
        <f>TEXT(Raw_Data!$A1845, "MMM")</f>
        <v>May</v>
      </c>
      <c r="C1845">
        <f>YEAR(Raw_Data!$A1845)</f>
        <v>2006</v>
      </c>
      <c r="D1845" t="s">
        <v>1534</v>
      </c>
      <c r="E1845" t="s">
        <v>25</v>
      </c>
      <c r="F1845" t="s">
        <v>27</v>
      </c>
      <c r="H1845">
        <v>1412</v>
      </c>
      <c r="I1845" s="1">
        <v>221667</v>
      </c>
      <c r="J1845" s="1">
        <f>Raw_Data!$I1845/Raw_Data!$H1845</f>
        <v>156.98796033994336</v>
      </c>
    </row>
    <row r="1846" spans="1:10" x14ac:dyDescent="0.3">
      <c r="A1846" s="9">
        <v>37009</v>
      </c>
      <c r="B1846" s="2" t="str">
        <f>TEXT(Raw_Data!$A1846, "MMM")</f>
        <v>Apr</v>
      </c>
      <c r="C1846" s="2">
        <f>YEAR(Raw_Data!$A1846)</f>
        <v>2001</v>
      </c>
      <c r="D1846" s="2" t="s">
        <v>1535</v>
      </c>
      <c r="E1846" s="2" t="s">
        <v>15</v>
      </c>
      <c r="F1846" s="2" t="s">
        <v>27</v>
      </c>
      <c r="G1846" s="2">
        <v>4</v>
      </c>
      <c r="H1846" s="2">
        <v>2701</v>
      </c>
      <c r="I1846" s="10">
        <v>380397</v>
      </c>
      <c r="J1846" s="10">
        <f>Raw_Data!$I1846/Raw_Data!$H1846</f>
        <v>140.83561643835617</v>
      </c>
    </row>
    <row r="1847" spans="1:10" x14ac:dyDescent="0.3">
      <c r="A1847" s="8">
        <v>38325</v>
      </c>
      <c r="B1847" t="str">
        <f>TEXT(Raw_Data!$A1847, "MMM")</f>
        <v>Dec</v>
      </c>
      <c r="C1847">
        <f>YEAR(Raw_Data!$A1847)</f>
        <v>2004</v>
      </c>
      <c r="D1847" t="s">
        <v>1536</v>
      </c>
      <c r="E1847" t="s">
        <v>32</v>
      </c>
      <c r="F1847" t="s">
        <v>18</v>
      </c>
      <c r="G1847">
        <v>4</v>
      </c>
      <c r="H1847">
        <v>1306</v>
      </c>
      <c r="I1847" s="1">
        <v>383491</v>
      </c>
      <c r="J1847" s="1">
        <f>Raw_Data!$I1847/Raw_Data!$H1847</f>
        <v>293.63782542113324</v>
      </c>
    </row>
    <row r="1848" spans="1:10" x14ac:dyDescent="0.3">
      <c r="A1848" s="9">
        <v>43136</v>
      </c>
      <c r="B1848" s="2" t="str">
        <f>TEXT(Raw_Data!$A1848, "MMM")</f>
        <v>Feb</v>
      </c>
      <c r="C1848" s="2">
        <f>YEAR(Raw_Data!$A1848)</f>
        <v>2018</v>
      </c>
      <c r="D1848" s="2" t="s">
        <v>1537</v>
      </c>
      <c r="E1848" s="2" t="s">
        <v>25</v>
      </c>
      <c r="F1848" s="2" t="s">
        <v>18</v>
      </c>
      <c r="G1848" s="2">
        <v>2</v>
      </c>
      <c r="H1848" s="2">
        <v>3144</v>
      </c>
      <c r="I1848" s="10">
        <v>455612</v>
      </c>
      <c r="J1848" s="10">
        <f>Raw_Data!$I1848/Raw_Data!$H1848</f>
        <v>144.9147582697201</v>
      </c>
    </row>
    <row r="1849" spans="1:10" x14ac:dyDescent="0.3">
      <c r="A1849" s="8">
        <v>42237</v>
      </c>
      <c r="B1849" t="str">
        <f>TEXT(Raw_Data!$A1849, "MMM")</f>
        <v>Aug</v>
      </c>
      <c r="C1849">
        <f>YEAR(Raw_Data!$A1849)</f>
        <v>2015</v>
      </c>
      <c r="D1849" t="s">
        <v>1538</v>
      </c>
      <c r="E1849" t="s">
        <v>15</v>
      </c>
      <c r="F1849" t="s">
        <v>16</v>
      </c>
      <c r="G1849">
        <v>5</v>
      </c>
      <c r="H1849">
        <v>3157</v>
      </c>
      <c r="I1849" s="1">
        <v>239324</v>
      </c>
      <c r="J1849" s="1">
        <f>Raw_Data!$I1849/Raw_Data!$H1849</f>
        <v>75.807412100095021</v>
      </c>
    </row>
    <row r="1850" spans="1:10" x14ac:dyDescent="0.3">
      <c r="A1850" s="9">
        <v>36936</v>
      </c>
      <c r="B1850" s="2" t="str">
        <f>TEXT(Raw_Data!$A1850, "MMM")</f>
        <v>Feb</v>
      </c>
      <c r="C1850" s="2">
        <f>YEAR(Raw_Data!$A1850)</f>
        <v>2001</v>
      </c>
      <c r="D1850" s="2" t="s">
        <v>1539</v>
      </c>
      <c r="E1850" s="2" t="s">
        <v>23</v>
      </c>
      <c r="F1850" s="2" t="s">
        <v>16</v>
      </c>
      <c r="G1850" s="2">
        <v>3</v>
      </c>
      <c r="H1850" s="2">
        <v>1120</v>
      </c>
      <c r="I1850" s="10">
        <v>734589</v>
      </c>
      <c r="J1850" s="10">
        <f>Raw_Data!$I1850/Raw_Data!$H1850</f>
        <v>655.88303571428571</v>
      </c>
    </row>
    <row r="1851" spans="1:10" x14ac:dyDescent="0.3">
      <c r="A1851" s="8">
        <v>40154</v>
      </c>
      <c r="B1851" t="str">
        <f>TEXT(Raw_Data!$A1851, "MMM")</f>
        <v>Dec</v>
      </c>
      <c r="C1851">
        <f>YEAR(Raw_Data!$A1851)</f>
        <v>2009</v>
      </c>
      <c r="D1851" t="s">
        <v>929</v>
      </c>
      <c r="E1851" t="s">
        <v>23</v>
      </c>
      <c r="F1851" t="s">
        <v>18</v>
      </c>
      <c r="H1851">
        <v>2032</v>
      </c>
      <c r="I1851" s="1">
        <v>538702</v>
      </c>
      <c r="J1851" s="1">
        <f>Raw_Data!$I1851/Raw_Data!$H1851</f>
        <v>265.10925196850394</v>
      </c>
    </row>
    <row r="1852" spans="1:10" x14ac:dyDescent="0.3">
      <c r="A1852" s="9">
        <v>38510</v>
      </c>
      <c r="B1852" s="2" t="str">
        <f>TEXT(Raw_Data!$A1852, "MMM")</f>
        <v>Jun</v>
      </c>
      <c r="C1852" s="2">
        <f>YEAR(Raw_Data!$A1852)</f>
        <v>2005</v>
      </c>
      <c r="D1852" s="2" t="s">
        <v>1540</v>
      </c>
      <c r="E1852" s="2" t="s">
        <v>15</v>
      </c>
      <c r="F1852" s="2" t="s">
        <v>27</v>
      </c>
      <c r="G1852" s="2">
        <v>3</v>
      </c>
      <c r="H1852" s="2">
        <v>1003</v>
      </c>
      <c r="I1852" s="10">
        <v>674784</v>
      </c>
      <c r="J1852" s="10">
        <f>Raw_Data!$I1852/Raw_Data!$H1852</f>
        <v>672.76570289132599</v>
      </c>
    </row>
    <row r="1853" spans="1:10" x14ac:dyDescent="0.3">
      <c r="A1853" s="8">
        <v>40712</v>
      </c>
      <c r="B1853" t="str">
        <f>TEXT(Raw_Data!$A1853, "MMM")</f>
        <v>Jun</v>
      </c>
      <c r="C1853">
        <f>YEAR(Raw_Data!$A1853)</f>
        <v>2011</v>
      </c>
      <c r="D1853" t="s">
        <v>1541</v>
      </c>
      <c r="E1853" t="s">
        <v>25</v>
      </c>
      <c r="F1853" t="s">
        <v>16</v>
      </c>
      <c r="G1853">
        <v>4</v>
      </c>
      <c r="H1853">
        <v>1925</v>
      </c>
      <c r="I1853" s="1">
        <v>159948</v>
      </c>
      <c r="J1853" s="1">
        <f>Raw_Data!$I1853/Raw_Data!$H1853</f>
        <v>83.089870129870135</v>
      </c>
    </row>
    <row r="1854" spans="1:10" x14ac:dyDescent="0.3">
      <c r="A1854" s="9">
        <v>37640</v>
      </c>
      <c r="B1854" s="2" t="str">
        <f>TEXT(Raw_Data!$A1854, "MMM")</f>
        <v>Jan</v>
      </c>
      <c r="C1854" s="2">
        <f>YEAR(Raw_Data!$A1854)</f>
        <v>2003</v>
      </c>
      <c r="D1854" s="2" t="s">
        <v>1542</v>
      </c>
      <c r="E1854" s="2" t="s">
        <v>15</v>
      </c>
      <c r="F1854" s="2" t="s">
        <v>16</v>
      </c>
      <c r="G1854" s="2">
        <v>4</v>
      </c>
      <c r="H1854" s="2">
        <v>3204</v>
      </c>
      <c r="I1854" s="10">
        <v>846575</v>
      </c>
      <c r="J1854" s="10">
        <f>Raw_Data!$I1854/Raw_Data!$H1854</f>
        <v>264.22440699126093</v>
      </c>
    </row>
    <row r="1855" spans="1:10" x14ac:dyDescent="0.3">
      <c r="A1855" s="8">
        <v>38132</v>
      </c>
      <c r="B1855" t="str">
        <f>TEXT(Raw_Data!$A1855, "MMM")</f>
        <v>May</v>
      </c>
      <c r="C1855">
        <f>YEAR(Raw_Data!$A1855)</f>
        <v>2004</v>
      </c>
      <c r="D1855" t="s">
        <v>1543</v>
      </c>
      <c r="E1855" t="s">
        <v>15</v>
      </c>
      <c r="F1855" t="s">
        <v>16</v>
      </c>
      <c r="H1855">
        <v>2749</v>
      </c>
      <c r="I1855" s="1">
        <v>110242</v>
      </c>
      <c r="J1855" s="1">
        <f>Raw_Data!$I1855/Raw_Data!$H1855</f>
        <v>40.102582757366314</v>
      </c>
    </row>
    <row r="1856" spans="1:10" x14ac:dyDescent="0.3">
      <c r="A1856" s="9">
        <v>42724</v>
      </c>
      <c r="B1856" s="2" t="str">
        <f>TEXT(Raw_Data!$A1856, "MMM")</f>
        <v>Dec</v>
      </c>
      <c r="C1856" s="2">
        <f>YEAR(Raw_Data!$A1856)</f>
        <v>2016</v>
      </c>
      <c r="D1856" s="2" t="s">
        <v>940</v>
      </c>
      <c r="E1856" s="2" t="s">
        <v>23</v>
      </c>
      <c r="F1856" s="2" t="s">
        <v>16</v>
      </c>
      <c r="G1856" s="2">
        <v>5</v>
      </c>
      <c r="H1856" s="2">
        <v>2814</v>
      </c>
      <c r="I1856" s="10">
        <v>715898</v>
      </c>
      <c r="J1856" s="10">
        <f>Raw_Data!$I1856/Raw_Data!$H1856</f>
        <v>254.40582800284292</v>
      </c>
    </row>
    <row r="1857" spans="1:10" x14ac:dyDescent="0.3">
      <c r="A1857" s="8">
        <v>41643</v>
      </c>
      <c r="B1857" t="str">
        <f>TEXT(Raw_Data!$A1857, "MMM")</f>
        <v>Jan</v>
      </c>
      <c r="C1857">
        <f>YEAR(Raw_Data!$A1857)</f>
        <v>2014</v>
      </c>
      <c r="D1857" t="s">
        <v>1544</v>
      </c>
      <c r="E1857" t="s">
        <v>15</v>
      </c>
      <c r="F1857" t="s">
        <v>16</v>
      </c>
      <c r="G1857">
        <v>3</v>
      </c>
      <c r="H1857">
        <v>3353</v>
      </c>
      <c r="I1857" s="1">
        <v>474917</v>
      </c>
      <c r="J1857" s="1">
        <f>Raw_Data!$I1857/Raw_Data!$H1857</f>
        <v>141.63942737846705</v>
      </c>
    </row>
    <row r="1858" spans="1:10" x14ac:dyDescent="0.3">
      <c r="A1858" s="9">
        <v>43222</v>
      </c>
      <c r="B1858" s="2" t="str">
        <f>TEXT(Raw_Data!$A1858, "MMM")</f>
        <v>May</v>
      </c>
      <c r="C1858" s="2">
        <f>YEAR(Raw_Data!$A1858)</f>
        <v>2018</v>
      </c>
      <c r="D1858" s="2" t="s">
        <v>170</v>
      </c>
      <c r="E1858" s="2" t="s">
        <v>25</v>
      </c>
      <c r="F1858" s="2" t="s">
        <v>27</v>
      </c>
      <c r="G1858" s="2">
        <v>3</v>
      </c>
      <c r="H1858" s="2">
        <v>1372</v>
      </c>
      <c r="I1858" s="10">
        <v>540954</v>
      </c>
      <c r="J1858" s="10">
        <f>Raw_Data!$I1858/Raw_Data!$H1858</f>
        <v>394.2813411078717</v>
      </c>
    </row>
    <row r="1859" spans="1:10" x14ac:dyDescent="0.3">
      <c r="A1859" s="8">
        <v>41935</v>
      </c>
      <c r="B1859" t="str">
        <f>TEXT(Raw_Data!$A1859, "MMM")</f>
        <v>Oct</v>
      </c>
      <c r="C1859">
        <f>YEAR(Raw_Data!$A1859)</f>
        <v>2014</v>
      </c>
      <c r="D1859" t="s">
        <v>1545</v>
      </c>
      <c r="E1859" t="s">
        <v>21</v>
      </c>
      <c r="F1859" t="s">
        <v>16</v>
      </c>
      <c r="H1859">
        <v>1794</v>
      </c>
      <c r="I1859" s="1">
        <v>579879</v>
      </c>
      <c r="J1859" s="1">
        <f>Raw_Data!$I1859/Raw_Data!$H1859</f>
        <v>323.23244147157192</v>
      </c>
    </row>
    <row r="1860" spans="1:10" x14ac:dyDescent="0.3">
      <c r="A1860" s="9">
        <v>40540</v>
      </c>
      <c r="B1860" s="2" t="str">
        <f>TEXT(Raw_Data!$A1860, "MMM")</f>
        <v>Dec</v>
      </c>
      <c r="C1860" s="2">
        <f>YEAR(Raw_Data!$A1860)</f>
        <v>2010</v>
      </c>
      <c r="D1860" s="2" t="s">
        <v>1546</v>
      </c>
      <c r="E1860" s="2" t="s">
        <v>29</v>
      </c>
      <c r="F1860" s="2" t="s">
        <v>18</v>
      </c>
      <c r="G1860" s="2">
        <v>3</v>
      </c>
      <c r="H1860" s="2">
        <v>3351</v>
      </c>
      <c r="I1860" s="10">
        <v>709546</v>
      </c>
      <c r="J1860" s="10">
        <f>Raw_Data!$I1860/Raw_Data!$H1860</f>
        <v>211.74156968069232</v>
      </c>
    </row>
    <row r="1861" spans="1:10" x14ac:dyDescent="0.3">
      <c r="A1861" s="8">
        <v>42715</v>
      </c>
      <c r="B1861" t="str">
        <f>TEXT(Raw_Data!$A1861, "MMM")</f>
        <v>Dec</v>
      </c>
      <c r="C1861">
        <f>YEAR(Raw_Data!$A1861)</f>
        <v>2016</v>
      </c>
      <c r="D1861" t="s">
        <v>694</v>
      </c>
      <c r="E1861" t="s">
        <v>13</v>
      </c>
      <c r="F1861" t="s">
        <v>27</v>
      </c>
      <c r="G1861">
        <v>3</v>
      </c>
      <c r="H1861">
        <v>1441</v>
      </c>
      <c r="I1861" s="1">
        <v>794167</v>
      </c>
      <c r="J1861" s="1">
        <f>Raw_Data!$I1861/Raw_Data!$H1861</f>
        <v>551.12213740458014</v>
      </c>
    </row>
    <row r="1862" spans="1:10" x14ac:dyDescent="0.3">
      <c r="A1862" s="9">
        <v>39652</v>
      </c>
      <c r="B1862" s="2" t="str">
        <f>TEXT(Raw_Data!$A1862, "MMM")</f>
        <v>Jul</v>
      </c>
      <c r="C1862" s="2">
        <f>YEAR(Raw_Data!$A1862)</f>
        <v>2008</v>
      </c>
      <c r="D1862" s="2" t="s">
        <v>1245</v>
      </c>
      <c r="E1862" s="2" t="s">
        <v>21</v>
      </c>
      <c r="F1862" s="2" t="s">
        <v>18</v>
      </c>
      <c r="G1862" s="2"/>
      <c r="H1862" s="2">
        <v>2097</v>
      </c>
      <c r="I1862" s="10">
        <v>395428</v>
      </c>
      <c r="J1862" s="10">
        <f>Raw_Data!$I1862/Raw_Data!$H1862</f>
        <v>188.56843109203623</v>
      </c>
    </row>
    <row r="1863" spans="1:10" x14ac:dyDescent="0.3">
      <c r="A1863" s="8">
        <v>43701</v>
      </c>
      <c r="B1863" t="str">
        <f>TEXT(Raw_Data!$A1863, "MMM")</f>
        <v>Aug</v>
      </c>
      <c r="C1863">
        <f>YEAR(Raw_Data!$A1863)</f>
        <v>2019</v>
      </c>
      <c r="D1863" t="s">
        <v>1547</v>
      </c>
      <c r="E1863" t="s">
        <v>32</v>
      </c>
      <c r="F1863" t="s">
        <v>27</v>
      </c>
      <c r="H1863">
        <v>1855</v>
      </c>
      <c r="I1863" s="1">
        <v>898823</v>
      </c>
      <c r="J1863" s="1">
        <f>Raw_Data!$I1863/Raw_Data!$H1863</f>
        <v>484.54070080862533</v>
      </c>
    </row>
    <row r="1864" spans="1:10" x14ac:dyDescent="0.3">
      <c r="A1864" s="9">
        <v>39457</v>
      </c>
      <c r="B1864" s="2" t="str">
        <f>TEXT(Raw_Data!$A1864, "MMM")</f>
        <v>Jan</v>
      </c>
      <c r="C1864" s="2">
        <f>YEAR(Raw_Data!$A1864)</f>
        <v>2008</v>
      </c>
      <c r="D1864" s="2" t="s">
        <v>1548</v>
      </c>
      <c r="E1864" s="2" t="s">
        <v>29</v>
      </c>
      <c r="F1864" s="2" t="s">
        <v>11</v>
      </c>
      <c r="G1864" s="2"/>
      <c r="H1864" s="2">
        <v>1742</v>
      </c>
      <c r="I1864" s="10">
        <v>823698</v>
      </c>
      <c r="J1864" s="10">
        <f>Raw_Data!$I1864/Raw_Data!$H1864</f>
        <v>472.84615384615387</v>
      </c>
    </row>
    <row r="1865" spans="1:10" x14ac:dyDescent="0.3">
      <c r="A1865" s="8">
        <v>41698</v>
      </c>
      <c r="B1865" t="str">
        <f>TEXT(Raw_Data!$A1865, "MMM")</f>
        <v>Feb</v>
      </c>
      <c r="C1865">
        <f>YEAR(Raw_Data!$A1865)</f>
        <v>2014</v>
      </c>
      <c r="D1865" t="s">
        <v>124</v>
      </c>
      <c r="E1865" t="s">
        <v>29</v>
      </c>
      <c r="F1865" t="s">
        <v>16</v>
      </c>
      <c r="G1865">
        <v>5</v>
      </c>
      <c r="H1865">
        <v>1185</v>
      </c>
      <c r="I1865" s="1">
        <v>747233</v>
      </c>
      <c r="J1865" s="1">
        <f>Raw_Data!$I1865/Raw_Data!$H1865</f>
        <v>630.57637130801686</v>
      </c>
    </row>
    <row r="1866" spans="1:10" x14ac:dyDescent="0.3">
      <c r="A1866" s="9">
        <v>38624</v>
      </c>
      <c r="B1866" s="2" t="str">
        <f>TEXT(Raw_Data!$A1866, "MMM")</f>
        <v>Sep</v>
      </c>
      <c r="C1866" s="2">
        <f>YEAR(Raw_Data!$A1866)</f>
        <v>2005</v>
      </c>
      <c r="D1866" s="2" t="s">
        <v>1549</v>
      </c>
      <c r="E1866" s="2" t="s">
        <v>29</v>
      </c>
      <c r="F1866" s="2" t="s">
        <v>18</v>
      </c>
      <c r="G1866" s="2">
        <v>3</v>
      </c>
      <c r="H1866" s="2">
        <v>3079</v>
      </c>
      <c r="I1866" s="10">
        <v>568644</v>
      </c>
      <c r="J1866" s="10">
        <f>Raw_Data!$I1866/Raw_Data!$H1866</f>
        <v>184.68463786943812</v>
      </c>
    </row>
    <row r="1867" spans="1:10" x14ac:dyDescent="0.3">
      <c r="A1867" s="8">
        <v>43675</v>
      </c>
      <c r="B1867" t="str">
        <f>TEXT(Raw_Data!$A1867, "MMM")</f>
        <v>Jul</v>
      </c>
      <c r="C1867">
        <f>YEAR(Raw_Data!$A1867)</f>
        <v>2019</v>
      </c>
      <c r="D1867" t="s">
        <v>1550</v>
      </c>
      <c r="E1867" t="s">
        <v>25</v>
      </c>
      <c r="F1867" t="s">
        <v>11</v>
      </c>
      <c r="G1867">
        <v>3</v>
      </c>
      <c r="H1867">
        <v>2453</v>
      </c>
      <c r="I1867" s="1">
        <v>447169</v>
      </c>
      <c r="J1867" s="1">
        <f>Raw_Data!$I1867/Raw_Data!$H1867</f>
        <v>182.29474113330616</v>
      </c>
    </row>
    <row r="1868" spans="1:10" x14ac:dyDescent="0.3">
      <c r="A1868" s="9">
        <v>37851</v>
      </c>
      <c r="B1868" s="2" t="str">
        <f>TEXT(Raw_Data!$A1868, "MMM")</f>
        <v>Aug</v>
      </c>
      <c r="C1868" s="2">
        <f>YEAR(Raw_Data!$A1868)</f>
        <v>2003</v>
      </c>
      <c r="D1868" s="2" t="s">
        <v>358</v>
      </c>
      <c r="E1868" s="2" t="s">
        <v>15</v>
      </c>
      <c r="F1868" s="2" t="s">
        <v>11</v>
      </c>
      <c r="G1868" s="2">
        <v>5</v>
      </c>
      <c r="H1868" s="2">
        <v>1411</v>
      </c>
      <c r="I1868" s="10">
        <v>606141</v>
      </c>
      <c r="J1868" s="10">
        <f>Raw_Data!$I1868/Raw_Data!$H1868</f>
        <v>429.58256555634301</v>
      </c>
    </row>
    <row r="1869" spans="1:10" x14ac:dyDescent="0.3">
      <c r="A1869" s="8">
        <v>42771</v>
      </c>
      <c r="B1869" t="str">
        <f>TEXT(Raw_Data!$A1869, "MMM")</f>
        <v>Feb</v>
      </c>
      <c r="C1869">
        <f>YEAR(Raw_Data!$A1869)</f>
        <v>2017</v>
      </c>
      <c r="D1869" t="s">
        <v>874</v>
      </c>
      <c r="E1869" t="s">
        <v>25</v>
      </c>
      <c r="F1869" t="s">
        <v>18</v>
      </c>
      <c r="G1869">
        <v>5</v>
      </c>
      <c r="H1869">
        <v>3473</v>
      </c>
      <c r="I1869" s="1">
        <v>230672</v>
      </c>
      <c r="J1869" s="1">
        <f>Raw_Data!$I1869/Raw_Data!$H1869</f>
        <v>66.418658220558598</v>
      </c>
    </row>
    <row r="1870" spans="1:10" x14ac:dyDescent="0.3">
      <c r="A1870" s="9">
        <v>40715</v>
      </c>
      <c r="B1870" s="2" t="str">
        <f>TEXT(Raw_Data!$A1870, "MMM")</f>
        <v>Jun</v>
      </c>
      <c r="C1870" s="2">
        <f>YEAR(Raw_Data!$A1870)</f>
        <v>2011</v>
      </c>
      <c r="D1870" s="2" t="s">
        <v>1551</v>
      </c>
      <c r="E1870" s="2" t="s">
        <v>25</v>
      </c>
      <c r="F1870" s="2" t="s">
        <v>11</v>
      </c>
      <c r="G1870" s="2">
        <v>2</v>
      </c>
      <c r="H1870" s="2">
        <v>2692</v>
      </c>
      <c r="I1870" s="10">
        <v>523859</v>
      </c>
      <c r="J1870" s="10">
        <f>Raw_Data!$I1870/Raw_Data!$H1870</f>
        <v>194.59843982169392</v>
      </c>
    </row>
    <row r="1871" spans="1:10" x14ac:dyDescent="0.3">
      <c r="A1871" s="8">
        <v>40765</v>
      </c>
      <c r="B1871" t="str">
        <f>TEXT(Raw_Data!$A1871, "MMM")</f>
        <v>Aug</v>
      </c>
      <c r="C1871">
        <f>YEAR(Raw_Data!$A1871)</f>
        <v>2011</v>
      </c>
      <c r="D1871" t="s">
        <v>1552</v>
      </c>
      <c r="E1871" t="s">
        <v>13</v>
      </c>
      <c r="F1871" t="s">
        <v>16</v>
      </c>
      <c r="G1871">
        <v>3</v>
      </c>
      <c r="H1871">
        <v>3000</v>
      </c>
      <c r="I1871" s="1">
        <v>184543</v>
      </c>
      <c r="J1871" s="1">
        <f>Raw_Data!$I1871/Raw_Data!$H1871</f>
        <v>61.514333333333333</v>
      </c>
    </row>
    <row r="1872" spans="1:10" x14ac:dyDescent="0.3">
      <c r="A1872" s="9">
        <v>42928</v>
      </c>
      <c r="B1872" s="2" t="str">
        <f>TEXT(Raw_Data!$A1872, "MMM")</f>
        <v>Jul</v>
      </c>
      <c r="C1872" s="2">
        <f>YEAR(Raw_Data!$A1872)</f>
        <v>2017</v>
      </c>
      <c r="D1872" s="2" t="s">
        <v>1553</v>
      </c>
      <c r="E1872" s="2" t="s">
        <v>25</v>
      </c>
      <c r="F1872" s="2" t="s">
        <v>27</v>
      </c>
      <c r="G1872" s="2">
        <v>4</v>
      </c>
      <c r="H1872" s="2">
        <v>1096</v>
      </c>
      <c r="I1872" s="10">
        <v>568000</v>
      </c>
      <c r="J1872" s="10">
        <f>Raw_Data!$I1872/Raw_Data!$H1872</f>
        <v>518.24817518248176</v>
      </c>
    </row>
    <row r="1873" spans="1:10" x14ac:dyDescent="0.3">
      <c r="A1873" s="8">
        <v>41040</v>
      </c>
      <c r="B1873" t="str">
        <f>TEXT(Raw_Data!$A1873, "MMM")</f>
        <v>May</v>
      </c>
      <c r="C1873">
        <f>YEAR(Raw_Data!$A1873)</f>
        <v>2012</v>
      </c>
      <c r="D1873" t="s">
        <v>1356</v>
      </c>
      <c r="E1873" t="s">
        <v>25</v>
      </c>
      <c r="F1873" t="s">
        <v>11</v>
      </c>
      <c r="G1873">
        <v>2</v>
      </c>
      <c r="H1873">
        <v>2174</v>
      </c>
      <c r="I1873" s="1">
        <v>895986</v>
      </c>
      <c r="J1873" s="1">
        <f>Raw_Data!$I1873/Raw_Data!$H1873</f>
        <v>412.1370745170193</v>
      </c>
    </row>
    <row r="1874" spans="1:10" x14ac:dyDescent="0.3">
      <c r="A1874" s="9">
        <v>39998</v>
      </c>
      <c r="B1874" s="2" t="str">
        <f>TEXT(Raw_Data!$A1874, "MMM")</f>
        <v>Jul</v>
      </c>
      <c r="C1874" s="2">
        <f>YEAR(Raw_Data!$A1874)</f>
        <v>2009</v>
      </c>
      <c r="D1874" s="2" t="s">
        <v>1554</v>
      </c>
      <c r="E1874" s="2" t="s">
        <v>23</v>
      </c>
      <c r="F1874" s="2" t="s">
        <v>16</v>
      </c>
      <c r="G1874" s="2">
        <v>4</v>
      </c>
      <c r="H1874" s="2">
        <v>1442</v>
      </c>
      <c r="I1874" s="10">
        <v>116904</v>
      </c>
      <c r="J1874" s="10">
        <f>Raw_Data!$I1874/Raw_Data!$H1874</f>
        <v>81.070735090152567</v>
      </c>
    </row>
    <row r="1875" spans="1:10" x14ac:dyDescent="0.3">
      <c r="A1875" s="8">
        <v>39780</v>
      </c>
      <c r="B1875" t="str">
        <f>TEXT(Raw_Data!$A1875, "MMM")</f>
        <v>Nov</v>
      </c>
      <c r="C1875">
        <f>YEAR(Raw_Data!$A1875)</f>
        <v>2008</v>
      </c>
      <c r="D1875" t="s">
        <v>1555</v>
      </c>
      <c r="E1875" t="s">
        <v>25</v>
      </c>
      <c r="F1875" t="s">
        <v>11</v>
      </c>
      <c r="H1875">
        <v>2530</v>
      </c>
      <c r="I1875" s="1">
        <v>117422</v>
      </c>
      <c r="J1875" s="1">
        <f>Raw_Data!$I1875/Raw_Data!$H1875</f>
        <v>46.411857707509881</v>
      </c>
    </row>
    <row r="1876" spans="1:10" x14ac:dyDescent="0.3">
      <c r="A1876" s="9">
        <v>43941</v>
      </c>
      <c r="B1876" s="2" t="str">
        <f>TEXT(Raw_Data!$A1876, "MMM")</f>
        <v>Apr</v>
      </c>
      <c r="C1876" s="2">
        <f>YEAR(Raw_Data!$A1876)</f>
        <v>2020</v>
      </c>
      <c r="D1876" s="2" t="s">
        <v>1556</v>
      </c>
      <c r="E1876" s="2" t="s">
        <v>13</v>
      </c>
      <c r="F1876" s="2" t="s">
        <v>18</v>
      </c>
      <c r="G1876" s="2">
        <v>2</v>
      </c>
      <c r="H1876" s="2">
        <v>3001</v>
      </c>
      <c r="I1876" s="10">
        <v>394691</v>
      </c>
      <c r="J1876" s="10">
        <f>Raw_Data!$I1876/Raw_Data!$H1876</f>
        <v>131.5198267244252</v>
      </c>
    </row>
    <row r="1877" spans="1:10" x14ac:dyDescent="0.3">
      <c r="A1877" s="8">
        <v>37945</v>
      </c>
      <c r="B1877" t="str">
        <f>TEXT(Raw_Data!$A1877, "MMM")</f>
        <v>Nov</v>
      </c>
      <c r="C1877">
        <f>YEAR(Raw_Data!$A1877)</f>
        <v>2003</v>
      </c>
      <c r="D1877" t="s">
        <v>890</v>
      </c>
      <c r="E1877" t="s">
        <v>32</v>
      </c>
      <c r="F1877" t="s">
        <v>27</v>
      </c>
      <c r="H1877">
        <v>1486</v>
      </c>
      <c r="I1877" s="1">
        <v>803716</v>
      </c>
      <c r="J1877" s="1">
        <f>Raw_Data!$I1877/Raw_Data!$H1877</f>
        <v>540.85868102288021</v>
      </c>
    </row>
    <row r="1878" spans="1:10" x14ac:dyDescent="0.3">
      <c r="A1878" s="9">
        <v>40012</v>
      </c>
      <c r="B1878" s="2" t="str">
        <f>TEXT(Raw_Data!$A1878, "MMM")</f>
        <v>Jul</v>
      </c>
      <c r="C1878" s="2">
        <f>YEAR(Raw_Data!$A1878)</f>
        <v>2009</v>
      </c>
      <c r="D1878" s="2" t="s">
        <v>1557</v>
      </c>
      <c r="E1878" s="2" t="s">
        <v>29</v>
      </c>
      <c r="F1878" s="2" t="s">
        <v>18</v>
      </c>
      <c r="G1878" s="2"/>
      <c r="H1878" s="2">
        <v>3364</v>
      </c>
      <c r="I1878" s="10">
        <v>258945</v>
      </c>
      <c r="J1878" s="10">
        <f>Raw_Data!$I1878/Raw_Data!$H1878</f>
        <v>76.975326991676582</v>
      </c>
    </row>
    <row r="1879" spans="1:10" x14ac:dyDescent="0.3">
      <c r="A1879" s="8">
        <v>40886</v>
      </c>
      <c r="B1879" t="str">
        <f>TEXT(Raw_Data!$A1879, "MMM")</f>
        <v>Dec</v>
      </c>
      <c r="C1879">
        <f>YEAR(Raw_Data!$A1879)</f>
        <v>2011</v>
      </c>
      <c r="D1879" t="s">
        <v>1390</v>
      </c>
      <c r="E1879" t="s">
        <v>15</v>
      </c>
      <c r="F1879" t="s">
        <v>16</v>
      </c>
      <c r="G1879">
        <v>2</v>
      </c>
      <c r="H1879">
        <v>2088</v>
      </c>
      <c r="I1879" s="1">
        <v>624472</v>
      </c>
      <c r="J1879" s="1">
        <f>Raw_Data!$I1879/Raw_Data!$H1879</f>
        <v>299.07662835249045</v>
      </c>
    </row>
    <row r="1880" spans="1:10" x14ac:dyDescent="0.3">
      <c r="A1880" s="9">
        <v>39327</v>
      </c>
      <c r="B1880" s="2" t="str">
        <f>TEXT(Raw_Data!$A1880, "MMM")</f>
        <v>Sep</v>
      </c>
      <c r="C1880" s="2">
        <f>YEAR(Raw_Data!$A1880)</f>
        <v>2007</v>
      </c>
      <c r="D1880" s="2" t="s">
        <v>1558</v>
      </c>
      <c r="E1880" s="2" t="s">
        <v>32</v>
      </c>
      <c r="F1880" s="2" t="s">
        <v>16</v>
      </c>
      <c r="G1880" s="2">
        <v>2</v>
      </c>
      <c r="H1880" s="2">
        <v>2825</v>
      </c>
      <c r="I1880" s="10">
        <v>634778</v>
      </c>
      <c r="J1880" s="10">
        <f>Raw_Data!$I1880/Raw_Data!$H1880</f>
        <v>224.70017699115044</v>
      </c>
    </row>
    <row r="1881" spans="1:10" x14ac:dyDescent="0.3">
      <c r="A1881" s="8">
        <v>43896</v>
      </c>
      <c r="B1881" t="str">
        <f>TEXT(Raw_Data!$A1881, "MMM")</f>
        <v>Mar</v>
      </c>
      <c r="C1881">
        <f>YEAR(Raw_Data!$A1881)</f>
        <v>2020</v>
      </c>
      <c r="D1881" t="s">
        <v>1559</v>
      </c>
      <c r="E1881" t="s">
        <v>32</v>
      </c>
      <c r="F1881" t="s">
        <v>11</v>
      </c>
      <c r="G1881">
        <v>3</v>
      </c>
      <c r="H1881">
        <v>2658</v>
      </c>
      <c r="I1881" s="1">
        <v>834686</v>
      </c>
      <c r="J1881" s="1">
        <f>Raw_Data!$I1881/Raw_Data!$H1881</f>
        <v>314.02784048156508</v>
      </c>
    </row>
    <row r="1882" spans="1:10" x14ac:dyDescent="0.3">
      <c r="A1882" s="9">
        <v>39094</v>
      </c>
      <c r="B1882" s="2" t="str">
        <f>TEXT(Raw_Data!$A1882, "MMM")</f>
        <v>Jan</v>
      </c>
      <c r="C1882" s="2">
        <f>YEAR(Raw_Data!$A1882)</f>
        <v>2007</v>
      </c>
      <c r="D1882" s="2" t="s">
        <v>1560</v>
      </c>
      <c r="E1882" s="2" t="s">
        <v>25</v>
      </c>
      <c r="F1882" s="2" t="s">
        <v>27</v>
      </c>
      <c r="G1882" s="2">
        <v>5</v>
      </c>
      <c r="H1882" s="2">
        <v>3125</v>
      </c>
      <c r="I1882" s="10">
        <v>784163</v>
      </c>
      <c r="J1882" s="10">
        <f>Raw_Data!$I1882/Raw_Data!$H1882</f>
        <v>250.93216000000001</v>
      </c>
    </row>
    <row r="1883" spans="1:10" x14ac:dyDescent="0.3">
      <c r="A1883" s="8">
        <v>38381</v>
      </c>
      <c r="B1883" t="str">
        <f>TEXT(Raw_Data!$A1883, "MMM")</f>
        <v>Jan</v>
      </c>
      <c r="C1883">
        <f>YEAR(Raw_Data!$A1883)</f>
        <v>2005</v>
      </c>
      <c r="D1883" t="s">
        <v>94</v>
      </c>
      <c r="E1883" t="s">
        <v>15</v>
      </c>
      <c r="F1883" t="s">
        <v>27</v>
      </c>
      <c r="G1883">
        <v>4</v>
      </c>
      <c r="H1883">
        <v>2994</v>
      </c>
      <c r="I1883" s="1">
        <v>557923</v>
      </c>
      <c r="J1883" s="1">
        <f>Raw_Data!$I1883/Raw_Data!$H1883</f>
        <v>186.34702738810955</v>
      </c>
    </row>
    <row r="1884" spans="1:10" x14ac:dyDescent="0.3">
      <c r="A1884" s="9">
        <v>38729</v>
      </c>
      <c r="B1884" s="2" t="str">
        <f>TEXT(Raw_Data!$A1884, "MMM")</f>
        <v>Jan</v>
      </c>
      <c r="C1884" s="2">
        <f>YEAR(Raw_Data!$A1884)</f>
        <v>2006</v>
      </c>
      <c r="D1884" s="2" t="s">
        <v>487</v>
      </c>
      <c r="E1884" s="2" t="s">
        <v>21</v>
      </c>
      <c r="F1884" s="2" t="s">
        <v>27</v>
      </c>
      <c r="G1884" s="2"/>
      <c r="H1884" s="2">
        <v>1584</v>
      </c>
      <c r="I1884" s="10">
        <v>376445</v>
      </c>
      <c r="J1884" s="10">
        <f>Raw_Data!$I1884/Raw_Data!$H1884</f>
        <v>237.65467171717171</v>
      </c>
    </row>
    <row r="1885" spans="1:10" x14ac:dyDescent="0.3">
      <c r="A1885" s="8">
        <v>37405</v>
      </c>
      <c r="B1885" t="str">
        <f>TEXT(Raw_Data!$A1885, "MMM")</f>
        <v>May</v>
      </c>
      <c r="C1885">
        <f>YEAR(Raw_Data!$A1885)</f>
        <v>2002</v>
      </c>
      <c r="D1885" t="s">
        <v>1561</v>
      </c>
      <c r="E1885" t="s">
        <v>29</v>
      </c>
      <c r="F1885" t="s">
        <v>16</v>
      </c>
      <c r="H1885">
        <v>2746</v>
      </c>
      <c r="I1885" s="1">
        <v>659299</v>
      </c>
      <c r="J1885" s="1">
        <f>Raw_Data!$I1885/Raw_Data!$H1885</f>
        <v>240.09431900946831</v>
      </c>
    </row>
    <row r="1886" spans="1:10" x14ac:dyDescent="0.3">
      <c r="A1886" s="9">
        <v>38365</v>
      </c>
      <c r="B1886" s="2" t="str">
        <f>TEXT(Raw_Data!$A1886, "MMM")</f>
        <v>Jan</v>
      </c>
      <c r="C1886" s="2">
        <f>YEAR(Raw_Data!$A1886)</f>
        <v>2005</v>
      </c>
      <c r="D1886" s="2" t="s">
        <v>1562</v>
      </c>
      <c r="E1886" s="2" t="s">
        <v>13</v>
      </c>
      <c r="F1886" s="2" t="s">
        <v>18</v>
      </c>
      <c r="G1886" s="2">
        <v>2</v>
      </c>
      <c r="H1886" s="2">
        <v>2296</v>
      </c>
      <c r="I1886" s="10">
        <v>864802</v>
      </c>
      <c r="J1886" s="10">
        <f>Raw_Data!$I1886/Raw_Data!$H1886</f>
        <v>376.65592334494772</v>
      </c>
    </row>
    <row r="1887" spans="1:10" x14ac:dyDescent="0.3">
      <c r="A1887" s="8">
        <v>41251</v>
      </c>
      <c r="B1887" t="str">
        <f>TEXT(Raw_Data!$A1887, "MMM")</f>
        <v>Dec</v>
      </c>
      <c r="C1887">
        <f>YEAR(Raw_Data!$A1887)</f>
        <v>2012</v>
      </c>
      <c r="D1887" t="s">
        <v>1563</v>
      </c>
      <c r="E1887" t="s">
        <v>21</v>
      </c>
      <c r="F1887" t="s">
        <v>27</v>
      </c>
      <c r="G1887">
        <v>4</v>
      </c>
      <c r="H1887">
        <v>2022</v>
      </c>
      <c r="I1887" s="1">
        <v>389812</v>
      </c>
      <c r="J1887" s="1">
        <f>Raw_Data!$I1887/Raw_Data!$H1887</f>
        <v>192.78536102868446</v>
      </c>
    </row>
    <row r="1888" spans="1:10" x14ac:dyDescent="0.3">
      <c r="A1888" s="9">
        <v>37273</v>
      </c>
      <c r="B1888" s="2" t="str">
        <f>TEXT(Raw_Data!$A1888, "MMM")</f>
        <v>Jan</v>
      </c>
      <c r="C1888" s="2">
        <f>YEAR(Raw_Data!$A1888)</f>
        <v>2002</v>
      </c>
      <c r="D1888" s="2" t="s">
        <v>424</v>
      </c>
      <c r="E1888" s="2" t="s">
        <v>25</v>
      </c>
      <c r="F1888" s="2" t="s">
        <v>18</v>
      </c>
      <c r="G1888" s="2"/>
      <c r="H1888" s="2">
        <v>887</v>
      </c>
      <c r="I1888" s="10">
        <v>768123</v>
      </c>
      <c r="J1888" s="10">
        <f>Raw_Data!$I1888/Raw_Data!$H1888</f>
        <v>865.97857948139801</v>
      </c>
    </row>
    <row r="1889" spans="1:10" x14ac:dyDescent="0.3">
      <c r="A1889" s="8">
        <v>43874</v>
      </c>
      <c r="B1889" t="str">
        <f>TEXT(Raw_Data!$A1889, "MMM")</f>
        <v>Feb</v>
      </c>
      <c r="C1889">
        <f>YEAR(Raw_Data!$A1889)</f>
        <v>2020</v>
      </c>
      <c r="D1889" t="s">
        <v>588</v>
      </c>
      <c r="E1889" t="s">
        <v>15</v>
      </c>
      <c r="F1889" t="s">
        <v>11</v>
      </c>
      <c r="G1889">
        <v>4</v>
      </c>
      <c r="H1889">
        <v>874</v>
      </c>
      <c r="I1889" s="1">
        <v>443348</v>
      </c>
      <c r="J1889" s="1">
        <f>Raw_Data!$I1889/Raw_Data!$H1889</f>
        <v>507.26315789473682</v>
      </c>
    </row>
    <row r="1890" spans="1:10" x14ac:dyDescent="0.3">
      <c r="A1890" s="9">
        <v>43077</v>
      </c>
      <c r="B1890" s="2" t="str">
        <f>TEXT(Raw_Data!$A1890, "MMM")</f>
        <v>Dec</v>
      </c>
      <c r="C1890" s="2">
        <f>YEAR(Raw_Data!$A1890)</f>
        <v>2017</v>
      </c>
      <c r="D1890" s="2" t="s">
        <v>1293</v>
      </c>
      <c r="E1890" s="2" t="s">
        <v>25</v>
      </c>
      <c r="F1890" s="2" t="s">
        <v>16</v>
      </c>
      <c r="G1890" s="2"/>
      <c r="H1890" s="2">
        <v>1573</v>
      </c>
      <c r="I1890" s="10"/>
      <c r="J1890" s="10">
        <f>Raw_Data!$I1890/Raw_Data!$H1890</f>
        <v>0</v>
      </c>
    </row>
    <row r="1891" spans="1:10" x14ac:dyDescent="0.3">
      <c r="A1891" s="8">
        <v>42577</v>
      </c>
      <c r="B1891" t="str">
        <f>TEXT(Raw_Data!$A1891, "MMM")</f>
        <v>Jul</v>
      </c>
      <c r="C1891">
        <f>YEAR(Raw_Data!$A1891)</f>
        <v>2016</v>
      </c>
      <c r="D1891" t="s">
        <v>1564</v>
      </c>
      <c r="E1891" t="s">
        <v>13</v>
      </c>
      <c r="F1891" t="s">
        <v>11</v>
      </c>
      <c r="G1891">
        <v>2</v>
      </c>
      <c r="H1891">
        <v>1240</v>
      </c>
      <c r="I1891" s="1">
        <v>769982</v>
      </c>
      <c r="J1891" s="1">
        <f>Raw_Data!$I1891/Raw_Data!$H1891</f>
        <v>620.95322580645166</v>
      </c>
    </row>
    <row r="1892" spans="1:10" x14ac:dyDescent="0.3">
      <c r="A1892" s="9">
        <v>41020</v>
      </c>
      <c r="B1892" s="2" t="str">
        <f>TEXT(Raw_Data!$A1892, "MMM")</f>
        <v>Apr</v>
      </c>
      <c r="C1892" s="2">
        <f>YEAR(Raw_Data!$A1892)</f>
        <v>2012</v>
      </c>
      <c r="D1892" s="2" t="s">
        <v>334</v>
      </c>
      <c r="E1892" s="2" t="s">
        <v>32</v>
      </c>
      <c r="F1892" s="2" t="s">
        <v>11</v>
      </c>
      <c r="G1892" s="2">
        <v>3</v>
      </c>
      <c r="H1892" s="2">
        <v>2240</v>
      </c>
      <c r="I1892" s="10">
        <v>641073</v>
      </c>
      <c r="J1892" s="10">
        <f>Raw_Data!$I1892/Raw_Data!$H1892</f>
        <v>286.19330357142854</v>
      </c>
    </row>
    <row r="1893" spans="1:10" x14ac:dyDescent="0.3">
      <c r="A1893" s="8">
        <v>42350</v>
      </c>
      <c r="B1893" t="str">
        <f>TEXT(Raw_Data!$A1893, "MMM")</f>
        <v>Dec</v>
      </c>
      <c r="C1893">
        <f>YEAR(Raw_Data!$A1893)</f>
        <v>2015</v>
      </c>
      <c r="D1893" t="s">
        <v>1565</v>
      </c>
      <c r="E1893" t="s">
        <v>13</v>
      </c>
      <c r="F1893" t="s">
        <v>27</v>
      </c>
      <c r="G1893">
        <v>5</v>
      </c>
      <c r="H1893">
        <v>3267</v>
      </c>
      <c r="I1893" s="1">
        <v>257023</v>
      </c>
      <c r="J1893" s="1">
        <f>Raw_Data!$I1893/Raw_Data!$H1893</f>
        <v>78.672482399755125</v>
      </c>
    </row>
    <row r="1894" spans="1:10" x14ac:dyDescent="0.3">
      <c r="A1894" s="9">
        <v>38510</v>
      </c>
      <c r="B1894" s="2" t="str">
        <f>TEXT(Raw_Data!$A1894, "MMM")</f>
        <v>Jun</v>
      </c>
      <c r="C1894" s="2">
        <f>YEAR(Raw_Data!$A1894)</f>
        <v>2005</v>
      </c>
      <c r="D1894" s="2" t="s">
        <v>1566</v>
      </c>
      <c r="E1894" s="2" t="s">
        <v>15</v>
      </c>
      <c r="F1894" s="2" t="s">
        <v>27</v>
      </c>
      <c r="G1894" s="2">
        <v>5</v>
      </c>
      <c r="H1894" s="2">
        <v>865</v>
      </c>
      <c r="I1894" s="10">
        <v>284413</v>
      </c>
      <c r="J1894" s="10">
        <f>Raw_Data!$I1894/Raw_Data!$H1894</f>
        <v>328.80115606936414</v>
      </c>
    </row>
    <row r="1895" spans="1:10" x14ac:dyDescent="0.3">
      <c r="A1895" s="8">
        <v>41553</v>
      </c>
      <c r="B1895" t="str">
        <f>TEXT(Raw_Data!$A1895, "MMM")</f>
        <v>Oct</v>
      </c>
      <c r="C1895">
        <f>YEAR(Raw_Data!$A1895)</f>
        <v>2013</v>
      </c>
      <c r="D1895" t="s">
        <v>1567</v>
      </c>
      <c r="E1895" t="s">
        <v>15</v>
      </c>
      <c r="F1895" t="s">
        <v>27</v>
      </c>
      <c r="G1895">
        <v>4</v>
      </c>
      <c r="H1895">
        <v>2517</v>
      </c>
      <c r="I1895" s="1">
        <v>366393</v>
      </c>
      <c r="J1895" s="1">
        <f>Raw_Data!$I1895/Raw_Data!$H1895</f>
        <v>145.56734207389749</v>
      </c>
    </row>
    <row r="1896" spans="1:10" x14ac:dyDescent="0.3">
      <c r="A1896" s="9">
        <v>39901</v>
      </c>
      <c r="B1896" s="2" t="str">
        <f>TEXT(Raw_Data!$A1896, "MMM")</f>
        <v>Mar</v>
      </c>
      <c r="C1896" s="2">
        <f>YEAR(Raw_Data!$A1896)</f>
        <v>2009</v>
      </c>
      <c r="D1896" s="2" t="s">
        <v>1164</v>
      </c>
      <c r="E1896" s="2" t="s">
        <v>21</v>
      </c>
      <c r="F1896" s="2" t="s">
        <v>18</v>
      </c>
      <c r="G1896" s="2">
        <v>2</v>
      </c>
      <c r="H1896" s="2">
        <v>1644</v>
      </c>
      <c r="I1896" s="10">
        <v>649794</v>
      </c>
      <c r="J1896" s="10">
        <f>Raw_Data!$I1896/Raw_Data!$H1896</f>
        <v>395.25182481751824</v>
      </c>
    </row>
    <row r="1897" spans="1:10" x14ac:dyDescent="0.3">
      <c r="A1897" s="8">
        <v>41241</v>
      </c>
      <c r="B1897" t="str">
        <f>TEXT(Raw_Data!$A1897, "MMM")</f>
        <v>Nov</v>
      </c>
      <c r="C1897">
        <f>YEAR(Raw_Data!$A1897)</f>
        <v>2012</v>
      </c>
      <c r="D1897" t="s">
        <v>1568</v>
      </c>
      <c r="E1897" t="s">
        <v>15</v>
      </c>
      <c r="F1897" t="s">
        <v>27</v>
      </c>
      <c r="H1897">
        <v>1494</v>
      </c>
      <c r="I1897" s="1">
        <v>884111</v>
      </c>
      <c r="J1897" s="1">
        <f>Raw_Data!$I1897/Raw_Data!$H1897</f>
        <v>591.77443105756356</v>
      </c>
    </row>
    <row r="1898" spans="1:10" x14ac:dyDescent="0.3">
      <c r="A1898" s="9">
        <v>38790</v>
      </c>
      <c r="B1898" s="2" t="str">
        <f>TEXT(Raw_Data!$A1898, "MMM")</f>
        <v>Mar</v>
      </c>
      <c r="C1898" s="2">
        <f>YEAR(Raw_Data!$A1898)</f>
        <v>2006</v>
      </c>
      <c r="D1898" s="2" t="s">
        <v>1569</v>
      </c>
      <c r="E1898" s="2" t="s">
        <v>15</v>
      </c>
      <c r="F1898" s="2" t="s">
        <v>27</v>
      </c>
      <c r="G1898" s="2">
        <v>5</v>
      </c>
      <c r="H1898" s="2">
        <v>1454</v>
      </c>
      <c r="I1898" s="10">
        <v>398044</v>
      </c>
      <c r="J1898" s="10">
        <f>Raw_Data!$I1898/Raw_Data!$H1898</f>
        <v>273.75790921595598</v>
      </c>
    </row>
    <row r="1899" spans="1:10" x14ac:dyDescent="0.3">
      <c r="A1899" s="8">
        <v>42836</v>
      </c>
      <c r="B1899" t="str">
        <f>TEXT(Raw_Data!$A1899, "MMM")</f>
        <v>Apr</v>
      </c>
      <c r="C1899">
        <f>YEAR(Raw_Data!$A1899)</f>
        <v>2017</v>
      </c>
      <c r="D1899" t="s">
        <v>1570</v>
      </c>
      <c r="E1899" t="s">
        <v>32</v>
      </c>
      <c r="F1899" t="s">
        <v>11</v>
      </c>
      <c r="G1899">
        <v>4</v>
      </c>
      <c r="H1899">
        <v>885</v>
      </c>
      <c r="I1899" s="1">
        <v>892540</v>
      </c>
      <c r="J1899" s="1">
        <f>Raw_Data!$I1899/Raw_Data!$H1899</f>
        <v>1008.5197740112994</v>
      </c>
    </row>
    <row r="1900" spans="1:10" x14ac:dyDescent="0.3">
      <c r="A1900" s="9">
        <v>40578</v>
      </c>
      <c r="B1900" s="2" t="str">
        <f>TEXT(Raw_Data!$A1900, "MMM")</f>
        <v>Feb</v>
      </c>
      <c r="C1900" s="2">
        <f>YEAR(Raw_Data!$A1900)</f>
        <v>2011</v>
      </c>
      <c r="D1900" s="2" t="s">
        <v>1571</v>
      </c>
      <c r="E1900" s="2" t="s">
        <v>32</v>
      </c>
      <c r="F1900" s="2" t="s">
        <v>16</v>
      </c>
      <c r="G1900" s="2"/>
      <c r="H1900" s="2">
        <v>3045</v>
      </c>
      <c r="I1900" s="10">
        <v>286888</v>
      </c>
      <c r="J1900" s="10">
        <f>Raw_Data!$I1900/Raw_Data!$H1900</f>
        <v>94.216091954022986</v>
      </c>
    </row>
    <row r="1901" spans="1:10" x14ac:dyDescent="0.3">
      <c r="A1901" s="8">
        <v>38304</v>
      </c>
      <c r="B1901" t="str">
        <f>TEXT(Raw_Data!$A1901, "MMM")</f>
        <v>Nov</v>
      </c>
      <c r="C1901">
        <f>YEAR(Raw_Data!$A1901)</f>
        <v>2004</v>
      </c>
      <c r="D1901" t="s">
        <v>1572</v>
      </c>
      <c r="E1901" t="s">
        <v>21</v>
      </c>
      <c r="F1901" t="s">
        <v>18</v>
      </c>
      <c r="H1901">
        <v>2644</v>
      </c>
      <c r="I1901" s="1">
        <v>479541</v>
      </c>
      <c r="J1901" s="1">
        <f>Raw_Data!$I1901/Raw_Data!$H1901</f>
        <v>181.36951588502268</v>
      </c>
    </row>
    <row r="1902" spans="1:10" x14ac:dyDescent="0.3">
      <c r="A1902" s="9">
        <v>39067</v>
      </c>
      <c r="B1902" s="2" t="str">
        <f>TEXT(Raw_Data!$A1902, "MMM")</f>
        <v>Dec</v>
      </c>
      <c r="C1902" s="2">
        <f>YEAR(Raw_Data!$A1902)</f>
        <v>2006</v>
      </c>
      <c r="D1902" s="2" t="s">
        <v>224</v>
      </c>
      <c r="E1902" s="2" t="s">
        <v>23</v>
      </c>
      <c r="F1902" s="2" t="s">
        <v>18</v>
      </c>
      <c r="G1902" s="2"/>
      <c r="H1902" s="2">
        <v>1378</v>
      </c>
      <c r="I1902" s="10">
        <v>305980</v>
      </c>
      <c r="J1902" s="10">
        <f>Raw_Data!$I1902/Raw_Data!$H1902</f>
        <v>222.04644412191581</v>
      </c>
    </row>
    <row r="1903" spans="1:10" x14ac:dyDescent="0.3">
      <c r="A1903" s="8">
        <v>43137</v>
      </c>
      <c r="B1903" t="str">
        <f>TEXT(Raw_Data!$A1903, "MMM")</f>
        <v>Feb</v>
      </c>
      <c r="C1903">
        <f>YEAR(Raw_Data!$A1903)</f>
        <v>2018</v>
      </c>
      <c r="D1903" t="s">
        <v>1573</v>
      </c>
      <c r="E1903" t="s">
        <v>29</v>
      </c>
      <c r="F1903" t="s">
        <v>18</v>
      </c>
      <c r="G1903">
        <v>3</v>
      </c>
      <c r="H1903">
        <v>2083</v>
      </c>
      <c r="I1903" s="1">
        <v>201592</v>
      </c>
      <c r="J1903" s="1">
        <f>Raw_Data!$I1903/Raw_Data!$H1903</f>
        <v>96.779644743158912</v>
      </c>
    </row>
    <row r="1904" spans="1:10" x14ac:dyDescent="0.3">
      <c r="A1904" s="9">
        <v>37909</v>
      </c>
      <c r="B1904" s="2" t="str">
        <f>TEXT(Raw_Data!$A1904, "MMM")</f>
        <v>Oct</v>
      </c>
      <c r="C1904" s="2">
        <f>YEAR(Raw_Data!$A1904)</f>
        <v>2003</v>
      </c>
      <c r="D1904" s="2" t="s">
        <v>1574</v>
      </c>
      <c r="E1904" s="2" t="s">
        <v>21</v>
      </c>
      <c r="F1904" s="2" t="s">
        <v>27</v>
      </c>
      <c r="G1904" s="2"/>
      <c r="H1904" s="2">
        <v>867</v>
      </c>
      <c r="I1904" s="10">
        <v>790860</v>
      </c>
      <c r="J1904" s="10">
        <f>Raw_Data!$I1904/Raw_Data!$H1904</f>
        <v>912.17993079584778</v>
      </c>
    </row>
    <row r="1905" spans="1:10" x14ac:dyDescent="0.3">
      <c r="A1905" s="8">
        <v>37471</v>
      </c>
      <c r="B1905" t="str">
        <f>TEXT(Raw_Data!$A1905, "MMM")</f>
        <v>Aug</v>
      </c>
      <c r="C1905">
        <f>YEAR(Raw_Data!$A1905)</f>
        <v>2002</v>
      </c>
      <c r="D1905" t="s">
        <v>1575</v>
      </c>
      <c r="E1905" t="s">
        <v>25</v>
      </c>
      <c r="F1905" t="s">
        <v>27</v>
      </c>
      <c r="H1905">
        <v>3202</v>
      </c>
      <c r="I1905" s="1"/>
      <c r="J1905" s="1">
        <f>Raw_Data!$I1905/Raw_Data!$H1905</f>
        <v>0</v>
      </c>
    </row>
    <row r="1906" spans="1:10" x14ac:dyDescent="0.3">
      <c r="A1906" s="9">
        <v>38780</v>
      </c>
      <c r="B1906" s="2" t="str">
        <f>TEXT(Raw_Data!$A1906, "MMM")</f>
        <v>Mar</v>
      </c>
      <c r="C1906" s="2">
        <f>YEAR(Raw_Data!$A1906)</f>
        <v>2006</v>
      </c>
      <c r="D1906" s="2" t="s">
        <v>1504</v>
      </c>
      <c r="E1906" s="2" t="s">
        <v>13</v>
      </c>
      <c r="F1906" s="2" t="s">
        <v>18</v>
      </c>
      <c r="G1906" s="2"/>
      <c r="H1906" s="2">
        <v>2017</v>
      </c>
      <c r="I1906" s="10">
        <v>441316</v>
      </c>
      <c r="J1906" s="10">
        <f>Raw_Data!$I1906/Raw_Data!$H1906</f>
        <v>218.79821517104611</v>
      </c>
    </row>
    <row r="1907" spans="1:10" x14ac:dyDescent="0.3">
      <c r="A1907" s="8">
        <v>39276</v>
      </c>
      <c r="B1907" t="str">
        <f>TEXT(Raw_Data!$A1907, "MMM")</f>
        <v>Jul</v>
      </c>
      <c r="C1907">
        <f>YEAR(Raw_Data!$A1907)</f>
        <v>2007</v>
      </c>
      <c r="D1907" t="s">
        <v>1576</v>
      </c>
      <c r="E1907" t="s">
        <v>13</v>
      </c>
      <c r="F1907" t="s">
        <v>11</v>
      </c>
      <c r="G1907">
        <v>4</v>
      </c>
      <c r="H1907">
        <v>2547</v>
      </c>
      <c r="I1907" s="1">
        <v>868891</v>
      </c>
      <c r="J1907" s="1">
        <f>Raw_Data!$I1907/Raw_Data!$H1907</f>
        <v>341.14291323125246</v>
      </c>
    </row>
    <row r="1908" spans="1:10" x14ac:dyDescent="0.3">
      <c r="A1908" s="9">
        <v>40740</v>
      </c>
      <c r="B1908" s="2" t="str">
        <f>TEXT(Raw_Data!$A1908, "MMM")</f>
        <v>Jul</v>
      </c>
      <c r="C1908" s="2">
        <f>YEAR(Raw_Data!$A1908)</f>
        <v>2011</v>
      </c>
      <c r="D1908" s="2" t="s">
        <v>882</v>
      </c>
      <c r="E1908" s="2" t="s">
        <v>13</v>
      </c>
      <c r="F1908" s="2" t="s">
        <v>16</v>
      </c>
      <c r="G1908" s="2"/>
      <c r="H1908" s="2">
        <v>1035</v>
      </c>
      <c r="I1908" s="10">
        <v>807423</v>
      </c>
      <c r="J1908" s="10">
        <f>Raw_Data!$I1908/Raw_Data!$H1908</f>
        <v>780.1188405797102</v>
      </c>
    </row>
    <row r="1909" spans="1:10" x14ac:dyDescent="0.3">
      <c r="A1909" s="8">
        <v>39379</v>
      </c>
      <c r="B1909" t="str">
        <f>TEXT(Raw_Data!$A1909, "MMM")</f>
        <v>Oct</v>
      </c>
      <c r="C1909">
        <f>YEAR(Raw_Data!$A1909)</f>
        <v>2007</v>
      </c>
      <c r="D1909" t="s">
        <v>1577</v>
      </c>
      <c r="E1909" t="s">
        <v>29</v>
      </c>
      <c r="F1909" t="s">
        <v>11</v>
      </c>
      <c r="H1909">
        <v>2124</v>
      </c>
      <c r="I1909" s="1">
        <v>401520</v>
      </c>
      <c r="J1909" s="1">
        <f>Raw_Data!$I1909/Raw_Data!$H1909</f>
        <v>189.03954802259886</v>
      </c>
    </row>
    <row r="1910" spans="1:10" x14ac:dyDescent="0.3">
      <c r="A1910" s="9">
        <v>39356</v>
      </c>
      <c r="B1910" s="2" t="str">
        <f>TEXT(Raw_Data!$A1910, "MMM")</f>
        <v>Oct</v>
      </c>
      <c r="C1910" s="2">
        <f>YEAR(Raw_Data!$A1910)</f>
        <v>2007</v>
      </c>
      <c r="D1910" s="2" t="s">
        <v>1578</v>
      </c>
      <c r="E1910" s="2" t="s">
        <v>21</v>
      </c>
      <c r="F1910" s="2" t="s">
        <v>18</v>
      </c>
      <c r="G1910" s="2">
        <v>2</v>
      </c>
      <c r="H1910" s="2">
        <v>2251</v>
      </c>
      <c r="I1910" s="10">
        <v>857315</v>
      </c>
      <c r="J1910" s="10">
        <f>Raw_Data!$I1910/Raw_Data!$H1910</f>
        <v>380.85961794757884</v>
      </c>
    </row>
    <row r="1911" spans="1:10" x14ac:dyDescent="0.3">
      <c r="A1911" s="8">
        <v>43081</v>
      </c>
      <c r="B1911" t="str">
        <f>TEXT(Raw_Data!$A1911, "MMM")</f>
        <v>Dec</v>
      </c>
      <c r="C1911">
        <f>YEAR(Raw_Data!$A1911)</f>
        <v>2017</v>
      </c>
      <c r="D1911" t="s">
        <v>1579</v>
      </c>
      <c r="E1911" t="s">
        <v>13</v>
      </c>
      <c r="F1911" t="s">
        <v>27</v>
      </c>
      <c r="H1911">
        <v>2991</v>
      </c>
      <c r="I1911" s="1">
        <v>256196</v>
      </c>
      <c r="J1911" s="1">
        <f>Raw_Data!$I1911/Raw_Data!$H1911</f>
        <v>85.655633567368767</v>
      </c>
    </row>
    <row r="1912" spans="1:10" x14ac:dyDescent="0.3">
      <c r="A1912" s="9">
        <v>38179</v>
      </c>
      <c r="B1912" s="2" t="str">
        <f>TEXT(Raw_Data!$A1912, "MMM")</f>
        <v>Jul</v>
      </c>
      <c r="C1912" s="2">
        <f>YEAR(Raw_Data!$A1912)</f>
        <v>2004</v>
      </c>
      <c r="D1912" s="2" t="s">
        <v>1580</v>
      </c>
      <c r="E1912" s="2" t="s">
        <v>13</v>
      </c>
      <c r="F1912" s="2" t="s">
        <v>16</v>
      </c>
      <c r="G1912" s="2">
        <v>2</v>
      </c>
      <c r="H1912" s="2">
        <v>2108</v>
      </c>
      <c r="I1912" s="10">
        <v>666859</v>
      </c>
      <c r="J1912" s="10">
        <f>Raw_Data!$I1912/Raw_Data!$H1912</f>
        <v>316.34677419354841</v>
      </c>
    </row>
    <row r="1913" spans="1:10" x14ac:dyDescent="0.3">
      <c r="A1913" s="8">
        <v>39733</v>
      </c>
      <c r="B1913" t="str">
        <f>TEXT(Raw_Data!$A1913, "MMM")</f>
        <v>Oct</v>
      </c>
      <c r="C1913">
        <f>YEAR(Raw_Data!$A1913)</f>
        <v>2008</v>
      </c>
      <c r="D1913" t="s">
        <v>1581</v>
      </c>
      <c r="E1913" t="s">
        <v>32</v>
      </c>
      <c r="F1913" t="s">
        <v>11</v>
      </c>
      <c r="G1913">
        <v>2</v>
      </c>
      <c r="H1913">
        <v>2286</v>
      </c>
      <c r="I1913" s="1">
        <v>571093</v>
      </c>
      <c r="J1913" s="1">
        <f>Raw_Data!$I1913/Raw_Data!$H1913</f>
        <v>249.82195975503063</v>
      </c>
    </row>
    <row r="1914" spans="1:10" x14ac:dyDescent="0.3">
      <c r="A1914" s="9">
        <v>43347</v>
      </c>
      <c r="B1914" s="2" t="str">
        <f>TEXT(Raw_Data!$A1914, "MMM")</f>
        <v>Sep</v>
      </c>
      <c r="C1914" s="2">
        <f>YEAR(Raw_Data!$A1914)</f>
        <v>2018</v>
      </c>
      <c r="D1914" s="2" t="s">
        <v>1582</v>
      </c>
      <c r="E1914" s="2" t="s">
        <v>29</v>
      </c>
      <c r="F1914" s="2" t="s">
        <v>16</v>
      </c>
      <c r="G1914" s="2">
        <v>2</v>
      </c>
      <c r="H1914" s="2">
        <v>2057</v>
      </c>
      <c r="I1914" s="10">
        <v>539924</v>
      </c>
      <c r="J1914" s="10">
        <f>Raw_Data!$I1914/Raw_Data!$H1914</f>
        <v>262.48128342245991</v>
      </c>
    </row>
    <row r="1915" spans="1:10" x14ac:dyDescent="0.3">
      <c r="A1915" s="8">
        <v>39465</v>
      </c>
      <c r="B1915" t="str">
        <f>TEXT(Raw_Data!$A1915, "MMM")</f>
        <v>Jan</v>
      </c>
      <c r="C1915">
        <f>YEAR(Raw_Data!$A1915)</f>
        <v>2008</v>
      </c>
      <c r="D1915" t="s">
        <v>860</v>
      </c>
      <c r="E1915" t="s">
        <v>15</v>
      </c>
      <c r="F1915" t="s">
        <v>27</v>
      </c>
      <c r="G1915">
        <v>2</v>
      </c>
      <c r="H1915">
        <v>1965</v>
      </c>
      <c r="I1915" s="1">
        <v>775605</v>
      </c>
      <c r="J1915" s="1">
        <f>Raw_Data!$I1915/Raw_Data!$H1915</f>
        <v>394.70992366412213</v>
      </c>
    </row>
    <row r="1916" spans="1:10" x14ac:dyDescent="0.3">
      <c r="A1916" s="9">
        <v>37517</v>
      </c>
      <c r="B1916" s="2" t="str">
        <f>TEXT(Raw_Data!$A1916, "MMM")</f>
        <v>Sep</v>
      </c>
      <c r="C1916" s="2">
        <f>YEAR(Raw_Data!$A1916)</f>
        <v>2002</v>
      </c>
      <c r="D1916" s="2" t="s">
        <v>1583</v>
      </c>
      <c r="E1916" s="2" t="s">
        <v>15</v>
      </c>
      <c r="F1916" s="2" t="s">
        <v>27</v>
      </c>
      <c r="G1916" s="2"/>
      <c r="H1916" s="2">
        <v>935</v>
      </c>
      <c r="I1916" s="10">
        <v>471550</v>
      </c>
      <c r="J1916" s="10">
        <f>Raw_Data!$I1916/Raw_Data!$H1916</f>
        <v>504.33155080213902</v>
      </c>
    </row>
    <row r="1917" spans="1:10" x14ac:dyDescent="0.3">
      <c r="A1917" s="8">
        <v>42723</v>
      </c>
      <c r="B1917" t="str">
        <f>TEXT(Raw_Data!$A1917, "MMM")</f>
        <v>Dec</v>
      </c>
      <c r="C1917">
        <f>YEAR(Raw_Data!$A1917)</f>
        <v>2016</v>
      </c>
      <c r="D1917" t="s">
        <v>1584</v>
      </c>
      <c r="E1917" t="s">
        <v>15</v>
      </c>
      <c r="F1917" t="s">
        <v>18</v>
      </c>
      <c r="H1917">
        <v>3038</v>
      </c>
      <c r="I1917" s="1">
        <v>306664</v>
      </c>
      <c r="J1917" s="1">
        <f>Raw_Data!$I1917/Raw_Data!$H1917</f>
        <v>100.94272547728769</v>
      </c>
    </row>
    <row r="1918" spans="1:10" x14ac:dyDescent="0.3">
      <c r="A1918" s="9">
        <v>39858</v>
      </c>
      <c r="B1918" s="2" t="str">
        <f>TEXT(Raw_Data!$A1918, "MMM")</f>
        <v>Feb</v>
      </c>
      <c r="C1918" s="2">
        <f>YEAR(Raw_Data!$A1918)</f>
        <v>2009</v>
      </c>
      <c r="D1918" s="2" t="s">
        <v>1585</v>
      </c>
      <c r="E1918" s="2" t="s">
        <v>32</v>
      </c>
      <c r="F1918" s="2" t="s">
        <v>27</v>
      </c>
      <c r="G1918" s="2">
        <v>5</v>
      </c>
      <c r="H1918" s="2">
        <v>3061</v>
      </c>
      <c r="I1918" s="10">
        <v>445258</v>
      </c>
      <c r="J1918" s="10">
        <f>Raw_Data!$I1918/Raw_Data!$H1918</f>
        <v>145.46161385168244</v>
      </c>
    </row>
    <row r="1919" spans="1:10" x14ac:dyDescent="0.3">
      <c r="A1919" s="8">
        <v>38918</v>
      </c>
      <c r="B1919" t="str">
        <f>TEXT(Raw_Data!$A1919, "MMM")</f>
        <v>Jul</v>
      </c>
      <c r="C1919">
        <f>YEAR(Raw_Data!$A1919)</f>
        <v>2006</v>
      </c>
      <c r="D1919" t="s">
        <v>1586</v>
      </c>
      <c r="E1919" t="s">
        <v>15</v>
      </c>
      <c r="F1919" t="s">
        <v>16</v>
      </c>
      <c r="G1919">
        <v>2</v>
      </c>
      <c r="H1919">
        <v>1919</v>
      </c>
      <c r="I1919" s="1">
        <v>496945</v>
      </c>
      <c r="J1919" s="1">
        <f>Raw_Data!$I1919/Raw_Data!$H1919</f>
        <v>258.96039603960395</v>
      </c>
    </row>
    <row r="1920" spans="1:10" x14ac:dyDescent="0.3">
      <c r="A1920" s="9">
        <v>41305</v>
      </c>
      <c r="B1920" s="2" t="str">
        <f>TEXT(Raw_Data!$A1920, "MMM")</f>
        <v>Jan</v>
      </c>
      <c r="C1920" s="2">
        <f>YEAR(Raw_Data!$A1920)</f>
        <v>2013</v>
      </c>
      <c r="D1920" s="2" t="s">
        <v>476</v>
      </c>
      <c r="E1920" s="2" t="s">
        <v>15</v>
      </c>
      <c r="F1920" s="2" t="s">
        <v>18</v>
      </c>
      <c r="G1920" s="2"/>
      <c r="H1920" s="2">
        <v>3069</v>
      </c>
      <c r="I1920" s="10">
        <v>435860</v>
      </c>
      <c r="J1920" s="10">
        <f>Raw_Data!$I1920/Raw_Data!$H1920</f>
        <v>142.02020202020202</v>
      </c>
    </row>
    <row r="1921" spans="1:10" x14ac:dyDescent="0.3">
      <c r="A1921" s="8">
        <v>38482</v>
      </c>
      <c r="B1921" t="str">
        <f>TEXT(Raw_Data!$A1921, "MMM")</f>
        <v>May</v>
      </c>
      <c r="C1921">
        <f>YEAR(Raw_Data!$A1921)</f>
        <v>2005</v>
      </c>
      <c r="D1921" t="s">
        <v>1587</v>
      </c>
      <c r="E1921" t="s">
        <v>21</v>
      </c>
      <c r="F1921" t="s">
        <v>27</v>
      </c>
      <c r="G1921">
        <v>3</v>
      </c>
      <c r="H1921">
        <v>1749</v>
      </c>
      <c r="I1921" s="1">
        <v>628486</v>
      </c>
      <c r="J1921" s="1">
        <f>Raw_Data!$I1921/Raw_Data!$H1921</f>
        <v>359.34019439679815</v>
      </c>
    </row>
    <row r="1922" spans="1:10" x14ac:dyDescent="0.3">
      <c r="A1922" s="9">
        <v>37707</v>
      </c>
      <c r="B1922" s="2" t="str">
        <f>TEXT(Raw_Data!$A1922, "MMM")</f>
        <v>Mar</v>
      </c>
      <c r="C1922" s="2">
        <f>YEAR(Raw_Data!$A1922)</f>
        <v>2003</v>
      </c>
      <c r="D1922" s="2" t="s">
        <v>580</v>
      </c>
      <c r="E1922" s="2" t="s">
        <v>15</v>
      </c>
      <c r="F1922" s="2" t="s">
        <v>18</v>
      </c>
      <c r="G1922" s="2">
        <v>4</v>
      </c>
      <c r="H1922" s="2">
        <v>3286</v>
      </c>
      <c r="I1922" s="10">
        <v>150091</v>
      </c>
      <c r="J1922" s="10">
        <f>Raw_Data!$I1922/Raw_Data!$H1922</f>
        <v>45.67589774802191</v>
      </c>
    </row>
    <row r="1923" spans="1:10" x14ac:dyDescent="0.3">
      <c r="A1923" s="8">
        <v>41301</v>
      </c>
      <c r="B1923" t="str">
        <f>TEXT(Raw_Data!$A1923, "MMM")</f>
        <v>Jan</v>
      </c>
      <c r="C1923">
        <f>YEAR(Raw_Data!$A1923)</f>
        <v>2013</v>
      </c>
      <c r="D1923" t="s">
        <v>175</v>
      </c>
      <c r="E1923" t="s">
        <v>32</v>
      </c>
      <c r="F1923" t="s">
        <v>11</v>
      </c>
      <c r="G1923">
        <v>2</v>
      </c>
      <c r="H1923">
        <v>2441</v>
      </c>
      <c r="I1923" s="1">
        <v>290003</v>
      </c>
      <c r="J1923" s="1">
        <f>Raw_Data!$I1923/Raw_Data!$H1923</f>
        <v>118.80499795165916</v>
      </c>
    </row>
    <row r="1924" spans="1:10" x14ac:dyDescent="0.3">
      <c r="A1924" s="9">
        <v>39676</v>
      </c>
      <c r="B1924" s="2" t="str">
        <f>TEXT(Raw_Data!$A1924, "MMM")</f>
        <v>Aug</v>
      </c>
      <c r="C1924" s="2">
        <f>YEAR(Raw_Data!$A1924)</f>
        <v>2008</v>
      </c>
      <c r="D1924" s="2" t="s">
        <v>1588</v>
      </c>
      <c r="E1924" s="2" t="s">
        <v>15</v>
      </c>
      <c r="F1924" s="2" t="s">
        <v>27</v>
      </c>
      <c r="G1924" s="2"/>
      <c r="H1924" s="2">
        <v>1652</v>
      </c>
      <c r="I1924" s="10">
        <v>444295</v>
      </c>
      <c r="J1924" s="10">
        <f>Raw_Data!$I1924/Raw_Data!$H1924</f>
        <v>268.94370460048424</v>
      </c>
    </row>
    <row r="1925" spans="1:10" x14ac:dyDescent="0.3">
      <c r="A1925" s="8">
        <v>42853</v>
      </c>
      <c r="B1925" t="str">
        <f>TEXT(Raw_Data!$A1925, "MMM")</f>
        <v>Apr</v>
      </c>
      <c r="C1925">
        <f>YEAR(Raw_Data!$A1925)</f>
        <v>2017</v>
      </c>
      <c r="D1925" t="s">
        <v>1057</v>
      </c>
      <c r="E1925" t="s">
        <v>15</v>
      </c>
      <c r="F1925" t="s">
        <v>18</v>
      </c>
      <c r="H1925">
        <v>3185</v>
      </c>
      <c r="I1925" s="1">
        <v>399735</v>
      </c>
      <c r="J1925" s="1">
        <f>Raw_Data!$I1925/Raw_Data!$H1925</f>
        <v>125.50549450549451</v>
      </c>
    </row>
    <row r="1926" spans="1:10" x14ac:dyDescent="0.3">
      <c r="A1926" s="9">
        <v>37343</v>
      </c>
      <c r="B1926" s="2" t="str">
        <f>TEXT(Raw_Data!$A1926, "MMM")</f>
        <v>Mar</v>
      </c>
      <c r="C1926" s="2">
        <f>YEAR(Raw_Data!$A1926)</f>
        <v>2002</v>
      </c>
      <c r="D1926" s="2" t="s">
        <v>1589</v>
      </c>
      <c r="E1926" s="2" t="s">
        <v>29</v>
      </c>
      <c r="F1926" s="2" t="s">
        <v>16</v>
      </c>
      <c r="G1926" s="2">
        <v>4</v>
      </c>
      <c r="H1926" s="2">
        <v>2677</v>
      </c>
      <c r="I1926" s="10">
        <v>614309</v>
      </c>
      <c r="J1926" s="10">
        <f>Raw_Data!$I1926/Raw_Data!$H1926</f>
        <v>229.47665296974225</v>
      </c>
    </row>
    <row r="1927" spans="1:10" x14ac:dyDescent="0.3">
      <c r="A1927" s="8">
        <v>38738</v>
      </c>
      <c r="B1927" t="str">
        <f>TEXT(Raw_Data!$A1927, "MMM")</f>
        <v>Jan</v>
      </c>
      <c r="C1927">
        <f>YEAR(Raw_Data!$A1927)</f>
        <v>2006</v>
      </c>
      <c r="D1927" t="s">
        <v>1590</v>
      </c>
      <c r="E1927" t="s">
        <v>25</v>
      </c>
      <c r="F1927" t="s">
        <v>18</v>
      </c>
      <c r="G1927">
        <v>3</v>
      </c>
      <c r="H1927">
        <v>3419</v>
      </c>
      <c r="I1927" s="1">
        <v>817069</v>
      </c>
      <c r="J1927" s="1">
        <f>Raw_Data!$I1927/Raw_Data!$H1927</f>
        <v>238.97894121088038</v>
      </c>
    </row>
    <row r="1928" spans="1:10" x14ac:dyDescent="0.3">
      <c r="A1928" s="9">
        <v>37666</v>
      </c>
      <c r="B1928" s="2" t="str">
        <f>TEXT(Raw_Data!$A1928, "MMM")</f>
        <v>Feb</v>
      </c>
      <c r="C1928" s="2">
        <f>YEAR(Raw_Data!$A1928)</f>
        <v>2003</v>
      </c>
      <c r="D1928" s="2" t="s">
        <v>1591</v>
      </c>
      <c r="E1928" s="2" t="s">
        <v>32</v>
      </c>
      <c r="F1928" s="2" t="s">
        <v>18</v>
      </c>
      <c r="G1928" s="2">
        <v>2</v>
      </c>
      <c r="H1928" s="2">
        <v>1234</v>
      </c>
      <c r="I1928" s="10">
        <v>722256</v>
      </c>
      <c r="J1928" s="10">
        <f>Raw_Data!$I1928/Raw_Data!$H1928</f>
        <v>585.2965964343598</v>
      </c>
    </row>
    <row r="1929" spans="1:10" x14ac:dyDescent="0.3">
      <c r="A1929" s="8">
        <v>42132</v>
      </c>
      <c r="B1929" t="str">
        <f>TEXT(Raw_Data!$A1929, "MMM")</f>
        <v>May</v>
      </c>
      <c r="C1929">
        <f>YEAR(Raw_Data!$A1929)</f>
        <v>2015</v>
      </c>
      <c r="D1929" t="s">
        <v>1592</v>
      </c>
      <c r="E1929" t="s">
        <v>15</v>
      </c>
      <c r="F1929" t="s">
        <v>11</v>
      </c>
      <c r="G1929">
        <v>5</v>
      </c>
      <c r="H1929">
        <v>1609</v>
      </c>
      <c r="I1929" s="1">
        <v>777249</v>
      </c>
      <c r="J1929" s="1">
        <f>Raw_Data!$I1929/Raw_Data!$H1929</f>
        <v>483.06339341205717</v>
      </c>
    </row>
    <row r="1930" spans="1:10" x14ac:dyDescent="0.3">
      <c r="A1930" s="9">
        <v>42230</v>
      </c>
      <c r="B1930" s="2" t="str">
        <f>TEXT(Raw_Data!$A1930, "MMM")</f>
        <v>Aug</v>
      </c>
      <c r="C1930" s="2">
        <f>YEAR(Raw_Data!$A1930)</f>
        <v>2015</v>
      </c>
      <c r="D1930" s="2" t="s">
        <v>1593</v>
      </c>
      <c r="E1930" s="2" t="s">
        <v>21</v>
      </c>
      <c r="F1930" s="2" t="s">
        <v>11</v>
      </c>
      <c r="G1930" s="2"/>
      <c r="H1930" s="2">
        <v>2670</v>
      </c>
      <c r="I1930" s="10">
        <v>492453</v>
      </c>
      <c r="J1930" s="10">
        <f>Raw_Data!$I1930/Raw_Data!$H1930</f>
        <v>184.43932584269663</v>
      </c>
    </row>
    <row r="1931" spans="1:10" x14ac:dyDescent="0.3">
      <c r="A1931" s="8">
        <v>39495</v>
      </c>
      <c r="B1931" t="str">
        <f>TEXT(Raw_Data!$A1931, "MMM")</f>
        <v>Feb</v>
      </c>
      <c r="C1931">
        <f>YEAR(Raw_Data!$A1931)</f>
        <v>2008</v>
      </c>
      <c r="D1931" t="s">
        <v>1594</v>
      </c>
      <c r="E1931" t="s">
        <v>25</v>
      </c>
      <c r="F1931" t="s">
        <v>27</v>
      </c>
      <c r="G1931">
        <v>2</v>
      </c>
      <c r="H1931">
        <v>948</v>
      </c>
      <c r="I1931" s="1">
        <v>717791</v>
      </c>
      <c r="J1931" s="1">
        <f>Raw_Data!$I1931/Raw_Data!$H1931</f>
        <v>757.16350210970461</v>
      </c>
    </row>
    <row r="1932" spans="1:10" x14ac:dyDescent="0.3">
      <c r="A1932" s="9">
        <v>41631</v>
      </c>
      <c r="B1932" s="2" t="str">
        <f>TEXT(Raw_Data!$A1932, "MMM")</f>
        <v>Dec</v>
      </c>
      <c r="C1932" s="2">
        <f>YEAR(Raw_Data!$A1932)</f>
        <v>2013</v>
      </c>
      <c r="D1932" s="2" t="s">
        <v>449</v>
      </c>
      <c r="E1932" s="2" t="s">
        <v>32</v>
      </c>
      <c r="F1932" s="2" t="s">
        <v>18</v>
      </c>
      <c r="G1932" s="2"/>
      <c r="H1932" s="2">
        <v>2758</v>
      </c>
      <c r="I1932" s="10">
        <v>225193</v>
      </c>
      <c r="J1932" s="10">
        <f>Raw_Data!$I1932/Raw_Data!$H1932</f>
        <v>81.650833937635966</v>
      </c>
    </row>
    <row r="1933" spans="1:10" x14ac:dyDescent="0.3">
      <c r="A1933" s="8">
        <v>44017</v>
      </c>
      <c r="B1933" t="str">
        <f>TEXT(Raw_Data!$A1933, "MMM")</f>
        <v>Jul</v>
      </c>
      <c r="C1933">
        <f>YEAR(Raw_Data!$A1933)</f>
        <v>2020</v>
      </c>
      <c r="D1933" t="s">
        <v>1588</v>
      </c>
      <c r="E1933" t="s">
        <v>25</v>
      </c>
      <c r="F1933" t="s">
        <v>16</v>
      </c>
      <c r="G1933">
        <v>5</v>
      </c>
      <c r="H1933">
        <v>1909</v>
      </c>
      <c r="I1933" s="1">
        <v>746374</v>
      </c>
      <c r="J1933" s="1">
        <f>Raw_Data!$I1933/Raw_Data!$H1933</f>
        <v>390.97642744892613</v>
      </c>
    </row>
    <row r="1934" spans="1:10" x14ac:dyDescent="0.3">
      <c r="A1934" s="9">
        <v>39253</v>
      </c>
      <c r="B1934" s="2" t="str">
        <f>TEXT(Raw_Data!$A1934, "MMM")</f>
        <v>Jun</v>
      </c>
      <c r="C1934" s="2">
        <f>YEAR(Raw_Data!$A1934)</f>
        <v>2007</v>
      </c>
      <c r="D1934" s="2" t="s">
        <v>1595</v>
      </c>
      <c r="E1934" s="2" t="s">
        <v>15</v>
      </c>
      <c r="F1934" s="2" t="s">
        <v>16</v>
      </c>
      <c r="G1934" s="2">
        <v>2</v>
      </c>
      <c r="H1934" s="2">
        <v>3307</v>
      </c>
      <c r="I1934" s="10">
        <v>375734</v>
      </c>
      <c r="J1934" s="10">
        <f>Raw_Data!$I1934/Raw_Data!$H1934</f>
        <v>113.61778046567886</v>
      </c>
    </row>
    <row r="1935" spans="1:10" x14ac:dyDescent="0.3">
      <c r="A1935" s="8">
        <v>40743</v>
      </c>
      <c r="B1935" t="str">
        <f>TEXT(Raw_Data!$A1935, "MMM")</f>
        <v>Jul</v>
      </c>
      <c r="C1935">
        <f>YEAR(Raw_Data!$A1935)</f>
        <v>2011</v>
      </c>
      <c r="D1935" t="s">
        <v>1596</v>
      </c>
      <c r="E1935" t="s">
        <v>15</v>
      </c>
      <c r="F1935" t="s">
        <v>18</v>
      </c>
      <c r="G1935">
        <v>3</v>
      </c>
      <c r="H1935">
        <v>1059</v>
      </c>
      <c r="I1935" s="1">
        <v>606095</v>
      </c>
      <c r="J1935" s="1">
        <f>Raw_Data!$I1935/Raw_Data!$H1935</f>
        <v>572.32766761095377</v>
      </c>
    </row>
    <row r="1936" spans="1:10" x14ac:dyDescent="0.3">
      <c r="A1936" s="9">
        <v>39642</v>
      </c>
      <c r="B1936" s="2" t="str">
        <f>TEXT(Raw_Data!$A1936, "MMM")</f>
        <v>Jul</v>
      </c>
      <c r="C1936" s="2">
        <f>YEAR(Raw_Data!$A1936)</f>
        <v>2008</v>
      </c>
      <c r="D1936" s="2" t="s">
        <v>1597</v>
      </c>
      <c r="E1936" s="2" t="s">
        <v>21</v>
      </c>
      <c r="F1936" s="2" t="s">
        <v>27</v>
      </c>
      <c r="G1936" s="2"/>
      <c r="H1936" s="2">
        <v>2892</v>
      </c>
      <c r="I1936" s="10">
        <v>660804</v>
      </c>
      <c r="J1936" s="10">
        <f>Raw_Data!$I1936/Raw_Data!$H1936</f>
        <v>228.49377593360995</v>
      </c>
    </row>
    <row r="1937" spans="1:10" x14ac:dyDescent="0.3">
      <c r="A1937" s="8">
        <v>38672</v>
      </c>
      <c r="B1937" t="str">
        <f>TEXT(Raw_Data!$A1937, "MMM")</f>
        <v>Nov</v>
      </c>
      <c r="C1937">
        <f>YEAR(Raw_Data!$A1937)</f>
        <v>2005</v>
      </c>
      <c r="D1937" t="s">
        <v>59</v>
      </c>
      <c r="E1937" t="s">
        <v>21</v>
      </c>
      <c r="F1937" t="s">
        <v>16</v>
      </c>
      <c r="G1937">
        <v>4</v>
      </c>
      <c r="H1937">
        <v>1652</v>
      </c>
      <c r="I1937" s="1">
        <v>377046</v>
      </c>
      <c r="J1937" s="1">
        <f>Raw_Data!$I1937/Raw_Data!$H1937</f>
        <v>228.2360774818402</v>
      </c>
    </row>
    <row r="1938" spans="1:10" x14ac:dyDescent="0.3">
      <c r="A1938" s="9">
        <v>39185</v>
      </c>
      <c r="B1938" s="2" t="str">
        <f>TEXT(Raw_Data!$A1938, "MMM")</f>
        <v>Apr</v>
      </c>
      <c r="C1938" s="2">
        <f>YEAR(Raw_Data!$A1938)</f>
        <v>2007</v>
      </c>
      <c r="D1938" s="2" t="s">
        <v>1598</v>
      </c>
      <c r="E1938" s="2" t="s">
        <v>21</v>
      </c>
      <c r="F1938" s="2" t="s">
        <v>18</v>
      </c>
      <c r="G1938" s="2">
        <v>2</v>
      </c>
      <c r="H1938" s="2">
        <v>840</v>
      </c>
      <c r="I1938" s="10">
        <v>590835</v>
      </c>
      <c r="J1938" s="10">
        <f>Raw_Data!$I1938/Raw_Data!$H1938</f>
        <v>703.375</v>
      </c>
    </row>
    <row r="1939" spans="1:10" x14ac:dyDescent="0.3">
      <c r="A1939" s="8">
        <v>42434</v>
      </c>
      <c r="B1939" t="str">
        <f>TEXT(Raw_Data!$A1939, "MMM")</f>
        <v>Mar</v>
      </c>
      <c r="C1939">
        <f>YEAR(Raw_Data!$A1939)</f>
        <v>2016</v>
      </c>
      <c r="D1939" t="s">
        <v>1599</v>
      </c>
      <c r="E1939" t="s">
        <v>25</v>
      </c>
      <c r="F1939" t="s">
        <v>18</v>
      </c>
      <c r="G1939">
        <v>4</v>
      </c>
      <c r="H1939">
        <v>811</v>
      </c>
      <c r="I1939" s="1">
        <v>824293</v>
      </c>
      <c r="J1939" s="1">
        <f>Raw_Data!$I1939/Raw_Data!$H1939</f>
        <v>1016.3908754623922</v>
      </c>
    </row>
    <row r="1940" spans="1:10" x14ac:dyDescent="0.3">
      <c r="A1940" s="9">
        <v>44113</v>
      </c>
      <c r="B1940" s="2" t="str">
        <f>TEXT(Raw_Data!$A1940, "MMM")</f>
        <v>Oct</v>
      </c>
      <c r="C1940" s="2">
        <f>YEAR(Raw_Data!$A1940)</f>
        <v>2020</v>
      </c>
      <c r="D1940" s="2" t="s">
        <v>1600</v>
      </c>
      <c r="E1940" s="2" t="s">
        <v>25</v>
      </c>
      <c r="F1940" s="2" t="s">
        <v>16</v>
      </c>
      <c r="G1940" s="2">
        <v>2</v>
      </c>
      <c r="H1940" s="2">
        <v>2655</v>
      </c>
      <c r="I1940" s="10">
        <v>414364</v>
      </c>
      <c r="J1940" s="10">
        <f>Raw_Data!$I1940/Raw_Data!$H1940</f>
        <v>156.06930320150659</v>
      </c>
    </row>
    <row r="1941" spans="1:10" x14ac:dyDescent="0.3">
      <c r="A1941" s="8">
        <v>41234</v>
      </c>
      <c r="B1941" t="str">
        <f>TEXT(Raw_Data!$A1941, "MMM")</f>
        <v>Nov</v>
      </c>
      <c r="C1941">
        <f>YEAR(Raw_Data!$A1941)</f>
        <v>2012</v>
      </c>
      <c r="D1941" t="s">
        <v>1381</v>
      </c>
      <c r="E1941" t="s">
        <v>15</v>
      </c>
      <c r="F1941" t="s">
        <v>16</v>
      </c>
      <c r="H1941">
        <v>2466</v>
      </c>
      <c r="I1941" s="1">
        <v>533843</v>
      </c>
      <c r="J1941" s="1">
        <f>Raw_Data!$I1941/Raw_Data!$H1941</f>
        <v>216.48134630981346</v>
      </c>
    </row>
    <row r="1942" spans="1:10" x14ac:dyDescent="0.3">
      <c r="A1942" s="9">
        <v>43011</v>
      </c>
      <c r="B1942" s="2" t="str">
        <f>TEXT(Raw_Data!$A1942, "MMM")</f>
        <v>Oct</v>
      </c>
      <c r="C1942" s="2">
        <f>YEAR(Raw_Data!$A1942)</f>
        <v>2017</v>
      </c>
      <c r="D1942" s="2" t="s">
        <v>817</v>
      </c>
      <c r="E1942" s="2" t="s">
        <v>32</v>
      </c>
      <c r="F1942" s="2" t="s">
        <v>11</v>
      </c>
      <c r="G1942" s="2">
        <v>4</v>
      </c>
      <c r="H1942" s="2">
        <v>2267</v>
      </c>
      <c r="I1942" s="10">
        <v>829520</v>
      </c>
      <c r="J1942" s="10">
        <f>Raw_Data!$I1942/Raw_Data!$H1942</f>
        <v>365.91089545655052</v>
      </c>
    </row>
    <row r="1943" spans="1:10" x14ac:dyDescent="0.3">
      <c r="A1943" s="8">
        <v>42005</v>
      </c>
      <c r="B1943" t="str">
        <f>TEXT(Raw_Data!$A1943, "MMM")</f>
        <v>Jan</v>
      </c>
      <c r="C1943">
        <f>YEAR(Raw_Data!$A1943)</f>
        <v>2015</v>
      </c>
      <c r="D1943" t="s">
        <v>1601</v>
      </c>
      <c r="E1943" t="s">
        <v>23</v>
      </c>
      <c r="F1943" t="s">
        <v>11</v>
      </c>
      <c r="G1943">
        <v>3</v>
      </c>
      <c r="H1943">
        <v>1045</v>
      </c>
      <c r="I1943" s="1">
        <v>326139</v>
      </c>
      <c r="J1943" s="1">
        <f>Raw_Data!$I1943/Raw_Data!$H1943</f>
        <v>312.09473684210525</v>
      </c>
    </row>
    <row r="1944" spans="1:10" x14ac:dyDescent="0.3">
      <c r="A1944" s="9">
        <v>37964</v>
      </c>
      <c r="B1944" s="2" t="str">
        <f>TEXT(Raw_Data!$A1944, "MMM")</f>
        <v>Dec</v>
      </c>
      <c r="C1944" s="2">
        <f>YEAR(Raw_Data!$A1944)</f>
        <v>2003</v>
      </c>
      <c r="D1944" s="2" t="s">
        <v>1602</v>
      </c>
      <c r="E1944" s="2" t="s">
        <v>32</v>
      </c>
      <c r="F1944" s="2" t="s">
        <v>27</v>
      </c>
      <c r="G1944" s="2"/>
      <c r="H1944" s="2">
        <v>897</v>
      </c>
      <c r="I1944" s="10">
        <v>310809</v>
      </c>
      <c r="J1944" s="10">
        <f>Raw_Data!$I1944/Raw_Data!$H1944</f>
        <v>346.49832775919731</v>
      </c>
    </row>
    <row r="1945" spans="1:10" x14ac:dyDescent="0.3">
      <c r="A1945" s="8">
        <v>43094</v>
      </c>
      <c r="B1945" t="str">
        <f>TEXT(Raw_Data!$A1945, "MMM")</f>
        <v>Dec</v>
      </c>
      <c r="C1945">
        <f>YEAR(Raw_Data!$A1945)</f>
        <v>2017</v>
      </c>
      <c r="D1945" t="s">
        <v>1603</v>
      </c>
      <c r="E1945" t="s">
        <v>25</v>
      </c>
      <c r="F1945" t="s">
        <v>18</v>
      </c>
      <c r="G1945">
        <v>5</v>
      </c>
      <c r="H1945">
        <v>1645</v>
      </c>
      <c r="I1945" s="1">
        <v>193700</v>
      </c>
      <c r="J1945" s="1">
        <f>Raw_Data!$I1945/Raw_Data!$H1945</f>
        <v>117.75075987841946</v>
      </c>
    </row>
    <row r="1946" spans="1:10" x14ac:dyDescent="0.3">
      <c r="A1946" s="9">
        <v>42318</v>
      </c>
      <c r="B1946" s="2" t="str">
        <f>TEXT(Raw_Data!$A1946, "MMM")</f>
        <v>Nov</v>
      </c>
      <c r="C1946" s="2">
        <f>YEAR(Raw_Data!$A1946)</f>
        <v>2015</v>
      </c>
      <c r="D1946" s="2" t="s">
        <v>1604</v>
      </c>
      <c r="E1946" s="2" t="s">
        <v>21</v>
      </c>
      <c r="F1946" s="2" t="s">
        <v>27</v>
      </c>
      <c r="G1946" s="2">
        <v>4</v>
      </c>
      <c r="H1946" s="2">
        <v>2116</v>
      </c>
      <c r="I1946" s="10">
        <v>826545</v>
      </c>
      <c r="J1946" s="10">
        <f>Raw_Data!$I1946/Raw_Data!$H1946</f>
        <v>390.61672967863893</v>
      </c>
    </row>
    <row r="1947" spans="1:10" x14ac:dyDescent="0.3">
      <c r="A1947" s="8">
        <v>38575</v>
      </c>
      <c r="B1947" t="str">
        <f>TEXT(Raw_Data!$A1947, "MMM")</f>
        <v>Aug</v>
      </c>
      <c r="C1947">
        <f>YEAR(Raw_Data!$A1947)</f>
        <v>2005</v>
      </c>
      <c r="D1947" t="s">
        <v>1605</v>
      </c>
      <c r="E1947" t="s">
        <v>29</v>
      </c>
      <c r="F1947" t="s">
        <v>11</v>
      </c>
      <c r="G1947">
        <v>2</v>
      </c>
      <c r="H1947">
        <v>1462</v>
      </c>
      <c r="I1947" s="1">
        <v>879032</v>
      </c>
      <c r="J1947" s="1">
        <f>Raw_Data!$I1947/Raw_Data!$H1947</f>
        <v>601.25307797537619</v>
      </c>
    </row>
    <row r="1948" spans="1:10" x14ac:dyDescent="0.3">
      <c r="A1948" s="9">
        <v>41948</v>
      </c>
      <c r="B1948" s="2" t="str">
        <f>TEXT(Raw_Data!$A1948, "MMM")</f>
        <v>Nov</v>
      </c>
      <c r="C1948" s="2">
        <f>YEAR(Raw_Data!$A1948)</f>
        <v>2014</v>
      </c>
      <c r="D1948" s="2" t="s">
        <v>1606</v>
      </c>
      <c r="E1948" s="2" t="s">
        <v>23</v>
      </c>
      <c r="F1948" s="2" t="s">
        <v>18</v>
      </c>
      <c r="G1948" s="2"/>
      <c r="H1948" s="2">
        <v>3285</v>
      </c>
      <c r="I1948" s="10">
        <v>366265</v>
      </c>
      <c r="J1948" s="10">
        <f>Raw_Data!$I1948/Raw_Data!$H1948</f>
        <v>111.49619482496195</v>
      </c>
    </row>
    <row r="1949" spans="1:10" x14ac:dyDescent="0.3">
      <c r="A1949" s="8">
        <v>43581</v>
      </c>
      <c r="B1949" t="str">
        <f>TEXT(Raw_Data!$A1949, "MMM")</f>
        <v>Apr</v>
      </c>
      <c r="C1949">
        <f>YEAR(Raw_Data!$A1949)</f>
        <v>2019</v>
      </c>
      <c r="D1949" t="s">
        <v>1607</v>
      </c>
      <c r="E1949" t="s">
        <v>25</v>
      </c>
      <c r="F1949" t="s">
        <v>16</v>
      </c>
      <c r="G1949">
        <v>4</v>
      </c>
      <c r="H1949">
        <v>880</v>
      </c>
      <c r="I1949" s="1">
        <v>347695</v>
      </c>
      <c r="J1949" s="1">
        <f>Raw_Data!$I1949/Raw_Data!$H1949</f>
        <v>395.10795454545456</v>
      </c>
    </row>
    <row r="1950" spans="1:10" x14ac:dyDescent="0.3">
      <c r="A1950" s="9">
        <v>42594</v>
      </c>
      <c r="B1950" s="2" t="str">
        <f>TEXT(Raw_Data!$A1950, "MMM")</f>
        <v>Aug</v>
      </c>
      <c r="C1950" s="2">
        <f>YEAR(Raw_Data!$A1950)</f>
        <v>2016</v>
      </c>
      <c r="D1950" s="2" t="s">
        <v>1608</v>
      </c>
      <c r="E1950" s="2" t="s">
        <v>15</v>
      </c>
      <c r="F1950" s="2" t="s">
        <v>18</v>
      </c>
      <c r="G1950" s="2">
        <v>3</v>
      </c>
      <c r="H1950" s="2">
        <v>2903</v>
      </c>
      <c r="I1950" s="10">
        <v>316062</v>
      </c>
      <c r="J1950" s="10">
        <f>Raw_Data!$I1950/Raw_Data!$H1950</f>
        <v>108.87426799862212</v>
      </c>
    </row>
    <row r="1951" spans="1:10" x14ac:dyDescent="0.3">
      <c r="A1951" s="8">
        <v>42164</v>
      </c>
      <c r="B1951" t="str">
        <f>TEXT(Raw_Data!$A1951, "MMM")</f>
        <v>Jun</v>
      </c>
      <c r="C1951">
        <f>YEAR(Raw_Data!$A1951)</f>
        <v>2015</v>
      </c>
      <c r="D1951" t="s">
        <v>1609</v>
      </c>
      <c r="E1951" t="s">
        <v>32</v>
      </c>
      <c r="F1951" t="s">
        <v>18</v>
      </c>
      <c r="G1951">
        <v>4</v>
      </c>
      <c r="H1951">
        <v>3430</v>
      </c>
      <c r="I1951" s="1">
        <v>843001</v>
      </c>
      <c r="J1951" s="1">
        <f>Raw_Data!$I1951/Raw_Data!$H1951</f>
        <v>245.77288629737609</v>
      </c>
    </row>
    <row r="1952" spans="1:10" x14ac:dyDescent="0.3">
      <c r="A1952" s="9">
        <v>43478</v>
      </c>
      <c r="B1952" s="2" t="str">
        <f>TEXT(Raw_Data!$A1952, "MMM")</f>
        <v>Jan</v>
      </c>
      <c r="C1952" s="2">
        <f>YEAR(Raw_Data!$A1952)</f>
        <v>2019</v>
      </c>
      <c r="D1952" s="2" t="s">
        <v>469</v>
      </c>
      <c r="E1952" s="2" t="s">
        <v>15</v>
      </c>
      <c r="F1952" s="2" t="s">
        <v>16</v>
      </c>
      <c r="G1952" s="2">
        <v>5</v>
      </c>
      <c r="H1952" s="2">
        <v>3230</v>
      </c>
      <c r="I1952" s="10">
        <v>216004</v>
      </c>
      <c r="J1952" s="10">
        <f>Raw_Data!$I1952/Raw_Data!$H1952</f>
        <v>66.874303405572761</v>
      </c>
    </row>
    <row r="1953" spans="1:10" x14ac:dyDescent="0.3">
      <c r="A1953" s="8">
        <v>43546</v>
      </c>
      <c r="B1953" t="str">
        <f>TEXT(Raw_Data!$A1953, "MMM")</f>
        <v>Mar</v>
      </c>
      <c r="C1953">
        <f>YEAR(Raw_Data!$A1953)</f>
        <v>2019</v>
      </c>
      <c r="D1953" t="s">
        <v>20</v>
      </c>
      <c r="E1953" t="s">
        <v>32</v>
      </c>
      <c r="F1953" t="s">
        <v>11</v>
      </c>
      <c r="G1953">
        <v>5</v>
      </c>
      <c r="H1953">
        <v>3265</v>
      </c>
      <c r="I1953" s="1">
        <v>165874</v>
      </c>
      <c r="J1953" s="1">
        <f>Raw_Data!$I1953/Raw_Data!$H1953</f>
        <v>50.803675344563551</v>
      </c>
    </row>
    <row r="1954" spans="1:10" x14ac:dyDescent="0.3">
      <c r="A1954" s="9">
        <v>39240</v>
      </c>
      <c r="B1954" s="2" t="str">
        <f>TEXT(Raw_Data!$A1954, "MMM")</f>
        <v>Jun</v>
      </c>
      <c r="C1954" s="2">
        <f>YEAR(Raw_Data!$A1954)</f>
        <v>2007</v>
      </c>
      <c r="D1954" s="2" t="s">
        <v>1610</v>
      </c>
      <c r="E1954" s="2" t="s">
        <v>25</v>
      </c>
      <c r="F1954" s="2" t="s">
        <v>11</v>
      </c>
      <c r="G1954" s="2"/>
      <c r="H1954" s="2">
        <v>1786</v>
      </c>
      <c r="I1954" s="10">
        <v>300940</v>
      </c>
      <c r="J1954" s="10">
        <f>Raw_Data!$I1954/Raw_Data!$H1954</f>
        <v>168.49944008958568</v>
      </c>
    </row>
    <row r="1955" spans="1:10" x14ac:dyDescent="0.3">
      <c r="A1955" s="8">
        <v>40078</v>
      </c>
      <c r="B1955" t="str">
        <f>TEXT(Raw_Data!$A1955, "MMM")</f>
        <v>Sep</v>
      </c>
      <c r="C1955">
        <f>YEAR(Raw_Data!$A1955)</f>
        <v>2009</v>
      </c>
      <c r="D1955" t="s">
        <v>1611</v>
      </c>
      <c r="E1955" t="s">
        <v>32</v>
      </c>
      <c r="F1955" t="s">
        <v>18</v>
      </c>
      <c r="G1955">
        <v>4</v>
      </c>
      <c r="H1955">
        <v>2754</v>
      </c>
      <c r="I1955" s="1">
        <v>889775</v>
      </c>
      <c r="J1955" s="1">
        <f>Raw_Data!$I1955/Raw_Data!$H1955</f>
        <v>323.08460421205518</v>
      </c>
    </row>
    <row r="1956" spans="1:10" x14ac:dyDescent="0.3">
      <c r="A1956" s="9">
        <v>36940</v>
      </c>
      <c r="B1956" s="2" t="str">
        <f>TEXT(Raw_Data!$A1956, "MMM")</f>
        <v>Feb</v>
      </c>
      <c r="C1956" s="2">
        <f>YEAR(Raw_Data!$A1956)</f>
        <v>2001</v>
      </c>
      <c r="D1956" s="2" t="s">
        <v>381</v>
      </c>
      <c r="E1956" s="2" t="s">
        <v>25</v>
      </c>
      <c r="F1956" s="2" t="s">
        <v>16</v>
      </c>
      <c r="G1956" s="2">
        <v>4</v>
      </c>
      <c r="H1956" s="2">
        <v>1652</v>
      </c>
      <c r="I1956" s="10">
        <v>154373</v>
      </c>
      <c r="J1956" s="10">
        <f>Raw_Data!$I1956/Raw_Data!$H1956</f>
        <v>93.446125907990321</v>
      </c>
    </row>
    <row r="1957" spans="1:10" x14ac:dyDescent="0.3">
      <c r="A1957" s="8">
        <v>37521</v>
      </c>
      <c r="B1957" t="str">
        <f>TEXT(Raw_Data!$A1957, "MMM")</f>
        <v>Sep</v>
      </c>
      <c r="C1957">
        <f>YEAR(Raw_Data!$A1957)</f>
        <v>2002</v>
      </c>
      <c r="D1957" t="s">
        <v>349</v>
      </c>
      <c r="E1957" t="s">
        <v>25</v>
      </c>
      <c r="F1957" t="s">
        <v>27</v>
      </c>
      <c r="H1957">
        <v>2903</v>
      </c>
      <c r="I1957" s="1">
        <v>775316</v>
      </c>
      <c r="J1957" s="1">
        <f>Raw_Data!$I1957/Raw_Data!$H1957</f>
        <v>267.0740613158801</v>
      </c>
    </row>
    <row r="1958" spans="1:10" x14ac:dyDescent="0.3">
      <c r="A1958" s="9">
        <v>43552</v>
      </c>
      <c r="B1958" s="2" t="str">
        <f>TEXT(Raw_Data!$A1958, "MMM")</f>
        <v>Mar</v>
      </c>
      <c r="C1958" s="2">
        <f>YEAR(Raw_Data!$A1958)</f>
        <v>2019</v>
      </c>
      <c r="D1958" s="2" t="s">
        <v>1612</v>
      </c>
      <c r="E1958" s="2" t="s">
        <v>32</v>
      </c>
      <c r="F1958" s="2" t="s">
        <v>27</v>
      </c>
      <c r="G1958" s="2">
        <v>3</v>
      </c>
      <c r="H1958" s="2">
        <v>2432</v>
      </c>
      <c r="I1958" s="10">
        <v>579329</v>
      </c>
      <c r="J1958" s="10">
        <f>Raw_Data!$I1958/Raw_Data!$H1958</f>
        <v>238.2109375</v>
      </c>
    </row>
    <row r="1959" spans="1:10" x14ac:dyDescent="0.3">
      <c r="A1959" s="8">
        <v>43460</v>
      </c>
      <c r="B1959" t="str">
        <f>TEXT(Raw_Data!$A1959, "MMM")</f>
        <v>Dec</v>
      </c>
      <c r="C1959">
        <f>YEAR(Raw_Data!$A1959)</f>
        <v>2018</v>
      </c>
      <c r="D1959" t="s">
        <v>1577</v>
      </c>
      <c r="E1959" t="s">
        <v>13</v>
      </c>
      <c r="F1959" t="s">
        <v>27</v>
      </c>
      <c r="G1959">
        <v>3</v>
      </c>
      <c r="H1959">
        <v>3148</v>
      </c>
      <c r="I1959" s="1">
        <v>818861</v>
      </c>
      <c r="J1959" s="1">
        <f>Raw_Data!$I1959/Raw_Data!$H1959</f>
        <v>260.1210292249047</v>
      </c>
    </row>
    <row r="1960" spans="1:10" x14ac:dyDescent="0.3">
      <c r="A1960" s="9">
        <v>41681</v>
      </c>
      <c r="B1960" s="2" t="str">
        <f>TEXT(Raw_Data!$A1960, "MMM")</f>
        <v>Feb</v>
      </c>
      <c r="C1960" s="2">
        <f>YEAR(Raw_Data!$A1960)</f>
        <v>2014</v>
      </c>
      <c r="D1960" s="2" t="s">
        <v>1613</v>
      </c>
      <c r="E1960" s="2" t="s">
        <v>25</v>
      </c>
      <c r="F1960" s="2" t="s">
        <v>18</v>
      </c>
      <c r="G1960" s="2">
        <v>4</v>
      </c>
      <c r="H1960" s="2">
        <v>1388</v>
      </c>
      <c r="I1960" s="10">
        <v>194892</v>
      </c>
      <c r="J1960" s="10">
        <f>Raw_Data!$I1960/Raw_Data!$H1960</f>
        <v>140.41210374639769</v>
      </c>
    </row>
    <row r="1961" spans="1:10" x14ac:dyDescent="0.3">
      <c r="A1961" s="8">
        <v>42984</v>
      </c>
      <c r="B1961" t="str">
        <f>TEXT(Raw_Data!$A1961, "MMM")</f>
        <v>Sep</v>
      </c>
      <c r="C1961">
        <f>YEAR(Raw_Data!$A1961)</f>
        <v>2017</v>
      </c>
      <c r="D1961" t="s">
        <v>1207</v>
      </c>
      <c r="E1961" t="s">
        <v>25</v>
      </c>
      <c r="F1961" t="s">
        <v>11</v>
      </c>
      <c r="G1961">
        <v>2</v>
      </c>
      <c r="H1961">
        <v>1045</v>
      </c>
      <c r="I1961" s="1">
        <v>478699</v>
      </c>
      <c r="J1961" s="1">
        <f>Raw_Data!$I1961/Raw_Data!$H1961</f>
        <v>458.08516746411482</v>
      </c>
    </row>
    <row r="1962" spans="1:10" x14ac:dyDescent="0.3">
      <c r="A1962" s="9">
        <v>41586</v>
      </c>
      <c r="B1962" s="2" t="str">
        <f>TEXT(Raw_Data!$A1962, "MMM")</f>
        <v>Nov</v>
      </c>
      <c r="C1962" s="2">
        <f>YEAR(Raw_Data!$A1962)</f>
        <v>2013</v>
      </c>
      <c r="D1962" s="2" t="s">
        <v>986</v>
      </c>
      <c r="E1962" s="2" t="s">
        <v>13</v>
      </c>
      <c r="F1962" s="2" t="s">
        <v>18</v>
      </c>
      <c r="G1962" s="2">
        <v>3</v>
      </c>
      <c r="H1962" s="2">
        <v>2257</v>
      </c>
      <c r="I1962" s="10">
        <v>559247</v>
      </c>
      <c r="J1962" s="10">
        <f>Raw_Data!$I1962/Raw_Data!$H1962</f>
        <v>247.78334071776695</v>
      </c>
    </row>
    <row r="1963" spans="1:10" x14ac:dyDescent="0.3">
      <c r="A1963" s="8">
        <v>43670</v>
      </c>
      <c r="B1963" t="str">
        <f>TEXT(Raw_Data!$A1963, "MMM")</f>
        <v>Jul</v>
      </c>
      <c r="C1963">
        <f>YEAR(Raw_Data!$A1963)</f>
        <v>2019</v>
      </c>
      <c r="D1963" t="s">
        <v>1614</v>
      </c>
      <c r="E1963" t="s">
        <v>32</v>
      </c>
      <c r="F1963" t="s">
        <v>27</v>
      </c>
      <c r="G1963">
        <v>3</v>
      </c>
      <c r="H1963">
        <v>3416</v>
      </c>
      <c r="I1963" s="1">
        <v>747620</v>
      </c>
      <c r="J1963" s="1">
        <f>Raw_Data!$I1963/Raw_Data!$H1963</f>
        <v>218.85831381733021</v>
      </c>
    </row>
    <row r="1964" spans="1:10" x14ac:dyDescent="0.3">
      <c r="A1964" s="9">
        <v>43009</v>
      </c>
      <c r="B1964" s="2" t="str">
        <f>TEXT(Raw_Data!$A1964, "MMM")</f>
        <v>Oct</v>
      </c>
      <c r="C1964" s="2">
        <f>YEAR(Raw_Data!$A1964)</f>
        <v>2017</v>
      </c>
      <c r="D1964" s="2" t="s">
        <v>1615</v>
      </c>
      <c r="E1964" s="2" t="s">
        <v>29</v>
      </c>
      <c r="F1964" s="2" t="s">
        <v>16</v>
      </c>
      <c r="G1964" s="2"/>
      <c r="H1964" s="2">
        <v>2952</v>
      </c>
      <c r="I1964" s="10">
        <v>156287</v>
      </c>
      <c r="J1964" s="10">
        <f>Raw_Data!$I1964/Raw_Data!$H1964</f>
        <v>52.942750677506773</v>
      </c>
    </row>
    <row r="1965" spans="1:10" x14ac:dyDescent="0.3">
      <c r="A1965" s="8">
        <v>42904</v>
      </c>
      <c r="B1965" t="str">
        <f>TEXT(Raw_Data!$A1965, "MMM")</f>
        <v>Jun</v>
      </c>
      <c r="C1965">
        <f>YEAR(Raw_Data!$A1965)</f>
        <v>2017</v>
      </c>
      <c r="D1965" t="s">
        <v>1616</v>
      </c>
      <c r="E1965" t="s">
        <v>29</v>
      </c>
      <c r="F1965" t="s">
        <v>11</v>
      </c>
      <c r="G1965">
        <v>5</v>
      </c>
      <c r="H1965">
        <v>2722</v>
      </c>
      <c r="I1965" s="1">
        <v>705674</v>
      </c>
      <c r="J1965" s="1">
        <f>Raw_Data!$I1965/Raw_Data!$H1965</f>
        <v>259.24834680382071</v>
      </c>
    </row>
    <row r="1966" spans="1:10" x14ac:dyDescent="0.3">
      <c r="A1966" s="9">
        <v>38036</v>
      </c>
      <c r="B1966" s="2" t="str">
        <f>TEXT(Raw_Data!$A1966, "MMM")</f>
        <v>Feb</v>
      </c>
      <c r="C1966" s="2">
        <f>YEAR(Raw_Data!$A1966)</f>
        <v>2004</v>
      </c>
      <c r="D1966" s="2" t="s">
        <v>1617</v>
      </c>
      <c r="E1966" s="2" t="s">
        <v>15</v>
      </c>
      <c r="F1966" s="2" t="s">
        <v>27</v>
      </c>
      <c r="G1966" s="2">
        <v>3</v>
      </c>
      <c r="H1966" s="2">
        <v>2881</v>
      </c>
      <c r="I1966" s="10"/>
      <c r="J1966" s="10">
        <f>Raw_Data!$I1966/Raw_Data!$H1966</f>
        <v>0</v>
      </c>
    </row>
    <row r="1967" spans="1:10" x14ac:dyDescent="0.3">
      <c r="A1967" s="8">
        <v>41313</v>
      </c>
      <c r="B1967" t="str">
        <f>TEXT(Raw_Data!$A1967, "MMM")</f>
        <v>Feb</v>
      </c>
      <c r="C1967">
        <f>YEAR(Raw_Data!$A1967)</f>
        <v>2013</v>
      </c>
      <c r="D1967" t="s">
        <v>1618</v>
      </c>
      <c r="E1967" t="s">
        <v>25</v>
      </c>
      <c r="F1967" t="s">
        <v>18</v>
      </c>
      <c r="G1967">
        <v>4</v>
      </c>
      <c r="H1967">
        <v>2249</v>
      </c>
      <c r="I1967" s="1">
        <v>502004</v>
      </c>
      <c r="J1967" s="1">
        <f>Raw_Data!$I1967/Raw_Data!$H1967</f>
        <v>223.21209426411738</v>
      </c>
    </row>
    <row r="1968" spans="1:10" x14ac:dyDescent="0.3">
      <c r="A1968" s="9">
        <v>43214</v>
      </c>
      <c r="B1968" s="2" t="str">
        <f>TEXT(Raw_Data!$A1968, "MMM")</f>
        <v>Apr</v>
      </c>
      <c r="C1968" s="2">
        <f>YEAR(Raw_Data!$A1968)</f>
        <v>2018</v>
      </c>
      <c r="D1968" s="2" t="s">
        <v>1516</v>
      </c>
      <c r="E1968" s="2" t="s">
        <v>29</v>
      </c>
      <c r="F1968" s="2" t="s">
        <v>18</v>
      </c>
      <c r="G1968" s="2"/>
      <c r="H1968" s="2">
        <v>2966</v>
      </c>
      <c r="I1968" s="10">
        <v>528281</v>
      </c>
      <c r="J1968" s="10">
        <f>Raw_Data!$I1968/Raw_Data!$H1968</f>
        <v>178.1122724207687</v>
      </c>
    </row>
    <row r="1969" spans="1:10" x14ac:dyDescent="0.3">
      <c r="A1969" s="8">
        <v>41638</v>
      </c>
      <c r="B1969" t="str">
        <f>TEXT(Raw_Data!$A1969, "MMM")</f>
        <v>Dec</v>
      </c>
      <c r="C1969">
        <f>YEAR(Raw_Data!$A1969)</f>
        <v>2013</v>
      </c>
      <c r="D1969" t="s">
        <v>1353</v>
      </c>
      <c r="E1969" t="s">
        <v>13</v>
      </c>
      <c r="F1969" t="s">
        <v>27</v>
      </c>
      <c r="G1969">
        <v>4</v>
      </c>
      <c r="H1969">
        <v>2686</v>
      </c>
      <c r="I1969" s="1">
        <v>338688</v>
      </c>
      <c r="J1969" s="1">
        <f>Raw_Data!$I1969/Raw_Data!$H1969</f>
        <v>126.09381980640357</v>
      </c>
    </row>
    <row r="1970" spans="1:10" x14ac:dyDescent="0.3">
      <c r="A1970" s="9">
        <v>40607</v>
      </c>
      <c r="B1970" s="2" t="str">
        <f>TEXT(Raw_Data!$A1970, "MMM")</f>
        <v>Mar</v>
      </c>
      <c r="C1970" s="2">
        <f>YEAR(Raw_Data!$A1970)</f>
        <v>2011</v>
      </c>
      <c r="D1970" s="2" t="s">
        <v>1619</v>
      </c>
      <c r="E1970" s="2" t="s">
        <v>32</v>
      </c>
      <c r="F1970" s="2" t="s">
        <v>27</v>
      </c>
      <c r="G1970" s="2">
        <v>4</v>
      </c>
      <c r="H1970" s="2">
        <v>2229</v>
      </c>
      <c r="I1970" s="10">
        <v>858747</v>
      </c>
      <c r="J1970" s="10">
        <f>Raw_Data!$I1970/Raw_Data!$H1970</f>
        <v>385.26110363391655</v>
      </c>
    </row>
    <row r="1971" spans="1:10" x14ac:dyDescent="0.3">
      <c r="A1971" s="8">
        <v>37200</v>
      </c>
      <c r="B1971" t="str">
        <f>TEXT(Raw_Data!$A1971, "MMM")</f>
        <v>Nov</v>
      </c>
      <c r="C1971">
        <f>YEAR(Raw_Data!$A1971)</f>
        <v>2001</v>
      </c>
      <c r="D1971" t="s">
        <v>85</v>
      </c>
      <c r="E1971" t="s">
        <v>15</v>
      </c>
      <c r="F1971" t="s">
        <v>16</v>
      </c>
      <c r="H1971">
        <v>1530</v>
      </c>
      <c r="I1971" s="1">
        <v>688044</v>
      </c>
      <c r="J1971" s="1">
        <f>Raw_Data!$I1971/Raw_Data!$H1971</f>
        <v>449.70196078431371</v>
      </c>
    </row>
    <row r="1972" spans="1:10" x14ac:dyDescent="0.3">
      <c r="A1972" s="9">
        <v>42948</v>
      </c>
      <c r="B1972" s="2" t="str">
        <f>TEXT(Raw_Data!$A1972, "MMM")</f>
        <v>Aug</v>
      </c>
      <c r="C1972" s="2">
        <f>YEAR(Raw_Data!$A1972)</f>
        <v>2017</v>
      </c>
      <c r="D1972" s="2" t="s">
        <v>1620</v>
      </c>
      <c r="E1972" s="2" t="s">
        <v>21</v>
      </c>
      <c r="F1972" s="2" t="s">
        <v>18</v>
      </c>
      <c r="G1972" s="2">
        <v>5</v>
      </c>
      <c r="H1972" s="2">
        <v>3381</v>
      </c>
      <c r="I1972" s="10">
        <v>734722</v>
      </c>
      <c r="J1972" s="10">
        <f>Raw_Data!$I1972/Raw_Data!$H1972</f>
        <v>217.30908015380066</v>
      </c>
    </row>
    <row r="1973" spans="1:10" x14ac:dyDescent="0.3">
      <c r="A1973" s="8">
        <v>39512</v>
      </c>
      <c r="B1973" t="str">
        <f>TEXT(Raw_Data!$A1973, "MMM")</f>
        <v>Mar</v>
      </c>
      <c r="C1973">
        <f>YEAR(Raw_Data!$A1973)</f>
        <v>2008</v>
      </c>
      <c r="D1973" t="s">
        <v>1621</v>
      </c>
      <c r="E1973" t="s">
        <v>29</v>
      </c>
      <c r="F1973" t="s">
        <v>16</v>
      </c>
      <c r="G1973">
        <v>5</v>
      </c>
      <c r="H1973">
        <v>2589</v>
      </c>
      <c r="I1973" s="1">
        <v>694033</v>
      </c>
      <c r="J1973" s="1">
        <f>Raw_Data!$I1973/Raw_Data!$H1973</f>
        <v>268.06991116261105</v>
      </c>
    </row>
    <row r="1974" spans="1:10" x14ac:dyDescent="0.3">
      <c r="A1974" s="9">
        <v>43129</v>
      </c>
      <c r="B1974" s="2" t="str">
        <f>TEXT(Raw_Data!$A1974, "MMM")</f>
        <v>Jan</v>
      </c>
      <c r="C1974" s="2">
        <f>YEAR(Raw_Data!$A1974)</f>
        <v>2018</v>
      </c>
      <c r="D1974" s="2" t="s">
        <v>1622</v>
      </c>
      <c r="E1974" s="2" t="s">
        <v>25</v>
      </c>
      <c r="F1974" s="2" t="s">
        <v>11</v>
      </c>
      <c r="G1974" s="2">
        <v>2</v>
      </c>
      <c r="H1974" s="2">
        <v>2781</v>
      </c>
      <c r="I1974" s="10">
        <v>138655</v>
      </c>
      <c r="J1974" s="10">
        <f>Raw_Data!$I1974/Raw_Data!$H1974</f>
        <v>49.85796476087738</v>
      </c>
    </row>
    <row r="1975" spans="1:10" x14ac:dyDescent="0.3">
      <c r="A1975" s="8">
        <v>38555</v>
      </c>
      <c r="B1975" t="str">
        <f>TEXT(Raw_Data!$A1975, "MMM")</f>
        <v>Jul</v>
      </c>
      <c r="C1975">
        <f>YEAR(Raw_Data!$A1975)</f>
        <v>2005</v>
      </c>
      <c r="D1975" t="s">
        <v>113</v>
      </c>
      <c r="E1975" t="s">
        <v>21</v>
      </c>
      <c r="F1975" t="s">
        <v>16</v>
      </c>
      <c r="G1975">
        <v>5</v>
      </c>
      <c r="H1975">
        <v>3169</v>
      </c>
      <c r="I1975" s="1">
        <v>243120</v>
      </c>
      <c r="J1975" s="1">
        <f>Raw_Data!$I1975/Raw_Data!$H1975</f>
        <v>76.718207636478382</v>
      </c>
    </row>
    <row r="1976" spans="1:10" x14ac:dyDescent="0.3">
      <c r="A1976" s="9">
        <v>38349</v>
      </c>
      <c r="B1976" s="2" t="str">
        <f>TEXT(Raw_Data!$A1976, "MMM")</f>
        <v>Dec</v>
      </c>
      <c r="C1976" s="2">
        <f>YEAR(Raw_Data!$A1976)</f>
        <v>2004</v>
      </c>
      <c r="D1976" s="2" t="s">
        <v>1623</v>
      </c>
      <c r="E1976" s="2" t="s">
        <v>21</v>
      </c>
      <c r="F1976" s="2" t="s">
        <v>16</v>
      </c>
      <c r="G1976" s="2"/>
      <c r="H1976" s="2">
        <v>2283</v>
      </c>
      <c r="I1976" s="10">
        <v>650530</v>
      </c>
      <c r="J1976" s="10">
        <f>Raw_Data!$I1976/Raw_Data!$H1976</f>
        <v>284.94524748138417</v>
      </c>
    </row>
    <row r="1977" spans="1:10" x14ac:dyDescent="0.3">
      <c r="A1977" s="8">
        <v>38994</v>
      </c>
      <c r="B1977" t="str">
        <f>TEXT(Raw_Data!$A1977, "MMM")</f>
        <v>Oct</v>
      </c>
      <c r="C1977">
        <f>YEAR(Raw_Data!$A1977)</f>
        <v>2006</v>
      </c>
      <c r="D1977" t="s">
        <v>1624</v>
      </c>
      <c r="E1977" t="s">
        <v>15</v>
      </c>
      <c r="F1977" t="s">
        <v>11</v>
      </c>
      <c r="H1977">
        <v>2810</v>
      </c>
      <c r="I1977" s="1">
        <v>483846</v>
      </c>
      <c r="J1977" s="1">
        <f>Raw_Data!$I1977/Raw_Data!$H1977</f>
        <v>172.18718861209965</v>
      </c>
    </row>
    <row r="1978" spans="1:10" x14ac:dyDescent="0.3">
      <c r="A1978" s="9">
        <v>43304</v>
      </c>
      <c r="B1978" s="2" t="str">
        <f>TEXT(Raw_Data!$A1978, "MMM")</f>
        <v>Jul</v>
      </c>
      <c r="C1978" s="2">
        <f>YEAR(Raw_Data!$A1978)</f>
        <v>2018</v>
      </c>
      <c r="D1978" s="2" t="s">
        <v>1625</v>
      </c>
      <c r="E1978" s="2" t="s">
        <v>15</v>
      </c>
      <c r="F1978" s="2" t="s">
        <v>18</v>
      </c>
      <c r="G1978" s="2">
        <v>4</v>
      </c>
      <c r="H1978" s="2">
        <v>1513</v>
      </c>
      <c r="I1978" s="10">
        <v>430879</v>
      </c>
      <c r="J1978" s="10">
        <f>Raw_Data!$I1978/Raw_Data!$H1978</f>
        <v>284.78453403833441</v>
      </c>
    </row>
    <row r="1979" spans="1:10" x14ac:dyDescent="0.3">
      <c r="A1979" s="8">
        <v>38132</v>
      </c>
      <c r="B1979" t="str">
        <f>TEXT(Raw_Data!$A1979, "MMM")</f>
        <v>May</v>
      </c>
      <c r="C1979">
        <f>YEAR(Raw_Data!$A1979)</f>
        <v>2004</v>
      </c>
      <c r="D1979" t="s">
        <v>1626</v>
      </c>
      <c r="E1979" t="s">
        <v>29</v>
      </c>
      <c r="F1979" t="s">
        <v>27</v>
      </c>
      <c r="H1979">
        <v>2340</v>
      </c>
      <c r="I1979" s="1">
        <v>368411</v>
      </c>
      <c r="J1979" s="1">
        <f>Raw_Data!$I1979/Raw_Data!$H1979</f>
        <v>157.4405982905983</v>
      </c>
    </row>
    <row r="1980" spans="1:10" x14ac:dyDescent="0.3">
      <c r="A1980" s="9">
        <v>40808</v>
      </c>
      <c r="B1980" s="2" t="str">
        <f>TEXT(Raw_Data!$A1980, "MMM")</f>
        <v>Sep</v>
      </c>
      <c r="C1980" s="2">
        <f>YEAR(Raw_Data!$A1980)</f>
        <v>2011</v>
      </c>
      <c r="D1980" s="2" t="s">
        <v>1627</v>
      </c>
      <c r="E1980" s="2" t="s">
        <v>25</v>
      </c>
      <c r="F1980" s="2" t="s">
        <v>11</v>
      </c>
      <c r="G1980" s="2">
        <v>3</v>
      </c>
      <c r="H1980" s="2">
        <v>2489</v>
      </c>
      <c r="I1980" s="10">
        <v>394320</v>
      </c>
      <c r="J1980" s="10">
        <f>Raw_Data!$I1980/Raw_Data!$H1980</f>
        <v>158.42507030936119</v>
      </c>
    </row>
    <row r="1981" spans="1:10" x14ac:dyDescent="0.3">
      <c r="A1981" s="8">
        <v>40313</v>
      </c>
      <c r="B1981" t="str">
        <f>TEXT(Raw_Data!$A1981, "MMM")</f>
        <v>May</v>
      </c>
      <c r="C1981">
        <f>YEAR(Raw_Data!$A1981)</f>
        <v>2010</v>
      </c>
      <c r="D1981" t="s">
        <v>662</v>
      </c>
      <c r="E1981" t="s">
        <v>32</v>
      </c>
      <c r="F1981" t="s">
        <v>11</v>
      </c>
      <c r="H1981">
        <v>2705</v>
      </c>
      <c r="I1981" s="1">
        <v>449817</v>
      </c>
      <c r="J1981" s="1">
        <f>Raw_Data!$I1981/Raw_Data!$H1981</f>
        <v>166.29094269870609</v>
      </c>
    </row>
    <row r="1982" spans="1:10" x14ac:dyDescent="0.3">
      <c r="A1982" s="9">
        <v>43852</v>
      </c>
      <c r="B1982" s="2" t="str">
        <f>TEXT(Raw_Data!$A1982, "MMM")</f>
        <v>Jan</v>
      </c>
      <c r="C1982" s="2">
        <f>YEAR(Raw_Data!$A1982)</f>
        <v>2020</v>
      </c>
      <c r="D1982" s="2" t="s">
        <v>1628</v>
      </c>
      <c r="E1982" s="2" t="s">
        <v>15</v>
      </c>
      <c r="F1982" s="2" t="s">
        <v>27</v>
      </c>
      <c r="G1982" s="2"/>
      <c r="H1982" s="2">
        <v>2861</v>
      </c>
      <c r="I1982" s="10">
        <v>323649</v>
      </c>
      <c r="J1982" s="10">
        <f>Raw_Data!$I1982/Raw_Data!$H1982</f>
        <v>113.12443201677735</v>
      </c>
    </row>
    <row r="1983" spans="1:10" x14ac:dyDescent="0.3">
      <c r="A1983" s="8">
        <v>38827</v>
      </c>
      <c r="B1983" t="str">
        <f>TEXT(Raw_Data!$A1983, "MMM")</f>
        <v>Apr</v>
      </c>
      <c r="C1983">
        <f>YEAR(Raw_Data!$A1983)</f>
        <v>2006</v>
      </c>
      <c r="D1983" t="s">
        <v>1629</v>
      </c>
      <c r="E1983" t="s">
        <v>15</v>
      </c>
      <c r="F1983" t="s">
        <v>27</v>
      </c>
      <c r="G1983">
        <v>2</v>
      </c>
      <c r="H1983">
        <v>2119</v>
      </c>
      <c r="I1983" s="1">
        <v>166281</v>
      </c>
      <c r="J1983" s="1">
        <f>Raw_Data!$I1983/Raw_Data!$H1983</f>
        <v>78.471448796602175</v>
      </c>
    </row>
    <row r="1984" spans="1:10" x14ac:dyDescent="0.3">
      <c r="A1984" s="9">
        <v>44053</v>
      </c>
      <c r="B1984" s="2" t="str">
        <f>TEXT(Raw_Data!$A1984, "MMM")</f>
        <v>Aug</v>
      </c>
      <c r="C1984" s="2">
        <f>YEAR(Raw_Data!$A1984)</f>
        <v>2020</v>
      </c>
      <c r="D1984" s="2" t="s">
        <v>1537</v>
      </c>
      <c r="E1984" s="2" t="s">
        <v>25</v>
      </c>
      <c r="F1984" s="2" t="s">
        <v>18</v>
      </c>
      <c r="G1984" s="2">
        <v>4</v>
      </c>
      <c r="H1984" s="2">
        <v>3297</v>
      </c>
      <c r="I1984" s="10">
        <v>704032</v>
      </c>
      <c r="J1984" s="10">
        <f>Raw_Data!$I1984/Raw_Data!$H1984</f>
        <v>213.53715498938428</v>
      </c>
    </row>
    <row r="1985" spans="1:10" x14ac:dyDescent="0.3">
      <c r="A1985" s="8">
        <v>43325</v>
      </c>
      <c r="B1985" t="str">
        <f>TEXT(Raw_Data!$A1985, "MMM")</f>
        <v>Aug</v>
      </c>
      <c r="C1985">
        <f>YEAR(Raw_Data!$A1985)</f>
        <v>2018</v>
      </c>
      <c r="D1985" t="s">
        <v>1630</v>
      </c>
      <c r="E1985" t="s">
        <v>29</v>
      </c>
      <c r="F1985" t="s">
        <v>11</v>
      </c>
      <c r="G1985">
        <v>2</v>
      </c>
      <c r="H1985">
        <v>1378</v>
      </c>
      <c r="I1985" s="1">
        <v>419522</v>
      </c>
      <c r="J1985" s="1">
        <f>Raw_Data!$I1985/Raw_Data!$H1985</f>
        <v>304.44267053701014</v>
      </c>
    </row>
    <row r="1986" spans="1:10" x14ac:dyDescent="0.3">
      <c r="A1986" s="9">
        <v>43672</v>
      </c>
      <c r="B1986" s="2" t="str">
        <f>TEXT(Raw_Data!$A1986, "MMM")</f>
        <v>Jul</v>
      </c>
      <c r="C1986" s="2">
        <f>YEAR(Raw_Data!$A1986)</f>
        <v>2019</v>
      </c>
      <c r="D1986" s="2" t="s">
        <v>1631</v>
      </c>
      <c r="E1986" s="2" t="s">
        <v>23</v>
      </c>
      <c r="F1986" s="2" t="s">
        <v>18</v>
      </c>
      <c r="G1986" s="2">
        <v>5</v>
      </c>
      <c r="H1986" s="2">
        <v>1480</v>
      </c>
      <c r="I1986" s="10">
        <v>766704</v>
      </c>
      <c r="J1986" s="10">
        <f>Raw_Data!$I1986/Raw_Data!$H1986</f>
        <v>518.0432432432433</v>
      </c>
    </row>
    <row r="1987" spans="1:10" x14ac:dyDescent="0.3">
      <c r="A1987" s="8">
        <v>40989</v>
      </c>
      <c r="B1987" t="str">
        <f>TEXT(Raw_Data!$A1987, "MMM")</f>
        <v>Mar</v>
      </c>
      <c r="C1987">
        <f>YEAR(Raw_Data!$A1987)</f>
        <v>2012</v>
      </c>
      <c r="D1987" t="s">
        <v>730</v>
      </c>
      <c r="E1987" t="s">
        <v>15</v>
      </c>
      <c r="F1987" t="s">
        <v>11</v>
      </c>
      <c r="H1987">
        <v>2925</v>
      </c>
      <c r="I1987" s="1">
        <v>322195</v>
      </c>
      <c r="J1987" s="1">
        <f>Raw_Data!$I1987/Raw_Data!$H1987</f>
        <v>110.15213675213676</v>
      </c>
    </row>
    <row r="1988" spans="1:10" x14ac:dyDescent="0.3">
      <c r="A1988" s="9">
        <v>38023</v>
      </c>
      <c r="B1988" s="2" t="str">
        <f>TEXT(Raw_Data!$A1988, "MMM")</f>
        <v>Feb</v>
      </c>
      <c r="C1988" s="2">
        <f>YEAR(Raw_Data!$A1988)</f>
        <v>2004</v>
      </c>
      <c r="D1988" s="2" t="s">
        <v>1632</v>
      </c>
      <c r="E1988" s="2" t="s">
        <v>13</v>
      </c>
      <c r="F1988" s="2" t="s">
        <v>27</v>
      </c>
      <c r="G1988" s="2">
        <v>5</v>
      </c>
      <c r="H1988" s="2">
        <v>2008</v>
      </c>
      <c r="I1988" s="10">
        <v>474198</v>
      </c>
      <c r="J1988" s="10">
        <f>Raw_Data!$I1988/Raw_Data!$H1988</f>
        <v>236.15438247011951</v>
      </c>
    </row>
    <row r="1989" spans="1:10" x14ac:dyDescent="0.3">
      <c r="A1989" s="8">
        <v>41121</v>
      </c>
      <c r="B1989" t="str">
        <f>TEXT(Raw_Data!$A1989, "MMM")</f>
        <v>Jul</v>
      </c>
      <c r="C1989">
        <f>YEAR(Raw_Data!$A1989)</f>
        <v>2012</v>
      </c>
      <c r="D1989" t="s">
        <v>615</v>
      </c>
      <c r="E1989" t="s">
        <v>15</v>
      </c>
      <c r="F1989" t="s">
        <v>18</v>
      </c>
      <c r="H1989">
        <v>2507</v>
      </c>
      <c r="I1989" s="1">
        <v>586292</v>
      </c>
      <c r="J1989" s="1">
        <f>Raw_Data!$I1989/Raw_Data!$H1989</f>
        <v>233.86198643797368</v>
      </c>
    </row>
    <row r="1990" spans="1:10" x14ac:dyDescent="0.3">
      <c r="A1990" s="9">
        <v>38459</v>
      </c>
      <c r="B1990" s="2" t="str">
        <f>TEXT(Raw_Data!$A1990, "MMM")</f>
        <v>Apr</v>
      </c>
      <c r="C1990" s="2">
        <f>YEAR(Raw_Data!$A1990)</f>
        <v>2005</v>
      </c>
      <c r="D1990" s="2" t="s">
        <v>1633</v>
      </c>
      <c r="E1990" s="2" t="s">
        <v>13</v>
      </c>
      <c r="F1990" s="2" t="s">
        <v>27</v>
      </c>
      <c r="G1990" s="2"/>
      <c r="H1990" s="2">
        <v>2926</v>
      </c>
      <c r="I1990" s="10">
        <v>449402</v>
      </c>
      <c r="J1990" s="10">
        <f>Raw_Data!$I1990/Raw_Data!$H1990</f>
        <v>153.5892002734108</v>
      </c>
    </row>
    <row r="1991" spans="1:10" x14ac:dyDescent="0.3">
      <c r="A1991" s="8">
        <v>38825</v>
      </c>
      <c r="B1991" t="str">
        <f>TEXT(Raw_Data!$A1991, "MMM")</f>
        <v>Apr</v>
      </c>
      <c r="C1991">
        <f>YEAR(Raw_Data!$A1991)</f>
        <v>2006</v>
      </c>
      <c r="D1991" t="s">
        <v>1634</v>
      </c>
      <c r="E1991" t="s">
        <v>21</v>
      </c>
      <c r="F1991" t="s">
        <v>16</v>
      </c>
      <c r="H1991">
        <v>2727</v>
      </c>
      <c r="I1991" s="1">
        <v>110870</v>
      </c>
      <c r="J1991" s="1">
        <f>Raw_Data!$I1991/Raw_Data!$H1991</f>
        <v>40.656398973230658</v>
      </c>
    </row>
    <row r="1992" spans="1:10" x14ac:dyDescent="0.3">
      <c r="A1992" s="9">
        <v>38850</v>
      </c>
      <c r="B1992" s="2" t="str">
        <f>TEXT(Raw_Data!$A1992, "MMM")</f>
        <v>May</v>
      </c>
      <c r="C1992" s="2">
        <f>YEAR(Raw_Data!$A1992)</f>
        <v>2006</v>
      </c>
      <c r="D1992" s="2" t="s">
        <v>1635</v>
      </c>
      <c r="E1992" s="2" t="s">
        <v>21</v>
      </c>
      <c r="F1992" s="2" t="s">
        <v>27</v>
      </c>
      <c r="G1992" s="2"/>
      <c r="H1992" s="2">
        <v>2224</v>
      </c>
      <c r="I1992" s="10">
        <v>341280</v>
      </c>
      <c r="J1992" s="10">
        <f>Raw_Data!$I1992/Raw_Data!$H1992</f>
        <v>153.45323741007195</v>
      </c>
    </row>
    <row r="1993" spans="1:10" x14ac:dyDescent="0.3">
      <c r="A1993" s="8">
        <v>41115</v>
      </c>
      <c r="B1993" t="str">
        <f>TEXT(Raw_Data!$A1993, "MMM")</f>
        <v>Jul</v>
      </c>
      <c r="C1993">
        <f>YEAR(Raw_Data!$A1993)</f>
        <v>2012</v>
      </c>
      <c r="D1993" t="s">
        <v>1636</v>
      </c>
      <c r="E1993" t="s">
        <v>25</v>
      </c>
      <c r="F1993" t="s">
        <v>27</v>
      </c>
      <c r="G1993">
        <v>3</v>
      </c>
      <c r="H1993">
        <v>1400</v>
      </c>
      <c r="I1993" s="1">
        <v>108971</v>
      </c>
      <c r="J1993" s="1">
        <f>Raw_Data!$I1993/Raw_Data!$H1993</f>
        <v>77.83642857142857</v>
      </c>
    </row>
    <row r="1994" spans="1:10" x14ac:dyDescent="0.3">
      <c r="A1994" s="9">
        <v>38196</v>
      </c>
      <c r="B1994" s="2" t="str">
        <f>TEXT(Raw_Data!$A1994, "MMM")</f>
        <v>Jul</v>
      </c>
      <c r="C1994" s="2">
        <f>YEAR(Raw_Data!$A1994)</f>
        <v>2004</v>
      </c>
      <c r="D1994" s="2" t="s">
        <v>961</v>
      </c>
      <c r="E1994" s="2" t="s">
        <v>15</v>
      </c>
      <c r="F1994" s="2" t="s">
        <v>27</v>
      </c>
      <c r="G1994" s="2"/>
      <c r="H1994" s="2">
        <v>3389</v>
      </c>
      <c r="I1994" s="10">
        <v>726082</v>
      </c>
      <c r="J1994" s="10">
        <f>Raw_Data!$I1994/Raw_Data!$H1994</f>
        <v>214.24668043670698</v>
      </c>
    </row>
    <row r="1995" spans="1:10" x14ac:dyDescent="0.3">
      <c r="A1995" s="8">
        <v>38797</v>
      </c>
      <c r="B1995" t="str">
        <f>TEXT(Raw_Data!$A1995, "MMM")</f>
        <v>Mar</v>
      </c>
      <c r="C1995">
        <f>YEAR(Raw_Data!$A1995)</f>
        <v>2006</v>
      </c>
      <c r="D1995" t="s">
        <v>416</v>
      </c>
      <c r="E1995" t="s">
        <v>29</v>
      </c>
      <c r="F1995" t="s">
        <v>11</v>
      </c>
      <c r="G1995">
        <v>2</v>
      </c>
      <c r="H1995">
        <v>2121</v>
      </c>
      <c r="I1995" s="1">
        <v>327125</v>
      </c>
      <c r="J1995" s="1">
        <f>Raw_Data!$I1995/Raw_Data!$H1995</f>
        <v>154.23149457802924</v>
      </c>
    </row>
    <row r="1996" spans="1:10" x14ac:dyDescent="0.3">
      <c r="A1996" s="9">
        <v>41388</v>
      </c>
      <c r="B1996" s="2" t="str">
        <f>TEXT(Raw_Data!$A1996, "MMM")</f>
        <v>Apr</v>
      </c>
      <c r="C1996" s="2">
        <f>YEAR(Raw_Data!$A1996)</f>
        <v>2013</v>
      </c>
      <c r="D1996" s="2" t="s">
        <v>666</v>
      </c>
      <c r="E1996" s="2" t="s">
        <v>15</v>
      </c>
      <c r="F1996" s="2" t="s">
        <v>11</v>
      </c>
      <c r="G1996" s="2">
        <v>2</v>
      </c>
      <c r="H1996" s="2">
        <v>1180</v>
      </c>
      <c r="I1996" s="10">
        <v>808470</v>
      </c>
      <c r="J1996" s="10">
        <f>Raw_Data!$I1996/Raw_Data!$H1996</f>
        <v>685.14406779661022</v>
      </c>
    </row>
    <row r="1997" spans="1:10" x14ac:dyDescent="0.3">
      <c r="A1997" s="8">
        <v>37547</v>
      </c>
      <c r="B1997" t="str">
        <f>TEXT(Raw_Data!$A1997, "MMM")</f>
        <v>Oct</v>
      </c>
      <c r="C1997">
        <f>YEAR(Raw_Data!$A1997)</f>
        <v>2002</v>
      </c>
      <c r="D1997" t="s">
        <v>1279</v>
      </c>
      <c r="E1997" t="s">
        <v>32</v>
      </c>
      <c r="F1997" t="s">
        <v>27</v>
      </c>
      <c r="H1997">
        <v>1621</v>
      </c>
      <c r="I1997" s="1">
        <v>629235</v>
      </c>
      <c r="J1997" s="1">
        <f>Raw_Data!$I1997/Raw_Data!$H1997</f>
        <v>388.17705120296114</v>
      </c>
    </row>
    <row r="1998" spans="1:10" x14ac:dyDescent="0.3">
      <c r="A1998" s="9">
        <v>40032</v>
      </c>
      <c r="B1998" s="2" t="str">
        <f>TEXT(Raw_Data!$A1998, "MMM")</f>
        <v>Aug</v>
      </c>
      <c r="C1998" s="2">
        <f>YEAR(Raw_Data!$A1998)</f>
        <v>2009</v>
      </c>
      <c r="D1998" s="2" t="s">
        <v>1637</v>
      </c>
      <c r="E1998" s="2" t="s">
        <v>15</v>
      </c>
      <c r="F1998" s="2" t="s">
        <v>18</v>
      </c>
      <c r="G1998" s="2">
        <v>4</v>
      </c>
      <c r="H1998" s="2">
        <v>2737</v>
      </c>
      <c r="I1998" s="10">
        <v>583828</v>
      </c>
      <c r="J1998" s="10">
        <f>Raw_Data!$I1998/Raw_Data!$H1998</f>
        <v>213.30946291560102</v>
      </c>
    </row>
    <row r="1999" spans="1:10" x14ac:dyDescent="0.3">
      <c r="A1999" s="8">
        <v>38807</v>
      </c>
      <c r="B1999" t="str">
        <f>TEXT(Raw_Data!$A1999, "MMM")</f>
        <v>Mar</v>
      </c>
      <c r="C1999">
        <f>YEAR(Raw_Data!$A1999)</f>
        <v>2006</v>
      </c>
      <c r="D1999" t="s">
        <v>1638</v>
      </c>
      <c r="E1999" t="s">
        <v>15</v>
      </c>
      <c r="F1999" t="s">
        <v>27</v>
      </c>
      <c r="G1999">
        <v>3</v>
      </c>
      <c r="H1999">
        <v>2697</v>
      </c>
      <c r="I1999" s="1">
        <v>122603</v>
      </c>
      <c r="J1999" s="1">
        <f>Raw_Data!$I1999/Raw_Data!$H1999</f>
        <v>45.459028550241008</v>
      </c>
    </row>
    <row r="2000" spans="1:10" x14ac:dyDescent="0.3">
      <c r="A2000" s="9">
        <v>42517</v>
      </c>
      <c r="B2000" s="2" t="str">
        <f>TEXT(Raw_Data!$A2000, "MMM")</f>
        <v>May</v>
      </c>
      <c r="C2000" s="2">
        <f>YEAR(Raw_Data!$A2000)</f>
        <v>2016</v>
      </c>
      <c r="D2000" s="2" t="s">
        <v>1639</v>
      </c>
      <c r="E2000" s="2" t="s">
        <v>13</v>
      </c>
      <c r="F2000" s="2" t="s">
        <v>27</v>
      </c>
      <c r="G2000" s="2">
        <v>3</v>
      </c>
      <c r="H2000" s="2">
        <v>2315</v>
      </c>
      <c r="I2000" s="10">
        <v>815208</v>
      </c>
      <c r="J2000" s="10">
        <f>Raw_Data!$I2000/Raw_Data!$H2000</f>
        <v>352.14168466522676</v>
      </c>
    </row>
    <row r="2001" spans="1:10" x14ac:dyDescent="0.3">
      <c r="A2001" s="8">
        <v>37330</v>
      </c>
      <c r="B2001" t="str">
        <f>TEXT(Raw_Data!$A2001, "MMM")</f>
        <v>Mar</v>
      </c>
      <c r="C2001">
        <f>YEAR(Raw_Data!$A2001)</f>
        <v>2002</v>
      </c>
      <c r="D2001" t="s">
        <v>1640</v>
      </c>
      <c r="E2001" t="s">
        <v>25</v>
      </c>
      <c r="F2001" t="s">
        <v>18</v>
      </c>
      <c r="G2001">
        <v>3</v>
      </c>
      <c r="H2001">
        <v>1553</v>
      </c>
      <c r="I2001" s="1">
        <v>142555</v>
      </c>
      <c r="J2001" s="1">
        <f>Raw_Data!$I2001/Raw_Data!$H2001</f>
        <v>91.793303283966523</v>
      </c>
    </row>
    <row r="2002" spans="1:10" x14ac:dyDescent="0.3">
      <c r="A2002" s="9">
        <v>40522</v>
      </c>
      <c r="B2002" s="2" t="str">
        <f>TEXT(Raw_Data!$A2002, "MMM")</f>
        <v>Dec</v>
      </c>
      <c r="C2002" s="2">
        <f>YEAR(Raw_Data!$A2002)</f>
        <v>2010</v>
      </c>
      <c r="D2002" s="2" t="s">
        <v>1641</v>
      </c>
      <c r="E2002" s="2" t="s">
        <v>23</v>
      </c>
      <c r="F2002" s="2" t="s">
        <v>11</v>
      </c>
      <c r="G2002" s="2">
        <v>3</v>
      </c>
      <c r="H2002" s="2">
        <v>3076</v>
      </c>
      <c r="I2002" s="10">
        <v>614519</v>
      </c>
      <c r="J2002" s="10">
        <f>Raw_Data!$I2002/Raw_Data!$H2002</f>
        <v>199.77860858257478</v>
      </c>
    </row>
    <row r="2003" spans="1:10" x14ac:dyDescent="0.3">
      <c r="A2003" s="8">
        <v>42037</v>
      </c>
      <c r="B2003" t="str">
        <f>TEXT(Raw_Data!$A2003, "MMM")</f>
        <v>Feb</v>
      </c>
      <c r="C2003">
        <f>YEAR(Raw_Data!$A2003)</f>
        <v>2015</v>
      </c>
      <c r="D2003" t="s">
        <v>1642</v>
      </c>
      <c r="E2003" t="s">
        <v>32</v>
      </c>
      <c r="F2003" t="s">
        <v>18</v>
      </c>
      <c r="G2003">
        <v>2</v>
      </c>
      <c r="H2003">
        <v>3268</v>
      </c>
      <c r="I2003" s="1">
        <v>354595</v>
      </c>
      <c r="J2003" s="1">
        <f>Raw_Data!$I2003/Raw_Data!$H2003</f>
        <v>108.50520195838433</v>
      </c>
    </row>
    <row r="2004" spans="1:10" x14ac:dyDescent="0.3">
      <c r="A2004" s="9">
        <v>40674</v>
      </c>
      <c r="B2004" s="2" t="str">
        <f>TEXT(Raw_Data!$A2004, "MMM")</f>
        <v>May</v>
      </c>
      <c r="C2004" s="2">
        <f>YEAR(Raw_Data!$A2004)</f>
        <v>2011</v>
      </c>
      <c r="D2004" s="2" t="s">
        <v>1227</v>
      </c>
      <c r="E2004" s="2" t="s">
        <v>32</v>
      </c>
      <c r="F2004" s="2" t="s">
        <v>11</v>
      </c>
      <c r="G2004" s="2"/>
      <c r="H2004" s="2">
        <v>2741</v>
      </c>
      <c r="I2004" s="10">
        <v>176115</v>
      </c>
      <c r="J2004" s="10">
        <f>Raw_Data!$I2004/Raw_Data!$H2004</f>
        <v>64.252097774534846</v>
      </c>
    </row>
    <row r="2005" spans="1:10" x14ac:dyDescent="0.3">
      <c r="A2005" s="8">
        <v>38749</v>
      </c>
      <c r="B2005" t="str">
        <f>TEXT(Raw_Data!$A2005, "MMM")</f>
        <v>Feb</v>
      </c>
      <c r="C2005">
        <f>YEAR(Raw_Data!$A2005)</f>
        <v>2006</v>
      </c>
      <c r="D2005" t="s">
        <v>1182</v>
      </c>
      <c r="E2005" t="s">
        <v>32</v>
      </c>
      <c r="F2005" t="s">
        <v>27</v>
      </c>
      <c r="G2005">
        <v>3</v>
      </c>
      <c r="H2005">
        <v>1359</v>
      </c>
      <c r="I2005" s="1">
        <v>262827</v>
      </c>
      <c r="J2005" s="1">
        <f>Raw_Data!$I2005/Raw_Data!$H2005</f>
        <v>193.39735099337747</v>
      </c>
    </row>
    <row r="2006" spans="1:10" x14ac:dyDescent="0.3">
      <c r="A2006" s="9">
        <v>40334</v>
      </c>
      <c r="B2006" s="2" t="str">
        <f>TEXT(Raw_Data!$A2006, "MMM")</f>
        <v>Jun</v>
      </c>
      <c r="C2006" s="2">
        <f>YEAR(Raw_Data!$A2006)</f>
        <v>2010</v>
      </c>
      <c r="D2006" s="2" t="s">
        <v>833</v>
      </c>
      <c r="E2006" s="2" t="s">
        <v>25</v>
      </c>
      <c r="F2006" s="2" t="s">
        <v>27</v>
      </c>
      <c r="G2006" s="2"/>
      <c r="H2006" s="2">
        <v>2942</v>
      </c>
      <c r="I2006" s="10">
        <v>844437</v>
      </c>
      <c r="J2006" s="10">
        <f>Raw_Data!$I2006/Raw_Data!$H2006</f>
        <v>287.02821210061182</v>
      </c>
    </row>
    <row r="2007" spans="1:10" x14ac:dyDescent="0.3">
      <c r="A2007" s="8">
        <v>41769</v>
      </c>
      <c r="B2007" t="str">
        <f>TEXT(Raw_Data!$A2007, "MMM")</f>
        <v>May</v>
      </c>
      <c r="C2007">
        <f>YEAR(Raw_Data!$A2007)</f>
        <v>2014</v>
      </c>
      <c r="D2007" t="s">
        <v>1643</v>
      </c>
      <c r="E2007" t="s">
        <v>32</v>
      </c>
      <c r="F2007" t="s">
        <v>27</v>
      </c>
      <c r="G2007">
        <v>2</v>
      </c>
      <c r="H2007">
        <v>2820</v>
      </c>
      <c r="I2007" s="1">
        <v>261050</v>
      </c>
      <c r="J2007" s="1">
        <f>Raw_Data!$I2007/Raw_Data!$H2007</f>
        <v>92.570921985815602</v>
      </c>
    </row>
    <row r="2008" spans="1:10" x14ac:dyDescent="0.3">
      <c r="A2008" s="9">
        <v>37691</v>
      </c>
      <c r="B2008" s="2" t="str">
        <f>TEXT(Raw_Data!$A2008, "MMM")</f>
        <v>Mar</v>
      </c>
      <c r="C2008" s="2">
        <f>YEAR(Raw_Data!$A2008)</f>
        <v>2003</v>
      </c>
      <c r="D2008" s="2" t="s">
        <v>1644</v>
      </c>
      <c r="E2008" s="2" t="s">
        <v>32</v>
      </c>
      <c r="F2008" s="2" t="s">
        <v>27</v>
      </c>
      <c r="G2008" s="2">
        <v>2</v>
      </c>
      <c r="H2008" s="2">
        <v>1862</v>
      </c>
      <c r="I2008" s="10">
        <v>216361</v>
      </c>
      <c r="J2008" s="10">
        <f>Raw_Data!$I2008/Raw_Data!$H2008</f>
        <v>116.19817400644469</v>
      </c>
    </row>
    <row r="2009" spans="1:10" x14ac:dyDescent="0.3">
      <c r="A2009" s="8">
        <v>39407</v>
      </c>
      <c r="B2009" t="str">
        <f>TEXT(Raw_Data!$A2009, "MMM")</f>
        <v>Nov</v>
      </c>
      <c r="C2009">
        <f>YEAR(Raw_Data!$A2009)</f>
        <v>2007</v>
      </c>
      <c r="D2009" t="s">
        <v>340</v>
      </c>
      <c r="E2009" t="s">
        <v>15</v>
      </c>
      <c r="F2009" t="s">
        <v>16</v>
      </c>
      <c r="G2009">
        <v>2</v>
      </c>
      <c r="H2009">
        <v>3140</v>
      </c>
      <c r="I2009" s="1">
        <v>772474</v>
      </c>
      <c r="J2009" s="1">
        <f>Raw_Data!$I2009/Raw_Data!$H2009</f>
        <v>246.01082802547771</v>
      </c>
    </row>
    <row r="2010" spans="1:10" x14ac:dyDescent="0.3">
      <c r="A2010" s="9">
        <v>43893</v>
      </c>
      <c r="B2010" s="2" t="str">
        <f>TEXT(Raw_Data!$A2010, "MMM")</f>
        <v>Mar</v>
      </c>
      <c r="C2010" s="2">
        <f>YEAR(Raw_Data!$A2010)</f>
        <v>2020</v>
      </c>
      <c r="D2010" s="2" t="s">
        <v>1645</v>
      </c>
      <c r="E2010" s="2" t="s">
        <v>29</v>
      </c>
      <c r="F2010" s="2" t="s">
        <v>27</v>
      </c>
      <c r="G2010" s="2">
        <v>4</v>
      </c>
      <c r="H2010" s="2">
        <v>1965</v>
      </c>
      <c r="I2010" s="10">
        <v>666903</v>
      </c>
      <c r="J2010" s="10">
        <f>Raw_Data!$I2010/Raw_Data!$H2010</f>
        <v>339.39083969465651</v>
      </c>
    </row>
    <row r="2011" spans="1:10" x14ac:dyDescent="0.3">
      <c r="A2011" s="8">
        <v>38331</v>
      </c>
      <c r="B2011" t="str">
        <f>TEXT(Raw_Data!$A2011, "MMM")</f>
        <v>Dec</v>
      </c>
      <c r="C2011">
        <f>YEAR(Raw_Data!$A2011)</f>
        <v>2004</v>
      </c>
      <c r="D2011" t="s">
        <v>1228</v>
      </c>
      <c r="E2011" t="s">
        <v>32</v>
      </c>
      <c r="F2011" t="s">
        <v>27</v>
      </c>
      <c r="G2011">
        <v>2</v>
      </c>
      <c r="H2011">
        <v>1178</v>
      </c>
      <c r="I2011" s="1">
        <v>686405</v>
      </c>
      <c r="J2011" s="1">
        <f>Raw_Data!$I2011/Raw_Data!$H2011</f>
        <v>582.68675721561965</v>
      </c>
    </row>
    <row r="2012" spans="1:10" x14ac:dyDescent="0.3">
      <c r="A2012" s="9">
        <v>39664</v>
      </c>
      <c r="B2012" s="2" t="str">
        <f>TEXT(Raw_Data!$A2012, "MMM")</f>
        <v>Aug</v>
      </c>
      <c r="C2012" s="2">
        <f>YEAR(Raw_Data!$A2012)</f>
        <v>2008</v>
      </c>
      <c r="D2012" s="2" t="s">
        <v>1646</v>
      </c>
      <c r="E2012" s="2" t="s">
        <v>15</v>
      </c>
      <c r="F2012" s="2" t="s">
        <v>27</v>
      </c>
      <c r="G2012" s="2">
        <v>4</v>
      </c>
      <c r="H2012" s="2">
        <v>1411</v>
      </c>
      <c r="I2012" s="10">
        <v>117882</v>
      </c>
      <c r="J2012" s="10">
        <f>Raw_Data!$I2012/Raw_Data!$H2012</f>
        <v>83.545003543586105</v>
      </c>
    </row>
    <row r="2013" spans="1:10" x14ac:dyDescent="0.3">
      <c r="A2013" s="8">
        <v>42546</v>
      </c>
      <c r="B2013" t="str">
        <f>TEXT(Raw_Data!$A2013, "MMM")</f>
        <v>Jun</v>
      </c>
      <c r="C2013">
        <f>YEAR(Raw_Data!$A2013)</f>
        <v>2016</v>
      </c>
      <c r="D2013" t="s">
        <v>1647</v>
      </c>
      <c r="E2013" t="s">
        <v>32</v>
      </c>
      <c r="F2013" t="s">
        <v>11</v>
      </c>
      <c r="G2013">
        <v>3</v>
      </c>
      <c r="H2013">
        <v>2039</v>
      </c>
      <c r="I2013" s="1">
        <v>123542</v>
      </c>
      <c r="J2013" s="1">
        <f>Raw_Data!$I2013/Raw_Data!$H2013</f>
        <v>60.589504659146641</v>
      </c>
    </row>
    <row r="2014" spans="1:10" x14ac:dyDescent="0.3">
      <c r="A2014" s="9">
        <v>38034</v>
      </c>
      <c r="B2014" s="2" t="str">
        <f>TEXT(Raw_Data!$A2014, "MMM")</f>
        <v>Feb</v>
      </c>
      <c r="C2014" s="2">
        <f>YEAR(Raw_Data!$A2014)</f>
        <v>2004</v>
      </c>
      <c r="D2014" s="2" t="s">
        <v>1648</v>
      </c>
      <c r="E2014" s="2" t="s">
        <v>25</v>
      </c>
      <c r="F2014" s="2" t="s">
        <v>16</v>
      </c>
      <c r="G2014" s="2"/>
      <c r="H2014" s="2">
        <v>2649</v>
      </c>
      <c r="I2014" s="10">
        <v>688562</v>
      </c>
      <c r="J2014" s="10">
        <f>Raw_Data!$I2014/Raw_Data!$H2014</f>
        <v>259.9328048320121</v>
      </c>
    </row>
    <row r="2015" spans="1:10" x14ac:dyDescent="0.3">
      <c r="A2015" s="8">
        <v>37306</v>
      </c>
      <c r="B2015" t="str">
        <f>TEXT(Raw_Data!$A2015, "MMM")</f>
        <v>Feb</v>
      </c>
      <c r="C2015">
        <f>YEAR(Raw_Data!$A2015)</f>
        <v>2002</v>
      </c>
      <c r="D2015" t="s">
        <v>1649</v>
      </c>
      <c r="E2015" t="s">
        <v>15</v>
      </c>
      <c r="F2015" t="s">
        <v>16</v>
      </c>
      <c r="G2015">
        <v>2</v>
      </c>
      <c r="H2015">
        <v>928</v>
      </c>
      <c r="I2015" s="1">
        <v>152576</v>
      </c>
      <c r="J2015" s="1">
        <f>Raw_Data!$I2015/Raw_Data!$H2015</f>
        <v>164.41379310344828</v>
      </c>
    </row>
    <row r="2016" spans="1:10" x14ac:dyDescent="0.3">
      <c r="A2016" s="9">
        <v>41160</v>
      </c>
      <c r="B2016" s="2" t="str">
        <f>TEXT(Raw_Data!$A2016, "MMM")</f>
        <v>Sep</v>
      </c>
      <c r="C2016" s="2">
        <f>YEAR(Raw_Data!$A2016)</f>
        <v>2012</v>
      </c>
      <c r="D2016" s="2" t="s">
        <v>1650</v>
      </c>
      <c r="E2016" s="2" t="s">
        <v>32</v>
      </c>
      <c r="F2016" s="2" t="s">
        <v>18</v>
      </c>
      <c r="G2016" s="2">
        <v>4</v>
      </c>
      <c r="H2016" s="2">
        <v>3288</v>
      </c>
      <c r="I2016" s="10">
        <v>402699</v>
      </c>
      <c r="J2016" s="10">
        <f>Raw_Data!$I2016/Raw_Data!$H2016</f>
        <v>122.47536496350365</v>
      </c>
    </row>
    <row r="2017" spans="1:10" x14ac:dyDescent="0.3">
      <c r="A2017" s="8">
        <v>37128</v>
      </c>
      <c r="B2017" t="str">
        <f>TEXT(Raw_Data!$A2017, "MMM")</f>
        <v>Aug</v>
      </c>
      <c r="C2017">
        <f>YEAR(Raw_Data!$A2017)</f>
        <v>2001</v>
      </c>
      <c r="D2017" t="s">
        <v>1651</v>
      </c>
      <c r="E2017" t="s">
        <v>13</v>
      </c>
      <c r="F2017" t="s">
        <v>18</v>
      </c>
      <c r="H2017">
        <v>2783</v>
      </c>
      <c r="I2017" s="1">
        <v>360873</v>
      </c>
      <c r="J2017" s="1">
        <f>Raw_Data!$I2017/Raw_Data!$H2017</f>
        <v>129.67049946101329</v>
      </c>
    </row>
    <row r="2018" spans="1:10" x14ac:dyDescent="0.3">
      <c r="A2018" s="9">
        <v>38231</v>
      </c>
      <c r="B2018" s="2" t="str">
        <f>TEXT(Raw_Data!$A2018, "MMM")</f>
        <v>Sep</v>
      </c>
      <c r="C2018" s="2">
        <f>YEAR(Raw_Data!$A2018)</f>
        <v>2004</v>
      </c>
      <c r="D2018" s="2" t="s">
        <v>1652</v>
      </c>
      <c r="E2018" s="2" t="s">
        <v>25</v>
      </c>
      <c r="F2018" s="2" t="s">
        <v>16</v>
      </c>
      <c r="G2018" s="2"/>
      <c r="H2018" s="2">
        <v>1535</v>
      </c>
      <c r="I2018" s="10">
        <v>127340</v>
      </c>
      <c r="J2018" s="10">
        <f>Raw_Data!$I2018/Raw_Data!$H2018</f>
        <v>82.957654723127035</v>
      </c>
    </row>
    <row r="2019" spans="1:10" x14ac:dyDescent="0.3">
      <c r="A2019" s="8">
        <v>41151</v>
      </c>
      <c r="B2019" t="str">
        <f>TEXT(Raw_Data!$A2019, "MMM")</f>
        <v>Aug</v>
      </c>
      <c r="C2019">
        <f>YEAR(Raw_Data!$A2019)</f>
        <v>2012</v>
      </c>
      <c r="D2019" t="s">
        <v>905</v>
      </c>
      <c r="E2019" t="s">
        <v>21</v>
      </c>
      <c r="F2019" t="s">
        <v>11</v>
      </c>
      <c r="H2019">
        <v>2692</v>
      </c>
      <c r="I2019" s="1">
        <v>164969</v>
      </c>
      <c r="J2019" s="1">
        <f>Raw_Data!$I2019/Raw_Data!$H2019</f>
        <v>61.281203566121846</v>
      </c>
    </row>
    <row r="2020" spans="1:10" x14ac:dyDescent="0.3">
      <c r="A2020" s="9">
        <v>38190</v>
      </c>
      <c r="B2020" s="2" t="str">
        <f>TEXT(Raw_Data!$A2020, "MMM")</f>
        <v>Jul</v>
      </c>
      <c r="C2020" s="2">
        <f>YEAR(Raw_Data!$A2020)</f>
        <v>2004</v>
      </c>
      <c r="D2020" s="2" t="s">
        <v>1653</v>
      </c>
      <c r="E2020" s="2" t="s">
        <v>29</v>
      </c>
      <c r="F2020" s="2" t="s">
        <v>18</v>
      </c>
      <c r="G2020" s="2"/>
      <c r="H2020" s="2">
        <v>3221</v>
      </c>
      <c r="I2020" s="10">
        <v>107667</v>
      </c>
      <c r="J2020" s="10">
        <f>Raw_Data!$I2020/Raw_Data!$H2020</f>
        <v>33.426575597640486</v>
      </c>
    </row>
    <row r="2021" spans="1:10" x14ac:dyDescent="0.3">
      <c r="A2021" s="8">
        <v>38643</v>
      </c>
      <c r="B2021" t="str">
        <f>TEXT(Raw_Data!$A2021, "MMM")</f>
        <v>Oct</v>
      </c>
      <c r="C2021">
        <f>YEAR(Raw_Data!$A2021)</f>
        <v>2005</v>
      </c>
      <c r="D2021" t="s">
        <v>1654</v>
      </c>
      <c r="E2021" t="s">
        <v>25</v>
      </c>
      <c r="F2021" t="s">
        <v>27</v>
      </c>
      <c r="G2021">
        <v>4</v>
      </c>
      <c r="H2021">
        <v>1868</v>
      </c>
      <c r="I2021" s="1">
        <v>837301</v>
      </c>
      <c r="J2021" s="1">
        <f>Raw_Data!$I2021/Raw_Data!$H2021</f>
        <v>448.23394004282653</v>
      </c>
    </row>
    <row r="2022" spans="1:10" x14ac:dyDescent="0.3">
      <c r="A2022" s="9">
        <v>42532</v>
      </c>
      <c r="B2022" s="2" t="str">
        <f>TEXT(Raw_Data!$A2022, "MMM")</f>
        <v>Jun</v>
      </c>
      <c r="C2022" s="2">
        <f>YEAR(Raw_Data!$A2022)</f>
        <v>2016</v>
      </c>
      <c r="D2022" s="2" t="s">
        <v>1655</v>
      </c>
      <c r="E2022" s="2" t="s">
        <v>32</v>
      </c>
      <c r="F2022" s="2" t="s">
        <v>27</v>
      </c>
      <c r="G2022" s="2">
        <v>4</v>
      </c>
      <c r="H2022" s="2">
        <v>2755</v>
      </c>
      <c r="I2022" s="10">
        <v>346578</v>
      </c>
      <c r="J2022" s="10">
        <f>Raw_Data!$I2022/Raw_Data!$H2022</f>
        <v>125.79963702359346</v>
      </c>
    </row>
    <row r="2023" spans="1:10" x14ac:dyDescent="0.3">
      <c r="A2023" s="8">
        <v>42983</v>
      </c>
      <c r="B2023" t="str">
        <f>TEXT(Raw_Data!$A2023, "MMM")</f>
        <v>Sep</v>
      </c>
      <c r="C2023">
        <f>YEAR(Raw_Data!$A2023)</f>
        <v>2017</v>
      </c>
      <c r="D2023" t="s">
        <v>898</v>
      </c>
      <c r="E2023" t="s">
        <v>15</v>
      </c>
      <c r="F2023" t="s">
        <v>16</v>
      </c>
      <c r="G2023">
        <v>3</v>
      </c>
      <c r="H2023">
        <v>1295</v>
      </c>
      <c r="I2023" s="1">
        <v>822806</v>
      </c>
      <c r="J2023" s="1">
        <f>Raw_Data!$I2023/Raw_Data!$H2023</f>
        <v>635.37142857142862</v>
      </c>
    </row>
    <row r="2024" spans="1:10" x14ac:dyDescent="0.3">
      <c r="A2024" s="9">
        <v>41391</v>
      </c>
      <c r="B2024" s="2" t="str">
        <f>TEXT(Raw_Data!$A2024, "MMM")</f>
        <v>Apr</v>
      </c>
      <c r="C2024" s="2">
        <f>YEAR(Raw_Data!$A2024)</f>
        <v>2013</v>
      </c>
      <c r="D2024" s="2" t="s">
        <v>1656</v>
      </c>
      <c r="E2024" s="2" t="s">
        <v>29</v>
      </c>
      <c r="F2024" s="2" t="s">
        <v>16</v>
      </c>
      <c r="G2024" s="2">
        <v>3</v>
      </c>
      <c r="H2024" s="2">
        <v>3393</v>
      </c>
      <c r="I2024" s="10">
        <v>776898</v>
      </c>
      <c r="J2024" s="10">
        <f>Raw_Data!$I2024/Raw_Data!$H2024</f>
        <v>228.9708222811671</v>
      </c>
    </row>
    <row r="2025" spans="1:10" x14ac:dyDescent="0.3">
      <c r="A2025" s="8">
        <v>39269</v>
      </c>
      <c r="B2025" t="str">
        <f>TEXT(Raw_Data!$A2025, "MMM")</f>
        <v>Jul</v>
      </c>
      <c r="C2025">
        <f>YEAR(Raw_Data!$A2025)</f>
        <v>2007</v>
      </c>
      <c r="D2025" t="s">
        <v>235</v>
      </c>
      <c r="E2025" t="s">
        <v>23</v>
      </c>
      <c r="F2025" t="s">
        <v>11</v>
      </c>
      <c r="H2025">
        <v>1804</v>
      </c>
      <c r="I2025" s="1">
        <v>345906</v>
      </c>
      <c r="J2025" s="1">
        <f>Raw_Data!$I2025/Raw_Data!$H2025</f>
        <v>191.7439024390244</v>
      </c>
    </row>
    <row r="2026" spans="1:10" x14ac:dyDescent="0.3">
      <c r="A2026" s="9">
        <v>37703</v>
      </c>
      <c r="B2026" s="2" t="str">
        <f>TEXT(Raw_Data!$A2026, "MMM")</f>
        <v>Mar</v>
      </c>
      <c r="C2026" s="2">
        <f>YEAR(Raw_Data!$A2026)</f>
        <v>2003</v>
      </c>
      <c r="D2026" s="2" t="s">
        <v>1657</v>
      </c>
      <c r="E2026" s="2" t="s">
        <v>25</v>
      </c>
      <c r="F2026" s="2" t="s">
        <v>11</v>
      </c>
      <c r="G2026" s="2">
        <v>2</v>
      </c>
      <c r="H2026" s="2">
        <v>2229</v>
      </c>
      <c r="I2026" s="10">
        <v>776996</v>
      </c>
      <c r="J2026" s="10">
        <f>Raw_Data!$I2026/Raw_Data!$H2026</f>
        <v>348.58501570210859</v>
      </c>
    </row>
    <row r="2027" spans="1:10" x14ac:dyDescent="0.3">
      <c r="A2027" s="8">
        <v>37901</v>
      </c>
      <c r="B2027" t="str">
        <f>TEXT(Raw_Data!$A2027, "MMM")</f>
        <v>Oct</v>
      </c>
      <c r="C2027">
        <f>YEAR(Raw_Data!$A2027)</f>
        <v>2003</v>
      </c>
      <c r="D2027" t="s">
        <v>956</v>
      </c>
      <c r="E2027" t="s">
        <v>15</v>
      </c>
      <c r="F2027" t="s">
        <v>18</v>
      </c>
      <c r="G2027">
        <v>2</v>
      </c>
      <c r="H2027">
        <v>1213</v>
      </c>
      <c r="I2027" s="1">
        <v>795843</v>
      </c>
      <c r="J2027" s="1">
        <f>Raw_Data!$I2027/Raw_Data!$H2027</f>
        <v>656.09480626545758</v>
      </c>
    </row>
    <row r="2028" spans="1:10" x14ac:dyDescent="0.3">
      <c r="A2028" s="9">
        <v>38889</v>
      </c>
      <c r="B2028" s="2" t="str">
        <f>TEXT(Raw_Data!$A2028, "MMM")</f>
        <v>Jun</v>
      </c>
      <c r="C2028" s="2">
        <f>YEAR(Raw_Data!$A2028)</f>
        <v>2006</v>
      </c>
      <c r="D2028" s="2" t="s">
        <v>1658</v>
      </c>
      <c r="E2028" s="2" t="s">
        <v>21</v>
      </c>
      <c r="F2028" s="2" t="s">
        <v>16</v>
      </c>
      <c r="G2028" s="2">
        <v>4</v>
      </c>
      <c r="H2028" s="2">
        <v>1805</v>
      </c>
      <c r="I2028" s="10">
        <v>557505</v>
      </c>
      <c r="J2028" s="10">
        <f>Raw_Data!$I2028/Raw_Data!$H2028</f>
        <v>308.86703601108036</v>
      </c>
    </row>
    <row r="2029" spans="1:10" x14ac:dyDescent="0.3">
      <c r="A2029" s="8">
        <v>38913</v>
      </c>
      <c r="B2029" t="str">
        <f>TEXT(Raw_Data!$A2029, "MMM")</f>
        <v>Jul</v>
      </c>
      <c r="C2029">
        <f>YEAR(Raw_Data!$A2029)</f>
        <v>2006</v>
      </c>
      <c r="D2029" t="s">
        <v>1659</v>
      </c>
      <c r="E2029" t="s">
        <v>13</v>
      </c>
      <c r="F2029" t="s">
        <v>16</v>
      </c>
      <c r="G2029">
        <v>4</v>
      </c>
      <c r="H2029">
        <v>2840</v>
      </c>
      <c r="I2029" s="1">
        <v>297629</v>
      </c>
      <c r="J2029" s="1">
        <f>Raw_Data!$I2029/Raw_Data!$H2029</f>
        <v>104.79894366197183</v>
      </c>
    </row>
    <row r="2030" spans="1:10" x14ac:dyDescent="0.3">
      <c r="A2030" s="9">
        <v>37794</v>
      </c>
      <c r="B2030" s="2" t="str">
        <f>TEXT(Raw_Data!$A2030, "MMM")</f>
        <v>Jun</v>
      </c>
      <c r="C2030" s="2">
        <f>YEAR(Raw_Data!$A2030)</f>
        <v>2003</v>
      </c>
      <c r="D2030" s="2" t="s">
        <v>1583</v>
      </c>
      <c r="E2030" s="2" t="s">
        <v>15</v>
      </c>
      <c r="F2030" s="2" t="s">
        <v>16</v>
      </c>
      <c r="G2030" s="2">
        <v>5</v>
      </c>
      <c r="H2030" s="2">
        <v>1659</v>
      </c>
      <c r="I2030" s="10">
        <v>833629</v>
      </c>
      <c r="J2030" s="10">
        <f>Raw_Data!$I2030/Raw_Data!$H2030</f>
        <v>502.48884870403856</v>
      </c>
    </row>
    <row r="2031" spans="1:10" x14ac:dyDescent="0.3">
      <c r="A2031" s="8">
        <v>44136</v>
      </c>
      <c r="B2031" t="str">
        <f>TEXT(Raw_Data!$A2031, "MMM")</f>
        <v>Nov</v>
      </c>
      <c r="C2031">
        <f>YEAR(Raw_Data!$A2031)</f>
        <v>2020</v>
      </c>
      <c r="D2031" t="s">
        <v>321</v>
      </c>
      <c r="E2031" t="s">
        <v>32</v>
      </c>
      <c r="F2031" t="s">
        <v>16</v>
      </c>
      <c r="G2031">
        <v>4</v>
      </c>
      <c r="H2031">
        <v>1449</v>
      </c>
      <c r="I2031" s="1">
        <v>124581</v>
      </c>
      <c r="J2031" s="1">
        <f>Raw_Data!$I2031/Raw_Data!$H2031</f>
        <v>85.97722567287785</v>
      </c>
    </row>
    <row r="2032" spans="1:10" x14ac:dyDescent="0.3">
      <c r="A2032" s="9">
        <v>39172</v>
      </c>
      <c r="B2032" s="2" t="str">
        <f>TEXT(Raw_Data!$A2032, "MMM")</f>
        <v>Mar</v>
      </c>
      <c r="C2032" s="2">
        <f>YEAR(Raw_Data!$A2032)</f>
        <v>2007</v>
      </c>
      <c r="D2032" s="2" t="s">
        <v>960</v>
      </c>
      <c r="E2032" s="2" t="s">
        <v>15</v>
      </c>
      <c r="F2032" s="2" t="s">
        <v>27</v>
      </c>
      <c r="G2032" s="2">
        <v>2</v>
      </c>
      <c r="H2032" s="2">
        <v>2369</v>
      </c>
      <c r="I2032" s="10">
        <v>440937</v>
      </c>
      <c r="J2032" s="10">
        <f>Raw_Data!$I2032/Raw_Data!$H2032</f>
        <v>186.12790206838329</v>
      </c>
    </row>
    <row r="2033" spans="1:10" x14ac:dyDescent="0.3">
      <c r="A2033" s="8">
        <v>38403</v>
      </c>
      <c r="B2033" t="str">
        <f>TEXT(Raw_Data!$A2033, "MMM")</f>
        <v>Feb</v>
      </c>
      <c r="C2033">
        <f>YEAR(Raw_Data!$A2033)</f>
        <v>2005</v>
      </c>
      <c r="D2033" t="s">
        <v>632</v>
      </c>
      <c r="E2033" t="s">
        <v>21</v>
      </c>
      <c r="F2033" t="s">
        <v>27</v>
      </c>
      <c r="G2033">
        <v>3</v>
      </c>
      <c r="H2033">
        <v>892</v>
      </c>
      <c r="I2033" s="1">
        <v>516958</v>
      </c>
      <c r="J2033" s="1">
        <f>Raw_Data!$I2033/Raw_Data!$H2033</f>
        <v>579.54932735426007</v>
      </c>
    </row>
    <row r="2034" spans="1:10" x14ac:dyDescent="0.3">
      <c r="A2034" s="9">
        <v>44008</v>
      </c>
      <c r="B2034" s="2" t="str">
        <f>TEXT(Raw_Data!$A2034, "MMM")</f>
        <v>Jun</v>
      </c>
      <c r="C2034" s="2">
        <f>YEAR(Raw_Data!$A2034)</f>
        <v>2020</v>
      </c>
      <c r="D2034" s="2" t="s">
        <v>1660</v>
      </c>
      <c r="E2034" s="2" t="s">
        <v>29</v>
      </c>
      <c r="F2034" s="2" t="s">
        <v>11</v>
      </c>
      <c r="G2034" s="2">
        <v>5</v>
      </c>
      <c r="H2034" s="2">
        <v>2368</v>
      </c>
      <c r="I2034" s="10">
        <v>659018</v>
      </c>
      <c r="J2034" s="10">
        <f>Raw_Data!$I2034/Raw_Data!$H2034</f>
        <v>278.30152027027026</v>
      </c>
    </row>
    <row r="2035" spans="1:10" x14ac:dyDescent="0.3">
      <c r="A2035" s="8">
        <v>44182</v>
      </c>
      <c r="B2035" t="str">
        <f>TEXT(Raw_Data!$A2035, "MMM")</f>
        <v>Dec</v>
      </c>
      <c r="C2035">
        <f>YEAR(Raw_Data!$A2035)</f>
        <v>2020</v>
      </c>
      <c r="D2035" t="s">
        <v>1661</v>
      </c>
      <c r="E2035" t="s">
        <v>15</v>
      </c>
      <c r="F2035" t="s">
        <v>16</v>
      </c>
      <c r="H2035">
        <v>1467</v>
      </c>
      <c r="I2035" s="1">
        <v>102185</v>
      </c>
      <c r="J2035" s="1">
        <f>Raw_Data!$I2035/Raw_Data!$H2035</f>
        <v>69.655760054533062</v>
      </c>
    </row>
    <row r="2036" spans="1:10" x14ac:dyDescent="0.3">
      <c r="A2036" s="9">
        <v>40169</v>
      </c>
      <c r="B2036" s="2" t="str">
        <f>TEXT(Raw_Data!$A2036, "MMM")</f>
        <v>Dec</v>
      </c>
      <c r="C2036" s="2">
        <f>YEAR(Raw_Data!$A2036)</f>
        <v>2009</v>
      </c>
      <c r="D2036" s="2" t="s">
        <v>1567</v>
      </c>
      <c r="E2036" s="2" t="s">
        <v>25</v>
      </c>
      <c r="F2036" s="2" t="s">
        <v>16</v>
      </c>
      <c r="G2036" s="2">
        <v>3</v>
      </c>
      <c r="H2036" s="2">
        <v>1468</v>
      </c>
      <c r="I2036" s="10">
        <v>280490</v>
      </c>
      <c r="J2036" s="10">
        <f>Raw_Data!$I2036/Raw_Data!$H2036</f>
        <v>191.06948228882834</v>
      </c>
    </row>
    <row r="2037" spans="1:10" x14ac:dyDescent="0.3">
      <c r="A2037" s="8">
        <v>37364</v>
      </c>
      <c r="B2037" t="str">
        <f>TEXT(Raw_Data!$A2037, "MMM")</f>
        <v>Apr</v>
      </c>
      <c r="C2037">
        <f>YEAR(Raw_Data!$A2037)</f>
        <v>2002</v>
      </c>
      <c r="D2037" t="s">
        <v>1102</v>
      </c>
      <c r="E2037" t="s">
        <v>15</v>
      </c>
      <c r="F2037" t="s">
        <v>11</v>
      </c>
      <c r="G2037">
        <v>3</v>
      </c>
      <c r="H2037">
        <v>3315</v>
      </c>
      <c r="I2037" s="1">
        <v>162280</v>
      </c>
      <c r="J2037" s="1">
        <f>Raw_Data!$I2037/Raw_Data!$H2037</f>
        <v>48.953242835595773</v>
      </c>
    </row>
    <row r="2038" spans="1:10" x14ac:dyDescent="0.3">
      <c r="A2038" s="9">
        <v>44111</v>
      </c>
      <c r="B2038" s="2" t="str">
        <f>TEXT(Raw_Data!$A2038, "MMM")</f>
        <v>Oct</v>
      </c>
      <c r="C2038" s="2">
        <f>YEAR(Raw_Data!$A2038)</f>
        <v>2020</v>
      </c>
      <c r="D2038" s="2" t="s">
        <v>1333</v>
      </c>
      <c r="E2038" s="2" t="s">
        <v>25</v>
      </c>
      <c r="F2038" s="2" t="s">
        <v>16</v>
      </c>
      <c r="G2038" s="2">
        <v>4</v>
      </c>
      <c r="H2038" s="2">
        <v>2216</v>
      </c>
      <c r="I2038" s="10">
        <v>410545</v>
      </c>
      <c r="J2038" s="10">
        <f>Raw_Data!$I2038/Raw_Data!$H2038</f>
        <v>185.26398916967509</v>
      </c>
    </row>
    <row r="2039" spans="1:10" x14ac:dyDescent="0.3">
      <c r="A2039" s="8">
        <v>39871</v>
      </c>
      <c r="B2039" t="str">
        <f>TEXT(Raw_Data!$A2039, "MMM")</f>
        <v>Feb</v>
      </c>
      <c r="C2039">
        <f>YEAR(Raw_Data!$A2039)</f>
        <v>2009</v>
      </c>
      <c r="D2039" t="s">
        <v>186</v>
      </c>
      <c r="E2039" t="s">
        <v>23</v>
      </c>
      <c r="F2039" t="s">
        <v>27</v>
      </c>
      <c r="H2039">
        <v>873</v>
      </c>
      <c r="I2039" s="1">
        <v>873112</v>
      </c>
      <c r="J2039" s="1">
        <f>Raw_Data!$I2039/Raw_Data!$H2039</f>
        <v>1000.1282932416954</v>
      </c>
    </row>
    <row r="2040" spans="1:10" x14ac:dyDescent="0.3">
      <c r="A2040" s="9">
        <v>43212</v>
      </c>
      <c r="B2040" s="2" t="str">
        <f>TEXT(Raw_Data!$A2040, "MMM")</f>
        <v>Apr</v>
      </c>
      <c r="C2040" s="2">
        <f>YEAR(Raw_Data!$A2040)</f>
        <v>2018</v>
      </c>
      <c r="D2040" s="2" t="s">
        <v>59</v>
      </c>
      <c r="E2040" s="2" t="s">
        <v>25</v>
      </c>
      <c r="F2040" s="2" t="s">
        <v>27</v>
      </c>
      <c r="G2040" s="2"/>
      <c r="H2040" s="2">
        <v>1678</v>
      </c>
      <c r="I2040" s="10">
        <v>896898</v>
      </c>
      <c r="J2040" s="10">
        <f>Raw_Data!$I2040/Raw_Data!$H2040</f>
        <v>534.50417163289626</v>
      </c>
    </row>
    <row r="2041" spans="1:10" x14ac:dyDescent="0.3">
      <c r="A2041" s="8">
        <v>40043</v>
      </c>
      <c r="B2041" t="str">
        <f>TEXT(Raw_Data!$A2041, "MMM")</f>
        <v>Aug</v>
      </c>
      <c r="C2041">
        <f>YEAR(Raw_Data!$A2041)</f>
        <v>2009</v>
      </c>
      <c r="D2041" t="s">
        <v>374</v>
      </c>
      <c r="E2041" t="s">
        <v>13</v>
      </c>
      <c r="F2041" t="s">
        <v>27</v>
      </c>
      <c r="G2041">
        <v>2</v>
      </c>
      <c r="H2041">
        <v>862</v>
      </c>
      <c r="I2041" s="1">
        <v>362293</v>
      </c>
      <c r="J2041" s="1">
        <f>Raw_Data!$I2041/Raw_Data!$H2041</f>
        <v>420.29350348027845</v>
      </c>
    </row>
    <row r="2042" spans="1:10" x14ac:dyDescent="0.3">
      <c r="A2042" s="9">
        <v>37988</v>
      </c>
      <c r="B2042" s="2" t="str">
        <f>TEXT(Raw_Data!$A2042, "MMM")</f>
        <v>Jan</v>
      </c>
      <c r="C2042" s="2">
        <f>YEAR(Raw_Data!$A2042)</f>
        <v>2004</v>
      </c>
      <c r="D2042" s="2" t="s">
        <v>1662</v>
      </c>
      <c r="E2042" s="2" t="s">
        <v>25</v>
      </c>
      <c r="F2042" s="2" t="s">
        <v>18</v>
      </c>
      <c r="G2042" s="2"/>
      <c r="H2042" s="2">
        <v>2950</v>
      </c>
      <c r="I2042" s="10">
        <v>523748</v>
      </c>
      <c r="J2042" s="10">
        <f>Raw_Data!$I2042/Raw_Data!$H2042</f>
        <v>177.54169491525423</v>
      </c>
    </row>
    <row r="2043" spans="1:10" x14ac:dyDescent="0.3">
      <c r="A2043" s="8">
        <v>40428</v>
      </c>
      <c r="B2043" t="str">
        <f>TEXT(Raw_Data!$A2043, "MMM")</f>
        <v>Sep</v>
      </c>
      <c r="C2043">
        <f>YEAR(Raw_Data!$A2043)</f>
        <v>2010</v>
      </c>
      <c r="D2043" t="s">
        <v>1663</v>
      </c>
      <c r="E2043" t="s">
        <v>15</v>
      </c>
      <c r="F2043" t="s">
        <v>11</v>
      </c>
      <c r="G2043">
        <v>2</v>
      </c>
      <c r="H2043">
        <v>915</v>
      </c>
      <c r="I2043" s="1">
        <v>358619</v>
      </c>
      <c r="J2043" s="1">
        <f>Raw_Data!$I2043/Raw_Data!$H2043</f>
        <v>391.93333333333334</v>
      </c>
    </row>
    <row r="2044" spans="1:10" x14ac:dyDescent="0.3">
      <c r="A2044" s="9">
        <v>37470</v>
      </c>
      <c r="B2044" s="2" t="str">
        <f>TEXT(Raw_Data!$A2044, "MMM")</f>
        <v>Aug</v>
      </c>
      <c r="C2044" s="2">
        <f>YEAR(Raw_Data!$A2044)</f>
        <v>2002</v>
      </c>
      <c r="D2044" s="2" t="s">
        <v>1664</v>
      </c>
      <c r="E2044" s="2" t="s">
        <v>32</v>
      </c>
      <c r="F2044" s="2" t="s">
        <v>16</v>
      </c>
      <c r="G2044" s="2">
        <v>2</v>
      </c>
      <c r="H2044" s="2">
        <v>2985</v>
      </c>
      <c r="I2044" s="10">
        <v>529883</v>
      </c>
      <c r="J2044" s="10">
        <f>Raw_Data!$I2044/Raw_Data!$H2044</f>
        <v>177.51524288107203</v>
      </c>
    </row>
    <row r="2045" spans="1:10" x14ac:dyDescent="0.3">
      <c r="A2045" s="8">
        <v>37426</v>
      </c>
      <c r="B2045" t="str">
        <f>TEXT(Raw_Data!$A2045, "MMM")</f>
        <v>Jun</v>
      </c>
      <c r="C2045">
        <f>YEAR(Raw_Data!$A2045)</f>
        <v>2002</v>
      </c>
      <c r="D2045" t="s">
        <v>745</v>
      </c>
      <c r="E2045" t="s">
        <v>23</v>
      </c>
      <c r="F2045" t="s">
        <v>11</v>
      </c>
      <c r="G2045">
        <v>2</v>
      </c>
      <c r="H2045">
        <v>2540</v>
      </c>
      <c r="I2045" s="1">
        <v>307662</v>
      </c>
      <c r="J2045" s="1">
        <f>Raw_Data!$I2045/Raw_Data!$H2045</f>
        <v>121.1267716535433</v>
      </c>
    </row>
    <row r="2046" spans="1:10" x14ac:dyDescent="0.3">
      <c r="A2046" s="9">
        <v>44167</v>
      </c>
      <c r="B2046" s="2" t="str">
        <f>TEXT(Raw_Data!$A2046, "MMM")</f>
        <v>Dec</v>
      </c>
      <c r="C2046" s="2">
        <f>YEAR(Raw_Data!$A2046)</f>
        <v>2020</v>
      </c>
      <c r="D2046" s="2" t="s">
        <v>1665</v>
      </c>
      <c r="E2046" s="2" t="s">
        <v>29</v>
      </c>
      <c r="F2046" s="2" t="s">
        <v>11</v>
      </c>
      <c r="G2046" s="2">
        <v>5</v>
      </c>
      <c r="H2046" s="2">
        <v>1267</v>
      </c>
      <c r="I2046" s="10">
        <v>890402</v>
      </c>
      <c r="J2046" s="10">
        <f>Raw_Data!$I2046/Raw_Data!$H2046</f>
        <v>702.7640094711918</v>
      </c>
    </row>
    <row r="2047" spans="1:10" x14ac:dyDescent="0.3">
      <c r="A2047" s="8">
        <v>44018</v>
      </c>
      <c r="B2047" t="str">
        <f>TEXT(Raw_Data!$A2047, "MMM")</f>
        <v>Jul</v>
      </c>
      <c r="C2047">
        <f>YEAR(Raw_Data!$A2047)</f>
        <v>2020</v>
      </c>
      <c r="D2047" t="s">
        <v>356</v>
      </c>
      <c r="E2047" t="s">
        <v>23</v>
      </c>
      <c r="F2047" t="s">
        <v>16</v>
      </c>
      <c r="H2047">
        <v>2859</v>
      </c>
      <c r="I2047" s="1">
        <v>660041</v>
      </c>
      <c r="J2047" s="1">
        <f>Raw_Data!$I2047/Raw_Data!$H2047</f>
        <v>230.86428821266176</v>
      </c>
    </row>
    <row r="2048" spans="1:10" x14ac:dyDescent="0.3">
      <c r="A2048" s="9">
        <v>39994</v>
      </c>
      <c r="B2048" s="2" t="str">
        <f>TEXT(Raw_Data!$A2048, "MMM")</f>
        <v>Jun</v>
      </c>
      <c r="C2048" s="2">
        <f>YEAR(Raw_Data!$A2048)</f>
        <v>2009</v>
      </c>
      <c r="D2048" s="2" t="s">
        <v>1666</v>
      </c>
      <c r="E2048" s="2" t="s">
        <v>25</v>
      </c>
      <c r="F2048" s="2" t="s">
        <v>18</v>
      </c>
      <c r="G2048" s="2">
        <v>3</v>
      </c>
      <c r="H2048" s="2">
        <v>1190</v>
      </c>
      <c r="I2048" s="10"/>
      <c r="J2048" s="10">
        <f>Raw_Data!$I2048/Raw_Data!$H2048</f>
        <v>0</v>
      </c>
    </row>
    <row r="2049" spans="1:10" x14ac:dyDescent="0.3">
      <c r="A2049" s="8">
        <v>37374</v>
      </c>
      <c r="B2049" t="str">
        <f>TEXT(Raw_Data!$A2049, "MMM")</f>
        <v>Apr</v>
      </c>
      <c r="C2049">
        <f>YEAR(Raw_Data!$A2049)</f>
        <v>2002</v>
      </c>
      <c r="D2049" t="s">
        <v>1667</v>
      </c>
      <c r="E2049" t="s">
        <v>13</v>
      </c>
      <c r="F2049" t="s">
        <v>18</v>
      </c>
      <c r="H2049">
        <v>1482</v>
      </c>
      <c r="I2049" s="1">
        <v>174122</v>
      </c>
      <c r="J2049" s="1">
        <f>Raw_Data!$I2049/Raw_Data!$H2049</f>
        <v>117.49122807017544</v>
      </c>
    </row>
    <row r="2050" spans="1:10" x14ac:dyDescent="0.3">
      <c r="A2050" s="9">
        <v>38287</v>
      </c>
      <c r="B2050" s="2" t="str">
        <f>TEXT(Raw_Data!$A2050, "MMM")</f>
        <v>Oct</v>
      </c>
      <c r="C2050" s="2">
        <f>YEAR(Raw_Data!$A2050)</f>
        <v>2004</v>
      </c>
      <c r="D2050" s="2" t="s">
        <v>1668</v>
      </c>
      <c r="E2050" s="2" t="s">
        <v>32</v>
      </c>
      <c r="F2050" s="2" t="s">
        <v>16</v>
      </c>
      <c r="G2050" s="2">
        <v>4</v>
      </c>
      <c r="H2050" s="2">
        <v>3306</v>
      </c>
      <c r="I2050" s="10">
        <v>269345</v>
      </c>
      <c r="J2050" s="10">
        <f>Raw_Data!$I2050/Raw_Data!$H2050</f>
        <v>81.471566848154865</v>
      </c>
    </row>
    <row r="2051" spans="1:10" x14ac:dyDescent="0.3">
      <c r="A2051" s="8">
        <v>38415</v>
      </c>
      <c r="B2051" t="str">
        <f>TEXT(Raw_Data!$A2051, "MMM")</f>
        <v>Mar</v>
      </c>
      <c r="C2051">
        <f>YEAR(Raw_Data!$A2051)</f>
        <v>2005</v>
      </c>
      <c r="D2051" t="s">
        <v>843</v>
      </c>
      <c r="E2051" t="s">
        <v>29</v>
      </c>
      <c r="F2051" t="s">
        <v>18</v>
      </c>
      <c r="G2051">
        <v>3</v>
      </c>
      <c r="H2051">
        <v>3471</v>
      </c>
      <c r="I2051" s="1">
        <v>305625</v>
      </c>
      <c r="J2051" s="1">
        <f>Raw_Data!$I2051/Raw_Data!$H2051</f>
        <v>88.05099394987036</v>
      </c>
    </row>
    <row r="2052" spans="1:10" x14ac:dyDescent="0.3">
      <c r="A2052" s="9">
        <v>39534</v>
      </c>
      <c r="B2052" s="2" t="str">
        <f>TEXT(Raw_Data!$A2052, "MMM")</f>
        <v>Mar</v>
      </c>
      <c r="C2052" s="2">
        <f>YEAR(Raw_Data!$A2052)</f>
        <v>2008</v>
      </c>
      <c r="D2052" s="2" t="s">
        <v>1622</v>
      </c>
      <c r="E2052" s="2" t="s">
        <v>29</v>
      </c>
      <c r="F2052" s="2" t="s">
        <v>27</v>
      </c>
      <c r="G2052" s="2">
        <v>2</v>
      </c>
      <c r="H2052" s="2">
        <v>1898</v>
      </c>
      <c r="I2052" s="10">
        <v>667583</v>
      </c>
      <c r="J2052" s="10">
        <f>Raw_Data!$I2052/Raw_Data!$H2052</f>
        <v>351.72971548998947</v>
      </c>
    </row>
    <row r="2053" spans="1:10" x14ac:dyDescent="0.3">
      <c r="A2053" s="8">
        <v>40431</v>
      </c>
      <c r="B2053" t="str">
        <f>TEXT(Raw_Data!$A2053, "MMM")</f>
        <v>Sep</v>
      </c>
      <c r="C2053">
        <f>YEAR(Raw_Data!$A2053)</f>
        <v>2010</v>
      </c>
      <c r="D2053" t="s">
        <v>1669</v>
      </c>
      <c r="E2053" t="s">
        <v>15</v>
      </c>
      <c r="F2053" t="s">
        <v>18</v>
      </c>
      <c r="G2053">
        <v>4</v>
      </c>
      <c r="H2053">
        <v>2260</v>
      </c>
      <c r="I2053" s="1">
        <v>642897</v>
      </c>
      <c r="J2053" s="1">
        <f>Raw_Data!$I2053/Raw_Data!$H2053</f>
        <v>284.46769911504424</v>
      </c>
    </row>
    <row r="2054" spans="1:10" x14ac:dyDescent="0.3">
      <c r="A2054" s="9">
        <v>38885</v>
      </c>
      <c r="B2054" s="2" t="str">
        <f>TEXT(Raw_Data!$A2054, "MMM")</f>
        <v>Jun</v>
      </c>
      <c r="C2054" s="2">
        <f>YEAR(Raw_Data!$A2054)</f>
        <v>2006</v>
      </c>
      <c r="D2054" s="2" t="s">
        <v>1670</v>
      </c>
      <c r="E2054" s="2" t="s">
        <v>13</v>
      </c>
      <c r="F2054" s="2" t="s">
        <v>16</v>
      </c>
      <c r="G2054" s="2">
        <v>2</v>
      </c>
      <c r="H2054" s="2">
        <v>3461</v>
      </c>
      <c r="I2054" s="10">
        <v>224511</v>
      </c>
      <c r="J2054" s="10">
        <f>Raw_Data!$I2054/Raw_Data!$H2054</f>
        <v>64.868824039295006</v>
      </c>
    </row>
    <row r="2055" spans="1:10" x14ac:dyDescent="0.3">
      <c r="A2055" s="8">
        <v>40335</v>
      </c>
      <c r="B2055" t="str">
        <f>TEXT(Raw_Data!$A2055, "MMM")</f>
        <v>Jun</v>
      </c>
      <c r="C2055">
        <f>YEAR(Raw_Data!$A2055)</f>
        <v>2010</v>
      </c>
      <c r="D2055" t="s">
        <v>1671</v>
      </c>
      <c r="E2055" t="s">
        <v>13</v>
      </c>
      <c r="F2055" t="s">
        <v>11</v>
      </c>
      <c r="H2055">
        <v>1533</v>
      </c>
      <c r="I2055" s="1">
        <v>659120</v>
      </c>
      <c r="J2055" s="1">
        <f>Raw_Data!$I2055/Raw_Data!$H2055</f>
        <v>429.95433789954336</v>
      </c>
    </row>
    <row r="2056" spans="1:10" x14ac:dyDescent="0.3">
      <c r="A2056" s="9">
        <v>43495</v>
      </c>
      <c r="B2056" s="2" t="str">
        <f>TEXT(Raw_Data!$A2056, "MMM")</f>
        <v>Jan</v>
      </c>
      <c r="C2056" s="2">
        <f>YEAR(Raw_Data!$A2056)</f>
        <v>2019</v>
      </c>
      <c r="D2056" s="2" t="s">
        <v>1672</v>
      </c>
      <c r="E2056" s="2" t="s">
        <v>32</v>
      </c>
      <c r="F2056" s="2" t="s">
        <v>16</v>
      </c>
      <c r="G2056" s="2"/>
      <c r="H2056" s="2">
        <v>2507</v>
      </c>
      <c r="I2056" s="10">
        <v>655949</v>
      </c>
      <c r="J2056" s="10">
        <f>Raw_Data!$I2056/Raw_Data!$H2056</f>
        <v>261.64698843238932</v>
      </c>
    </row>
    <row r="2057" spans="1:10" x14ac:dyDescent="0.3">
      <c r="A2057" s="8">
        <v>41078</v>
      </c>
      <c r="B2057" t="str">
        <f>TEXT(Raw_Data!$A2057, "MMM")</f>
        <v>Jun</v>
      </c>
      <c r="C2057">
        <f>YEAR(Raw_Data!$A2057)</f>
        <v>2012</v>
      </c>
      <c r="D2057" t="s">
        <v>1558</v>
      </c>
      <c r="E2057" t="s">
        <v>29</v>
      </c>
      <c r="F2057" t="s">
        <v>18</v>
      </c>
      <c r="H2057">
        <v>1553</v>
      </c>
      <c r="I2057" s="1">
        <v>442442</v>
      </c>
      <c r="J2057" s="1">
        <f>Raw_Data!$I2057/Raw_Data!$H2057</f>
        <v>284.89504185447521</v>
      </c>
    </row>
    <row r="2058" spans="1:10" x14ac:dyDescent="0.3">
      <c r="A2058" s="9">
        <v>38043</v>
      </c>
      <c r="B2058" s="2" t="str">
        <f>TEXT(Raw_Data!$A2058, "MMM")</f>
        <v>Feb</v>
      </c>
      <c r="C2058" s="2">
        <f>YEAR(Raw_Data!$A2058)</f>
        <v>2004</v>
      </c>
      <c r="D2058" s="2" t="s">
        <v>1673</v>
      </c>
      <c r="E2058" s="2" t="s">
        <v>32</v>
      </c>
      <c r="F2058" s="2" t="s">
        <v>16</v>
      </c>
      <c r="G2058" s="2">
        <v>2</v>
      </c>
      <c r="H2058" s="2">
        <v>846</v>
      </c>
      <c r="I2058" s="10">
        <v>627883</v>
      </c>
      <c r="J2058" s="10">
        <f>Raw_Data!$I2058/Raw_Data!$H2058</f>
        <v>742.1784869976359</v>
      </c>
    </row>
    <row r="2059" spans="1:10" x14ac:dyDescent="0.3">
      <c r="A2059" s="8">
        <v>43366</v>
      </c>
      <c r="B2059" t="str">
        <f>TEXT(Raw_Data!$A2059, "MMM")</f>
        <v>Sep</v>
      </c>
      <c r="C2059">
        <f>YEAR(Raw_Data!$A2059)</f>
        <v>2018</v>
      </c>
      <c r="D2059" t="s">
        <v>386</v>
      </c>
      <c r="E2059" t="s">
        <v>13</v>
      </c>
      <c r="F2059" t="s">
        <v>16</v>
      </c>
      <c r="H2059">
        <v>1481</v>
      </c>
      <c r="I2059" s="1">
        <v>164643</v>
      </c>
      <c r="J2059" s="1">
        <f>Raw_Data!$I2059/Raw_Data!$H2059</f>
        <v>111.17015530047266</v>
      </c>
    </row>
    <row r="2060" spans="1:10" x14ac:dyDescent="0.3">
      <c r="A2060" s="9">
        <v>38998</v>
      </c>
      <c r="B2060" s="2" t="str">
        <f>TEXT(Raw_Data!$A2060, "MMM")</f>
        <v>Oct</v>
      </c>
      <c r="C2060" s="2">
        <f>YEAR(Raw_Data!$A2060)</f>
        <v>2006</v>
      </c>
      <c r="D2060" s="2" t="s">
        <v>1674</v>
      </c>
      <c r="E2060" s="2" t="s">
        <v>15</v>
      </c>
      <c r="F2060" s="2" t="s">
        <v>18</v>
      </c>
      <c r="G2060" s="2">
        <v>2</v>
      </c>
      <c r="H2060" s="2">
        <v>1151</v>
      </c>
      <c r="I2060" s="10">
        <v>292716</v>
      </c>
      <c r="J2060" s="10">
        <f>Raw_Data!$I2060/Raw_Data!$H2060</f>
        <v>254.31450912250216</v>
      </c>
    </row>
    <row r="2061" spans="1:10" x14ac:dyDescent="0.3">
      <c r="A2061" s="8">
        <v>39552</v>
      </c>
      <c r="B2061" t="str">
        <f>TEXT(Raw_Data!$A2061, "MMM")</f>
        <v>Apr</v>
      </c>
      <c r="C2061">
        <f>YEAR(Raw_Data!$A2061)</f>
        <v>2008</v>
      </c>
      <c r="D2061" t="s">
        <v>588</v>
      </c>
      <c r="E2061" t="s">
        <v>32</v>
      </c>
      <c r="F2061" t="s">
        <v>11</v>
      </c>
      <c r="G2061">
        <v>5</v>
      </c>
      <c r="H2061">
        <v>1226</v>
      </c>
      <c r="I2061" s="1">
        <v>305673</v>
      </c>
      <c r="J2061" s="1">
        <f>Raw_Data!$I2061/Raw_Data!$H2061</f>
        <v>249.32544861337684</v>
      </c>
    </row>
    <row r="2062" spans="1:10" x14ac:dyDescent="0.3">
      <c r="A2062" s="9">
        <v>39790</v>
      </c>
      <c r="B2062" s="2" t="str">
        <f>TEXT(Raw_Data!$A2062, "MMM")</f>
        <v>Dec</v>
      </c>
      <c r="C2062" s="2">
        <f>YEAR(Raw_Data!$A2062)</f>
        <v>2008</v>
      </c>
      <c r="D2062" s="2" t="s">
        <v>1675</v>
      </c>
      <c r="E2062" s="2" t="s">
        <v>25</v>
      </c>
      <c r="F2062" s="2" t="s">
        <v>18</v>
      </c>
      <c r="G2062" s="2">
        <v>3</v>
      </c>
      <c r="H2062" s="2">
        <v>1683</v>
      </c>
      <c r="I2062" s="10">
        <v>532563</v>
      </c>
      <c r="J2062" s="10">
        <f>Raw_Data!$I2062/Raw_Data!$H2062</f>
        <v>316.4367201426025</v>
      </c>
    </row>
    <row r="2063" spans="1:10" x14ac:dyDescent="0.3">
      <c r="A2063" s="8">
        <v>43436</v>
      </c>
      <c r="B2063" t="str">
        <f>TEXT(Raw_Data!$A2063, "MMM")</f>
        <v>Dec</v>
      </c>
      <c r="C2063">
        <f>YEAR(Raw_Data!$A2063)</f>
        <v>2018</v>
      </c>
      <c r="D2063" t="s">
        <v>1676</v>
      </c>
      <c r="E2063" t="s">
        <v>23</v>
      </c>
      <c r="F2063" t="s">
        <v>16</v>
      </c>
      <c r="H2063">
        <v>1934</v>
      </c>
      <c r="I2063" s="1">
        <v>399577</v>
      </c>
      <c r="J2063" s="1">
        <f>Raw_Data!$I2063/Raw_Data!$H2063</f>
        <v>206.60651499482938</v>
      </c>
    </row>
    <row r="2064" spans="1:10" x14ac:dyDescent="0.3">
      <c r="A2064" s="9">
        <v>39259</v>
      </c>
      <c r="B2064" s="2" t="str">
        <f>TEXT(Raw_Data!$A2064, "MMM")</f>
        <v>Jun</v>
      </c>
      <c r="C2064" s="2">
        <f>YEAR(Raw_Data!$A2064)</f>
        <v>2007</v>
      </c>
      <c r="D2064" s="2" t="s">
        <v>1677</v>
      </c>
      <c r="E2064" s="2" t="s">
        <v>21</v>
      </c>
      <c r="F2064" s="2" t="s">
        <v>11</v>
      </c>
      <c r="G2064" s="2">
        <v>3</v>
      </c>
      <c r="H2064" s="2">
        <v>1414</v>
      </c>
      <c r="I2064" s="10">
        <v>381623</v>
      </c>
      <c r="J2064" s="10">
        <f>Raw_Data!$I2064/Raw_Data!$H2064</f>
        <v>269.88896746817539</v>
      </c>
    </row>
    <row r="2065" spans="1:10" x14ac:dyDescent="0.3">
      <c r="A2065" s="8">
        <v>39480</v>
      </c>
      <c r="B2065" t="str">
        <f>TEXT(Raw_Data!$A2065, "MMM")</f>
        <v>Feb</v>
      </c>
      <c r="C2065">
        <f>YEAR(Raw_Data!$A2065)</f>
        <v>2008</v>
      </c>
      <c r="D2065" t="s">
        <v>1238</v>
      </c>
      <c r="E2065" t="s">
        <v>15</v>
      </c>
      <c r="F2065" t="s">
        <v>16</v>
      </c>
      <c r="G2065">
        <v>4</v>
      </c>
      <c r="H2065">
        <v>3002</v>
      </c>
      <c r="I2065" s="1">
        <v>877088</v>
      </c>
      <c r="J2065" s="1">
        <f>Raw_Data!$I2065/Raw_Data!$H2065</f>
        <v>292.16788807461694</v>
      </c>
    </row>
    <row r="2066" spans="1:10" x14ac:dyDescent="0.3">
      <c r="A2066" s="9">
        <v>40703</v>
      </c>
      <c r="B2066" s="2" t="str">
        <f>TEXT(Raw_Data!$A2066, "MMM")</f>
        <v>Jun</v>
      </c>
      <c r="C2066" s="2">
        <f>YEAR(Raw_Data!$A2066)</f>
        <v>2011</v>
      </c>
      <c r="D2066" s="2" t="s">
        <v>1027</v>
      </c>
      <c r="E2066" s="2" t="s">
        <v>21</v>
      </c>
      <c r="F2066" s="2" t="s">
        <v>27</v>
      </c>
      <c r="G2066" s="2"/>
      <c r="H2066" s="2">
        <v>3280</v>
      </c>
      <c r="I2066" s="10">
        <v>103521</v>
      </c>
      <c r="J2066" s="10">
        <f>Raw_Data!$I2066/Raw_Data!$H2066</f>
        <v>31.561280487804879</v>
      </c>
    </row>
    <row r="2067" spans="1:10" x14ac:dyDescent="0.3">
      <c r="A2067" s="8">
        <v>39421</v>
      </c>
      <c r="B2067" t="str">
        <f>TEXT(Raw_Data!$A2067, "MMM")</f>
        <v>Dec</v>
      </c>
      <c r="C2067">
        <f>YEAR(Raw_Data!$A2067)</f>
        <v>2007</v>
      </c>
      <c r="D2067" t="s">
        <v>1678</v>
      </c>
      <c r="E2067" t="s">
        <v>13</v>
      </c>
      <c r="F2067" t="s">
        <v>27</v>
      </c>
      <c r="G2067">
        <v>3</v>
      </c>
      <c r="H2067">
        <v>885</v>
      </c>
      <c r="I2067" s="1">
        <v>429499</v>
      </c>
      <c r="J2067" s="1">
        <f>Raw_Data!$I2067/Raw_Data!$H2067</f>
        <v>485.30960451977398</v>
      </c>
    </row>
    <row r="2068" spans="1:10" x14ac:dyDescent="0.3">
      <c r="A2068" s="9">
        <v>38706</v>
      </c>
      <c r="B2068" s="2" t="str">
        <f>TEXT(Raw_Data!$A2068, "MMM")</f>
        <v>Dec</v>
      </c>
      <c r="C2068" s="2">
        <f>YEAR(Raw_Data!$A2068)</f>
        <v>2005</v>
      </c>
      <c r="D2068" s="2" t="s">
        <v>1226</v>
      </c>
      <c r="E2068" s="2" t="s">
        <v>21</v>
      </c>
      <c r="F2068" s="2" t="s">
        <v>11</v>
      </c>
      <c r="G2068" s="2">
        <v>3</v>
      </c>
      <c r="H2068" s="2">
        <v>1418</v>
      </c>
      <c r="I2068" s="10">
        <v>140437</v>
      </c>
      <c r="J2068" s="10">
        <f>Raw_Data!$I2068/Raw_Data!$H2068</f>
        <v>99.038787023977434</v>
      </c>
    </row>
    <row r="2069" spans="1:10" x14ac:dyDescent="0.3">
      <c r="A2069" s="8">
        <v>41010</v>
      </c>
      <c r="B2069" t="str">
        <f>TEXT(Raw_Data!$A2069, "MMM")</f>
        <v>Apr</v>
      </c>
      <c r="C2069">
        <f>YEAR(Raw_Data!$A2069)</f>
        <v>2012</v>
      </c>
      <c r="D2069" t="s">
        <v>957</v>
      </c>
      <c r="E2069" t="s">
        <v>21</v>
      </c>
      <c r="F2069" t="s">
        <v>16</v>
      </c>
      <c r="G2069">
        <v>3</v>
      </c>
      <c r="H2069">
        <v>1400</v>
      </c>
      <c r="I2069" s="1">
        <v>225876</v>
      </c>
      <c r="J2069" s="1">
        <f>Raw_Data!$I2069/Raw_Data!$H2069</f>
        <v>161.34</v>
      </c>
    </row>
    <row r="2070" spans="1:10" x14ac:dyDescent="0.3">
      <c r="A2070" s="9">
        <v>37950</v>
      </c>
      <c r="B2070" s="2" t="str">
        <f>TEXT(Raw_Data!$A2070, "MMM")</f>
        <v>Nov</v>
      </c>
      <c r="C2070" s="2">
        <f>YEAR(Raw_Data!$A2070)</f>
        <v>2003</v>
      </c>
      <c r="D2070" s="2" t="s">
        <v>1679</v>
      </c>
      <c r="E2070" s="2" t="s">
        <v>32</v>
      </c>
      <c r="F2070" s="2" t="s">
        <v>11</v>
      </c>
      <c r="G2070" s="2">
        <v>5</v>
      </c>
      <c r="H2070" s="2">
        <v>3483</v>
      </c>
      <c r="I2070" s="10">
        <v>198323</v>
      </c>
      <c r="J2070" s="10">
        <f>Raw_Data!$I2070/Raw_Data!$H2070</f>
        <v>56.940281366637954</v>
      </c>
    </row>
    <row r="2071" spans="1:10" x14ac:dyDescent="0.3">
      <c r="A2071" s="8">
        <v>39053</v>
      </c>
      <c r="B2071" t="str">
        <f>TEXT(Raw_Data!$A2071, "MMM")</f>
        <v>Dec</v>
      </c>
      <c r="C2071">
        <f>YEAR(Raw_Data!$A2071)</f>
        <v>2006</v>
      </c>
      <c r="D2071" t="s">
        <v>1273</v>
      </c>
      <c r="E2071" t="s">
        <v>25</v>
      </c>
      <c r="F2071" t="s">
        <v>16</v>
      </c>
      <c r="G2071">
        <v>2</v>
      </c>
      <c r="H2071">
        <v>2027</v>
      </c>
      <c r="I2071" s="1">
        <v>381360</v>
      </c>
      <c r="J2071" s="1">
        <f>Raw_Data!$I2071/Raw_Data!$H2071</f>
        <v>188.14010853478047</v>
      </c>
    </row>
    <row r="2072" spans="1:10" x14ac:dyDescent="0.3">
      <c r="A2072" s="9">
        <v>41259</v>
      </c>
      <c r="B2072" s="2" t="str">
        <f>TEXT(Raw_Data!$A2072, "MMM")</f>
        <v>Dec</v>
      </c>
      <c r="C2072" s="2">
        <f>YEAR(Raw_Data!$A2072)</f>
        <v>2012</v>
      </c>
      <c r="D2072" s="2" t="s">
        <v>1680</v>
      </c>
      <c r="E2072" s="2" t="s">
        <v>15</v>
      </c>
      <c r="F2072" s="2" t="s">
        <v>27</v>
      </c>
      <c r="G2072" s="2">
        <v>4</v>
      </c>
      <c r="H2072" s="2">
        <v>1050</v>
      </c>
      <c r="I2072" s="10">
        <v>170194</v>
      </c>
      <c r="J2072" s="10">
        <f>Raw_Data!$I2072/Raw_Data!$H2072</f>
        <v>162.0895238095238</v>
      </c>
    </row>
    <row r="2073" spans="1:10" x14ac:dyDescent="0.3">
      <c r="A2073" s="8">
        <v>39612</v>
      </c>
      <c r="B2073" t="str">
        <f>TEXT(Raw_Data!$A2073, "MMM")</f>
        <v>Jun</v>
      </c>
      <c r="C2073">
        <f>YEAR(Raw_Data!$A2073)</f>
        <v>2008</v>
      </c>
      <c r="D2073" t="s">
        <v>1037</v>
      </c>
      <c r="E2073" t="s">
        <v>13</v>
      </c>
      <c r="F2073" t="s">
        <v>16</v>
      </c>
      <c r="G2073">
        <v>3</v>
      </c>
      <c r="H2073">
        <v>2008</v>
      </c>
      <c r="I2073" s="1">
        <v>130680</v>
      </c>
      <c r="J2073" s="1">
        <f>Raw_Data!$I2073/Raw_Data!$H2073</f>
        <v>65.079681274900395</v>
      </c>
    </row>
    <row r="2074" spans="1:10" x14ac:dyDescent="0.3">
      <c r="A2074" s="9">
        <v>38400</v>
      </c>
      <c r="B2074" s="2" t="str">
        <f>TEXT(Raw_Data!$A2074, "MMM")</f>
        <v>Feb</v>
      </c>
      <c r="C2074" s="2">
        <f>YEAR(Raw_Data!$A2074)</f>
        <v>2005</v>
      </c>
      <c r="D2074" s="2" t="s">
        <v>1681</v>
      </c>
      <c r="E2074" s="2" t="s">
        <v>29</v>
      </c>
      <c r="F2074" s="2" t="s">
        <v>27</v>
      </c>
      <c r="G2074" s="2"/>
      <c r="H2074" s="2">
        <v>1484</v>
      </c>
      <c r="I2074" s="10">
        <v>110296</v>
      </c>
      <c r="J2074" s="10">
        <f>Raw_Data!$I2074/Raw_Data!$H2074</f>
        <v>74.323450134770894</v>
      </c>
    </row>
    <row r="2075" spans="1:10" x14ac:dyDescent="0.3">
      <c r="A2075" s="8">
        <v>41286</v>
      </c>
      <c r="B2075" t="str">
        <f>TEXT(Raw_Data!$A2075, "MMM")</f>
        <v>Jan</v>
      </c>
      <c r="C2075">
        <f>YEAR(Raw_Data!$A2075)</f>
        <v>2013</v>
      </c>
      <c r="D2075" t="s">
        <v>1682</v>
      </c>
      <c r="E2075" t="s">
        <v>25</v>
      </c>
      <c r="F2075" t="s">
        <v>16</v>
      </c>
      <c r="G2075">
        <v>3</v>
      </c>
      <c r="H2075">
        <v>2039</v>
      </c>
      <c r="I2075" s="1">
        <v>701701</v>
      </c>
      <c r="J2075" s="1">
        <f>Raw_Data!$I2075/Raw_Data!$H2075</f>
        <v>344.1397743992153</v>
      </c>
    </row>
    <row r="2076" spans="1:10" x14ac:dyDescent="0.3">
      <c r="A2076" s="9">
        <v>44078</v>
      </c>
      <c r="B2076" s="2" t="str">
        <f>TEXT(Raw_Data!$A2076, "MMM")</f>
        <v>Sep</v>
      </c>
      <c r="C2076" s="2">
        <f>YEAR(Raw_Data!$A2076)</f>
        <v>2020</v>
      </c>
      <c r="D2076" s="2" t="s">
        <v>1683</v>
      </c>
      <c r="E2076" s="2" t="s">
        <v>29</v>
      </c>
      <c r="F2076" s="2" t="s">
        <v>27</v>
      </c>
      <c r="G2076" s="2">
        <v>5</v>
      </c>
      <c r="H2076" s="2">
        <v>1908</v>
      </c>
      <c r="I2076" s="10">
        <v>253077</v>
      </c>
      <c r="J2076" s="10">
        <f>Raw_Data!$I2076/Raw_Data!$H2076</f>
        <v>132.63993710691824</v>
      </c>
    </row>
    <row r="2077" spans="1:10" x14ac:dyDescent="0.3">
      <c r="A2077" s="8">
        <v>38615</v>
      </c>
      <c r="B2077" t="str">
        <f>TEXT(Raw_Data!$A2077, "MMM")</f>
        <v>Sep</v>
      </c>
      <c r="C2077">
        <f>YEAR(Raw_Data!$A2077)</f>
        <v>2005</v>
      </c>
      <c r="D2077" t="s">
        <v>1684</v>
      </c>
      <c r="E2077" t="s">
        <v>13</v>
      </c>
      <c r="F2077" t="s">
        <v>16</v>
      </c>
      <c r="G2077">
        <v>5</v>
      </c>
      <c r="H2077">
        <v>1985</v>
      </c>
      <c r="I2077" s="1">
        <v>702228</v>
      </c>
      <c r="J2077" s="1">
        <f>Raw_Data!$I2077/Raw_Data!$H2077</f>
        <v>353.76725440806047</v>
      </c>
    </row>
    <row r="2078" spans="1:10" x14ac:dyDescent="0.3">
      <c r="A2078" s="9">
        <v>38084</v>
      </c>
      <c r="B2078" s="2" t="str">
        <f>TEXT(Raw_Data!$A2078, "MMM")</f>
        <v>Apr</v>
      </c>
      <c r="C2078" s="2">
        <f>YEAR(Raw_Data!$A2078)</f>
        <v>2004</v>
      </c>
      <c r="D2078" s="2" t="s">
        <v>1480</v>
      </c>
      <c r="E2078" s="2" t="s">
        <v>13</v>
      </c>
      <c r="F2078" s="2" t="s">
        <v>27</v>
      </c>
      <c r="G2078" s="2">
        <v>5</v>
      </c>
      <c r="H2078" s="2">
        <v>1339</v>
      </c>
      <c r="I2078" s="10">
        <v>444037</v>
      </c>
      <c r="J2078" s="10">
        <f>Raw_Data!$I2078/Raw_Data!$H2078</f>
        <v>331.61837191934279</v>
      </c>
    </row>
    <row r="2079" spans="1:10" x14ac:dyDescent="0.3">
      <c r="A2079" s="8">
        <v>39615</v>
      </c>
      <c r="B2079" t="str">
        <f>TEXT(Raw_Data!$A2079, "MMM")</f>
        <v>Jun</v>
      </c>
      <c r="C2079">
        <f>YEAR(Raw_Data!$A2079)</f>
        <v>2008</v>
      </c>
      <c r="D2079" t="s">
        <v>909</v>
      </c>
      <c r="E2079" t="s">
        <v>21</v>
      </c>
      <c r="F2079" t="s">
        <v>11</v>
      </c>
      <c r="G2079">
        <v>3</v>
      </c>
      <c r="H2079">
        <v>2691</v>
      </c>
      <c r="I2079" s="1">
        <v>747033</v>
      </c>
      <c r="J2079" s="1">
        <f>Raw_Data!$I2079/Raw_Data!$H2079</f>
        <v>277.60423634336678</v>
      </c>
    </row>
    <row r="2080" spans="1:10" x14ac:dyDescent="0.3">
      <c r="A2080" s="9">
        <v>44120</v>
      </c>
      <c r="B2080" s="2" t="str">
        <f>TEXT(Raw_Data!$A2080, "MMM")</f>
        <v>Oct</v>
      </c>
      <c r="C2080" s="2">
        <f>YEAR(Raw_Data!$A2080)</f>
        <v>2020</v>
      </c>
      <c r="D2080" s="2" t="s">
        <v>592</v>
      </c>
      <c r="E2080" s="2" t="s">
        <v>25</v>
      </c>
      <c r="F2080" s="2" t="s">
        <v>11</v>
      </c>
      <c r="G2080" s="2"/>
      <c r="H2080" s="2">
        <v>2606</v>
      </c>
      <c r="I2080" s="10">
        <v>418733</v>
      </c>
      <c r="J2080" s="10">
        <f>Raw_Data!$I2080/Raw_Data!$H2080</f>
        <v>160.68035303146584</v>
      </c>
    </row>
    <row r="2081" spans="1:10" x14ac:dyDescent="0.3">
      <c r="A2081" s="8">
        <v>43403</v>
      </c>
      <c r="B2081" t="str">
        <f>TEXT(Raw_Data!$A2081, "MMM")</f>
        <v>Oct</v>
      </c>
      <c r="C2081">
        <f>YEAR(Raw_Data!$A2081)</f>
        <v>2018</v>
      </c>
      <c r="D2081" t="s">
        <v>174</v>
      </c>
      <c r="E2081" t="s">
        <v>29</v>
      </c>
      <c r="F2081" t="s">
        <v>11</v>
      </c>
      <c r="G2081">
        <v>2</v>
      </c>
      <c r="H2081">
        <v>2935</v>
      </c>
      <c r="I2081" s="1">
        <v>444463</v>
      </c>
      <c r="J2081" s="1">
        <f>Raw_Data!$I2081/Raw_Data!$H2081</f>
        <v>151.43543441226575</v>
      </c>
    </row>
    <row r="2082" spans="1:10" x14ac:dyDescent="0.3">
      <c r="A2082" s="9">
        <v>39827</v>
      </c>
      <c r="B2082" s="2" t="str">
        <f>TEXT(Raw_Data!$A2082, "MMM")</f>
        <v>Jan</v>
      </c>
      <c r="C2082" s="2">
        <f>YEAR(Raw_Data!$A2082)</f>
        <v>2009</v>
      </c>
      <c r="D2082" s="2" t="s">
        <v>1218</v>
      </c>
      <c r="E2082" s="2" t="s">
        <v>25</v>
      </c>
      <c r="F2082" s="2" t="s">
        <v>16</v>
      </c>
      <c r="G2082" s="2"/>
      <c r="H2082" s="2">
        <v>1021</v>
      </c>
      <c r="I2082" s="10">
        <v>664430</v>
      </c>
      <c r="J2082" s="10">
        <f>Raw_Data!$I2082/Raw_Data!$H2082</f>
        <v>650.7639569049951</v>
      </c>
    </row>
    <row r="2083" spans="1:10" x14ac:dyDescent="0.3">
      <c r="A2083" s="8">
        <v>42044</v>
      </c>
      <c r="B2083" t="str">
        <f>TEXT(Raw_Data!$A2083, "MMM")</f>
        <v>Feb</v>
      </c>
      <c r="C2083">
        <f>YEAR(Raw_Data!$A2083)</f>
        <v>2015</v>
      </c>
      <c r="D2083" t="s">
        <v>1024</v>
      </c>
      <c r="E2083" t="s">
        <v>25</v>
      </c>
      <c r="F2083" t="s">
        <v>27</v>
      </c>
      <c r="G2083">
        <v>4</v>
      </c>
      <c r="H2083">
        <v>986</v>
      </c>
      <c r="I2083" s="1">
        <v>719115</v>
      </c>
      <c r="J2083" s="1">
        <f>Raw_Data!$I2083/Raw_Data!$H2083</f>
        <v>729.32555780933058</v>
      </c>
    </row>
    <row r="2084" spans="1:10" x14ac:dyDescent="0.3">
      <c r="A2084" s="9">
        <v>40476</v>
      </c>
      <c r="B2084" s="2" t="str">
        <f>TEXT(Raw_Data!$A2084, "MMM")</f>
        <v>Oct</v>
      </c>
      <c r="C2084" s="2">
        <f>YEAR(Raw_Data!$A2084)</f>
        <v>2010</v>
      </c>
      <c r="D2084" s="2" t="s">
        <v>1685</v>
      </c>
      <c r="E2084" s="2" t="s">
        <v>21</v>
      </c>
      <c r="F2084" s="2" t="s">
        <v>11</v>
      </c>
      <c r="G2084" s="2">
        <v>3</v>
      </c>
      <c r="H2084" s="2">
        <v>2361</v>
      </c>
      <c r="I2084" s="10">
        <v>134209</v>
      </c>
      <c r="J2084" s="10">
        <f>Raw_Data!$I2084/Raw_Data!$H2084</f>
        <v>56.844133841592544</v>
      </c>
    </row>
    <row r="2085" spans="1:10" x14ac:dyDescent="0.3">
      <c r="A2085" s="8">
        <v>43192</v>
      </c>
      <c r="B2085" t="str">
        <f>TEXT(Raw_Data!$A2085, "MMM")</f>
        <v>Apr</v>
      </c>
      <c r="C2085">
        <f>YEAR(Raw_Data!$A2085)</f>
        <v>2018</v>
      </c>
      <c r="D2085" t="s">
        <v>1686</v>
      </c>
      <c r="E2085" t="s">
        <v>21</v>
      </c>
      <c r="F2085" t="s">
        <v>18</v>
      </c>
      <c r="H2085">
        <v>3069</v>
      </c>
      <c r="I2085" s="1">
        <v>732089</v>
      </c>
      <c r="J2085" s="1">
        <f>Raw_Data!$I2085/Raw_Data!$H2085</f>
        <v>238.54317367220594</v>
      </c>
    </row>
    <row r="2086" spans="1:10" x14ac:dyDescent="0.3">
      <c r="A2086" s="9">
        <v>43202</v>
      </c>
      <c r="B2086" s="2" t="str">
        <f>TEXT(Raw_Data!$A2086, "MMM")</f>
        <v>Apr</v>
      </c>
      <c r="C2086" s="2">
        <f>YEAR(Raw_Data!$A2086)</f>
        <v>2018</v>
      </c>
      <c r="D2086" s="2" t="s">
        <v>319</v>
      </c>
      <c r="E2086" s="2" t="s">
        <v>21</v>
      </c>
      <c r="F2086" s="2" t="s">
        <v>11</v>
      </c>
      <c r="G2086" s="2"/>
      <c r="H2086" s="2">
        <v>3173</v>
      </c>
      <c r="I2086" s="10">
        <v>341370</v>
      </c>
      <c r="J2086" s="10">
        <f>Raw_Data!$I2086/Raw_Data!$H2086</f>
        <v>107.58588086983927</v>
      </c>
    </row>
    <row r="2087" spans="1:10" x14ac:dyDescent="0.3">
      <c r="A2087" s="8">
        <v>42791</v>
      </c>
      <c r="B2087" t="str">
        <f>TEXT(Raw_Data!$A2087, "MMM")</f>
        <v>Feb</v>
      </c>
      <c r="C2087">
        <f>YEAR(Raw_Data!$A2087)</f>
        <v>2017</v>
      </c>
      <c r="D2087" t="s">
        <v>1687</v>
      </c>
      <c r="E2087" t="s">
        <v>25</v>
      </c>
      <c r="F2087" t="s">
        <v>27</v>
      </c>
      <c r="G2087">
        <v>2</v>
      </c>
      <c r="H2087">
        <v>2499</v>
      </c>
      <c r="I2087" s="1">
        <v>596999</v>
      </c>
      <c r="J2087" s="1">
        <f>Raw_Data!$I2087/Raw_Data!$H2087</f>
        <v>238.8951580632253</v>
      </c>
    </row>
    <row r="2088" spans="1:10" x14ac:dyDescent="0.3">
      <c r="A2088" s="9">
        <v>38575</v>
      </c>
      <c r="B2088" s="2" t="str">
        <f>TEXT(Raw_Data!$A2088, "MMM")</f>
        <v>Aug</v>
      </c>
      <c r="C2088" s="2">
        <f>YEAR(Raw_Data!$A2088)</f>
        <v>2005</v>
      </c>
      <c r="D2088" s="2" t="s">
        <v>582</v>
      </c>
      <c r="E2088" s="2" t="s">
        <v>32</v>
      </c>
      <c r="F2088" s="2" t="s">
        <v>11</v>
      </c>
      <c r="G2088" s="2"/>
      <c r="H2088" s="2">
        <v>2803</v>
      </c>
      <c r="I2088" s="10">
        <v>137525</v>
      </c>
      <c r="J2088" s="10">
        <f>Raw_Data!$I2088/Raw_Data!$H2088</f>
        <v>49.063503389225829</v>
      </c>
    </row>
    <row r="2089" spans="1:10" x14ac:dyDescent="0.3">
      <c r="A2089" s="8">
        <v>42203</v>
      </c>
      <c r="B2089" t="str">
        <f>TEXT(Raw_Data!$A2089, "MMM")</f>
        <v>Jul</v>
      </c>
      <c r="C2089">
        <f>YEAR(Raw_Data!$A2089)</f>
        <v>2015</v>
      </c>
      <c r="D2089" t="s">
        <v>1346</v>
      </c>
      <c r="E2089" t="s">
        <v>25</v>
      </c>
      <c r="F2089" t="s">
        <v>11</v>
      </c>
      <c r="G2089">
        <v>4</v>
      </c>
      <c r="H2089">
        <v>1687</v>
      </c>
      <c r="I2089" s="1">
        <v>593865</v>
      </c>
      <c r="J2089" s="1">
        <f>Raw_Data!$I2089/Raw_Data!$H2089</f>
        <v>352.02430349733254</v>
      </c>
    </row>
    <row r="2090" spans="1:10" x14ac:dyDescent="0.3">
      <c r="A2090" s="9">
        <v>36990</v>
      </c>
      <c r="B2090" s="2" t="str">
        <f>TEXT(Raw_Data!$A2090, "MMM")</f>
        <v>Apr</v>
      </c>
      <c r="C2090" s="2">
        <f>YEAR(Raw_Data!$A2090)</f>
        <v>2001</v>
      </c>
      <c r="D2090" s="2" t="s">
        <v>1688</v>
      </c>
      <c r="E2090" s="2" t="s">
        <v>32</v>
      </c>
      <c r="F2090" s="2" t="s">
        <v>16</v>
      </c>
      <c r="G2090" s="2">
        <v>5</v>
      </c>
      <c r="H2090" s="2">
        <v>1545</v>
      </c>
      <c r="I2090" s="10">
        <v>409565</v>
      </c>
      <c r="J2090" s="10">
        <f>Raw_Data!$I2090/Raw_Data!$H2090</f>
        <v>265.09061488673137</v>
      </c>
    </row>
    <row r="2091" spans="1:10" x14ac:dyDescent="0.3">
      <c r="A2091" s="8">
        <v>37089</v>
      </c>
      <c r="B2091" t="str">
        <f>TEXT(Raw_Data!$A2091, "MMM")</f>
        <v>Jul</v>
      </c>
      <c r="C2091">
        <f>YEAR(Raw_Data!$A2091)</f>
        <v>2001</v>
      </c>
      <c r="D2091" t="s">
        <v>1689</v>
      </c>
      <c r="E2091" t="s">
        <v>15</v>
      </c>
      <c r="F2091" t="s">
        <v>18</v>
      </c>
      <c r="G2091">
        <v>3</v>
      </c>
      <c r="H2091">
        <v>3208</v>
      </c>
      <c r="I2091" s="1">
        <v>773104</v>
      </c>
      <c r="J2091" s="1">
        <f>Raw_Data!$I2091/Raw_Data!$H2091</f>
        <v>240.9925187032419</v>
      </c>
    </row>
    <row r="2092" spans="1:10" x14ac:dyDescent="0.3">
      <c r="A2092" s="9">
        <v>42691</v>
      </c>
      <c r="B2092" s="2" t="str">
        <f>TEXT(Raw_Data!$A2092, "MMM")</f>
        <v>Nov</v>
      </c>
      <c r="C2092" s="2">
        <f>YEAR(Raw_Data!$A2092)</f>
        <v>2016</v>
      </c>
      <c r="D2092" s="2" t="s">
        <v>1690</v>
      </c>
      <c r="E2092" s="2" t="s">
        <v>23</v>
      </c>
      <c r="F2092" s="2" t="s">
        <v>16</v>
      </c>
      <c r="G2092" s="2">
        <v>2</v>
      </c>
      <c r="H2092" s="2">
        <v>2379</v>
      </c>
      <c r="I2092" s="10">
        <v>628519</v>
      </c>
      <c r="J2092" s="10">
        <f>Raw_Data!$I2092/Raw_Data!$H2092</f>
        <v>264.19461958806221</v>
      </c>
    </row>
    <row r="2093" spans="1:10" x14ac:dyDescent="0.3">
      <c r="A2093" s="8">
        <v>41381</v>
      </c>
      <c r="B2093" t="str">
        <f>TEXT(Raw_Data!$A2093, "MMM")</f>
        <v>Apr</v>
      </c>
      <c r="C2093">
        <f>YEAR(Raw_Data!$A2093)</f>
        <v>2013</v>
      </c>
      <c r="D2093" t="s">
        <v>1691</v>
      </c>
      <c r="E2093" t="s">
        <v>23</v>
      </c>
      <c r="F2093" t="s">
        <v>27</v>
      </c>
      <c r="H2093">
        <v>2166</v>
      </c>
      <c r="I2093" s="1">
        <v>609955</v>
      </c>
      <c r="J2093" s="1">
        <f>Raw_Data!$I2093/Raw_Data!$H2093</f>
        <v>281.60433979686059</v>
      </c>
    </row>
    <row r="2094" spans="1:10" x14ac:dyDescent="0.3">
      <c r="A2094" s="9">
        <v>40171</v>
      </c>
      <c r="B2094" s="2" t="str">
        <f>TEXT(Raw_Data!$A2094, "MMM")</f>
        <v>Dec</v>
      </c>
      <c r="C2094" s="2">
        <f>YEAR(Raw_Data!$A2094)</f>
        <v>2009</v>
      </c>
      <c r="D2094" s="2" t="s">
        <v>1692</v>
      </c>
      <c r="E2094" s="2" t="s">
        <v>21</v>
      </c>
      <c r="F2094" s="2" t="s">
        <v>27</v>
      </c>
      <c r="G2094" s="2"/>
      <c r="H2094" s="2">
        <v>1194</v>
      </c>
      <c r="I2094" s="10">
        <v>893710</v>
      </c>
      <c r="J2094" s="10">
        <f>Raw_Data!$I2094/Raw_Data!$H2094</f>
        <v>748.50083752093803</v>
      </c>
    </row>
    <row r="2095" spans="1:10" x14ac:dyDescent="0.3">
      <c r="A2095" s="8">
        <v>43202</v>
      </c>
      <c r="B2095" t="str">
        <f>TEXT(Raw_Data!$A2095, "MMM")</f>
        <v>Apr</v>
      </c>
      <c r="C2095">
        <f>YEAR(Raw_Data!$A2095)</f>
        <v>2018</v>
      </c>
      <c r="D2095" t="s">
        <v>1693</v>
      </c>
      <c r="E2095" t="s">
        <v>32</v>
      </c>
      <c r="F2095" t="s">
        <v>11</v>
      </c>
      <c r="G2095">
        <v>4</v>
      </c>
      <c r="H2095">
        <v>2351</v>
      </c>
      <c r="I2095" s="1">
        <v>785764</v>
      </c>
      <c r="J2095" s="1">
        <f>Raw_Data!$I2095/Raw_Data!$H2095</f>
        <v>334.22543598468735</v>
      </c>
    </row>
    <row r="2096" spans="1:10" x14ac:dyDescent="0.3">
      <c r="A2096" s="9">
        <v>42652</v>
      </c>
      <c r="B2096" s="2" t="str">
        <f>TEXT(Raw_Data!$A2096, "MMM")</f>
        <v>Oct</v>
      </c>
      <c r="C2096" s="2">
        <f>YEAR(Raw_Data!$A2096)</f>
        <v>2016</v>
      </c>
      <c r="D2096" s="2" t="s">
        <v>1464</v>
      </c>
      <c r="E2096" s="2" t="s">
        <v>13</v>
      </c>
      <c r="F2096" s="2" t="s">
        <v>18</v>
      </c>
      <c r="G2096" s="2"/>
      <c r="H2096" s="2">
        <v>3130</v>
      </c>
      <c r="I2096" s="10">
        <v>420818</v>
      </c>
      <c r="J2096" s="10">
        <f>Raw_Data!$I2096/Raw_Data!$H2096</f>
        <v>134.44664536741215</v>
      </c>
    </row>
    <row r="2097" spans="1:10" x14ac:dyDescent="0.3">
      <c r="A2097" s="8">
        <v>40157</v>
      </c>
      <c r="B2097" t="str">
        <f>TEXT(Raw_Data!$A2097, "MMM")</f>
        <v>Dec</v>
      </c>
      <c r="C2097">
        <f>YEAR(Raw_Data!$A2097)</f>
        <v>2009</v>
      </c>
      <c r="D2097" t="s">
        <v>702</v>
      </c>
      <c r="E2097" t="s">
        <v>25</v>
      </c>
      <c r="F2097" t="s">
        <v>27</v>
      </c>
      <c r="G2097">
        <v>2</v>
      </c>
      <c r="H2097">
        <v>2105</v>
      </c>
      <c r="I2097" s="1">
        <v>506311</v>
      </c>
      <c r="J2097" s="1">
        <f>Raw_Data!$I2097/Raw_Data!$H2097</f>
        <v>240.52779097387173</v>
      </c>
    </row>
    <row r="2098" spans="1:10" x14ac:dyDescent="0.3">
      <c r="A2098" s="9">
        <v>42130</v>
      </c>
      <c r="B2098" s="2" t="str">
        <f>TEXT(Raw_Data!$A2098, "MMM")</f>
        <v>May</v>
      </c>
      <c r="C2098" s="2">
        <f>YEAR(Raw_Data!$A2098)</f>
        <v>2015</v>
      </c>
      <c r="D2098" s="2" t="s">
        <v>1343</v>
      </c>
      <c r="E2098" s="2" t="s">
        <v>15</v>
      </c>
      <c r="F2098" s="2" t="s">
        <v>16</v>
      </c>
      <c r="G2098" s="2">
        <v>4</v>
      </c>
      <c r="H2098" s="2">
        <v>1269</v>
      </c>
      <c r="I2098" s="10">
        <v>851333</v>
      </c>
      <c r="J2098" s="10">
        <f>Raw_Data!$I2098/Raw_Data!$H2098</f>
        <v>670.8691883372735</v>
      </c>
    </row>
    <row r="2099" spans="1:10" x14ac:dyDescent="0.3">
      <c r="A2099" s="8">
        <v>42329</v>
      </c>
      <c r="B2099" t="str">
        <f>TEXT(Raw_Data!$A2099, "MMM")</f>
        <v>Nov</v>
      </c>
      <c r="C2099">
        <f>YEAR(Raw_Data!$A2099)</f>
        <v>2015</v>
      </c>
      <c r="D2099" t="s">
        <v>1694</v>
      </c>
      <c r="E2099" t="s">
        <v>25</v>
      </c>
      <c r="F2099" t="s">
        <v>16</v>
      </c>
      <c r="H2099">
        <v>1892</v>
      </c>
      <c r="I2099" s="1">
        <v>757689</v>
      </c>
      <c r="J2099" s="1">
        <f>Raw_Data!$I2099/Raw_Data!$H2099</f>
        <v>400.46987315010568</v>
      </c>
    </row>
    <row r="2100" spans="1:10" x14ac:dyDescent="0.3">
      <c r="A2100" s="9">
        <v>36953</v>
      </c>
      <c r="B2100" s="2" t="str">
        <f>TEXT(Raw_Data!$A2100, "MMM")</f>
        <v>Mar</v>
      </c>
      <c r="C2100" s="2">
        <f>YEAR(Raw_Data!$A2100)</f>
        <v>2001</v>
      </c>
      <c r="D2100" s="2" t="s">
        <v>1695</v>
      </c>
      <c r="E2100" s="2" t="s">
        <v>21</v>
      </c>
      <c r="F2100" s="2" t="s">
        <v>27</v>
      </c>
      <c r="G2100" s="2">
        <v>5</v>
      </c>
      <c r="H2100" s="2">
        <v>2475</v>
      </c>
      <c r="I2100" s="10">
        <v>179396</v>
      </c>
      <c r="J2100" s="10">
        <f>Raw_Data!$I2100/Raw_Data!$H2100</f>
        <v>72.483232323232329</v>
      </c>
    </row>
    <row r="2101" spans="1:10" x14ac:dyDescent="0.3">
      <c r="A2101" s="8">
        <v>42538</v>
      </c>
      <c r="B2101" t="str">
        <f>TEXT(Raw_Data!$A2101, "MMM")</f>
        <v>Jun</v>
      </c>
      <c r="C2101">
        <f>YEAR(Raw_Data!$A2101)</f>
        <v>2016</v>
      </c>
      <c r="D2101" t="s">
        <v>1696</v>
      </c>
      <c r="E2101" t="s">
        <v>32</v>
      </c>
      <c r="F2101" t="s">
        <v>16</v>
      </c>
      <c r="G2101">
        <v>3</v>
      </c>
      <c r="H2101">
        <v>2899</v>
      </c>
      <c r="I2101" s="1">
        <v>767290</v>
      </c>
      <c r="J2101" s="1">
        <f>Raw_Data!$I2101/Raw_Data!$H2101</f>
        <v>264.67402552604347</v>
      </c>
    </row>
    <row r="2102" spans="1:10" x14ac:dyDescent="0.3">
      <c r="A2102" s="9">
        <v>43478</v>
      </c>
      <c r="B2102" s="2" t="str">
        <f>TEXT(Raw_Data!$A2102, "MMM")</f>
        <v>Jan</v>
      </c>
      <c r="C2102" s="2">
        <f>YEAR(Raw_Data!$A2102)</f>
        <v>2019</v>
      </c>
      <c r="D2102" s="2" t="s">
        <v>1697</v>
      </c>
      <c r="E2102" s="2" t="s">
        <v>25</v>
      </c>
      <c r="F2102" s="2" t="s">
        <v>27</v>
      </c>
      <c r="G2102" s="2">
        <v>5</v>
      </c>
      <c r="H2102" s="2">
        <v>1072</v>
      </c>
      <c r="I2102" s="10">
        <v>584309</v>
      </c>
      <c r="J2102" s="10">
        <f>Raw_Data!$I2102/Raw_Data!$H2102</f>
        <v>545.06436567164178</v>
      </c>
    </row>
    <row r="2103" spans="1:10" x14ac:dyDescent="0.3">
      <c r="A2103" s="8">
        <v>39955</v>
      </c>
      <c r="B2103" t="str">
        <f>TEXT(Raw_Data!$A2103, "MMM")</f>
        <v>May</v>
      </c>
      <c r="C2103">
        <f>YEAR(Raw_Data!$A2103)</f>
        <v>2009</v>
      </c>
      <c r="D2103" t="s">
        <v>1492</v>
      </c>
      <c r="E2103" t="s">
        <v>29</v>
      </c>
      <c r="F2103" t="s">
        <v>18</v>
      </c>
      <c r="H2103">
        <v>2366</v>
      </c>
      <c r="I2103" s="1">
        <v>212698</v>
      </c>
      <c r="J2103" s="1">
        <f>Raw_Data!$I2103/Raw_Data!$H2103</f>
        <v>89.897717666948438</v>
      </c>
    </row>
    <row r="2104" spans="1:10" x14ac:dyDescent="0.3">
      <c r="A2104" s="9">
        <v>38889</v>
      </c>
      <c r="B2104" s="2" t="str">
        <f>TEXT(Raw_Data!$A2104, "MMM")</f>
        <v>Jun</v>
      </c>
      <c r="C2104" s="2">
        <f>YEAR(Raw_Data!$A2104)</f>
        <v>2006</v>
      </c>
      <c r="D2104" s="2" t="s">
        <v>1325</v>
      </c>
      <c r="E2104" s="2" t="s">
        <v>23</v>
      </c>
      <c r="F2104" s="2" t="s">
        <v>27</v>
      </c>
      <c r="G2104" s="2">
        <v>5</v>
      </c>
      <c r="H2104" s="2">
        <v>902</v>
      </c>
      <c r="I2104" s="10">
        <v>198786</v>
      </c>
      <c r="J2104" s="10">
        <f>Raw_Data!$I2104/Raw_Data!$H2104</f>
        <v>220.38359201773835</v>
      </c>
    </row>
    <row r="2105" spans="1:10" x14ac:dyDescent="0.3">
      <c r="A2105" s="8">
        <v>44069</v>
      </c>
      <c r="B2105" t="str">
        <f>TEXT(Raw_Data!$A2105, "MMM")</f>
        <v>Aug</v>
      </c>
      <c r="C2105">
        <f>YEAR(Raw_Data!$A2105)</f>
        <v>2020</v>
      </c>
      <c r="D2105" t="s">
        <v>1698</v>
      </c>
      <c r="E2105" t="s">
        <v>25</v>
      </c>
      <c r="F2105" t="s">
        <v>18</v>
      </c>
      <c r="G2105">
        <v>4</v>
      </c>
      <c r="H2105">
        <v>873</v>
      </c>
      <c r="I2105" s="1">
        <v>332991</v>
      </c>
      <c r="J2105" s="1">
        <f>Raw_Data!$I2105/Raw_Data!$H2105</f>
        <v>381.43298969072163</v>
      </c>
    </row>
    <row r="2106" spans="1:10" x14ac:dyDescent="0.3">
      <c r="A2106" s="9">
        <v>40600</v>
      </c>
      <c r="B2106" s="2" t="str">
        <f>TEXT(Raw_Data!$A2106, "MMM")</f>
        <v>Feb</v>
      </c>
      <c r="C2106" s="2">
        <f>YEAR(Raw_Data!$A2106)</f>
        <v>2011</v>
      </c>
      <c r="D2106" s="2" t="s">
        <v>673</v>
      </c>
      <c r="E2106" s="2" t="s">
        <v>32</v>
      </c>
      <c r="F2106" s="2" t="s">
        <v>11</v>
      </c>
      <c r="G2106" s="2">
        <v>4</v>
      </c>
      <c r="H2106" s="2">
        <v>3346</v>
      </c>
      <c r="I2106" s="10">
        <v>444985</v>
      </c>
      <c r="J2106" s="10">
        <f>Raw_Data!$I2106/Raw_Data!$H2106</f>
        <v>132.99013747758517</v>
      </c>
    </row>
    <row r="2107" spans="1:10" x14ac:dyDescent="0.3">
      <c r="A2107" s="8">
        <v>37247</v>
      </c>
      <c r="B2107" t="str">
        <f>TEXT(Raw_Data!$A2107, "MMM")</f>
        <v>Dec</v>
      </c>
      <c r="C2107">
        <f>YEAR(Raw_Data!$A2107)</f>
        <v>2001</v>
      </c>
      <c r="D2107" t="s">
        <v>686</v>
      </c>
      <c r="E2107" t="s">
        <v>29</v>
      </c>
      <c r="F2107" t="s">
        <v>27</v>
      </c>
      <c r="G2107">
        <v>3</v>
      </c>
      <c r="H2107">
        <v>1702</v>
      </c>
      <c r="I2107" s="1">
        <v>338226</v>
      </c>
      <c r="J2107" s="1">
        <f>Raw_Data!$I2107/Raw_Data!$H2107</f>
        <v>198.72267920094006</v>
      </c>
    </row>
    <row r="2108" spans="1:10" x14ac:dyDescent="0.3">
      <c r="A2108" s="9">
        <v>43753</v>
      </c>
      <c r="B2108" s="2" t="str">
        <f>TEXT(Raw_Data!$A2108, "MMM")</f>
        <v>Oct</v>
      </c>
      <c r="C2108" s="2">
        <f>YEAR(Raw_Data!$A2108)</f>
        <v>2019</v>
      </c>
      <c r="D2108" s="2" t="s">
        <v>1699</v>
      </c>
      <c r="E2108" s="2" t="s">
        <v>32</v>
      </c>
      <c r="F2108" s="2" t="s">
        <v>16</v>
      </c>
      <c r="G2108" s="2">
        <v>5</v>
      </c>
      <c r="H2108" s="2">
        <v>1722</v>
      </c>
      <c r="I2108" s="10">
        <v>244125</v>
      </c>
      <c r="J2108" s="10">
        <f>Raw_Data!$I2108/Raw_Data!$H2108</f>
        <v>141.76829268292684</v>
      </c>
    </row>
    <row r="2109" spans="1:10" x14ac:dyDescent="0.3">
      <c r="A2109" s="8">
        <v>40858</v>
      </c>
      <c r="B2109" t="str">
        <f>TEXT(Raw_Data!$A2109, "MMM")</f>
        <v>Nov</v>
      </c>
      <c r="C2109">
        <f>YEAR(Raw_Data!$A2109)</f>
        <v>2011</v>
      </c>
      <c r="D2109" t="s">
        <v>1700</v>
      </c>
      <c r="E2109" t="s">
        <v>23</v>
      </c>
      <c r="F2109" t="s">
        <v>11</v>
      </c>
      <c r="H2109">
        <v>1408</v>
      </c>
      <c r="I2109" s="1">
        <v>790222</v>
      </c>
      <c r="J2109" s="1">
        <f>Raw_Data!$I2109/Raw_Data!$H2109</f>
        <v>561.23721590909088</v>
      </c>
    </row>
    <row r="2110" spans="1:10" x14ac:dyDescent="0.3">
      <c r="A2110" s="9">
        <v>40765</v>
      </c>
      <c r="B2110" s="2" t="str">
        <f>TEXT(Raw_Data!$A2110, "MMM")</f>
        <v>Aug</v>
      </c>
      <c r="C2110" s="2">
        <f>YEAR(Raw_Data!$A2110)</f>
        <v>2011</v>
      </c>
      <c r="D2110" s="2" t="s">
        <v>1701</v>
      </c>
      <c r="E2110" s="2" t="s">
        <v>32</v>
      </c>
      <c r="F2110" s="2" t="s">
        <v>27</v>
      </c>
      <c r="G2110" s="2"/>
      <c r="H2110" s="2">
        <v>2943</v>
      </c>
      <c r="I2110" s="10">
        <v>205462</v>
      </c>
      <c r="J2110" s="10">
        <f>Raw_Data!$I2110/Raw_Data!$H2110</f>
        <v>69.813795446822965</v>
      </c>
    </row>
    <row r="2111" spans="1:10" x14ac:dyDescent="0.3">
      <c r="A2111" s="8">
        <v>39942</v>
      </c>
      <c r="B2111" t="str">
        <f>TEXT(Raw_Data!$A2111, "MMM")</f>
        <v>May</v>
      </c>
      <c r="C2111">
        <f>YEAR(Raw_Data!$A2111)</f>
        <v>2009</v>
      </c>
      <c r="D2111" t="s">
        <v>1702</v>
      </c>
      <c r="E2111" t="s">
        <v>32</v>
      </c>
      <c r="F2111" t="s">
        <v>11</v>
      </c>
      <c r="G2111">
        <v>2</v>
      </c>
      <c r="H2111">
        <v>2311</v>
      </c>
      <c r="I2111" s="1">
        <v>826212</v>
      </c>
      <c r="J2111" s="1">
        <f>Raw_Data!$I2111/Raw_Data!$H2111</f>
        <v>357.51276503678059</v>
      </c>
    </row>
    <row r="2112" spans="1:10" x14ac:dyDescent="0.3">
      <c r="A2112" s="9">
        <v>43037</v>
      </c>
      <c r="B2112" s="2" t="str">
        <f>TEXT(Raw_Data!$A2112, "MMM")</f>
        <v>Oct</v>
      </c>
      <c r="C2112" s="2">
        <f>YEAR(Raw_Data!$A2112)</f>
        <v>2017</v>
      </c>
      <c r="D2112" s="2" t="s">
        <v>1703</v>
      </c>
      <c r="E2112" s="2" t="s">
        <v>25</v>
      </c>
      <c r="F2112" s="2" t="s">
        <v>11</v>
      </c>
      <c r="G2112" s="2">
        <v>5</v>
      </c>
      <c r="H2112" s="2">
        <v>2777</v>
      </c>
      <c r="I2112" s="10">
        <v>573411</v>
      </c>
      <c r="J2112" s="10">
        <f>Raw_Data!$I2112/Raw_Data!$H2112</f>
        <v>206.48577601728485</v>
      </c>
    </row>
    <row r="2113" spans="1:10" x14ac:dyDescent="0.3">
      <c r="A2113" s="8">
        <v>39331</v>
      </c>
      <c r="B2113" t="str">
        <f>TEXT(Raw_Data!$A2113, "MMM")</f>
        <v>Sep</v>
      </c>
      <c r="C2113">
        <f>YEAR(Raw_Data!$A2113)</f>
        <v>2007</v>
      </c>
      <c r="D2113" t="s">
        <v>1704</v>
      </c>
      <c r="E2113" t="s">
        <v>15</v>
      </c>
      <c r="F2113" t="s">
        <v>16</v>
      </c>
      <c r="G2113">
        <v>4</v>
      </c>
      <c r="H2113">
        <v>2524</v>
      </c>
      <c r="I2113" s="1">
        <v>651515</v>
      </c>
      <c r="J2113" s="1">
        <f>Raw_Data!$I2113/Raw_Data!$H2113</f>
        <v>258.12797147385101</v>
      </c>
    </row>
    <row r="2114" spans="1:10" x14ac:dyDescent="0.3">
      <c r="A2114" s="9">
        <v>41914</v>
      </c>
      <c r="B2114" s="2" t="str">
        <f>TEXT(Raw_Data!$A2114, "MMM")</f>
        <v>Oct</v>
      </c>
      <c r="C2114" s="2">
        <f>YEAR(Raw_Data!$A2114)</f>
        <v>2014</v>
      </c>
      <c r="D2114" s="2" t="s">
        <v>1705</v>
      </c>
      <c r="E2114" s="2" t="s">
        <v>15</v>
      </c>
      <c r="F2114" s="2" t="s">
        <v>27</v>
      </c>
      <c r="G2114" s="2">
        <v>4</v>
      </c>
      <c r="H2114" s="2">
        <v>1871</v>
      </c>
      <c r="I2114" s="10">
        <v>523757</v>
      </c>
      <c r="J2114" s="10">
        <f>Raw_Data!$I2114/Raw_Data!$H2114</f>
        <v>279.93425975414215</v>
      </c>
    </row>
    <row r="2115" spans="1:10" x14ac:dyDescent="0.3">
      <c r="A2115" s="8">
        <v>39081</v>
      </c>
      <c r="B2115" t="str">
        <f>TEXT(Raw_Data!$A2115, "MMM")</f>
        <v>Dec</v>
      </c>
      <c r="C2115">
        <f>YEAR(Raw_Data!$A2115)</f>
        <v>2006</v>
      </c>
      <c r="D2115" t="s">
        <v>1706</v>
      </c>
      <c r="E2115" t="s">
        <v>32</v>
      </c>
      <c r="F2115" t="s">
        <v>27</v>
      </c>
      <c r="G2115">
        <v>5</v>
      </c>
      <c r="H2115">
        <v>3050</v>
      </c>
      <c r="I2115" s="1">
        <v>280878</v>
      </c>
      <c r="J2115" s="1">
        <f>Raw_Data!$I2115/Raw_Data!$H2115</f>
        <v>92.091147540983613</v>
      </c>
    </row>
    <row r="2116" spans="1:10" x14ac:dyDescent="0.3">
      <c r="A2116" s="9">
        <v>43890</v>
      </c>
      <c r="B2116" s="2" t="str">
        <f>TEXT(Raw_Data!$A2116, "MMM")</f>
        <v>Feb</v>
      </c>
      <c r="C2116" s="2">
        <f>YEAR(Raw_Data!$A2116)</f>
        <v>2020</v>
      </c>
      <c r="D2116" s="2" t="s">
        <v>1512</v>
      </c>
      <c r="E2116" s="2" t="s">
        <v>25</v>
      </c>
      <c r="F2116" s="2" t="s">
        <v>27</v>
      </c>
      <c r="G2116" s="2"/>
      <c r="H2116" s="2">
        <v>895</v>
      </c>
      <c r="I2116" s="10">
        <v>781174</v>
      </c>
      <c r="J2116" s="10">
        <f>Raw_Data!$I2116/Raw_Data!$H2116</f>
        <v>872.82011173184355</v>
      </c>
    </row>
    <row r="2117" spans="1:10" x14ac:dyDescent="0.3">
      <c r="A2117" s="8">
        <v>43513</v>
      </c>
      <c r="B2117" t="str">
        <f>TEXT(Raw_Data!$A2117, "MMM")</f>
        <v>Feb</v>
      </c>
      <c r="C2117">
        <f>YEAR(Raw_Data!$A2117)</f>
        <v>2019</v>
      </c>
      <c r="D2117" t="s">
        <v>1707</v>
      </c>
      <c r="E2117" t="s">
        <v>32</v>
      </c>
      <c r="F2117" t="s">
        <v>27</v>
      </c>
      <c r="H2117">
        <v>2551</v>
      </c>
      <c r="I2117" s="1">
        <v>805019</v>
      </c>
      <c r="J2117" s="1">
        <f>Raw_Data!$I2117/Raw_Data!$H2117</f>
        <v>315.56997255978047</v>
      </c>
    </row>
    <row r="2118" spans="1:10" x14ac:dyDescent="0.3">
      <c r="A2118" s="9">
        <v>43979</v>
      </c>
      <c r="B2118" s="2" t="str">
        <f>TEXT(Raw_Data!$A2118, "MMM")</f>
        <v>May</v>
      </c>
      <c r="C2118" s="2">
        <f>YEAR(Raw_Data!$A2118)</f>
        <v>2020</v>
      </c>
      <c r="D2118" s="2" t="s">
        <v>1708</v>
      </c>
      <c r="E2118" s="2" t="s">
        <v>29</v>
      </c>
      <c r="F2118" s="2" t="s">
        <v>16</v>
      </c>
      <c r="G2118" s="2">
        <v>4</v>
      </c>
      <c r="H2118" s="2">
        <v>2031</v>
      </c>
      <c r="I2118" s="10">
        <v>896895</v>
      </c>
      <c r="J2118" s="10">
        <f>Raw_Data!$I2118/Raw_Data!$H2118</f>
        <v>441.60265878877402</v>
      </c>
    </row>
    <row r="2119" spans="1:10" x14ac:dyDescent="0.3">
      <c r="A2119" s="8">
        <v>43536</v>
      </c>
      <c r="B2119" t="str">
        <f>TEXT(Raw_Data!$A2119, "MMM")</f>
        <v>Mar</v>
      </c>
      <c r="C2119">
        <f>YEAR(Raw_Data!$A2119)</f>
        <v>2019</v>
      </c>
      <c r="D2119" t="s">
        <v>1709</v>
      </c>
      <c r="E2119" t="s">
        <v>13</v>
      </c>
      <c r="F2119" t="s">
        <v>16</v>
      </c>
      <c r="H2119">
        <v>3008</v>
      </c>
      <c r="I2119" s="1">
        <v>508398</v>
      </c>
      <c r="J2119" s="1">
        <f>Raw_Data!$I2119/Raw_Data!$H2119</f>
        <v>169.0152925531915</v>
      </c>
    </row>
    <row r="2120" spans="1:10" x14ac:dyDescent="0.3">
      <c r="A2120" s="9">
        <v>40423</v>
      </c>
      <c r="B2120" s="2" t="str">
        <f>TEXT(Raw_Data!$A2120, "MMM")</f>
        <v>Sep</v>
      </c>
      <c r="C2120" s="2">
        <f>YEAR(Raw_Data!$A2120)</f>
        <v>2010</v>
      </c>
      <c r="D2120" s="2" t="s">
        <v>1710</v>
      </c>
      <c r="E2120" s="2" t="s">
        <v>25</v>
      </c>
      <c r="F2120" s="2" t="s">
        <v>16</v>
      </c>
      <c r="G2120" s="2">
        <v>3</v>
      </c>
      <c r="H2120" s="2">
        <v>1596</v>
      </c>
      <c r="I2120" s="10">
        <v>247686</v>
      </c>
      <c r="J2120" s="10">
        <f>Raw_Data!$I2120/Raw_Data!$H2120</f>
        <v>155.19172932330827</v>
      </c>
    </row>
    <row r="2121" spans="1:10" x14ac:dyDescent="0.3">
      <c r="A2121" s="8">
        <v>40572</v>
      </c>
      <c r="B2121" t="str">
        <f>TEXT(Raw_Data!$A2121, "MMM")</f>
        <v>Jan</v>
      </c>
      <c r="C2121">
        <f>YEAR(Raw_Data!$A2121)</f>
        <v>2011</v>
      </c>
      <c r="D2121" t="s">
        <v>1409</v>
      </c>
      <c r="E2121" t="s">
        <v>15</v>
      </c>
      <c r="F2121" t="s">
        <v>27</v>
      </c>
      <c r="H2121">
        <v>1164</v>
      </c>
      <c r="I2121" s="1">
        <v>435658</v>
      </c>
      <c r="J2121" s="1">
        <f>Raw_Data!$I2121/Raw_Data!$H2121</f>
        <v>374.27663230240552</v>
      </c>
    </row>
    <row r="2122" spans="1:10" x14ac:dyDescent="0.3">
      <c r="A2122" s="9">
        <v>39488</v>
      </c>
      <c r="B2122" s="2" t="str">
        <f>TEXT(Raw_Data!$A2122, "MMM")</f>
        <v>Feb</v>
      </c>
      <c r="C2122" s="2">
        <f>YEAR(Raw_Data!$A2122)</f>
        <v>2008</v>
      </c>
      <c r="D2122" s="2" t="s">
        <v>1711</v>
      </c>
      <c r="E2122" s="2" t="s">
        <v>29</v>
      </c>
      <c r="F2122" s="2" t="s">
        <v>18</v>
      </c>
      <c r="G2122" s="2"/>
      <c r="H2122" s="2">
        <v>2022</v>
      </c>
      <c r="I2122" s="10">
        <v>755680</v>
      </c>
      <c r="J2122" s="10">
        <f>Raw_Data!$I2122/Raw_Data!$H2122</f>
        <v>373.72898120672602</v>
      </c>
    </row>
    <row r="2123" spans="1:10" x14ac:dyDescent="0.3">
      <c r="A2123" s="8">
        <v>41387</v>
      </c>
      <c r="B2123" t="str">
        <f>TEXT(Raw_Data!$A2123, "MMM")</f>
        <v>Apr</v>
      </c>
      <c r="C2123">
        <f>YEAR(Raw_Data!$A2123)</f>
        <v>2013</v>
      </c>
      <c r="D2123" t="s">
        <v>1712</v>
      </c>
      <c r="E2123" t="s">
        <v>23</v>
      </c>
      <c r="F2123" t="s">
        <v>18</v>
      </c>
      <c r="G2123">
        <v>4</v>
      </c>
      <c r="H2123">
        <v>3437</v>
      </c>
      <c r="I2123" s="1">
        <v>342176</v>
      </c>
      <c r="J2123" s="1">
        <f>Raw_Data!$I2123/Raw_Data!$H2123</f>
        <v>99.556590049461747</v>
      </c>
    </row>
    <row r="2124" spans="1:10" x14ac:dyDescent="0.3">
      <c r="A2124" s="9">
        <v>40829</v>
      </c>
      <c r="B2124" s="2" t="str">
        <f>TEXT(Raw_Data!$A2124, "MMM")</f>
        <v>Oct</v>
      </c>
      <c r="C2124" s="2">
        <f>YEAR(Raw_Data!$A2124)</f>
        <v>2011</v>
      </c>
      <c r="D2124" s="2" t="s">
        <v>1713</v>
      </c>
      <c r="E2124" s="2" t="s">
        <v>15</v>
      </c>
      <c r="F2124" s="2" t="s">
        <v>11</v>
      </c>
      <c r="G2124" s="2"/>
      <c r="H2124" s="2">
        <v>2873</v>
      </c>
      <c r="I2124" s="10">
        <v>688844</v>
      </c>
      <c r="J2124" s="10">
        <f>Raw_Data!$I2124/Raw_Data!$H2124</f>
        <v>239.76470588235293</v>
      </c>
    </row>
    <row r="2125" spans="1:10" x14ac:dyDescent="0.3">
      <c r="A2125" s="8">
        <v>36896</v>
      </c>
      <c r="B2125" t="str">
        <f>TEXT(Raw_Data!$A2125, "MMM")</f>
        <v>Jan</v>
      </c>
      <c r="C2125">
        <f>YEAR(Raw_Data!$A2125)</f>
        <v>2001</v>
      </c>
      <c r="D2125" t="s">
        <v>1714</v>
      </c>
      <c r="E2125" t="s">
        <v>32</v>
      </c>
      <c r="F2125" t="s">
        <v>27</v>
      </c>
      <c r="G2125">
        <v>3</v>
      </c>
      <c r="H2125">
        <v>2578</v>
      </c>
      <c r="I2125" s="1">
        <v>868107</v>
      </c>
      <c r="J2125" s="1">
        <f>Raw_Data!$I2125/Raw_Data!$H2125</f>
        <v>336.73661753297131</v>
      </c>
    </row>
    <row r="2126" spans="1:10" x14ac:dyDescent="0.3">
      <c r="A2126" s="9">
        <v>42714</v>
      </c>
      <c r="B2126" s="2" t="str">
        <f>TEXT(Raw_Data!$A2126, "MMM")</f>
        <v>Dec</v>
      </c>
      <c r="C2126" s="2">
        <f>YEAR(Raw_Data!$A2126)</f>
        <v>2016</v>
      </c>
      <c r="D2126" s="2" t="s">
        <v>1715</v>
      </c>
      <c r="E2126" s="2" t="s">
        <v>21</v>
      </c>
      <c r="F2126" s="2" t="s">
        <v>18</v>
      </c>
      <c r="G2126" s="2">
        <v>5</v>
      </c>
      <c r="H2126" s="2">
        <v>2478</v>
      </c>
      <c r="I2126" s="10">
        <v>439857</v>
      </c>
      <c r="J2126" s="10">
        <f>Raw_Data!$I2126/Raw_Data!$H2126</f>
        <v>177.50484261501211</v>
      </c>
    </row>
    <row r="2127" spans="1:10" x14ac:dyDescent="0.3">
      <c r="A2127" s="8">
        <v>43865</v>
      </c>
      <c r="B2127" t="str">
        <f>TEXT(Raw_Data!$A2127, "MMM")</f>
        <v>Feb</v>
      </c>
      <c r="C2127">
        <f>YEAR(Raw_Data!$A2127)</f>
        <v>2020</v>
      </c>
      <c r="D2127" t="s">
        <v>816</v>
      </c>
      <c r="E2127" t="s">
        <v>32</v>
      </c>
      <c r="F2127" t="s">
        <v>11</v>
      </c>
      <c r="H2127">
        <v>2015</v>
      </c>
      <c r="I2127" s="1">
        <v>476683</v>
      </c>
      <c r="J2127" s="1">
        <f>Raw_Data!$I2127/Raw_Data!$H2127</f>
        <v>236.56724565756824</v>
      </c>
    </row>
    <row r="2128" spans="1:10" x14ac:dyDescent="0.3">
      <c r="A2128" s="9">
        <v>38234</v>
      </c>
      <c r="B2128" s="2" t="str">
        <f>TEXT(Raw_Data!$A2128, "MMM")</f>
        <v>Sep</v>
      </c>
      <c r="C2128" s="2">
        <f>YEAR(Raw_Data!$A2128)</f>
        <v>2004</v>
      </c>
      <c r="D2128" s="2" t="s">
        <v>1716</v>
      </c>
      <c r="E2128" s="2" t="s">
        <v>15</v>
      </c>
      <c r="F2128" s="2" t="s">
        <v>11</v>
      </c>
      <c r="G2128" s="2"/>
      <c r="H2128" s="2">
        <v>2937</v>
      </c>
      <c r="I2128" s="10"/>
      <c r="J2128" s="10">
        <f>Raw_Data!$I2128/Raw_Data!$H2128</f>
        <v>0</v>
      </c>
    </row>
    <row r="2129" spans="1:10" x14ac:dyDescent="0.3">
      <c r="A2129" s="8">
        <v>43904</v>
      </c>
      <c r="B2129" t="str">
        <f>TEXT(Raw_Data!$A2129, "MMM")</f>
        <v>Mar</v>
      </c>
      <c r="C2129">
        <f>YEAR(Raw_Data!$A2129)</f>
        <v>2020</v>
      </c>
      <c r="D2129" t="s">
        <v>537</v>
      </c>
      <c r="E2129" t="s">
        <v>15</v>
      </c>
      <c r="F2129" t="s">
        <v>27</v>
      </c>
      <c r="H2129">
        <v>3288</v>
      </c>
      <c r="I2129" s="1">
        <v>593004</v>
      </c>
      <c r="J2129" s="1">
        <f>Raw_Data!$I2129/Raw_Data!$H2129</f>
        <v>180.35401459854015</v>
      </c>
    </row>
    <row r="2130" spans="1:10" x14ac:dyDescent="0.3">
      <c r="A2130" s="9">
        <v>38650</v>
      </c>
      <c r="B2130" s="2" t="str">
        <f>TEXT(Raw_Data!$A2130, "MMM")</f>
        <v>Oct</v>
      </c>
      <c r="C2130" s="2">
        <f>YEAR(Raw_Data!$A2130)</f>
        <v>2005</v>
      </c>
      <c r="D2130" s="2" t="s">
        <v>1717</v>
      </c>
      <c r="E2130" s="2" t="s">
        <v>32</v>
      </c>
      <c r="F2130" s="2" t="s">
        <v>27</v>
      </c>
      <c r="G2130" s="2">
        <v>4</v>
      </c>
      <c r="H2130" s="2">
        <v>2608</v>
      </c>
      <c r="I2130" s="10">
        <v>766793</v>
      </c>
      <c r="J2130" s="10">
        <f>Raw_Data!$I2130/Raw_Data!$H2130</f>
        <v>294.01572085889569</v>
      </c>
    </row>
    <row r="2131" spans="1:10" x14ac:dyDescent="0.3">
      <c r="A2131" s="8">
        <v>42916</v>
      </c>
      <c r="B2131" t="str">
        <f>TEXT(Raw_Data!$A2131, "MMM")</f>
        <v>Jun</v>
      </c>
      <c r="C2131">
        <f>YEAR(Raw_Data!$A2131)</f>
        <v>2017</v>
      </c>
      <c r="D2131" t="s">
        <v>1718</v>
      </c>
      <c r="E2131" t="s">
        <v>29</v>
      </c>
      <c r="F2131" t="s">
        <v>11</v>
      </c>
      <c r="H2131">
        <v>1966</v>
      </c>
      <c r="I2131" s="1">
        <v>628369</v>
      </c>
      <c r="J2131" s="1">
        <f>Raw_Data!$I2131/Raw_Data!$H2131</f>
        <v>319.618006103764</v>
      </c>
    </row>
    <row r="2132" spans="1:10" x14ac:dyDescent="0.3">
      <c r="A2132" s="9">
        <v>38999</v>
      </c>
      <c r="B2132" s="2" t="str">
        <f>TEXT(Raw_Data!$A2132, "MMM")</f>
        <v>Oct</v>
      </c>
      <c r="C2132" s="2">
        <f>YEAR(Raw_Data!$A2132)</f>
        <v>2006</v>
      </c>
      <c r="D2132" s="2" t="s">
        <v>1555</v>
      </c>
      <c r="E2132" s="2" t="s">
        <v>15</v>
      </c>
      <c r="F2132" s="2" t="s">
        <v>11</v>
      </c>
      <c r="G2132" s="2">
        <v>4</v>
      </c>
      <c r="H2132" s="2">
        <v>1713</v>
      </c>
      <c r="I2132" s="10">
        <v>617811</v>
      </c>
      <c r="J2132" s="10">
        <f>Raw_Data!$I2132/Raw_Data!$H2132</f>
        <v>360.66024518388792</v>
      </c>
    </row>
    <row r="2133" spans="1:10" x14ac:dyDescent="0.3">
      <c r="A2133" s="8">
        <v>40304</v>
      </c>
      <c r="B2133" t="str">
        <f>TEXT(Raw_Data!$A2133, "MMM")</f>
        <v>May</v>
      </c>
      <c r="C2133">
        <f>YEAR(Raw_Data!$A2133)</f>
        <v>2010</v>
      </c>
      <c r="D2133" t="s">
        <v>1719</v>
      </c>
      <c r="E2133" t="s">
        <v>15</v>
      </c>
      <c r="F2133" t="s">
        <v>27</v>
      </c>
      <c r="H2133">
        <v>2180</v>
      </c>
      <c r="I2133" s="1">
        <v>415165</v>
      </c>
      <c r="J2133" s="1">
        <f>Raw_Data!$I2133/Raw_Data!$H2133</f>
        <v>190.44266055045873</v>
      </c>
    </row>
    <row r="2134" spans="1:10" x14ac:dyDescent="0.3">
      <c r="A2134" s="9">
        <v>37540</v>
      </c>
      <c r="B2134" s="2" t="str">
        <f>TEXT(Raw_Data!$A2134, "MMM")</f>
        <v>Oct</v>
      </c>
      <c r="C2134" s="2">
        <f>YEAR(Raw_Data!$A2134)</f>
        <v>2002</v>
      </c>
      <c r="D2134" s="2" t="s">
        <v>1720</v>
      </c>
      <c r="E2134" s="2" t="s">
        <v>23</v>
      </c>
      <c r="F2134" s="2" t="s">
        <v>16</v>
      </c>
      <c r="G2134" s="2"/>
      <c r="H2134" s="2">
        <v>2292</v>
      </c>
      <c r="I2134" s="10">
        <v>228443</v>
      </c>
      <c r="J2134" s="10">
        <f>Raw_Data!$I2134/Raw_Data!$H2134</f>
        <v>99.669720767888307</v>
      </c>
    </row>
    <row r="2135" spans="1:10" x14ac:dyDescent="0.3">
      <c r="A2135" s="8">
        <v>42190</v>
      </c>
      <c r="B2135" t="str">
        <f>TEXT(Raw_Data!$A2135, "MMM")</f>
        <v>Jul</v>
      </c>
      <c r="C2135">
        <f>YEAR(Raw_Data!$A2135)</f>
        <v>2015</v>
      </c>
      <c r="D2135" t="s">
        <v>1721</v>
      </c>
      <c r="E2135" t="s">
        <v>15</v>
      </c>
      <c r="F2135" t="s">
        <v>27</v>
      </c>
      <c r="H2135">
        <v>1975</v>
      </c>
      <c r="I2135" s="1">
        <v>394896</v>
      </c>
      <c r="J2135" s="1">
        <f>Raw_Data!$I2135/Raw_Data!$H2135</f>
        <v>199.9473417721519</v>
      </c>
    </row>
    <row r="2136" spans="1:10" x14ac:dyDescent="0.3">
      <c r="A2136" s="9">
        <v>43607</v>
      </c>
      <c r="B2136" s="2" t="str">
        <f>TEXT(Raw_Data!$A2136, "MMM")</f>
        <v>May</v>
      </c>
      <c r="C2136" s="2">
        <f>YEAR(Raw_Data!$A2136)</f>
        <v>2019</v>
      </c>
      <c r="D2136" s="2" t="s">
        <v>1722</v>
      </c>
      <c r="E2136" s="2" t="s">
        <v>23</v>
      </c>
      <c r="F2136" s="2" t="s">
        <v>27</v>
      </c>
      <c r="G2136" s="2">
        <v>5</v>
      </c>
      <c r="H2136" s="2">
        <v>2100</v>
      </c>
      <c r="I2136" s="10">
        <v>178359</v>
      </c>
      <c r="J2136" s="10">
        <f>Raw_Data!$I2136/Raw_Data!$H2136</f>
        <v>84.932857142857145</v>
      </c>
    </row>
    <row r="2137" spans="1:10" x14ac:dyDescent="0.3">
      <c r="A2137" s="8">
        <v>38680</v>
      </c>
      <c r="B2137" t="str">
        <f>TEXT(Raw_Data!$A2137, "MMM")</f>
        <v>Nov</v>
      </c>
      <c r="C2137">
        <f>YEAR(Raw_Data!$A2137)</f>
        <v>2005</v>
      </c>
      <c r="D2137" t="s">
        <v>1723</v>
      </c>
      <c r="E2137" t="s">
        <v>21</v>
      </c>
      <c r="F2137" t="s">
        <v>18</v>
      </c>
      <c r="G2137">
        <v>4</v>
      </c>
      <c r="H2137">
        <v>2855</v>
      </c>
      <c r="I2137" s="1">
        <v>360985</v>
      </c>
      <c r="J2137" s="1">
        <f>Raw_Data!$I2137/Raw_Data!$H2137</f>
        <v>126.43957968476357</v>
      </c>
    </row>
    <row r="2138" spans="1:10" x14ac:dyDescent="0.3">
      <c r="A2138" s="9">
        <v>40284</v>
      </c>
      <c r="B2138" s="2" t="str">
        <f>TEXT(Raw_Data!$A2138, "MMM")</f>
        <v>Apr</v>
      </c>
      <c r="C2138" s="2">
        <f>YEAR(Raw_Data!$A2138)</f>
        <v>2010</v>
      </c>
      <c r="D2138" s="2" t="s">
        <v>933</v>
      </c>
      <c r="E2138" s="2" t="s">
        <v>29</v>
      </c>
      <c r="F2138" s="2" t="s">
        <v>11</v>
      </c>
      <c r="G2138" s="2"/>
      <c r="H2138" s="2">
        <v>1491</v>
      </c>
      <c r="I2138" s="10">
        <v>394649</v>
      </c>
      <c r="J2138" s="10">
        <f>Raw_Data!$I2138/Raw_Data!$H2138</f>
        <v>264.68745808182427</v>
      </c>
    </row>
    <row r="2139" spans="1:10" x14ac:dyDescent="0.3">
      <c r="A2139" s="8">
        <v>37083</v>
      </c>
      <c r="B2139" t="str">
        <f>TEXT(Raw_Data!$A2139, "MMM")</f>
        <v>Jul</v>
      </c>
      <c r="C2139">
        <f>YEAR(Raw_Data!$A2139)</f>
        <v>2001</v>
      </c>
      <c r="D2139" t="s">
        <v>1522</v>
      </c>
      <c r="E2139" t="s">
        <v>13</v>
      </c>
      <c r="F2139" t="s">
        <v>27</v>
      </c>
      <c r="H2139">
        <v>2311</v>
      </c>
      <c r="I2139" s="1">
        <v>616000</v>
      </c>
      <c r="J2139" s="1">
        <f>Raw_Data!$I2139/Raw_Data!$H2139</f>
        <v>266.55127650367808</v>
      </c>
    </row>
    <row r="2140" spans="1:10" x14ac:dyDescent="0.3">
      <c r="A2140" s="9">
        <v>39253</v>
      </c>
      <c r="B2140" s="2" t="str">
        <f>TEXT(Raw_Data!$A2140, "MMM")</f>
        <v>Jun</v>
      </c>
      <c r="C2140" s="2">
        <f>YEAR(Raw_Data!$A2140)</f>
        <v>2007</v>
      </c>
      <c r="D2140" s="2" t="s">
        <v>1724</v>
      </c>
      <c r="E2140" s="2" t="s">
        <v>15</v>
      </c>
      <c r="F2140" s="2" t="s">
        <v>16</v>
      </c>
      <c r="G2140" s="2"/>
      <c r="H2140" s="2">
        <v>3438</v>
      </c>
      <c r="I2140" s="10">
        <v>574819</v>
      </c>
      <c r="J2140" s="10">
        <f>Raw_Data!$I2140/Raw_Data!$H2140</f>
        <v>167.19575334496801</v>
      </c>
    </row>
    <row r="2141" spans="1:10" x14ac:dyDescent="0.3">
      <c r="A2141" s="8">
        <v>40834</v>
      </c>
      <c r="B2141" t="str">
        <f>TEXT(Raw_Data!$A2141, "MMM")</f>
        <v>Oct</v>
      </c>
      <c r="C2141">
        <f>YEAR(Raw_Data!$A2141)</f>
        <v>2011</v>
      </c>
      <c r="D2141" t="s">
        <v>1725</v>
      </c>
      <c r="E2141" t="s">
        <v>15</v>
      </c>
      <c r="F2141" t="s">
        <v>16</v>
      </c>
      <c r="G2141">
        <v>3</v>
      </c>
      <c r="H2141">
        <v>3234</v>
      </c>
      <c r="I2141" s="1">
        <v>687625</v>
      </c>
      <c r="J2141" s="1">
        <f>Raw_Data!$I2141/Raw_Data!$H2141</f>
        <v>212.62368583797155</v>
      </c>
    </row>
    <row r="2142" spans="1:10" x14ac:dyDescent="0.3">
      <c r="A2142" s="9">
        <v>40311</v>
      </c>
      <c r="B2142" s="2" t="str">
        <f>TEXT(Raw_Data!$A2142, "MMM")</f>
        <v>May</v>
      </c>
      <c r="C2142" s="2">
        <f>YEAR(Raw_Data!$A2142)</f>
        <v>2010</v>
      </c>
      <c r="D2142" s="2" t="s">
        <v>1369</v>
      </c>
      <c r="E2142" s="2" t="s">
        <v>29</v>
      </c>
      <c r="F2142" s="2" t="s">
        <v>18</v>
      </c>
      <c r="G2142" s="2">
        <v>2</v>
      </c>
      <c r="H2142" s="2">
        <v>2409</v>
      </c>
      <c r="I2142" s="10">
        <v>618428</v>
      </c>
      <c r="J2142" s="10">
        <f>Raw_Data!$I2142/Raw_Data!$H2142</f>
        <v>256.71564964715651</v>
      </c>
    </row>
    <row r="2143" spans="1:10" x14ac:dyDescent="0.3">
      <c r="A2143" s="8">
        <v>43520</v>
      </c>
      <c r="B2143" t="str">
        <f>TEXT(Raw_Data!$A2143, "MMM")</f>
        <v>Feb</v>
      </c>
      <c r="C2143">
        <f>YEAR(Raw_Data!$A2143)</f>
        <v>2019</v>
      </c>
      <c r="D2143" t="s">
        <v>1726</v>
      </c>
      <c r="E2143" t="s">
        <v>15</v>
      </c>
      <c r="F2143" t="s">
        <v>27</v>
      </c>
      <c r="G2143">
        <v>4</v>
      </c>
      <c r="H2143">
        <v>2217</v>
      </c>
      <c r="I2143" s="1">
        <v>305432</v>
      </c>
      <c r="J2143" s="1">
        <f>Raw_Data!$I2143/Raw_Data!$H2143</f>
        <v>137.76815516463691</v>
      </c>
    </row>
    <row r="2144" spans="1:10" x14ac:dyDescent="0.3">
      <c r="A2144" s="9">
        <v>42484</v>
      </c>
      <c r="B2144" s="2" t="str">
        <f>TEXT(Raw_Data!$A2144, "MMM")</f>
        <v>Apr</v>
      </c>
      <c r="C2144" s="2">
        <f>YEAR(Raw_Data!$A2144)</f>
        <v>2016</v>
      </c>
      <c r="D2144" s="2" t="s">
        <v>1727</v>
      </c>
      <c r="E2144" s="2" t="s">
        <v>13</v>
      </c>
      <c r="F2144" s="2" t="s">
        <v>27</v>
      </c>
      <c r="G2144" s="2">
        <v>2</v>
      </c>
      <c r="H2144" s="2">
        <v>2480</v>
      </c>
      <c r="I2144" s="10">
        <v>600285</v>
      </c>
      <c r="J2144" s="10">
        <f>Raw_Data!$I2144/Raw_Data!$H2144</f>
        <v>242.05040322580646</v>
      </c>
    </row>
    <row r="2145" spans="1:10" x14ac:dyDescent="0.3">
      <c r="A2145" s="8">
        <v>41706</v>
      </c>
      <c r="B2145" t="str">
        <f>TEXT(Raw_Data!$A2145, "MMM")</f>
        <v>Mar</v>
      </c>
      <c r="C2145">
        <f>YEAR(Raw_Data!$A2145)</f>
        <v>2014</v>
      </c>
      <c r="D2145" t="s">
        <v>1728</v>
      </c>
      <c r="E2145" t="s">
        <v>25</v>
      </c>
      <c r="F2145" t="s">
        <v>27</v>
      </c>
      <c r="G2145">
        <v>4</v>
      </c>
      <c r="H2145">
        <v>1546</v>
      </c>
      <c r="I2145" s="1">
        <v>375823</v>
      </c>
      <c r="J2145" s="1">
        <f>Raw_Data!$I2145/Raw_Data!$H2145</f>
        <v>243.09379042690816</v>
      </c>
    </row>
    <row r="2146" spans="1:10" x14ac:dyDescent="0.3">
      <c r="A2146" s="9">
        <v>39056</v>
      </c>
      <c r="B2146" s="2" t="str">
        <f>TEXT(Raw_Data!$A2146, "MMM")</f>
        <v>Dec</v>
      </c>
      <c r="C2146" s="2">
        <f>YEAR(Raw_Data!$A2146)</f>
        <v>2006</v>
      </c>
      <c r="D2146" s="2" t="s">
        <v>1531</v>
      </c>
      <c r="E2146" s="2" t="s">
        <v>15</v>
      </c>
      <c r="F2146" s="2" t="s">
        <v>27</v>
      </c>
      <c r="G2146" s="2">
        <v>2</v>
      </c>
      <c r="H2146" s="2">
        <v>3230</v>
      </c>
      <c r="I2146" s="10">
        <v>293025</v>
      </c>
      <c r="J2146" s="10">
        <f>Raw_Data!$I2146/Raw_Data!$H2146</f>
        <v>90.719814241486063</v>
      </c>
    </row>
    <row r="2147" spans="1:10" x14ac:dyDescent="0.3">
      <c r="A2147" s="8">
        <v>38304</v>
      </c>
      <c r="B2147" t="str">
        <f>TEXT(Raw_Data!$A2147, "MMM")</f>
        <v>Nov</v>
      </c>
      <c r="C2147">
        <f>YEAR(Raw_Data!$A2147)</f>
        <v>2004</v>
      </c>
      <c r="D2147" t="s">
        <v>547</v>
      </c>
      <c r="E2147" t="s">
        <v>23</v>
      </c>
      <c r="F2147" t="s">
        <v>18</v>
      </c>
      <c r="G2147">
        <v>3</v>
      </c>
      <c r="H2147">
        <v>1503</v>
      </c>
      <c r="I2147" s="1">
        <v>833617</v>
      </c>
      <c r="J2147" s="1">
        <f>Raw_Data!$I2147/Raw_Data!$H2147</f>
        <v>554.63539587491687</v>
      </c>
    </row>
    <row r="2148" spans="1:10" x14ac:dyDescent="0.3">
      <c r="A2148" s="9">
        <v>38423</v>
      </c>
      <c r="B2148" s="2" t="str">
        <f>TEXT(Raw_Data!$A2148, "MMM")</f>
        <v>Mar</v>
      </c>
      <c r="C2148" s="2">
        <f>YEAR(Raw_Data!$A2148)</f>
        <v>2005</v>
      </c>
      <c r="D2148" s="2" t="s">
        <v>1729</v>
      </c>
      <c r="E2148" s="2" t="s">
        <v>15</v>
      </c>
      <c r="F2148" s="2" t="s">
        <v>27</v>
      </c>
      <c r="G2148" s="2">
        <v>4</v>
      </c>
      <c r="H2148" s="2">
        <v>2093</v>
      </c>
      <c r="I2148" s="10">
        <v>725406</v>
      </c>
      <c r="J2148" s="10">
        <f>Raw_Data!$I2148/Raw_Data!$H2148</f>
        <v>346.58671763019589</v>
      </c>
    </row>
    <row r="2149" spans="1:10" x14ac:dyDescent="0.3">
      <c r="A2149" s="8">
        <v>42919</v>
      </c>
      <c r="B2149" t="str">
        <f>TEXT(Raw_Data!$A2149, "MMM")</f>
        <v>Jul</v>
      </c>
      <c r="C2149">
        <f>YEAR(Raw_Data!$A2149)</f>
        <v>2017</v>
      </c>
      <c r="D2149" t="s">
        <v>1621</v>
      </c>
      <c r="E2149" t="s">
        <v>25</v>
      </c>
      <c r="F2149" t="s">
        <v>11</v>
      </c>
      <c r="H2149">
        <v>2416</v>
      </c>
      <c r="I2149" s="1">
        <v>178849</v>
      </c>
      <c r="J2149" s="1">
        <f>Raw_Data!$I2149/Raw_Data!$H2149</f>
        <v>74.026903973509931</v>
      </c>
    </row>
    <row r="2150" spans="1:10" x14ac:dyDescent="0.3">
      <c r="A2150" s="9">
        <v>41317</v>
      </c>
      <c r="B2150" s="2" t="str">
        <f>TEXT(Raw_Data!$A2150, "MMM")</f>
        <v>Feb</v>
      </c>
      <c r="C2150" s="2">
        <f>YEAR(Raw_Data!$A2150)</f>
        <v>2013</v>
      </c>
      <c r="D2150" s="2" t="s">
        <v>1730</v>
      </c>
      <c r="E2150" s="2" t="s">
        <v>23</v>
      </c>
      <c r="F2150" s="2" t="s">
        <v>18</v>
      </c>
      <c r="G2150" s="2">
        <v>4</v>
      </c>
      <c r="H2150" s="2">
        <v>2760</v>
      </c>
      <c r="I2150" s="10">
        <v>174569</v>
      </c>
      <c r="J2150" s="10">
        <f>Raw_Data!$I2150/Raw_Data!$H2150</f>
        <v>63.24963768115942</v>
      </c>
    </row>
    <row r="2151" spans="1:10" x14ac:dyDescent="0.3">
      <c r="A2151" s="8">
        <v>42078</v>
      </c>
      <c r="B2151" t="str">
        <f>TEXT(Raw_Data!$A2151, "MMM")</f>
        <v>Mar</v>
      </c>
      <c r="C2151">
        <f>YEAR(Raw_Data!$A2151)</f>
        <v>2015</v>
      </c>
      <c r="D2151" t="s">
        <v>1731</v>
      </c>
      <c r="E2151" t="s">
        <v>13</v>
      </c>
      <c r="F2151" t="s">
        <v>18</v>
      </c>
      <c r="G2151">
        <v>5</v>
      </c>
      <c r="H2151">
        <v>2449</v>
      </c>
      <c r="I2151" s="1">
        <v>738454</v>
      </c>
      <c r="J2151" s="1">
        <f>Raw_Data!$I2151/Raw_Data!$H2151</f>
        <v>301.532870559412</v>
      </c>
    </row>
    <row r="2152" spans="1:10" x14ac:dyDescent="0.3">
      <c r="A2152" s="9">
        <v>37130</v>
      </c>
      <c r="B2152" s="2" t="str">
        <f>TEXT(Raw_Data!$A2152, "MMM")</f>
        <v>Aug</v>
      </c>
      <c r="C2152" s="2">
        <f>YEAR(Raw_Data!$A2152)</f>
        <v>2001</v>
      </c>
      <c r="D2152" s="2" t="s">
        <v>1546</v>
      </c>
      <c r="E2152" s="2" t="s">
        <v>23</v>
      </c>
      <c r="F2152" s="2" t="s">
        <v>16</v>
      </c>
      <c r="G2152" s="2">
        <v>4</v>
      </c>
      <c r="H2152" s="2">
        <v>2174</v>
      </c>
      <c r="I2152" s="10">
        <v>634842</v>
      </c>
      <c r="J2152" s="10">
        <f>Raw_Data!$I2152/Raw_Data!$H2152</f>
        <v>292.01563937442501</v>
      </c>
    </row>
    <row r="2153" spans="1:10" x14ac:dyDescent="0.3">
      <c r="A2153" s="8">
        <v>44122</v>
      </c>
      <c r="B2153" t="str">
        <f>TEXT(Raw_Data!$A2153, "MMM")</f>
        <v>Oct</v>
      </c>
      <c r="C2153">
        <f>YEAR(Raw_Data!$A2153)</f>
        <v>2020</v>
      </c>
      <c r="D2153" t="s">
        <v>1643</v>
      </c>
      <c r="E2153" t="s">
        <v>15</v>
      </c>
      <c r="F2153" t="s">
        <v>18</v>
      </c>
      <c r="H2153">
        <v>2797</v>
      </c>
      <c r="I2153" s="1">
        <v>644061</v>
      </c>
      <c r="J2153" s="1">
        <f>Raw_Data!$I2153/Raw_Data!$H2153</f>
        <v>230.26850196639256</v>
      </c>
    </row>
    <row r="2154" spans="1:10" x14ac:dyDescent="0.3">
      <c r="A2154" s="9">
        <v>41423</v>
      </c>
      <c r="B2154" s="2" t="str">
        <f>TEXT(Raw_Data!$A2154, "MMM")</f>
        <v>May</v>
      </c>
      <c r="C2154" s="2">
        <f>YEAR(Raw_Data!$A2154)</f>
        <v>2013</v>
      </c>
      <c r="D2154" s="2" t="s">
        <v>1732</v>
      </c>
      <c r="E2154" s="2" t="s">
        <v>13</v>
      </c>
      <c r="F2154" s="2" t="s">
        <v>16</v>
      </c>
      <c r="G2154" s="2">
        <v>3</v>
      </c>
      <c r="H2154" s="2">
        <v>2133</v>
      </c>
      <c r="I2154" s="10">
        <v>275368</v>
      </c>
      <c r="J2154" s="10">
        <f>Raw_Data!$I2154/Raw_Data!$H2154</f>
        <v>129.09892170651665</v>
      </c>
    </row>
    <row r="2155" spans="1:10" x14ac:dyDescent="0.3">
      <c r="A2155" s="8">
        <v>41633</v>
      </c>
      <c r="B2155" t="str">
        <f>TEXT(Raw_Data!$A2155, "MMM")</f>
        <v>Dec</v>
      </c>
      <c r="C2155">
        <f>YEAR(Raw_Data!$A2155)</f>
        <v>2013</v>
      </c>
      <c r="D2155" t="s">
        <v>673</v>
      </c>
      <c r="E2155" t="s">
        <v>15</v>
      </c>
      <c r="F2155" t="s">
        <v>11</v>
      </c>
      <c r="G2155">
        <v>4</v>
      </c>
      <c r="H2155">
        <v>1391</v>
      </c>
      <c r="I2155" s="1"/>
      <c r="J2155" s="1">
        <f>Raw_Data!$I2155/Raw_Data!$H2155</f>
        <v>0</v>
      </c>
    </row>
    <row r="2156" spans="1:10" x14ac:dyDescent="0.3">
      <c r="A2156" s="9">
        <v>38362</v>
      </c>
      <c r="B2156" s="2" t="str">
        <f>TEXT(Raw_Data!$A2156, "MMM")</f>
        <v>Jan</v>
      </c>
      <c r="C2156" s="2">
        <f>YEAR(Raw_Data!$A2156)</f>
        <v>2005</v>
      </c>
      <c r="D2156" s="2" t="s">
        <v>1733</v>
      </c>
      <c r="E2156" s="2" t="s">
        <v>13</v>
      </c>
      <c r="F2156" s="2" t="s">
        <v>16</v>
      </c>
      <c r="G2156" s="2">
        <v>2</v>
      </c>
      <c r="H2156" s="2">
        <v>1296</v>
      </c>
      <c r="I2156" s="10">
        <v>325530</v>
      </c>
      <c r="J2156" s="10">
        <f>Raw_Data!$I2156/Raw_Data!$H2156</f>
        <v>251.18055555555554</v>
      </c>
    </row>
    <row r="2157" spans="1:10" x14ac:dyDescent="0.3">
      <c r="A2157" s="8">
        <v>37042</v>
      </c>
      <c r="B2157" t="str">
        <f>TEXT(Raw_Data!$A2157, "MMM")</f>
        <v>May</v>
      </c>
      <c r="C2157">
        <f>YEAR(Raw_Data!$A2157)</f>
        <v>2001</v>
      </c>
      <c r="D2157" t="s">
        <v>1734</v>
      </c>
      <c r="E2157" t="s">
        <v>29</v>
      </c>
      <c r="F2157" t="s">
        <v>18</v>
      </c>
      <c r="G2157">
        <v>4</v>
      </c>
      <c r="H2157">
        <v>3166</v>
      </c>
      <c r="I2157" s="1">
        <v>346171</v>
      </c>
      <c r="J2157" s="1">
        <f>Raw_Data!$I2157/Raw_Data!$H2157</f>
        <v>109.34017687934302</v>
      </c>
    </row>
    <row r="2158" spans="1:10" x14ac:dyDescent="0.3">
      <c r="A2158" s="9">
        <v>41400</v>
      </c>
      <c r="B2158" s="2" t="str">
        <f>TEXT(Raw_Data!$A2158, "MMM")</f>
        <v>May</v>
      </c>
      <c r="C2158" s="2">
        <f>YEAR(Raw_Data!$A2158)</f>
        <v>2013</v>
      </c>
      <c r="D2158" s="2" t="s">
        <v>1591</v>
      </c>
      <c r="E2158" s="2" t="s">
        <v>25</v>
      </c>
      <c r="F2158" s="2" t="s">
        <v>27</v>
      </c>
      <c r="G2158" s="2"/>
      <c r="H2158" s="2">
        <v>2232</v>
      </c>
      <c r="I2158" s="10">
        <v>469863</v>
      </c>
      <c r="J2158" s="10">
        <f>Raw_Data!$I2158/Raw_Data!$H2158</f>
        <v>210.51209677419354</v>
      </c>
    </row>
    <row r="2159" spans="1:10" x14ac:dyDescent="0.3">
      <c r="A2159" s="8">
        <v>38668</v>
      </c>
      <c r="B2159" t="str">
        <f>TEXT(Raw_Data!$A2159, "MMM")</f>
        <v>Nov</v>
      </c>
      <c r="C2159">
        <f>YEAR(Raw_Data!$A2159)</f>
        <v>2005</v>
      </c>
      <c r="D2159" t="s">
        <v>970</v>
      </c>
      <c r="E2159" t="s">
        <v>23</v>
      </c>
      <c r="F2159" t="s">
        <v>18</v>
      </c>
      <c r="H2159">
        <v>1157</v>
      </c>
      <c r="I2159" s="1">
        <v>328748</v>
      </c>
      <c r="J2159" s="1">
        <f>Raw_Data!$I2159/Raw_Data!$H2159</f>
        <v>284.13828867761453</v>
      </c>
    </row>
    <row r="2160" spans="1:10" x14ac:dyDescent="0.3">
      <c r="A2160" s="9">
        <v>40247</v>
      </c>
      <c r="B2160" s="2" t="str">
        <f>TEXT(Raw_Data!$A2160, "MMM")</f>
        <v>Mar</v>
      </c>
      <c r="C2160" s="2">
        <f>YEAR(Raw_Data!$A2160)</f>
        <v>2010</v>
      </c>
      <c r="D2160" s="2" t="s">
        <v>1735</v>
      </c>
      <c r="E2160" s="2" t="s">
        <v>29</v>
      </c>
      <c r="F2160" s="2" t="s">
        <v>16</v>
      </c>
      <c r="G2160" s="2">
        <v>3</v>
      </c>
      <c r="H2160" s="2">
        <v>3476</v>
      </c>
      <c r="I2160" s="10">
        <v>691098</v>
      </c>
      <c r="J2160" s="10">
        <f>Raw_Data!$I2160/Raw_Data!$H2160</f>
        <v>198.8199079401611</v>
      </c>
    </row>
    <row r="2161" spans="1:10" x14ac:dyDescent="0.3">
      <c r="A2161" s="8">
        <v>40345</v>
      </c>
      <c r="B2161" t="str">
        <f>TEXT(Raw_Data!$A2161, "MMM")</f>
        <v>Jun</v>
      </c>
      <c r="C2161">
        <f>YEAR(Raw_Data!$A2161)</f>
        <v>2010</v>
      </c>
      <c r="D2161" t="s">
        <v>1736</v>
      </c>
      <c r="E2161" t="s">
        <v>29</v>
      </c>
      <c r="F2161" t="s">
        <v>11</v>
      </c>
      <c r="H2161">
        <v>1906</v>
      </c>
      <c r="I2161" s="1">
        <v>426410</v>
      </c>
      <c r="J2161" s="1">
        <f>Raw_Data!$I2161/Raw_Data!$H2161</f>
        <v>223.71983210912907</v>
      </c>
    </row>
    <row r="2162" spans="1:10" x14ac:dyDescent="0.3">
      <c r="A2162" s="9">
        <v>41806</v>
      </c>
      <c r="B2162" s="2" t="str">
        <f>TEXT(Raw_Data!$A2162, "MMM")</f>
        <v>Jun</v>
      </c>
      <c r="C2162" s="2">
        <f>YEAR(Raw_Data!$A2162)</f>
        <v>2014</v>
      </c>
      <c r="D2162" s="2" t="s">
        <v>231</v>
      </c>
      <c r="E2162" s="2" t="s">
        <v>13</v>
      </c>
      <c r="F2162" s="2" t="s">
        <v>11</v>
      </c>
      <c r="G2162" s="2">
        <v>3</v>
      </c>
      <c r="H2162" s="2">
        <v>868</v>
      </c>
      <c r="I2162" s="10">
        <v>237412</v>
      </c>
      <c r="J2162" s="10">
        <f>Raw_Data!$I2162/Raw_Data!$H2162</f>
        <v>273.51612903225805</v>
      </c>
    </row>
    <row r="2163" spans="1:10" x14ac:dyDescent="0.3">
      <c r="A2163" s="8">
        <v>42395</v>
      </c>
      <c r="B2163" t="str">
        <f>TEXT(Raw_Data!$A2163, "MMM")</f>
        <v>Jan</v>
      </c>
      <c r="C2163">
        <f>YEAR(Raw_Data!$A2163)</f>
        <v>2016</v>
      </c>
      <c r="D2163" t="s">
        <v>1423</v>
      </c>
      <c r="E2163" t="s">
        <v>32</v>
      </c>
      <c r="F2163" t="s">
        <v>16</v>
      </c>
      <c r="G2163">
        <v>5</v>
      </c>
      <c r="H2163">
        <v>1265</v>
      </c>
      <c r="I2163" s="1">
        <v>793409</v>
      </c>
      <c r="J2163" s="1">
        <f>Raw_Data!$I2163/Raw_Data!$H2163</f>
        <v>627.20079051383402</v>
      </c>
    </row>
    <row r="2164" spans="1:10" x14ac:dyDescent="0.3">
      <c r="A2164" s="9">
        <v>38861</v>
      </c>
      <c r="B2164" s="2" t="str">
        <f>TEXT(Raw_Data!$A2164, "MMM")</f>
        <v>May</v>
      </c>
      <c r="C2164" s="2">
        <f>YEAR(Raw_Data!$A2164)</f>
        <v>2006</v>
      </c>
      <c r="D2164" s="2" t="s">
        <v>1737</v>
      </c>
      <c r="E2164" s="2" t="s">
        <v>15</v>
      </c>
      <c r="F2164" s="2" t="s">
        <v>18</v>
      </c>
      <c r="G2164" s="2">
        <v>4</v>
      </c>
      <c r="H2164" s="2">
        <v>1277</v>
      </c>
      <c r="I2164" s="10">
        <v>187807</v>
      </c>
      <c r="J2164" s="10">
        <f>Raw_Data!$I2164/Raw_Data!$H2164</f>
        <v>147.06891151135474</v>
      </c>
    </row>
    <row r="2165" spans="1:10" x14ac:dyDescent="0.3">
      <c r="A2165" s="8">
        <v>41046</v>
      </c>
      <c r="B2165" t="str">
        <f>TEXT(Raw_Data!$A2165, "MMM")</f>
        <v>May</v>
      </c>
      <c r="C2165">
        <f>YEAR(Raw_Data!$A2165)</f>
        <v>2012</v>
      </c>
      <c r="D2165" t="s">
        <v>925</v>
      </c>
      <c r="E2165" t="s">
        <v>15</v>
      </c>
      <c r="F2165" t="s">
        <v>18</v>
      </c>
      <c r="G2165">
        <v>4</v>
      </c>
      <c r="H2165">
        <v>2806</v>
      </c>
      <c r="I2165" s="1">
        <v>625314</v>
      </c>
      <c r="J2165" s="1">
        <f>Raw_Data!$I2165/Raw_Data!$H2165</f>
        <v>222.84889522451888</v>
      </c>
    </row>
    <row r="2166" spans="1:10" x14ac:dyDescent="0.3">
      <c r="A2166" s="9">
        <v>37395</v>
      </c>
      <c r="B2166" s="2" t="str">
        <f>TEXT(Raw_Data!$A2166, "MMM")</f>
        <v>May</v>
      </c>
      <c r="C2166" s="2">
        <f>YEAR(Raw_Data!$A2166)</f>
        <v>2002</v>
      </c>
      <c r="D2166" s="2" t="s">
        <v>330</v>
      </c>
      <c r="E2166" s="2" t="s">
        <v>13</v>
      </c>
      <c r="F2166" s="2" t="s">
        <v>11</v>
      </c>
      <c r="G2166" s="2">
        <v>3</v>
      </c>
      <c r="H2166" s="2">
        <v>2044</v>
      </c>
      <c r="I2166" s="10">
        <v>112234</v>
      </c>
      <c r="J2166" s="10">
        <f>Raw_Data!$I2166/Raw_Data!$H2166</f>
        <v>54.909001956947165</v>
      </c>
    </row>
    <row r="2167" spans="1:10" x14ac:dyDescent="0.3">
      <c r="A2167" s="8">
        <v>41502</v>
      </c>
      <c r="B2167" t="str">
        <f>TEXT(Raw_Data!$A2167, "MMM")</f>
        <v>Aug</v>
      </c>
      <c r="C2167">
        <f>YEAR(Raw_Data!$A2167)</f>
        <v>2013</v>
      </c>
      <c r="D2167" t="s">
        <v>523</v>
      </c>
      <c r="E2167" t="s">
        <v>25</v>
      </c>
      <c r="F2167" t="s">
        <v>11</v>
      </c>
      <c r="G2167">
        <v>2</v>
      </c>
      <c r="H2167">
        <v>2310</v>
      </c>
      <c r="I2167" s="1">
        <v>144695</v>
      </c>
      <c r="J2167" s="1">
        <f>Raw_Data!$I2167/Raw_Data!$H2167</f>
        <v>62.638528138528137</v>
      </c>
    </row>
    <row r="2168" spans="1:10" x14ac:dyDescent="0.3">
      <c r="A2168" s="9">
        <v>36947</v>
      </c>
      <c r="B2168" s="2" t="str">
        <f>TEXT(Raw_Data!$A2168, "MMM")</f>
        <v>Feb</v>
      </c>
      <c r="C2168" s="2">
        <f>YEAR(Raw_Data!$A2168)</f>
        <v>2001</v>
      </c>
      <c r="D2168" s="2" t="s">
        <v>1738</v>
      </c>
      <c r="E2168" s="2" t="s">
        <v>23</v>
      </c>
      <c r="F2168" s="2" t="s">
        <v>18</v>
      </c>
      <c r="G2168" s="2"/>
      <c r="H2168" s="2">
        <v>3095</v>
      </c>
      <c r="I2168" s="10">
        <v>658223</v>
      </c>
      <c r="J2168" s="10">
        <f>Raw_Data!$I2168/Raw_Data!$H2168</f>
        <v>212.6730210016155</v>
      </c>
    </row>
    <row r="2169" spans="1:10" x14ac:dyDescent="0.3">
      <c r="A2169" s="8">
        <v>40004</v>
      </c>
      <c r="B2169" t="str">
        <f>TEXT(Raw_Data!$A2169, "MMM")</f>
        <v>Jul</v>
      </c>
      <c r="C2169">
        <f>YEAR(Raw_Data!$A2169)</f>
        <v>2009</v>
      </c>
      <c r="D2169" t="s">
        <v>1607</v>
      </c>
      <c r="E2169" t="s">
        <v>32</v>
      </c>
      <c r="F2169" t="s">
        <v>16</v>
      </c>
      <c r="G2169">
        <v>3</v>
      </c>
      <c r="H2169">
        <v>2294</v>
      </c>
      <c r="I2169" s="1">
        <v>535194</v>
      </c>
      <c r="J2169" s="1">
        <f>Raw_Data!$I2169/Raw_Data!$H2169</f>
        <v>233.3016564952049</v>
      </c>
    </row>
    <row r="2170" spans="1:10" x14ac:dyDescent="0.3">
      <c r="A2170" s="9">
        <v>37544</v>
      </c>
      <c r="B2170" s="2" t="str">
        <f>TEXT(Raw_Data!$A2170, "MMM")</f>
        <v>Oct</v>
      </c>
      <c r="C2170" s="2">
        <f>YEAR(Raw_Data!$A2170)</f>
        <v>2002</v>
      </c>
      <c r="D2170" s="2" t="s">
        <v>1739</v>
      </c>
      <c r="E2170" s="2" t="s">
        <v>13</v>
      </c>
      <c r="F2170" s="2" t="s">
        <v>16</v>
      </c>
      <c r="G2170" s="2">
        <v>2</v>
      </c>
      <c r="H2170" s="2">
        <v>2866</v>
      </c>
      <c r="I2170" s="10"/>
      <c r="J2170" s="10">
        <f>Raw_Data!$I2170/Raw_Data!$H2170</f>
        <v>0</v>
      </c>
    </row>
    <row r="2171" spans="1:10" x14ac:dyDescent="0.3">
      <c r="A2171" s="8">
        <v>39607</v>
      </c>
      <c r="B2171" t="str">
        <f>TEXT(Raw_Data!$A2171, "MMM")</f>
        <v>Jun</v>
      </c>
      <c r="C2171">
        <f>YEAR(Raw_Data!$A2171)</f>
        <v>2008</v>
      </c>
      <c r="D2171" t="s">
        <v>424</v>
      </c>
      <c r="E2171" t="s">
        <v>15</v>
      </c>
      <c r="F2171" t="s">
        <v>18</v>
      </c>
      <c r="G2171">
        <v>5</v>
      </c>
      <c r="H2171">
        <v>2687</v>
      </c>
      <c r="I2171" s="1">
        <v>862186</v>
      </c>
      <c r="J2171" s="1">
        <f>Raw_Data!$I2171/Raw_Data!$H2171</f>
        <v>320.87309266840344</v>
      </c>
    </row>
    <row r="2172" spans="1:10" x14ac:dyDescent="0.3">
      <c r="A2172" s="9">
        <v>37241</v>
      </c>
      <c r="B2172" s="2" t="str">
        <f>TEXT(Raw_Data!$A2172, "MMM")</f>
        <v>Dec</v>
      </c>
      <c r="C2172" s="2">
        <f>YEAR(Raw_Data!$A2172)</f>
        <v>2001</v>
      </c>
      <c r="D2172" s="2" t="s">
        <v>1740</v>
      </c>
      <c r="E2172" s="2" t="s">
        <v>32</v>
      </c>
      <c r="F2172" s="2" t="s">
        <v>18</v>
      </c>
      <c r="G2172" s="2">
        <v>5</v>
      </c>
      <c r="H2172" s="2">
        <v>2274</v>
      </c>
      <c r="I2172" s="10">
        <v>114221</v>
      </c>
      <c r="J2172" s="10">
        <f>Raw_Data!$I2172/Raw_Data!$H2172</f>
        <v>50.229111697449426</v>
      </c>
    </row>
    <row r="2173" spans="1:10" x14ac:dyDescent="0.3">
      <c r="A2173" s="8">
        <v>40188</v>
      </c>
      <c r="B2173" t="str">
        <f>TEXT(Raw_Data!$A2173, "MMM")</f>
        <v>Jan</v>
      </c>
      <c r="C2173">
        <f>YEAR(Raw_Data!$A2173)</f>
        <v>2010</v>
      </c>
      <c r="D2173" t="s">
        <v>270</v>
      </c>
      <c r="E2173" t="s">
        <v>29</v>
      </c>
      <c r="F2173" t="s">
        <v>11</v>
      </c>
      <c r="G2173">
        <v>5</v>
      </c>
      <c r="H2173">
        <v>1966</v>
      </c>
      <c r="I2173" s="1">
        <v>464031</v>
      </c>
      <c r="J2173" s="1">
        <f>Raw_Data!$I2173/Raw_Data!$H2173</f>
        <v>236.02797558494404</v>
      </c>
    </row>
    <row r="2174" spans="1:10" x14ac:dyDescent="0.3">
      <c r="A2174" s="9">
        <v>38226</v>
      </c>
      <c r="B2174" s="2" t="str">
        <f>TEXT(Raw_Data!$A2174, "MMM")</f>
        <v>Aug</v>
      </c>
      <c r="C2174" s="2">
        <f>YEAR(Raw_Data!$A2174)</f>
        <v>2004</v>
      </c>
      <c r="D2174" s="2" t="s">
        <v>1741</v>
      </c>
      <c r="E2174" s="2" t="s">
        <v>25</v>
      </c>
      <c r="F2174" s="2" t="s">
        <v>18</v>
      </c>
      <c r="G2174" s="2">
        <v>5</v>
      </c>
      <c r="H2174" s="2">
        <v>948</v>
      </c>
      <c r="I2174" s="10">
        <v>876344</v>
      </c>
      <c r="J2174" s="10">
        <f>Raw_Data!$I2174/Raw_Data!$H2174</f>
        <v>924.41350210970461</v>
      </c>
    </row>
    <row r="2175" spans="1:10" x14ac:dyDescent="0.3">
      <c r="A2175" s="8">
        <v>37858</v>
      </c>
      <c r="B2175" t="str">
        <f>TEXT(Raw_Data!$A2175, "MMM")</f>
        <v>Aug</v>
      </c>
      <c r="C2175">
        <f>YEAR(Raw_Data!$A2175)</f>
        <v>2003</v>
      </c>
      <c r="D2175" t="s">
        <v>1742</v>
      </c>
      <c r="E2175" t="s">
        <v>23</v>
      </c>
      <c r="F2175" t="s">
        <v>18</v>
      </c>
      <c r="H2175">
        <v>1101</v>
      </c>
      <c r="I2175" s="1">
        <v>621147</v>
      </c>
      <c r="J2175" s="1">
        <f>Raw_Data!$I2175/Raw_Data!$H2175</f>
        <v>564.16621253405992</v>
      </c>
    </row>
    <row r="2176" spans="1:10" x14ac:dyDescent="0.3">
      <c r="A2176" s="9">
        <v>37926</v>
      </c>
      <c r="B2176" s="2" t="str">
        <f>TEXT(Raw_Data!$A2176, "MMM")</f>
        <v>Nov</v>
      </c>
      <c r="C2176" s="2">
        <f>YEAR(Raw_Data!$A2176)</f>
        <v>2003</v>
      </c>
      <c r="D2176" s="2" t="s">
        <v>1743</v>
      </c>
      <c r="E2176" s="2" t="s">
        <v>32</v>
      </c>
      <c r="F2176" s="2" t="s">
        <v>18</v>
      </c>
      <c r="G2176" s="2">
        <v>3</v>
      </c>
      <c r="H2176" s="2">
        <v>2079</v>
      </c>
      <c r="I2176" s="10">
        <v>402556</v>
      </c>
      <c r="J2176" s="10">
        <f>Raw_Data!$I2176/Raw_Data!$H2176</f>
        <v>193.62962962962962</v>
      </c>
    </row>
    <row r="2177" spans="1:10" x14ac:dyDescent="0.3">
      <c r="A2177" s="8">
        <v>39861</v>
      </c>
      <c r="B2177" t="str">
        <f>TEXT(Raw_Data!$A2177, "MMM")</f>
        <v>Feb</v>
      </c>
      <c r="C2177">
        <f>YEAR(Raw_Data!$A2177)</f>
        <v>2009</v>
      </c>
      <c r="D2177" t="s">
        <v>1744</v>
      </c>
      <c r="E2177" t="s">
        <v>23</v>
      </c>
      <c r="F2177" t="s">
        <v>11</v>
      </c>
      <c r="H2177">
        <v>1287</v>
      </c>
      <c r="I2177" s="1">
        <v>532906</v>
      </c>
      <c r="J2177" s="1">
        <f>Raw_Data!$I2177/Raw_Data!$H2177</f>
        <v>414.0683760683761</v>
      </c>
    </row>
    <row r="2178" spans="1:10" x14ac:dyDescent="0.3">
      <c r="A2178" s="9">
        <v>37681</v>
      </c>
      <c r="B2178" s="2" t="str">
        <f>TEXT(Raw_Data!$A2178, "MMM")</f>
        <v>Mar</v>
      </c>
      <c r="C2178" s="2">
        <f>YEAR(Raw_Data!$A2178)</f>
        <v>2003</v>
      </c>
      <c r="D2178" s="2" t="s">
        <v>1745</v>
      </c>
      <c r="E2178" s="2" t="s">
        <v>13</v>
      </c>
      <c r="F2178" s="2" t="s">
        <v>18</v>
      </c>
      <c r="G2178" s="2">
        <v>2</v>
      </c>
      <c r="H2178" s="2">
        <v>3147</v>
      </c>
      <c r="I2178" s="10">
        <v>883088</v>
      </c>
      <c r="J2178" s="10">
        <f>Raw_Data!$I2178/Raw_Data!$H2178</f>
        <v>280.61264696536387</v>
      </c>
    </row>
    <row r="2179" spans="1:10" x14ac:dyDescent="0.3">
      <c r="A2179" s="8">
        <v>37317</v>
      </c>
      <c r="B2179" t="str">
        <f>TEXT(Raw_Data!$A2179, "MMM")</f>
        <v>Mar</v>
      </c>
      <c r="C2179">
        <f>YEAR(Raw_Data!$A2179)</f>
        <v>2002</v>
      </c>
      <c r="D2179" t="s">
        <v>1746</v>
      </c>
      <c r="E2179" t="s">
        <v>15</v>
      </c>
      <c r="F2179" t="s">
        <v>11</v>
      </c>
      <c r="G2179">
        <v>5</v>
      </c>
      <c r="H2179">
        <v>815</v>
      </c>
      <c r="I2179" s="1">
        <v>823975</v>
      </c>
      <c r="J2179" s="1">
        <f>Raw_Data!$I2179/Raw_Data!$H2179</f>
        <v>1011.0122699386503</v>
      </c>
    </row>
    <row r="2180" spans="1:10" x14ac:dyDescent="0.3">
      <c r="A2180" s="9">
        <v>42261</v>
      </c>
      <c r="B2180" s="2" t="str">
        <f>TEXT(Raw_Data!$A2180, "MMM")</f>
        <v>Sep</v>
      </c>
      <c r="C2180" s="2">
        <f>YEAR(Raw_Data!$A2180)</f>
        <v>2015</v>
      </c>
      <c r="D2180" s="2" t="s">
        <v>684</v>
      </c>
      <c r="E2180" s="2" t="s">
        <v>15</v>
      </c>
      <c r="F2180" s="2" t="s">
        <v>16</v>
      </c>
      <c r="G2180" s="2">
        <v>4</v>
      </c>
      <c r="H2180" s="2">
        <v>1071</v>
      </c>
      <c r="I2180" s="10">
        <v>722283</v>
      </c>
      <c r="J2180" s="10">
        <f>Raw_Data!$I2180/Raw_Data!$H2180</f>
        <v>674.40056022408965</v>
      </c>
    </row>
    <row r="2181" spans="1:10" x14ac:dyDescent="0.3">
      <c r="A2181" s="8">
        <v>40563</v>
      </c>
      <c r="B2181" t="str">
        <f>TEXT(Raw_Data!$A2181, "MMM")</f>
        <v>Jan</v>
      </c>
      <c r="C2181">
        <f>YEAR(Raw_Data!$A2181)</f>
        <v>2011</v>
      </c>
      <c r="D2181" t="s">
        <v>175</v>
      </c>
      <c r="E2181" t="s">
        <v>21</v>
      </c>
      <c r="F2181" t="s">
        <v>18</v>
      </c>
      <c r="G2181">
        <v>2</v>
      </c>
      <c r="H2181">
        <v>1669</v>
      </c>
      <c r="I2181" s="1">
        <v>559654</v>
      </c>
      <c r="J2181" s="1">
        <f>Raw_Data!$I2181/Raw_Data!$H2181</f>
        <v>335.32294787297781</v>
      </c>
    </row>
    <row r="2182" spans="1:10" x14ac:dyDescent="0.3">
      <c r="A2182" s="9">
        <v>42716</v>
      </c>
      <c r="B2182" s="2" t="str">
        <f>TEXT(Raw_Data!$A2182, "MMM")</f>
        <v>Dec</v>
      </c>
      <c r="C2182" s="2">
        <f>YEAR(Raw_Data!$A2182)</f>
        <v>2016</v>
      </c>
      <c r="D2182" s="2" t="s">
        <v>1747</v>
      </c>
      <c r="E2182" s="2" t="s">
        <v>23</v>
      </c>
      <c r="F2182" s="2" t="s">
        <v>27</v>
      </c>
      <c r="G2182" s="2">
        <v>5</v>
      </c>
      <c r="H2182" s="2">
        <v>1150</v>
      </c>
      <c r="I2182" s="10">
        <v>679429</v>
      </c>
      <c r="J2182" s="10">
        <f>Raw_Data!$I2182/Raw_Data!$H2182</f>
        <v>590.80782608695654</v>
      </c>
    </row>
    <row r="2183" spans="1:10" x14ac:dyDescent="0.3">
      <c r="A2183" s="8">
        <v>38628</v>
      </c>
      <c r="B2183" t="str">
        <f>TEXT(Raw_Data!$A2183, "MMM")</f>
        <v>Oct</v>
      </c>
      <c r="C2183">
        <f>YEAR(Raw_Data!$A2183)</f>
        <v>2005</v>
      </c>
      <c r="D2183" t="s">
        <v>1343</v>
      </c>
      <c r="E2183" t="s">
        <v>32</v>
      </c>
      <c r="F2183" t="s">
        <v>11</v>
      </c>
      <c r="G2183">
        <v>4</v>
      </c>
      <c r="H2183">
        <v>2635</v>
      </c>
      <c r="I2183" s="1">
        <v>645567</v>
      </c>
      <c r="J2183" s="1">
        <f>Raw_Data!$I2183/Raw_Data!$H2183</f>
        <v>244.99696394686907</v>
      </c>
    </row>
    <row r="2184" spans="1:10" x14ac:dyDescent="0.3">
      <c r="A2184" s="9">
        <v>42739</v>
      </c>
      <c r="B2184" s="2" t="str">
        <f>TEXT(Raw_Data!$A2184, "MMM")</f>
        <v>Jan</v>
      </c>
      <c r="C2184" s="2">
        <f>YEAR(Raw_Data!$A2184)</f>
        <v>2017</v>
      </c>
      <c r="D2184" s="2" t="s">
        <v>69</v>
      </c>
      <c r="E2184" s="2" t="s">
        <v>23</v>
      </c>
      <c r="F2184" s="2" t="s">
        <v>18</v>
      </c>
      <c r="G2184" s="2">
        <v>2</v>
      </c>
      <c r="H2184" s="2">
        <v>2370</v>
      </c>
      <c r="I2184" s="10">
        <v>888392</v>
      </c>
      <c r="J2184" s="10">
        <f>Raw_Data!$I2184/Raw_Data!$H2184</f>
        <v>374.84894514767933</v>
      </c>
    </row>
    <row r="2185" spans="1:10" x14ac:dyDescent="0.3">
      <c r="A2185" s="8">
        <v>43627</v>
      </c>
      <c r="B2185" t="str">
        <f>TEXT(Raw_Data!$A2185, "MMM")</f>
        <v>Jun</v>
      </c>
      <c r="C2185">
        <f>YEAR(Raw_Data!$A2185)</f>
        <v>2019</v>
      </c>
      <c r="D2185" t="s">
        <v>1748</v>
      </c>
      <c r="E2185" t="s">
        <v>15</v>
      </c>
      <c r="F2185" t="s">
        <v>16</v>
      </c>
      <c r="H2185">
        <v>1635</v>
      </c>
      <c r="I2185" s="1">
        <v>468217</v>
      </c>
      <c r="J2185" s="1">
        <f>Raw_Data!$I2185/Raw_Data!$H2185</f>
        <v>286.37125382262997</v>
      </c>
    </row>
    <row r="2186" spans="1:10" x14ac:dyDescent="0.3">
      <c r="A2186" s="9">
        <v>40753</v>
      </c>
      <c r="B2186" s="2" t="str">
        <f>TEXT(Raw_Data!$A2186, "MMM")</f>
        <v>Jul</v>
      </c>
      <c r="C2186" s="2">
        <f>YEAR(Raw_Data!$A2186)</f>
        <v>2011</v>
      </c>
      <c r="D2186" s="2" t="s">
        <v>1408</v>
      </c>
      <c r="E2186" s="2" t="s">
        <v>23</v>
      </c>
      <c r="F2186" s="2" t="s">
        <v>16</v>
      </c>
      <c r="G2186" s="2"/>
      <c r="H2186" s="2">
        <v>2681</v>
      </c>
      <c r="I2186" s="10">
        <v>407201</v>
      </c>
      <c r="J2186" s="10">
        <f>Raw_Data!$I2186/Raw_Data!$H2186</f>
        <v>151.8839985080194</v>
      </c>
    </row>
    <row r="2187" spans="1:10" x14ac:dyDescent="0.3">
      <c r="A2187" s="8">
        <v>43523</v>
      </c>
      <c r="B2187" t="str">
        <f>TEXT(Raw_Data!$A2187, "MMM")</f>
        <v>Feb</v>
      </c>
      <c r="C2187">
        <f>YEAR(Raw_Data!$A2187)</f>
        <v>2019</v>
      </c>
      <c r="D2187" t="s">
        <v>1115</v>
      </c>
      <c r="E2187" t="s">
        <v>15</v>
      </c>
      <c r="F2187" t="s">
        <v>16</v>
      </c>
      <c r="G2187">
        <v>3</v>
      </c>
      <c r="H2187">
        <v>2636</v>
      </c>
      <c r="I2187" s="1">
        <v>138719</v>
      </c>
      <c r="J2187" s="1">
        <f>Raw_Data!$I2187/Raw_Data!$H2187</f>
        <v>52.624810318664643</v>
      </c>
    </row>
    <row r="2188" spans="1:10" x14ac:dyDescent="0.3">
      <c r="A2188" s="9">
        <v>39736</v>
      </c>
      <c r="B2188" s="2" t="str">
        <f>TEXT(Raw_Data!$A2188, "MMM")</f>
        <v>Oct</v>
      </c>
      <c r="C2188" s="2">
        <f>YEAR(Raw_Data!$A2188)</f>
        <v>2008</v>
      </c>
      <c r="D2188" s="2" t="s">
        <v>461</v>
      </c>
      <c r="E2188" s="2" t="s">
        <v>29</v>
      </c>
      <c r="F2188" s="2" t="s">
        <v>27</v>
      </c>
      <c r="G2188" s="2">
        <v>2</v>
      </c>
      <c r="H2188" s="2">
        <v>823</v>
      </c>
      <c r="I2188" s="10">
        <v>811687</v>
      </c>
      <c r="J2188" s="10">
        <f>Raw_Data!$I2188/Raw_Data!$H2188</f>
        <v>986.2539489671932</v>
      </c>
    </row>
    <row r="2189" spans="1:10" x14ac:dyDescent="0.3">
      <c r="A2189" s="8">
        <v>42160</v>
      </c>
      <c r="B2189" t="str">
        <f>TEXT(Raw_Data!$A2189, "MMM")</f>
        <v>Jun</v>
      </c>
      <c r="C2189">
        <f>YEAR(Raw_Data!$A2189)</f>
        <v>2015</v>
      </c>
      <c r="D2189" t="s">
        <v>1749</v>
      </c>
      <c r="E2189" t="s">
        <v>32</v>
      </c>
      <c r="F2189" t="s">
        <v>16</v>
      </c>
      <c r="G2189">
        <v>4</v>
      </c>
      <c r="H2189">
        <v>1296</v>
      </c>
      <c r="I2189" s="1">
        <v>692916</v>
      </c>
      <c r="J2189" s="1">
        <f>Raw_Data!$I2189/Raw_Data!$H2189</f>
        <v>534.65740740740739</v>
      </c>
    </row>
    <row r="2190" spans="1:10" x14ac:dyDescent="0.3">
      <c r="A2190" s="9">
        <v>40215</v>
      </c>
      <c r="B2190" s="2" t="str">
        <f>TEXT(Raw_Data!$A2190, "MMM")</f>
        <v>Feb</v>
      </c>
      <c r="C2190" s="2">
        <f>YEAR(Raw_Data!$A2190)</f>
        <v>2010</v>
      </c>
      <c r="D2190" s="2" t="s">
        <v>1750</v>
      </c>
      <c r="E2190" s="2" t="s">
        <v>21</v>
      </c>
      <c r="F2190" s="2" t="s">
        <v>27</v>
      </c>
      <c r="G2190" s="2">
        <v>5</v>
      </c>
      <c r="H2190" s="2">
        <v>1528</v>
      </c>
      <c r="I2190" s="10">
        <v>349687</v>
      </c>
      <c r="J2190" s="10">
        <f>Raw_Data!$I2190/Raw_Data!$H2190</f>
        <v>228.85274869109946</v>
      </c>
    </row>
    <row r="2191" spans="1:10" x14ac:dyDescent="0.3">
      <c r="A2191" s="8">
        <v>43961</v>
      </c>
      <c r="B2191" t="str">
        <f>TEXT(Raw_Data!$A2191, "MMM")</f>
        <v>May</v>
      </c>
      <c r="C2191">
        <f>YEAR(Raw_Data!$A2191)</f>
        <v>2020</v>
      </c>
      <c r="D2191" t="s">
        <v>1751</v>
      </c>
      <c r="E2191" t="s">
        <v>32</v>
      </c>
      <c r="F2191" t="s">
        <v>27</v>
      </c>
      <c r="G2191">
        <v>4</v>
      </c>
      <c r="H2191">
        <v>1529</v>
      </c>
      <c r="I2191" s="1">
        <v>367921</v>
      </c>
      <c r="J2191" s="1">
        <f>Raw_Data!$I2191/Raw_Data!$H2191</f>
        <v>240.62851536952257</v>
      </c>
    </row>
    <row r="2192" spans="1:10" x14ac:dyDescent="0.3">
      <c r="A2192" s="9">
        <v>39338</v>
      </c>
      <c r="B2192" s="2" t="str">
        <f>TEXT(Raw_Data!$A2192, "MMM")</f>
        <v>Sep</v>
      </c>
      <c r="C2192" s="2">
        <f>YEAR(Raw_Data!$A2192)</f>
        <v>2007</v>
      </c>
      <c r="D2192" s="2" t="s">
        <v>1752</v>
      </c>
      <c r="E2192" s="2" t="s">
        <v>23</v>
      </c>
      <c r="F2192" s="2" t="s">
        <v>16</v>
      </c>
      <c r="G2192" s="2">
        <v>4</v>
      </c>
      <c r="H2192" s="2">
        <v>3013</v>
      </c>
      <c r="I2192" s="10">
        <v>307394</v>
      </c>
      <c r="J2192" s="10">
        <f>Raw_Data!$I2192/Raw_Data!$H2192</f>
        <v>102.02256886823764</v>
      </c>
    </row>
    <row r="2193" spans="1:10" x14ac:dyDescent="0.3">
      <c r="A2193" s="8">
        <v>38197</v>
      </c>
      <c r="B2193" t="str">
        <f>TEXT(Raw_Data!$A2193, "MMM")</f>
        <v>Jul</v>
      </c>
      <c r="C2193">
        <f>YEAR(Raw_Data!$A2193)</f>
        <v>2004</v>
      </c>
      <c r="D2193" t="s">
        <v>1753</v>
      </c>
      <c r="E2193" t="s">
        <v>25</v>
      </c>
      <c r="F2193" t="s">
        <v>16</v>
      </c>
      <c r="G2193">
        <v>5</v>
      </c>
      <c r="H2193">
        <v>1771</v>
      </c>
      <c r="I2193" s="1">
        <v>466440</v>
      </c>
      <c r="J2193" s="1">
        <f>Raw_Data!$I2193/Raw_Data!$H2193</f>
        <v>263.3766233766234</v>
      </c>
    </row>
    <row r="2194" spans="1:10" x14ac:dyDescent="0.3">
      <c r="A2194" s="9">
        <v>39074</v>
      </c>
      <c r="B2194" s="2" t="str">
        <f>TEXT(Raw_Data!$A2194, "MMM")</f>
        <v>Dec</v>
      </c>
      <c r="C2194" s="2">
        <f>YEAR(Raw_Data!$A2194)</f>
        <v>2006</v>
      </c>
      <c r="D2194" s="2" t="s">
        <v>225</v>
      </c>
      <c r="E2194" s="2" t="s">
        <v>15</v>
      </c>
      <c r="F2194" s="2" t="s">
        <v>18</v>
      </c>
      <c r="G2194" s="2">
        <v>2</v>
      </c>
      <c r="H2194" s="2">
        <v>3150</v>
      </c>
      <c r="I2194" s="10">
        <v>733368</v>
      </c>
      <c r="J2194" s="10">
        <f>Raw_Data!$I2194/Raw_Data!$H2194</f>
        <v>232.8152380952381</v>
      </c>
    </row>
    <row r="2195" spans="1:10" x14ac:dyDescent="0.3">
      <c r="A2195" s="8">
        <v>40597</v>
      </c>
      <c r="B2195" t="str">
        <f>TEXT(Raw_Data!$A2195, "MMM")</f>
        <v>Feb</v>
      </c>
      <c r="C2195">
        <f>YEAR(Raw_Data!$A2195)</f>
        <v>2011</v>
      </c>
      <c r="D2195" t="s">
        <v>1398</v>
      </c>
      <c r="E2195" t="s">
        <v>25</v>
      </c>
      <c r="F2195" t="s">
        <v>27</v>
      </c>
      <c r="G2195">
        <v>5</v>
      </c>
      <c r="H2195">
        <v>2543</v>
      </c>
      <c r="I2195" s="1">
        <v>120737</v>
      </c>
      <c r="J2195" s="1">
        <f>Raw_Data!$I2195/Raw_Data!$H2195</f>
        <v>47.478175383405429</v>
      </c>
    </row>
    <row r="2196" spans="1:10" x14ac:dyDescent="0.3">
      <c r="A2196" s="9">
        <v>37793</v>
      </c>
      <c r="B2196" s="2" t="str">
        <f>TEXT(Raw_Data!$A2196, "MMM")</f>
        <v>Jun</v>
      </c>
      <c r="C2196" s="2">
        <f>YEAR(Raw_Data!$A2196)</f>
        <v>2003</v>
      </c>
      <c r="D2196" s="2" t="s">
        <v>461</v>
      </c>
      <c r="E2196" s="2" t="s">
        <v>29</v>
      </c>
      <c r="F2196" s="2" t="s">
        <v>27</v>
      </c>
      <c r="G2196" s="2">
        <v>3</v>
      </c>
      <c r="H2196" s="2">
        <v>1659</v>
      </c>
      <c r="I2196" s="10">
        <v>248731</v>
      </c>
      <c r="J2196" s="10">
        <f>Raw_Data!$I2196/Raw_Data!$H2196</f>
        <v>149.9282700421941</v>
      </c>
    </row>
    <row r="2197" spans="1:10" x14ac:dyDescent="0.3">
      <c r="A2197" s="8">
        <v>42618</v>
      </c>
      <c r="B2197" t="str">
        <f>TEXT(Raw_Data!$A2197, "MMM")</f>
        <v>Sep</v>
      </c>
      <c r="C2197">
        <f>YEAR(Raw_Data!$A2197)</f>
        <v>2016</v>
      </c>
      <c r="D2197" t="s">
        <v>735</v>
      </c>
      <c r="E2197" t="s">
        <v>25</v>
      </c>
      <c r="F2197" t="s">
        <v>16</v>
      </c>
      <c r="G2197">
        <v>3</v>
      </c>
      <c r="H2197">
        <v>3027</v>
      </c>
      <c r="I2197" s="1">
        <v>418177</v>
      </c>
      <c r="J2197" s="1">
        <f>Raw_Data!$I2197/Raw_Data!$H2197</f>
        <v>138.14899240171786</v>
      </c>
    </row>
    <row r="2198" spans="1:10" x14ac:dyDescent="0.3">
      <c r="A2198" s="9">
        <v>37382</v>
      </c>
      <c r="B2198" s="2" t="str">
        <f>TEXT(Raw_Data!$A2198, "MMM")</f>
        <v>May</v>
      </c>
      <c r="C2198" s="2">
        <f>YEAR(Raw_Data!$A2198)</f>
        <v>2002</v>
      </c>
      <c r="D2198" s="2" t="s">
        <v>1754</v>
      </c>
      <c r="E2198" s="2" t="s">
        <v>23</v>
      </c>
      <c r="F2198" s="2" t="s">
        <v>18</v>
      </c>
      <c r="G2198" s="2"/>
      <c r="H2198" s="2">
        <v>1094</v>
      </c>
      <c r="I2198" s="10">
        <v>614008</v>
      </c>
      <c r="J2198" s="10">
        <f>Raw_Data!$I2198/Raw_Data!$H2198</f>
        <v>561.25045703839123</v>
      </c>
    </row>
    <row r="2199" spans="1:10" x14ac:dyDescent="0.3">
      <c r="A2199" s="8">
        <v>41320</v>
      </c>
      <c r="B2199" t="str">
        <f>TEXT(Raw_Data!$A2199, "MMM")</f>
        <v>Feb</v>
      </c>
      <c r="C2199">
        <f>YEAR(Raw_Data!$A2199)</f>
        <v>2013</v>
      </c>
      <c r="D2199" t="s">
        <v>1407</v>
      </c>
      <c r="E2199" t="s">
        <v>23</v>
      </c>
      <c r="F2199" t="s">
        <v>18</v>
      </c>
      <c r="G2199">
        <v>2</v>
      </c>
      <c r="H2199">
        <v>3022</v>
      </c>
      <c r="I2199" s="1">
        <v>326721</v>
      </c>
      <c r="J2199" s="1">
        <f>Raw_Data!$I2199/Raw_Data!$H2199</f>
        <v>108.11416280608869</v>
      </c>
    </row>
    <row r="2200" spans="1:10" x14ac:dyDescent="0.3">
      <c r="A2200" s="9">
        <v>42857</v>
      </c>
      <c r="B2200" s="2" t="str">
        <f>TEXT(Raw_Data!$A2200, "MMM")</f>
        <v>May</v>
      </c>
      <c r="C2200" s="2">
        <f>YEAR(Raw_Data!$A2200)</f>
        <v>2017</v>
      </c>
      <c r="D2200" s="2" t="s">
        <v>186</v>
      </c>
      <c r="E2200" s="2" t="s">
        <v>21</v>
      </c>
      <c r="F2200" s="2" t="s">
        <v>27</v>
      </c>
      <c r="G2200" s="2">
        <v>2</v>
      </c>
      <c r="H2200" s="2">
        <v>2478</v>
      </c>
      <c r="I2200" s="10">
        <v>682035</v>
      </c>
      <c r="J2200" s="10">
        <f>Raw_Data!$I2200/Raw_Data!$H2200</f>
        <v>275.2360774818402</v>
      </c>
    </row>
    <row r="2201" spans="1:10" x14ac:dyDescent="0.3">
      <c r="A2201" s="8">
        <v>38132</v>
      </c>
      <c r="B2201" t="str">
        <f>TEXT(Raw_Data!$A2201, "MMM")</f>
        <v>May</v>
      </c>
      <c r="C2201">
        <f>YEAR(Raw_Data!$A2201)</f>
        <v>2004</v>
      </c>
      <c r="D2201" t="s">
        <v>760</v>
      </c>
      <c r="E2201" t="s">
        <v>13</v>
      </c>
      <c r="F2201" t="s">
        <v>16</v>
      </c>
      <c r="G2201">
        <v>5</v>
      </c>
      <c r="H2201">
        <v>1050</v>
      </c>
      <c r="I2201" s="1">
        <v>296471</v>
      </c>
      <c r="J2201" s="1">
        <f>Raw_Data!$I2201/Raw_Data!$H2201</f>
        <v>282.35333333333335</v>
      </c>
    </row>
    <row r="2202" spans="1:10" x14ac:dyDescent="0.3">
      <c r="A2202" s="9">
        <v>43866</v>
      </c>
      <c r="B2202" s="2" t="str">
        <f>TEXT(Raw_Data!$A2202, "MMM")</f>
        <v>Feb</v>
      </c>
      <c r="C2202" s="2">
        <f>YEAR(Raw_Data!$A2202)</f>
        <v>2020</v>
      </c>
      <c r="D2202" s="2" t="s">
        <v>956</v>
      </c>
      <c r="E2202" s="2" t="s">
        <v>15</v>
      </c>
      <c r="F2202" s="2" t="s">
        <v>16</v>
      </c>
      <c r="G2202" s="2">
        <v>5</v>
      </c>
      <c r="H2202" s="2">
        <v>1204</v>
      </c>
      <c r="I2202" s="10">
        <v>428452</v>
      </c>
      <c r="J2202" s="10">
        <f>Raw_Data!$I2202/Raw_Data!$H2202</f>
        <v>355.85714285714283</v>
      </c>
    </row>
    <row r="2203" spans="1:10" x14ac:dyDescent="0.3">
      <c r="A2203" s="8">
        <v>39706</v>
      </c>
      <c r="B2203" t="str">
        <f>TEXT(Raw_Data!$A2203, "MMM")</f>
        <v>Sep</v>
      </c>
      <c r="C2203">
        <f>YEAR(Raw_Data!$A2203)</f>
        <v>2008</v>
      </c>
      <c r="D2203" t="s">
        <v>1755</v>
      </c>
      <c r="E2203" t="s">
        <v>23</v>
      </c>
      <c r="F2203" t="s">
        <v>27</v>
      </c>
      <c r="G2203">
        <v>4</v>
      </c>
      <c r="H2203">
        <v>925</v>
      </c>
      <c r="I2203" s="1">
        <v>119673</v>
      </c>
      <c r="J2203" s="1">
        <f>Raw_Data!$I2203/Raw_Data!$H2203</f>
        <v>129.37621621621622</v>
      </c>
    </row>
    <row r="2204" spans="1:10" x14ac:dyDescent="0.3">
      <c r="A2204" s="9">
        <v>42972</v>
      </c>
      <c r="B2204" s="2" t="str">
        <f>TEXT(Raw_Data!$A2204, "MMM")</f>
        <v>Aug</v>
      </c>
      <c r="C2204" s="2">
        <f>YEAR(Raw_Data!$A2204)</f>
        <v>2017</v>
      </c>
      <c r="D2204" s="2" t="s">
        <v>1439</v>
      </c>
      <c r="E2204" s="2" t="s">
        <v>21</v>
      </c>
      <c r="F2204" s="2" t="s">
        <v>16</v>
      </c>
      <c r="G2204" s="2">
        <v>3</v>
      </c>
      <c r="H2204" s="2">
        <v>3068</v>
      </c>
      <c r="I2204" s="10">
        <v>225748</v>
      </c>
      <c r="J2204" s="10">
        <f>Raw_Data!$I2204/Raw_Data!$H2204</f>
        <v>73.581486310299866</v>
      </c>
    </row>
    <row r="2205" spans="1:10" x14ac:dyDescent="0.3">
      <c r="A2205" s="8">
        <v>43650</v>
      </c>
      <c r="B2205" t="str">
        <f>TEXT(Raw_Data!$A2205, "MMM")</f>
        <v>Jul</v>
      </c>
      <c r="C2205">
        <f>YEAR(Raw_Data!$A2205)</f>
        <v>2019</v>
      </c>
      <c r="D2205" t="s">
        <v>1756</v>
      </c>
      <c r="E2205" t="s">
        <v>25</v>
      </c>
      <c r="F2205" t="s">
        <v>18</v>
      </c>
      <c r="H2205">
        <v>2196</v>
      </c>
      <c r="I2205" s="1">
        <v>551453</v>
      </c>
      <c r="J2205" s="1">
        <f>Raw_Data!$I2205/Raw_Data!$H2205</f>
        <v>251.11703096539162</v>
      </c>
    </row>
    <row r="2206" spans="1:10" x14ac:dyDescent="0.3">
      <c r="A2206" s="9">
        <v>41656</v>
      </c>
      <c r="B2206" s="2" t="str">
        <f>TEXT(Raw_Data!$A2206, "MMM")</f>
        <v>Jan</v>
      </c>
      <c r="C2206" s="2">
        <f>YEAR(Raw_Data!$A2206)</f>
        <v>2014</v>
      </c>
      <c r="D2206" s="2" t="s">
        <v>1757</v>
      </c>
      <c r="E2206" s="2" t="s">
        <v>32</v>
      </c>
      <c r="F2206" s="2" t="s">
        <v>27</v>
      </c>
      <c r="G2206" s="2"/>
      <c r="H2206" s="2">
        <v>1497</v>
      </c>
      <c r="I2206" s="10">
        <v>769937</v>
      </c>
      <c r="J2206" s="10">
        <f>Raw_Data!$I2206/Raw_Data!$H2206</f>
        <v>514.31997327989313</v>
      </c>
    </row>
    <row r="2207" spans="1:10" x14ac:dyDescent="0.3">
      <c r="A2207" s="8">
        <v>40157</v>
      </c>
      <c r="B2207" t="str">
        <f>TEXT(Raw_Data!$A2207, "MMM")</f>
        <v>Dec</v>
      </c>
      <c r="C2207">
        <f>YEAR(Raw_Data!$A2207)</f>
        <v>2009</v>
      </c>
      <c r="D2207" t="s">
        <v>1758</v>
      </c>
      <c r="E2207" t="s">
        <v>29</v>
      </c>
      <c r="F2207" t="s">
        <v>16</v>
      </c>
      <c r="G2207">
        <v>4</v>
      </c>
      <c r="H2207">
        <v>3339</v>
      </c>
      <c r="I2207" s="1">
        <v>410353</v>
      </c>
      <c r="J2207" s="1">
        <f>Raw_Data!$I2207/Raw_Data!$H2207</f>
        <v>122.89697514225816</v>
      </c>
    </row>
    <row r="2208" spans="1:10" x14ac:dyDescent="0.3">
      <c r="A2208" s="9">
        <v>43242</v>
      </c>
      <c r="B2208" s="2" t="str">
        <f>TEXT(Raw_Data!$A2208, "MMM")</f>
        <v>May</v>
      </c>
      <c r="C2208" s="2">
        <f>YEAR(Raw_Data!$A2208)</f>
        <v>2018</v>
      </c>
      <c r="D2208" s="2" t="s">
        <v>1759</v>
      </c>
      <c r="E2208" s="2" t="s">
        <v>32</v>
      </c>
      <c r="F2208" s="2" t="s">
        <v>16</v>
      </c>
      <c r="G2208" s="2"/>
      <c r="H2208" s="2">
        <v>1503</v>
      </c>
      <c r="I2208" s="10">
        <v>663946</v>
      </c>
      <c r="J2208" s="10">
        <f>Raw_Data!$I2208/Raw_Data!$H2208</f>
        <v>441.74717232202261</v>
      </c>
    </row>
    <row r="2209" spans="1:10" x14ac:dyDescent="0.3">
      <c r="A2209" s="8">
        <v>39566</v>
      </c>
      <c r="B2209" t="str">
        <f>TEXT(Raw_Data!$A2209, "MMM")</f>
        <v>Apr</v>
      </c>
      <c r="C2209">
        <f>YEAR(Raw_Data!$A2209)</f>
        <v>2008</v>
      </c>
      <c r="D2209" t="s">
        <v>1760</v>
      </c>
      <c r="E2209" t="s">
        <v>32</v>
      </c>
      <c r="F2209" t="s">
        <v>16</v>
      </c>
      <c r="G2209">
        <v>2</v>
      </c>
      <c r="H2209">
        <v>1699</v>
      </c>
      <c r="I2209" s="1">
        <v>175890</v>
      </c>
      <c r="J2209" s="1">
        <f>Raw_Data!$I2209/Raw_Data!$H2209</f>
        <v>103.5256032960565</v>
      </c>
    </row>
    <row r="2210" spans="1:10" x14ac:dyDescent="0.3">
      <c r="A2210" s="9">
        <v>42096</v>
      </c>
      <c r="B2210" s="2" t="str">
        <f>TEXT(Raw_Data!$A2210, "MMM")</f>
        <v>Apr</v>
      </c>
      <c r="C2210" s="2">
        <f>YEAR(Raw_Data!$A2210)</f>
        <v>2015</v>
      </c>
      <c r="D2210" s="2" t="s">
        <v>1761</v>
      </c>
      <c r="E2210" s="2" t="s">
        <v>21</v>
      </c>
      <c r="F2210" s="2" t="s">
        <v>11</v>
      </c>
      <c r="G2210" s="2">
        <v>2</v>
      </c>
      <c r="H2210" s="2">
        <v>2899</v>
      </c>
      <c r="I2210" s="10">
        <v>366036</v>
      </c>
      <c r="J2210" s="10">
        <f>Raw_Data!$I2210/Raw_Data!$H2210</f>
        <v>126.26284925836495</v>
      </c>
    </row>
    <row r="2211" spans="1:10" x14ac:dyDescent="0.3">
      <c r="A2211" s="8">
        <v>43997</v>
      </c>
      <c r="B2211" t="str">
        <f>TEXT(Raw_Data!$A2211, "MMM")</f>
        <v>Jun</v>
      </c>
      <c r="C2211">
        <f>YEAR(Raw_Data!$A2211)</f>
        <v>2020</v>
      </c>
      <c r="D2211" t="s">
        <v>1762</v>
      </c>
      <c r="E2211" t="s">
        <v>13</v>
      </c>
      <c r="F2211" t="s">
        <v>16</v>
      </c>
      <c r="G2211">
        <v>5</v>
      </c>
      <c r="H2211">
        <v>889</v>
      </c>
      <c r="I2211" s="1">
        <v>340264</v>
      </c>
      <c r="J2211" s="1">
        <f>Raw_Data!$I2211/Raw_Data!$H2211</f>
        <v>382.74915635545557</v>
      </c>
    </row>
    <row r="2212" spans="1:10" x14ac:dyDescent="0.3">
      <c r="A2212" s="9">
        <v>38946</v>
      </c>
      <c r="B2212" s="2" t="str">
        <f>TEXT(Raw_Data!$A2212, "MMM")</f>
        <v>Aug</v>
      </c>
      <c r="C2212" s="2">
        <f>YEAR(Raw_Data!$A2212)</f>
        <v>2006</v>
      </c>
      <c r="D2212" s="2" t="s">
        <v>1763</v>
      </c>
      <c r="E2212" s="2" t="s">
        <v>29</v>
      </c>
      <c r="F2212" s="2" t="s">
        <v>16</v>
      </c>
      <c r="G2212" s="2">
        <v>3</v>
      </c>
      <c r="H2212" s="2">
        <v>2012</v>
      </c>
      <c r="I2212" s="10">
        <v>562242</v>
      </c>
      <c r="J2212" s="10">
        <f>Raw_Data!$I2212/Raw_Data!$H2212</f>
        <v>279.44433399602383</v>
      </c>
    </row>
    <row r="2213" spans="1:10" x14ac:dyDescent="0.3">
      <c r="A2213" s="8">
        <v>43359</v>
      </c>
      <c r="B2213" t="str">
        <f>TEXT(Raw_Data!$A2213, "MMM")</f>
        <v>Sep</v>
      </c>
      <c r="C2213">
        <f>YEAR(Raw_Data!$A2213)</f>
        <v>2018</v>
      </c>
      <c r="D2213" t="s">
        <v>1567</v>
      </c>
      <c r="E2213" t="s">
        <v>21</v>
      </c>
      <c r="F2213" t="s">
        <v>27</v>
      </c>
      <c r="H2213">
        <v>1481</v>
      </c>
      <c r="I2213" s="1">
        <v>651511</v>
      </c>
      <c r="J2213" s="1">
        <f>Raw_Data!$I2213/Raw_Data!$H2213</f>
        <v>439.91289669142469</v>
      </c>
    </row>
    <row r="2214" spans="1:10" x14ac:dyDescent="0.3">
      <c r="A2214" s="9">
        <v>38590</v>
      </c>
      <c r="B2214" s="2" t="str">
        <f>TEXT(Raw_Data!$A2214, "MMM")</f>
        <v>Aug</v>
      </c>
      <c r="C2214" s="2">
        <f>YEAR(Raw_Data!$A2214)</f>
        <v>2005</v>
      </c>
      <c r="D2214" s="2" t="s">
        <v>1043</v>
      </c>
      <c r="E2214" s="2" t="s">
        <v>32</v>
      </c>
      <c r="F2214" s="2" t="s">
        <v>18</v>
      </c>
      <c r="G2214" s="2"/>
      <c r="H2214" s="2">
        <v>2930</v>
      </c>
      <c r="I2214" s="10">
        <v>829087</v>
      </c>
      <c r="J2214" s="10">
        <f>Raw_Data!$I2214/Raw_Data!$H2214</f>
        <v>282.96484641638227</v>
      </c>
    </row>
    <row r="2215" spans="1:10" x14ac:dyDescent="0.3">
      <c r="A2215" s="8">
        <v>42468</v>
      </c>
      <c r="B2215" t="str">
        <f>TEXT(Raw_Data!$A2215, "MMM")</f>
        <v>Apr</v>
      </c>
      <c r="C2215">
        <f>YEAR(Raw_Data!$A2215)</f>
        <v>2016</v>
      </c>
      <c r="D2215" t="s">
        <v>1764</v>
      </c>
      <c r="E2215" t="s">
        <v>21</v>
      </c>
      <c r="F2215" t="s">
        <v>18</v>
      </c>
      <c r="G2215">
        <v>4</v>
      </c>
      <c r="H2215">
        <v>3145</v>
      </c>
      <c r="I2215" s="1">
        <v>690481</v>
      </c>
      <c r="J2215" s="1">
        <f>Raw_Data!$I2215/Raw_Data!$H2215</f>
        <v>219.54880763116057</v>
      </c>
    </row>
    <row r="2216" spans="1:10" x14ac:dyDescent="0.3">
      <c r="A2216" s="9">
        <v>37793</v>
      </c>
      <c r="B2216" s="2" t="str">
        <f>TEXT(Raw_Data!$A2216, "MMM")</f>
        <v>Jun</v>
      </c>
      <c r="C2216" s="2">
        <f>YEAR(Raw_Data!$A2216)</f>
        <v>2003</v>
      </c>
      <c r="D2216" s="2" t="s">
        <v>1765</v>
      </c>
      <c r="E2216" s="2" t="s">
        <v>13</v>
      </c>
      <c r="F2216" s="2" t="s">
        <v>11</v>
      </c>
      <c r="G2216" s="2">
        <v>4</v>
      </c>
      <c r="H2216" s="2">
        <v>3084</v>
      </c>
      <c r="I2216" s="10">
        <v>710387</v>
      </c>
      <c r="J2216" s="10">
        <f>Raw_Data!$I2216/Raw_Data!$H2216</f>
        <v>230.34597924773021</v>
      </c>
    </row>
    <row r="2217" spans="1:10" x14ac:dyDescent="0.3">
      <c r="A2217" s="8">
        <v>43224</v>
      </c>
      <c r="B2217" t="str">
        <f>TEXT(Raw_Data!$A2217, "MMM")</f>
        <v>May</v>
      </c>
      <c r="C2217">
        <f>YEAR(Raw_Data!$A2217)</f>
        <v>2018</v>
      </c>
      <c r="D2217" t="s">
        <v>1506</v>
      </c>
      <c r="E2217" t="s">
        <v>15</v>
      </c>
      <c r="F2217" t="s">
        <v>27</v>
      </c>
      <c r="H2217">
        <v>904</v>
      </c>
      <c r="I2217" s="1">
        <v>596316</v>
      </c>
      <c r="J2217" s="1">
        <f>Raw_Data!$I2217/Raw_Data!$H2217</f>
        <v>659.64159292035401</v>
      </c>
    </row>
    <row r="2218" spans="1:10" x14ac:dyDescent="0.3">
      <c r="A2218" s="9">
        <v>43100</v>
      </c>
      <c r="B2218" s="2" t="str">
        <f>TEXT(Raw_Data!$A2218, "MMM")</f>
        <v>Dec</v>
      </c>
      <c r="C2218" s="2">
        <f>YEAR(Raw_Data!$A2218)</f>
        <v>2017</v>
      </c>
      <c r="D2218" s="2" t="s">
        <v>188</v>
      </c>
      <c r="E2218" s="2" t="s">
        <v>23</v>
      </c>
      <c r="F2218" s="2" t="s">
        <v>11</v>
      </c>
      <c r="G2218" s="2"/>
      <c r="H2218" s="2">
        <v>1534</v>
      </c>
      <c r="I2218" s="10">
        <v>250691</v>
      </c>
      <c r="J2218" s="10">
        <f>Raw_Data!$I2218/Raw_Data!$H2218</f>
        <v>163.42307692307693</v>
      </c>
    </row>
    <row r="2219" spans="1:10" x14ac:dyDescent="0.3">
      <c r="A2219" s="8">
        <v>38796</v>
      </c>
      <c r="B2219" t="str">
        <f>TEXT(Raw_Data!$A2219, "MMM")</f>
        <v>Mar</v>
      </c>
      <c r="C2219">
        <f>YEAR(Raw_Data!$A2219)</f>
        <v>2006</v>
      </c>
      <c r="D2219" t="s">
        <v>1766</v>
      </c>
      <c r="E2219" t="s">
        <v>13</v>
      </c>
      <c r="F2219" t="s">
        <v>27</v>
      </c>
      <c r="G2219">
        <v>3</v>
      </c>
      <c r="H2219">
        <v>1182</v>
      </c>
      <c r="I2219" s="1">
        <v>348562</v>
      </c>
      <c r="J2219" s="1">
        <f>Raw_Data!$I2219/Raw_Data!$H2219</f>
        <v>294.89170896785112</v>
      </c>
    </row>
    <row r="2220" spans="1:10" x14ac:dyDescent="0.3">
      <c r="A2220" s="9">
        <v>40255</v>
      </c>
      <c r="B2220" s="2" t="str">
        <f>TEXT(Raw_Data!$A2220, "MMM")</f>
        <v>Mar</v>
      </c>
      <c r="C2220" s="2">
        <f>YEAR(Raw_Data!$A2220)</f>
        <v>2010</v>
      </c>
      <c r="D2220" s="2" t="s">
        <v>1289</v>
      </c>
      <c r="E2220" s="2" t="s">
        <v>15</v>
      </c>
      <c r="F2220" s="2" t="s">
        <v>11</v>
      </c>
      <c r="G2220" s="2">
        <v>3</v>
      </c>
      <c r="H2220" s="2">
        <v>2754</v>
      </c>
      <c r="I2220" s="10">
        <v>545241</v>
      </c>
      <c r="J2220" s="10">
        <f>Raw_Data!$I2220/Raw_Data!$H2220</f>
        <v>197.9814814814815</v>
      </c>
    </row>
    <row r="2221" spans="1:10" x14ac:dyDescent="0.3">
      <c r="A2221" s="8">
        <v>43945</v>
      </c>
      <c r="B2221" t="str">
        <f>TEXT(Raw_Data!$A2221, "MMM")</f>
        <v>Apr</v>
      </c>
      <c r="C2221">
        <f>YEAR(Raw_Data!$A2221)</f>
        <v>2020</v>
      </c>
      <c r="D2221" t="s">
        <v>1767</v>
      </c>
      <c r="E2221" t="s">
        <v>25</v>
      </c>
      <c r="F2221" t="s">
        <v>27</v>
      </c>
      <c r="G2221">
        <v>4</v>
      </c>
      <c r="H2221">
        <v>1166</v>
      </c>
      <c r="I2221" s="1">
        <v>208527</v>
      </c>
      <c r="J2221" s="1">
        <f>Raw_Data!$I2221/Raw_Data!$H2221</f>
        <v>178.83962264150944</v>
      </c>
    </row>
    <row r="2222" spans="1:10" x14ac:dyDescent="0.3">
      <c r="A2222" s="9">
        <v>39118</v>
      </c>
      <c r="B2222" s="2" t="str">
        <f>TEXT(Raw_Data!$A2222, "MMM")</f>
        <v>Feb</v>
      </c>
      <c r="C2222" s="2">
        <f>YEAR(Raw_Data!$A2222)</f>
        <v>2007</v>
      </c>
      <c r="D2222" s="2" t="s">
        <v>1768</v>
      </c>
      <c r="E2222" s="2" t="s">
        <v>25</v>
      </c>
      <c r="F2222" s="2" t="s">
        <v>11</v>
      </c>
      <c r="G2222" s="2">
        <v>5</v>
      </c>
      <c r="H2222" s="2">
        <v>3041</v>
      </c>
      <c r="I2222" s="10">
        <v>159702</v>
      </c>
      <c r="J2222" s="10">
        <f>Raw_Data!$I2222/Raw_Data!$H2222</f>
        <v>52.5162775402828</v>
      </c>
    </row>
    <row r="2223" spans="1:10" x14ac:dyDescent="0.3">
      <c r="A2223" s="8">
        <v>41729</v>
      </c>
      <c r="B2223" t="str">
        <f>TEXT(Raw_Data!$A2223, "MMM")</f>
        <v>Mar</v>
      </c>
      <c r="C2223">
        <f>YEAR(Raw_Data!$A2223)</f>
        <v>2014</v>
      </c>
      <c r="D2223" t="s">
        <v>758</v>
      </c>
      <c r="E2223" t="s">
        <v>32</v>
      </c>
      <c r="F2223" t="s">
        <v>16</v>
      </c>
      <c r="H2223">
        <v>3159</v>
      </c>
      <c r="I2223" s="1">
        <v>465688</v>
      </c>
      <c r="J2223" s="1">
        <f>Raw_Data!$I2223/Raw_Data!$H2223</f>
        <v>147.41627097182652</v>
      </c>
    </row>
    <row r="2224" spans="1:10" x14ac:dyDescent="0.3">
      <c r="A2224" s="9">
        <v>39501</v>
      </c>
      <c r="B2224" s="2" t="str">
        <f>TEXT(Raw_Data!$A2224, "MMM")</f>
        <v>Feb</v>
      </c>
      <c r="C2224" s="2">
        <f>YEAR(Raw_Data!$A2224)</f>
        <v>2008</v>
      </c>
      <c r="D2224" s="2" t="s">
        <v>1769</v>
      </c>
      <c r="E2224" s="2" t="s">
        <v>15</v>
      </c>
      <c r="F2224" s="2" t="s">
        <v>11</v>
      </c>
      <c r="G2224" s="2">
        <v>5</v>
      </c>
      <c r="H2224" s="2">
        <v>3479</v>
      </c>
      <c r="I2224" s="10">
        <v>509693</v>
      </c>
      <c r="J2224" s="10">
        <f>Raw_Data!$I2224/Raw_Data!$H2224</f>
        <v>146.50560505892497</v>
      </c>
    </row>
    <row r="2225" spans="1:10" x14ac:dyDescent="0.3">
      <c r="A2225" s="8">
        <v>43719</v>
      </c>
      <c r="B2225" t="str">
        <f>TEXT(Raw_Data!$A2225, "MMM")</f>
        <v>Sep</v>
      </c>
      <c r="C2225">
        <f>YEAR(Raw_Data!$A2225)</f>
        <v>2019</v>
      </c>
      <c r="D2225" t="s">
        <v>1770</v>
      </c>
      <c r="E2225" t="s">
        <v>23</v>
      </c>
      <c r="F2225" t="s">
        <v>16</v>
      </c>
      <c r="G2225">
        <v>2</v>
      </c>
      <c r="H2225">
        <v>2018</v>
      </c>
      <c r="I2225" s="1">
        <v>361619</v>
      </c>
      <c r="J2225" s="1">
        <f>Raw_Data!$I2225/Raw_Data!$H2225</f>
        <v>179.19672943508425</v>
      </c>
    </row>
    <row r="2226" spans="1:10" x14ac:dyDescent="0.3">
      <c r="A2226" s="9">
        <v>43915</v>
      </c>
      <c r="B2226" s="2" t="str">
        <f>TEXT(Raw_Data!$A2226, "MMM")</f>
        <v>Mar</v>
      </c>
      <c r="C2226" s="2">
        <f>YEAR(Raw_Data!$A2226)</f>
        <v>2020</v>
      </c>
      <c r="D2226" s="2" t="s">
        <v>165</v>
      </c>
      <c r="E2226" s="2" t="s">
        <v>15</v>
      </c>
      <c r="F2226" s="2" t="s">
        <v>16</v>
      </c>
      <c r="G2226" s="2"/>
      <c r="H2226" s="2">
        <v>1283</v>
      </c>
      <c r="I2226" s="10">
        <v>708933</v>
      </c>
      <c r="J2226" s="10">
        <f>Raw_Data!$I2226/Raw_Data!$H2226</f>
        <v>552.55884645362437</v>
      </c>
    </row>
    <row r="2227" spans="1:10" x14ac:dyDescent="0.3">
      <c r="A2227" s="8">
        <v>37308</v>
      </c>
      <c r="B2227" t="str">
        <f>TEXT(Raw_Data!$A2227, "MMM")</f>
        <v>Feb</v>
      </c>
      <c r="C2227">
        <f>YEAR(Raw_Data!$A2227)</f>
        <v>2002</v>
      </c>
      <c r="D2227" t="s">
        <v>1032</v>
      </c>
      <c r="E2227" t="s">
        <v>29</v>
      </c>
      <c r="F2227" t="s">
        <v>11</v>
      </c>
      <c r="H2227">
        <v>3401</v>
      </c>
      <c r="I2227" s="1">
        <v>452100</v>
      </c>
      <c r="J2227" s="1">
        <f>Raw_Data!$I2227/Raw_Data!$H2227</f>
        <v>132.93149073801823</v>
      </c>
    </row>
    <row r="2228" spans="1:10" x14ac:dyDescent="0.3">
      <c r="A2228" s="9">
        <v>37370</v>
      </c>
      <c r="B2228" s="2" t="str">
        <f>TEXT(Raw_Data!$A2228, "MMM")</f>
        <v>Apr</v>
      </c>
      <c r="C2228" s="2">
        <f>YEAR(Raw_Data!$A2228)</f>
        <v>2002</v>
      </c>
      <c r="D2228" s="2" t="s">
        <v>1771</v>
      </c>
      <c r="E2228" s="2" t="s">
        <v>15</v>
      </c>
      <c r="F2228" s="2" t="s">
        <v>27</v>
      </c>
      <c r="G2228" s="2">
        <v>2</v>
      </c>
      <c r="H2228" s="2">
        <v>3304</v>
      </c>
      <c r="I2228" s="10">
        <v>617879</v>
      </c>
      <c r="J2228" s="10">
        <f>Raw_Data!$I2228/Raw_Data!$H2228</f>
        <v>187.00938256658597</v>
      </c>
    </row>
    <row r="2229" spans="1:10" x14ac:dyDescent="0.3">
      <c r="A2229" s="8">
        <v>41660</v>
      </c>
      <c r="B2229" t="str">
        <f>TEXT(Raw_Data!$A2229, "MMM")</f>
        <v>Jan</v>
      </c>
      <c r="C2229">
        <f>YEAR(Raw_Data!$A2229)</f>
        <v>2014</v>
      </c>
      <c r="D2229" t="s">
        <v>1469</v>
      </c>
      <c r="E2229" t="s">
        <v>25</v>
      </c>
      <c r="F2229" t="s">
        <v>11</v>
      </c>
      <c r="G2229">
        <v>2</v>
      </c>
      <c r="H2229">
        <v>2345</v>
      </c>
      <c r="I2229" s="1">
        <v>187568</v>
      </c>
      <c r="J2229" s="1">
        <f>Raw_Data!$I2229/Raw_Data!$H2229</f>
        <v>79.986353944562893</v>
      </c>
    </row>
    <row r="2230" spans="1:10" x14ac:dyDescent="0.3">
      <c r="A2230" s="9">
        <v>38349</v>
      </c>
      <c r="B2230" s="2" t="str">
        <f>TEXT(Raw_Data!$A2230, "MMM")</f>
        <v>Dec</v>
      </c>
      <c r="C2230" s="2">
        <f>YEAR(Raw_Data!$A2230)</f>
        <v>2004</v>
      </c>
      <c r="D2230" s="2" t="s">
        <v>1772</v>
      </c>
      <c r="E2230" s="2" t="s">
        <v>13</v>
      </c>
      <c r="F2230" s="2" t="s">
        <v>16</v>
      </c>
      <c r="G2230" s="2"/>
      <c r="H2230" s="2">
        <v>3299</v>
      </c>
      <c r="I2230" s="10">
        <v>417093</v>
      </c>
      <c r="J2230" s="10">
        <f>Raw_Data!$I2230/Raw_Data!$H2230</f>
        <v>126.43013034252805</v>
      </c>
    </row>
    <row r="2231" spans="1:10" x14ac:dyDescent="0.3">
      <c r="A2231" s="8">
        <v>41041</v>
      </c>
      <c r="B2231" t="str">
        <f>TEXT(Raw_Data!$A2231, "MMM")</f>
        <v>May</v>
      </c>
      <c r="C2231">
        <f>YEAR(Raw_Data!$A2231)</f>
        <v>2012</v>
      </c>
      <c r="D2231" t="s">
        <v>1773</v>
      </c>
      <c r="E2231" t="s">
        <v>15</v>
      </c>
      <c r="F2231" t="s">
        <v>27</v>
      </c>
      <c r="G2231">
        <v>4</v>
      </c>
      <c r="H2231">
        <v>1773</v>
      </c>
      <c r="I2231" s="1">
        <v>624250</v>
      </c>
      <c r="J2231" s="1">
        <f>Raw_Data!$I2231/Raw_Data!$H2231</f>
        <v>352.08685843203608</v>
      </c>
    </row>
    <row r="2232" spans="1:10" x14ac:dyDescent="0.3">
      <c r="A2232" s="9">
        <v>37058</v>
      </c>
      <c r="B2232" s="2" t="str">
        <f>TEXT(Raw_Data!$A2232, "MMM")</f>
        <v>Jun</v>
      </c>
      <c r="C2232" s="2">
        <f>YEAR(Raw_Data!$A2232)</f>
        <v>2001</v>
      </c>
      <c r="D2232" s="2" t="s">
        <v>496</v>
      </c>
      <c r="E2232" s="2" t="s">
        <v>32</v>
      </c>
      <c r="F2232" s="2" t="s">
        <v>16</v>
      </c>
      <c r="G2232" s="2"/>
      <c r="H2232" s="2">
        <v>2011</v>
      </c>
      <c r="I2232" s="10">
        <v>304236</v>
      </c>
      <c r="J2232" s="10">
        <f>Raw_Data!$I2232/Raw_Data!$H2232</f>
        <v>151.28592739930383</v>
      </c>
    </row>
    <row r="2233" spans="1:10" x14ac:dyDescent="0.3">
      <c r="A2233" s="8">
        <v>37477</v>
      </c>
      <c r="B2233" t="str">
        <f>TEXT(Raw_Data!$A2233, "MMM")</f>
        <v>Aug</v>
      </c>
      <c r="C2233">
        <f>YEAR(Raw_Data!$A2233)</f>
        <v>2002</v>
      </c>
      <c r="D2233" t="s">
        <v>1774</v>
      </c>
      <c r="E2233" t="s">
        <v>32</v>
      </c>
      <c r="F2233" t="s">
        <v>11</v>
      </c>
      <c r="G2233">
        <v>4</v>
      </c>
      <c r="H2233">
        <v>3348</v>
      </c>
      <c r="I2233" s="1">
        <v>109531</v>
      </c>
      <c r="J2233" s="1">
        <f>Raw_Data!$I2233/Raw_Data!$H2233</f>
        <v>32.715352449223417</v>
      </c>
    </row>
    <row r="2234" spans="1:10" x14ac:dyDescent="0.3">
      <c r="A2234" s="9">
        <v>42884</v>
      </c>
      <c r="B2234" s="2" t="str">
        <f>TEXT(Raw_Data!$A2234, "MMM")</f>
        <v>May</v>
      </c>
      <c r="C2234" s="2">
        <f>YEAR(Raw_Data!$A2234)</f>
        <v>2017</v>
      </c>
      <c r="D2234" s="2" t="s">
        <v>245</v>
      </c>
      <c r="E2234" s="2" t="s">
        <v>23</v>
      </c>
      <c r="F2234" s="2" t="s">
        <v>18</v>
      </c>
      <c r="G2234" s="2">
        <v>2</v>
      </c>
      <c r="H2234" s="2">
        <v>2176</v>
      </c>
      <c r="I2234" s="10">
        <v>536079</v>
      </c>
      <c r="J2234" s="10">
        <f>Raw_Data!$I2234/Raw_Data!$H2234</f>
        <v>246.35983455882354</v>
      </c>
    </row>
    <row r="2235" spans="1:10" x14ac:dyDescent="0.3">
      <c r="A2235" s="8">
        <v>43524</v>
      </c>
      <c r="B2235" t="str">
        <f>TEXT(Raw_Data!$A2235, "MMM")</f>
        <v>Feb</v>
      </c>
      <c r="C2235">
        <f>YEAR(Raw_Data!$A2235)</f>
        <v>2019</v>
      </c>
      <c r="D2235" t="s">
        <v>696</v>
      </c>
      <c r="E2235" t="s">
        <v>15</v>
      </c>
      <c r="F2235" t="s">
        <v>11</v>
      </c>
      <c r="G2235">
        <v>5</v>
      </c>
      <c r="H2235">
        <v>1665</v>
      </c>
      <c r="I2235" s="1">
        <v>637656</v>
      </c>
      <c r="J2235" s="1">
        <f>Raw_Data!$I2235/Raw_Data!$H2235</f>
        <v>382.97657657657658</v>
      </c>
    </row>
    <row r="2236" spans="1:10" x14ac:dyDescent="0.3">
      <c r="A2236" s="9">
        <v>40608</v>
      </c>
      <c r="B2236" s="2" t="str">
        <f>TEXT(Raw_Data!$A2236, "MMM")</f>
        <v>Mar</v>
      </c>
      <c r="C2236" s="2">
        <f>YEAR(Raw_Data!$A2236)</f>
        <v>2011</v>
      </c>
      <c r="D2236" s="2" t="s">
        <v>1775</v>
      </c>
      <c r="E2236" s="2" t="s">
        <v>13</v>
      </c>
      <c r="F2236" s="2" t="s">
        <v>27</v>
      </c>
      <c r="G2236" s="2"/>
      <c r="H2236" s="2">
        <v>1505</v>
      </c>
      <c r="I2236" s="10">
        <v>882882</v>
      </c>
      <c r="J2236" s="10">
        <f>Raw_Data!$I2236/Raw_Data!$H2236</f>
        <v>586.63255813953492</v>
      </c>
    </row>
    <row r="2237" spans="1:10" x14ac:dyDescent="0.3">
      <c r="A2237" s="8">
        <v>37306</v>
      </c>
      <c r="B2237" t="str">
        <f>TEXT(Raw_Data!$A2237, "MMM")</f>
        <v>Feb</v>
      </c>
      <c r="C2237">
        <f>YEAR(Raw_Data!$A2237)</f>
        <v>2002</v>
      </c>
      <c r="D2237" t="s">
        <v>1776</v>
      </c>
      <c r="E2237" t="s">
        <v>15</v>
      </c>
      <c r="F2237" t="s">
        <v>18</v>
      </c>
      <c r="G2237">
        <v>5</v>
      </c>
      <c r="H2237">
        <v>2558</v>
      </c>
      <c r="I2237" s="1">
        <v>680408</v>
      </c>
      <c r="J2237" s="1">
        <f>Raw_Data!$I2237/Raw_Data!$H2237</f>
        <v>265.99218139171228</v>
      </c>
    </row>
    <row r="2238" spans="1:10" x14ac:dyDescent="0.3">
      <c r="A2238" s="9">
        <v>43347</v>
      </c>
      <c r="B2238" s="2" t="str">
        <f>TEXT(Raw_Data!$A2238, "MMM")</f>
        <v>Sep</v>
      </c>
      <c r="C2238" s="2">
        <f>YEAR(Raw_Data!$A2238)</f>
        <v>2018</v>
      </c>
      <c r="D2238" s="2" t="s">
        <v>1777</v>
      </c>
      <c r="E2238" s="2" t="s">
        <v>15</v>
      </c>
      <c r="F2238" s="2" t="s">
        <v>27</v>
      </c>
      <c r="G2238" s="2">
        <v>4</v>
      </c>
      <c r="H2238" s="2">
        <v>2846</v>
      </c>
      <c r="I2238" s="10">
        <v>709341</v>
      </c>
      <c r="J2238" s="10">
        <f>Raw_Data!$I2238/Raw_Data!$H2238</f>
        <v>249.24139142656361</v>
      </c>
    </row>
    <row r="2239" spans="1:10" x14ac:dyDescent="0.3">
      <c r="A2239" s="8">
        <v>41182</v>
      </c>
      <c r="B2239" t="str">
        <f>TEXT(Raw_Data!$A2239, "MMM")</f>
        <v>Sep</v>
      </c>
      <c r="C2239">
        <f>YEAR(Raw_Data!$A2239)</f>
        <v>2012</v>
      </c>
      <c r="D2239" t="s">
        <v>1778</v>
      </c>
      <c r="E2239" t="s">
        <v>25</v>
      </c>
      <c r="F2239" t="s">
        <v>27</v>
      </c>
      <c r="G2239">
        <v>2</v>
      </c>
      <c r="H2239">
        <v>2286</v>
      </c>
      <c r="I2239" s="1">
        <v>330531</v>
      </c>
      <c r="J2239" s="1">
        <f>Raw_Data!$I2239/Raw_Data!$H2239</f>
        <v>144.58923884514437</v>
      </c>
    </row>
    <row r="2240" spans="1:10" x14ac:dyDescent="0.3">
      <c r="A2240" s="9">
        <v>38885</v>
      </c>
      <c r="B2240" s="2" t="str">
        <f>TEXT(Raw_Data!$A2240, "MMM")</f>
        <v>Jun</v>
      </c>
      <c r="C2240" s="2">
        <f>YEAR(Raw_Data!$A2240)</f>
        <v>2006</v>
      </c>
      <c r="D2240" s="2" t="s">
        <v>1779</v>
      </c>
      <c r="E2240" s="2" t="s">
        <v>15</v>
      </c>
      <c r="F2240" s="2" t="s">
        <v>27</v>
      </c>
      <c r="G2240" s="2">
        <v>2</v>
      </c>
      <c r="H2240" s="2">
        <v>3290</v>
      </c>
      <c r="I2240" s="10">
        <v>508511</v>
      </c>
      <c r="J2240" s="10">
        <f>Raw_Data!$I2240/Raw_Data!$H2240</f>
        <v>154.56261398176292</v>
      </c>
    </row>
    <row r="2241" spans="1:10" x14ac:dyDescent="0.3">
      <c r="A2241" s="8">
        <v>38519</v>
      </c>
      <c r="B2241" t="str">
        <f>TEXT(Raw_Data!$A2241, "MMM")</f>
        <v>Jun</v>
      </c>
      <c r="C2241">
        <f>YEAR(Raw_Data!$A2241)</f>
        <v>2005</v>
      </c>
      <c r="D2241" t="s">
        <v>1780</v>
      </c>
      <c r="E2241" t="s">
        <v>23</v>
      </c>
      <c r="F2241" t="s">
        <v>18</v>
      </c>
      <c r="H2241">
        <v>1006</v>
      </c>
      <c r="I2241" s="1">
        <v>745266</v>
      </c>
      <c r="J2241" s="1">
        <f>Raw_Data!$I2241/Raw_Data!$H2241</f>
        <v>740.8210735586481</v>
      </c>
    </row>
    <row r="2242" spans="1:10" x14ac:dyDescent="0.3">
      <c r="A2242" s="9">
        <v>41482</v>
      </c>
      <c r="B2242" s="2" t="str">
        <f>TEXT(Raw_Data!$A2242, "MMM")</f>
        <v>Jul</v>
      </c>
      <c r="C2242" s="2">
        <f>YEAR(Raw_Data!$A2242)</f>
        <v>2013</v>
      </c>
      <c r="D2242" s="2" t="s">
        <v>1781</v>
      </c>
      <c r="E2242" s="2" t="s">
        <v>13</v>
      </c>
      <c r="F2242" s="2" t="s">
        <v>16</v>
      </c>
      <c r="G2242" s="2">
        <v>5</v>
      </c>
      <c r="H2242" s="2">
        <v>2718</v>
      </c>
      <c r="I2242" s="10">
        <v>697449</v>
      </c>
      <c r="J2242" s="10">
        <f>Raw_Data!$I2242/Raw_Data!$H2242</f>
        <v>256.6037527593819</v>
      </c>
    </row>
    <row r="2243" spans="1:10" x14ac:dyDescent="0.3">
      <c r="A2243" s="8">
        <v>42165</v>
      </c>
      <c r="B2243" t="str">
        <f>TEXT(Raw_Data!$A2243, "MMM")</f>
        <v>Jun</v>
      </c>
      <c r="C2243">
        <f>YEAR(Raw_Data!$A2243)</f>
        <v>2015</v>
      </c>
      <c r="D2243" t="s">
        <v>1782</v>
      </c>
      <c r="E2243" t="s">
        <v>15</v>
      </c>
      <c r="F2243" t="s">
        <v>27</v>
      </c>
      <c r="G2243">
        <v>5</v>
      </c>
      <c r="H2243">
        <v>3419</v>
      </c>
      <c r="I2243" s="1">
        <v>588375</v>
      </c>
      <c r="J2243" s="1">
        <f>Raw_Data!$I2243/Raw_Data!$H2243</f>
        <v>172.08979233694063</v>
      </c>
    </row>
    <row r="2244" spans="1:10" x14ac:dyDescent="0.3">
      <c r="A2244" s="9">
        <v>41352</v>
      </c>
      <c r="B2244" s="2" t="str">
        <f>TEXT(Raw_Data!$A2244, "MMM")</f>
        <v>Mar</v>
      </c>
      <c r="C2244" s="2">
        <f>YEAR(Raw_Data!$A2244)</f>
        <v>2013</v>
      </c>
      <c r="D2244" s="2" t="s">
        <v>1783</v>
      </c>
      <c r="E2244" s="2" t="s">
        <v>29</v>
      </c>
      <c r="F2244" s="2" t="s">
        <v>18</v>
      </c>
      <c r="G2244" s="2">
        <v>3</v>
      </c>
      <c r="H2244" s="2">
        <v>3493</v>
      </c>
      <c r="I2244" s="10">
        <v>321474</v>
      </c>
      <c r="J2244" s="10">
        <f>Raw_Data!$I2244/Raw_Data!$H2244</f>
        <v>92.033781849413117</v>
      </c>
    </row>
    <row r="2245" spans="1:10" x14ac:dyDescent="0.3">
      <c r="A2245" s="8">
        <v>44166</v>
      </c>
      <c r="B2245" t="str">
        <f>TEXT(Raw_Data!$A2245, "MMM")</f>
        <v>Dec</v>
      </c>
      <c r="C2245">
        <f>YEAR(Raw_Data!$A2245)</f>
        <v>2020</v>
      </c>
      <c r="D2245" t="s">
        <v>1784</v>
      </c>
      <c r="E2245" t="s">
        <v>25</v>
      </c>
      <c r="F2245" t="s">
        <v>27</v>
      </c>
      <c r="G2245">
        <v>4</v>
      </c>
      <c r="H2245">
        <v>1376</v>
      </c>
      <c r="I2245" s="1">
        <v>509110</v>
      </c>
      <c r="J2245" s="1">
        <f>Raw_Data!$I2245/Raw_Data!$H2245</f>
        <v>369.99273255813955</v>
      </c>
    </row>
    <row r="2246" spans="1:10" x14ac:dyDescent="0.3">
      <c r="A2246" s="9">
        <v>37717</v>
      </c>
      <c r="B2246" s="2" t="str">
        <f>TEXT(Raw_Data!$A2246, "MMM")</f>
        <v>Apr</v>
      </c>
      <c r="C2246" s="2">
        <f>YEAR(Raw_Data!$A2246)</f>
        <v>2003</v>
      </c>
      <c r="D2246" s="2" t="s">
        <v>1693</v>
      </c>
      <c r="E2246" s="2" t="s">
        <v>32</v>
      </c>
      <c r="F2246" s="2" t="s">
        <v>18</v>
      </c>
      <c r="G2246" s="2">
        <v>5</v>
      </c>
      <c r="H2246" s="2">
        <v>3425</v>
      </c>
      <c r="I2246" s="10">
        <v>826452</v>
      </c>
      <c r="J2246" s="10">
        <f>Raw_Data!$I2246/Raw_Data!$H2246</f>
        <v>241.29985401459854</v>
      </c>
    </row>
    <row r="2247" spans="1:10" x14ac:dyDescent="0.3">
      <c r="A2247" s="8">
        <v>42499</v>
      </c>
      <c r="B2247" t="str">
        <f>TEXT(Raw_Data!$A2247, "MMM")</f>
        <v>May</v>
      </c>
      <c r="C2247">
        <f>YEAR(Raw_Data!$A2247)</f>
        <v>2016</v>
      </c>
      <c r="D2247" t="s">
        <v>1086</v>
      </c>
      <c r="E2247" t="s">
        <v>32</v>
      </c>
      <c r="F2247" t="s">
        <v>18</v>
      </c>
      <c r="G2247">
        <v>5</v>
      </c>
      <c r="H2247">
        <v>2331</v>
      </c>
      <c r="I2247" s="1">
        <v>742704</v>
      </c>
      <c r="J2247" s="1">
        <f>Raw_Data!$I2247/Raw_Data!$H2247</f>
        <v>318.62033462033463</v>
      </c>
    </row>
    <row r="2248" spans="1:10" x14ac:dyDescent="0.3">
      <c r="A2248" s="9">
        <v>43121</v>
      </c>
      <c r="B2248" s="2" t="str">
        <f>TEXT(Raw_Data!$A2248, "MMM")</f>
        <v>Jan</v>
      </c>
      <c r="C2248" s="2">
        <f>YEAR(Raw_Data!$A2248)</f>
        <v>2018</v>
      </c>
      <c r="D2248" s="2" t="s">
        <v>1700</v>
      </c>
      <c r="E2248" s="2" t="s">
        <v>13</v>
      </c>
      <c r="F2248" s="2" t="s">
        <v>27</v>
      </c>
      <c r="G2248" s="2">
        <v>2</v>
      </c>
      <c r="H2248" s="2">
        <v>2885</v>
      </c>
      <c r="I2248" s="10">
        <v>302044</v>
      </c>
      <c r="J2248" s="10">
        <f>Raw_Data!$I2248/Raw_Data!$H2248</f>
        <v>104.6946273830156</v>
      </c>
    </row>
    <row r="2249" spans="1:10" x14ac:dyDescent="0.3">
      <c r="A2249" s="8">
        <v>39695</v>
      </c>
      <c r="B2249" t="str">
        <f>TEXT(Raw_Data!$A2249, "MMM")</f>
        <v>Sep</v>
      </c>
      <c r="C2249">
        <f>YEAR(Raw_Data!$A2249)</f>
        <v>2008</v>
      </c>
      <c r="D2249" t="s">
        <v>567</v>
      </c>
      <c r="E2249" t="s">
        <v>21</v>
      </c>
      <c r="F2249" t="s">
        <v>16</v>
      </c>
      <c r="G2249">
        <v>3</v>
      </c>
      <c r="H2249">
        <v>1130</v>
      </c>
      <c r="I2249" s="1">
        <v>826347</v>
      </c>
      <c r="J2249" s="1">
        <f>Raw_Data!$I2249/Raw_Data!$H2249</f>
        <v>731.28053097345128</v>
      </c>
    </row>
    <row r="2250" spans="1:10" x14ac:dyDescent="0.3">
      <c r="A2250" s="9">
        <v>43278</v>
      </c>
      <c r="B2250" s="2" t="str">
        <f>TEXT(Raw_Data!$A2250, "MMM")</f>
        <v>Jun</v>
      </c>
      <c r="C2250" s="2">
        <f>YEAR(Raw_Data!$A2250)</f>
        <v>2018</v>
      </c>
      <c r="D2250" s="2" t="s">
        <v>1510</v>
      </c>
      <c r="E2250" s="2" t="s">
        <v>13</v>
      </c>
      <c r="F2250" s="2" t="s">
        <v>11</v>
      </c>
      <c r="G2250" s="2">
        <v>4</v>
      </c>
      <c r="H2250" s="2">
        <v>3400</v>
      </c>
      <c r="I2250" s="10">
        <v>718503</v>
      </c>
      <c r="J2250" s="10">
        <f>Raw_Data!$I2250/Raw_Data!$H2250</f>
        <v>211.32441176470587</v>
      </c>
    </row>
    <row r="2251" spans="1:10" x14ac:dyDescent="0.3">
      <c r="A2251" s="8">
        <v>42846</v>
      </c>
      <c r="B2251" t="str">
        <f>TEXT(Raw_Data!$A2251, "MMM")</f>
        <v>Apr</v>
      </c>
      <c r="C2251">
        <f>YEAR(Raw_Data!$A2251)</f>
        <v>2017</v>
      </c>
      <c r="D2251" t="s">
        <v>762</v>
      </c>
      <c r="E2251" t="s">
        <v>29</v>
      </c>
      <c r="F2251" t="s">
        <v>27</v>
      </c>
      <c r="G2251">
        <v>2</v>
      </c>
      <c r="H2251">
        <v>2347</v>
      </c>
      <c r="I2251" s="1">
        <v>678802</v>
      </c>
      <c r="J2251" s="1">
        <f>Raw_Data!$I2251/Raw_Data!$H2251</f>
        <v>289.2211333617384</v>
      </c>
    </row>
    <row r="2252" spans="1:10" x14ac:dyDescent="0.3">
      <c r="A2252" s="9">
        <v>40597</v>
      </c>
      <c r="B2252" s="2" t="str">
        <f>TEXT(Raw_Data!$A2252, "MMM")</f>
        <v>Feb</v>
      </c>
      <c r="C2252" s="2">
        <f>YEAR(Raw_Data!$A2252)</f>
        <v>2011</v>
      </c>
      <c r="D2252" s="2" t="s">
        <v>773</v>
      </c>
      <c r="E2252" s="2" t="s">
        <v>21</v>
      </c>
      <c r="F2252" s="2" t="s">
        <v>16</v>
      </c>
      <c r="G2252" s="2">
        <v>3</v>
      </c>
      <c r="H2252" s="2">
        <v>3290</v>
      </c>
      <c r="I2252" s="10">
        <v>268645</v>
      </c>
      <c r="J2252" s="10">
        <f>Raw_Data!$I2252/Raw_Data!$H2252</f>
        <v>81.655015197568389</v>
      </c>
    </row>
    <row r="2253" spans="1:10" x14ac:dyDescent="0.3">
      <c r="A2253" s="8">
        <v>36924</v>
      </c>
      <c r="B2253" t="str">
        <f>TEXT(Raw_Data!$A2253, "MMM")</f>
        <v>Feb</v>
      </c>
      <c r="C2253">
        <f>YEAR(Raw_Data!$A2253)</f>
        <v>2001</v>
      </c>
      <c r="D2253" t="s">
        <v>1785</v>
      </c>
      <c r="E2253" t="s">
        <v>32</v>
      </c>
      <c r="F2253" t="s">
        <v>27</v>
      </c>
      <c r="G2253">
        <v>5</v>
      </c>
      <c r="H2253">
        <v>3004</v>
      </c>
      <c r="I2253" s="1">
        <v>168024</v>
      </c>
      <c r="J2253" s="1">
        <f>Raw_Data!$I2253/Raw_Data!$H2253</f>
        <v>55.933422103861517</v>
      </c>
    </row>
    <row r="2254" spans="1:10" x14ac:dyDescent="0.3">
      <c r="A2254" s="9">
        <v>42575</v>
      </c>
      <c r="B2254" s="2" t="str">
        <f>TEXT(Raw_Data!$A2254, "MMM")</f>
        <v>Jul</v>
      </c>
      <c r="C2254" s="2">
        <f>YEAR(Raw_Data!$A2254)</f>
        <v>2016</v>
      </c>
      <c r="D2254" s="2" t="s">
        <v>1786</v>
      </c>
      <c r="E2254" s="2" t="s">
        <v>25</v>
      </c>
      <c r="F2254" s="2" t="s">
        <v>27</v>
      </c>
      <c r="G2254" s="2">
        <v>3</v>
      </c>
      <c r="H2254" s="2">
        <v>3029</v>
      </c>
      <c r="I2254" s="10">
        <v>781325</v>
      </c>
      <c r="J2254" s="10">
        <f>Raw_Data!$I2254/Raw_Data!$H2254</f>
        <v>257.94816771211623</v>
      </c>
    </row>
    <row r="2255" spans="1:10" x14ac:dyDescent="0.3">
      <c r="A2255" s="8">
        <v>37488</v>
      </c>
      <c r="B2255" t="str">
        <f>TEXT(Raw_Data!$A2255, "MMM")</f>
        <v>Aug</v>
      </c>
      <c r="C2255">
        <f>YEAR(Raw_Data!$A2255)</f>
        <v>2002</v>
      </c>
      <c r="D2255" t="s">
        <v>857</v>
      </c>
      <c r="E2255" t="s">
        <v>15</v>
      </c>
      <c r="F2255" t="s">
        <v>16</v>
      </c>
      <c r="G2255">
        <v>5</v>
      </c>
      <c r="H2255">
        <v>2847</v>
      </c>
      <c r="I2255" s="1">
        <v>765525</v>
      </c>
      <c r="J2255" s="1">
        <f>Raw_Data!$I2255/Raw_Data!$H2255</f>
        <v>268.88830347734455</v>
      </c>
    </row>
    <row r="2256" spans="1:10" x14ac:dyDescent="0.3">
      <c r="A2256" s="9">
        <v>41590</v>
      </c>
      <c r="B2256" s="2" t="str">
        <f>TEXT(Raw_Data!$A2256, "MMM")</f>
        <v>Nov</v>
      </c>
      <c r="C2256" s="2">
        <f>YEAR(Raw_Data!$A2256)</f>
        <v>2013</v>
      </c>
      <c r="D2256" s="2" t="s">
        <v>81</v>
      </c>
      <c r="E2256" s="2" t="s">
        <v>32</v>
      </c>
      <c r="F2256" s="2" t="s">
        <v>16</v>
      </c>
      <c r="G2256" s="2"/>
      <c r="H2256" s="2">
        <v>3024</v>
      </c>
      <c r="I2256" s="10">
        <v>256812</v>
      </c>
      <c r="J2256" s="10">
        <f>Raw_Data!$I2256/Raw_Data!$H2256</f>
        <v>84.924603174603178</v>
      </c>
    </row>
    <row r="2257" spans="1:10" x14ac:dyDescent="0.3">
      <c r="A2257" s="8">
        <v>42851</v>
      </c>
      <c r="B2257" t="str">
        <f>TEXT(Raw_Data!$A2257, "MMM")</f>
        <v>Apr</v>
      </c>
      <c r="C2257">
        <f>YEAR(Raw_Data!$A2257)</f>
        <v>2017</v>
      </c>
      <c r="D2257" t="s">
        <v>1093</v>
      </c>
      <c r="E2257" t="s">
        <v>15</v>
      </c>
      <c r="F2257" t="s">
        <v>16</v>
      </c>
      <c r="G2257">
        <v>4</v>
      </c>
      <c r="H2257">
        <v>3148</v>
      </c>
      <c r="I2257" s="1">
        <v>279688</v>
      </c>
      <c r="J2257" s="1">
        <f>Raw_Data!$I2257/Raw_Data!$H2257</f>
        <v>88.846251588310039</v>
      </c>
    </row>
    <row r="2258" spans="1:10" x14ac:dyDescent="0.3">
      <c r="A2258" s="9">
        <v>40501</v>
      </c>
      <c r="B2258" s="2" t="str">
        <f>TEXT(Raw_Data!$A2258, "MMM")</f>
        <v>Nov</v>
      </c>
      <c r="C2258" s="2">
        <f>YEAR(Raw_Data!$A2258)</f>
        <v>2010</v>
      </c>
      <c r="D2258" s="2" t="s">
        <v>1787</v>
      </c>
      <c r="E2258" s="2" t="s">
        <v>15</v>
      </c>
      <c r="F2258" s="2" t="s">
        <v>16</v>
      </c>
      <c r="G2258" s="2">
        <v>5</v>
      </c>
      <c r="H2258" s="2">
        <v>2264</v>
      </c>
      <c r="I2258" s="10">
        <v>479576</v>
      </c>
      <c r="J2258" s="10">
        <f>Raw_Data!$I2258/Raw_Data!$H2258</f>
        <v>211.8268551236749</v>
      </c>
    </row>
    <row r="2259" spans="1:10" x14ac:dyDescent="0.3">
      <c r="A2259" s="8">
        <v>43710</v>
      </c>
      <c r="B2259" t="str">
        <f>TEXT(Raw_Data!$A2259, "MMM")</f>
        <v>Sep</v>
      </c>
      <c r="C2259">
        <f>YEAR(Raw_Data!$A2259)</f>
        <v>2019</v>
      </c>
      <c r="D2259" t="s">
        <v>1788</v>
      </c>
      <c r="E2259" t="s">
        <v>32</v>
      </c>
      <c r="F2259" t="s">
        <v>27</v>
      </c>
      <c r="H2259">
        <v>2939</v>
      </c>
      <c r="I2259" s="1">
        <v>764214</v>
      </c>
      <c r="J2259" s="1">
        <f>Raw_Data!$I2259/Raw_Data!$H2259</f>
        <v>260.02517863218782</v>
      </c>
    </row>
    <row r="2260" spans="1:10" x14ac:dyDescent="0.3">
      <c r="A2260" s="9">
        <v>38525</v>
      </c>
      <c r="B2260" s="2" t="str">
        <f>TEXT(Raw_Data!$A2260, "MMM")</f>
        <v>Jun</v>
      </c>
      <c r="C2260" s="2">
        <f>YEAR(Raw_Data!$A2260)</f>
        <v>2005</v>
      </c>
      <c r="D2260" s="2" t="s">
        <v>1789</v>
      </c>
      <c r="E2260" s="2" t="s">
        <v>29</v>
      </c>
      <c r="F2260" s="2" t="s">
        <v>16</v>
      </c>
      <c r="G2260" s="2">
        <v>2</v>
      </c>
      <c r="H2260" s="2">
        <v>2189</v>
      </c>
      <c r="I2260" s="10">
        <v>587286</v>
      </c>
      <c r="J2260" s="10">
        <f>Raw_Data!$I2260/Raw_Data!$H2260</f>
        <v>268.28962996802193</v>
      </c>
    </row>
    <row r="2261" spans="1:10" x14ac:dyDescent="0.3">
      <c r="A2261" s="8">
        <v>41634</v>
      </c>
      <c r="B2261" t="str">
        <f>TEXT(Raw_Data!$A2261, "MMM")</f>
        <v>Dec</v>
      </c>
      <c r="C2261">
        <f>YEAR(Raw_Data!$A2261)</f>
        <v>2013</v>
      </c>
      <c r="D2261" t="s">
        <v>1790</v>
      </c>
      <c r="E2261" t="s">
        <v>15</v>
      </c>
      <c r="F2261" t="s">
        <v>27</v>
      </c>
      <c r="G2261">
        <v>4</v>
      </c>
      <c r="H2261">
        <v>2387</v>
      </c>
      <c r="I2261" s="1">
        <v>180287</v>
      </c>
      <c r="J2261" s="1">
        <f>Raw_Data!$I2261/Raw_Data!$H2261</f>
        <v>75.528697109342275</v>
      </c>
    </row>
    <row r="2262" spans="1:10" x14ac:dyDescent="0.3">
      <c r="A2262" s="9">
        <v>38801</v>
      </c>
      <c r="B2262" s="2" t="str">
        <f>TEXT(Raw_Data!$A2262, "MMM")</f>
        <v>Mar</v>
      </c>
      <c r="C2262" s="2">
        <f>YEAR(Raw_Data!$A2262)</f>
        <v>2006</v>
      </c>
      <c r="D2262" s="2" t="s">
        <v>1791</v>
      </c>
      <c r="E2262" s="2" t="s">
        <v>21</v>
      </c>
      <c r="F2262" s="2" t="s">
        <v>11</v>
      </c>
      <c r="G2262" s="2"/>
      <c r="H2262" s="2">
        <v>2233</v>
      </c>
      <c r="I2262" s="10">
        <v>749544</v>
      </c>
      <c r="J2262" s="10">
        <f>Raw_Data!$I2262/Raw_Data!$H2262</f>
        <v>335.666815942678</v>
      </c>
    </row>
    <row r="2263" spans="1:10" x14ac:dyDescent="0.3">
      <c r="A2263" s="8">
        <v>42456</v>
      </c>
      <c r="B2263" t="str">
        <f>TEXT(Raw_Data!$A2263, "MMM")</f>
        <v>Mar</v>
      </c>
      <c r="C2263">
        <f>YEAR(Raw_Data!$A2263)</f>
        <v>2016</v>
      </c>
      <c r="D2263" t="s">
        <v>1792</v>
      </c>
      <c r="E2263" t="s">
        <v>25</v>
      </c>
      <c r="F2263" t="s">
        <v>16</v>
      </c>
      <c r="G2263">
        <v>3</v>
      </c>
      <c r="H2263">
        <v>932</v>
      </c>
      <c r="I2263" s="1">
        <v>622592</v>
      </c>
      <c r="J2263" s="1">
        <f>Raw_Data!$I2263/Raw_Data!$H2263</f>
        <v>668.01716738197422</v>
      </c>
    </row>
    <row r="2264" spans="1:10" x14ac:dyDescent="0.3">
      <c r="A2264" s="9">
        <v>43261</v>
      </c>
      <c r="B2264" s="2" t="str">
        <f>TEXT(Raw_Data!$A2264, "MMM")</f>
        <v>Jun</v>
      </c>
      <c r="C2264" s="2">
        <f>YEAR(Raw_Data!$A2264)</f>
        <v>2018</v>
      </c>
      <c r="D2264" s="2" t="s">
        <v>304</v>
      </c>
      <c r="E2264" s="2" t="s">
        <v>29</v>
      </c>
      <c r="F2264" s="2" t="s">
        <v>16</v>
      </c>
      <c r="G2264" s="2"/>
      <c r="H2264" s="2">
        <v>2492</v>
      </c>
      <c r="I2264" s="10">
        <v>479035</v>
      </c>
      <c r="J2264" s="10">
        <f>Raw_Data!$I2264/Raw_Data!$H2264</f>
        <v>192.22913322632425</v>
      </c>
    </row>
    <row r="2265" spans="1:10" x14ac:dyDescent="0.3">
      <c r="A2265" s="8">
        <v>39670</v>
      </c>
      <c r="B2265" t="str">
        <f>TEXT(Raw_Data!$A2265, "MMM")</f>
        <v>Aug</v>
      </c>
      <c r="C2265">
        <f>YEAR(Raw_Data!$A2265)</f>
        <v>2008</v>
      </c>
      <c r="D2265" t="s">
        <v>1793</v>
      </c>
      <c r="E2265" t="s">
        <v>25</v>
      </c>
      <c r="F2265" t="s">
        <v>27</v>
      </c>
      <c r="H2265">
        <v>3178</v>
      </c>
      <c r="I2265" s="1">
        <v>579918</v>
      </c>
      <c r="J2265" s="1">
        <f>Raw_Data!$I2265/Raw_Data!$H2265</f>
        <v>182.47891755821271</v>
      </c>
    </row>
    <row r="2266" spans="1:10" x14ac:dyDescent="0.3">
      <c r="A2266" s="9">
        <v>39245</v>
      </c>
      <c r="B2266" s="2" t="str">
        <f>TEXT(Raw_Data!$A2266, "MMM")</f>
        <v>Jun</v>
      </c>
      <c r="C2266" s="2">
        <f>YEAR(Raw_Data!$A2266)</f>
        <v>2007</v>
      </c>
      <c r="D2266" s="2" t="s">
        <v>1794</v>
      </c>
      <c r="E2266" s="2" t="s">
        <v>15</v>
      </c>
      <c r="F2266" s="2" t="s">
        <v>11</v>
      </c>
      <c r="G2266" s="2"/>
      <c r="H2266" s="2">
        <v>1246</v>
      </c>
      <c r="I2266" s="10">
        <v>510925</v>
      </c>
      <c r="J2266" s="10">
        <f>Raw_Data!$I2266/Raw_Data!$H2266</f>
        <v>410.05216693418942</v>
      </c>
    </row>
    <row r="2267" spans="1:10" x14ac:dyDescent="0.3">
      <c r="A2267" s="8">
        <v>40716</v>
      </c>
      <c r="B2267" t="str">
        <f>TEXT(Raw_Data!$A2267, "MMM")</f>
        <v>Jun</v>
      </c>
      <c r="C2267">
        <f>YEAR(Raw_Data!$A2267)</f>
        <v>2011</v>
      </c>
      <c r="D2267" t="s">
        <v>1795</v>
      </c>
      <c r="E2267" t="s">
        <v>21</v>
      </c>
      <c r="F2267" t="s">
        <v>27</v>
      </c>
      <c r="G2267">
        <v>3</v>
      </c>
      <c r="H2267">
        <v>2529</v>
      </c>
      <c r="I2267" s="1"/>
      <c r="J2267" s="1">
        <f>Raw_Data!$I2267/Raw_Data!$H2267</f>
        <v>0</v>
      </c>
    </row>
    <row r="2268" spans="1:10" x14ac:dyDescent="0.3">
      <c r="A2268" s="9">
        <v>43331</v>
      </c>
      <c r="B2268" s="2" t="str">
        <f>TEXT(Raw_Data!$A2268, "MMM")</f>
        <v>Aug</v>
      </c>
      <c r="C2268" s="2">
        <f>YEAR(Raw_Data!$A2268)</f>
        <v>2018</v>
      </c>
      <c r="D2268" s="2" t="s">
        <v>971</v>
      </c>
      <c r="E2268" s="2" t="s">
        <v>21</v>
      </c>
      <c r="F2268" s="2" t="s">
        <v>16</v>
      </c>
      <c r="G2268" s="2"/>
      <c r="H2268" s="2">
        <v>2206</v>
      </c>
      <c r="I2268" s="10">
        <v>500980</v>
      </c>
      <c r="J2268" s="10">
        <f>Raw_Data!$I2268/Raw_Data!$H2268</f>
        <v>227.09882139619219</v>
      </c>
    </row>
    <row r="2269" spans="1:10" x14ac:dyDescent="0.3">
      <c r="A2269" s="8">
        <v>42469</v>
      </c>
      <c r="B2269" t="str">
        <f>TEXT(Raw_Data!$A2269, "MMM")</f>
        <v>Apr</v>
      </c>
      <c r="C2269">
        <f>YEAR(Raw_Data!$A2269)</f>
        <v>2016</v>
      </c>
      <c r="D2269" t="s">
        <v>1796</v>
      </c>
      <c r="E2269" t="s">
        <v>32</v>
      </c>
      <c r="F2269" t="s">
        <v>11</v>
      </c>
      <c r="H2269">
        <v>1513</v>
      </c>
      <c r="I2269" s="1">
        <v>570210</v>
      </c>
      <c r="J2269" s="1">
        <f>Raw_Data!$I2269/Raw_Data!$H2269</f>
        <v>376.87376074025116</v>
      </c>
    </row>
    <row r="2270" spans="1:10" x14ac:dyDescent="0.3">
      <c r="A2270" s="9">
        <v>41438</v>
      </c>
      <c r="B2270" s="2" t="str">
        <f>TEXT(Raw_Data!$A2270, "MMM")</f>
        <v>Jun</v>
      </c>
      <c r="C2270" s="2">
        <f>YEAR(Raw_Data!$A2270)</f>
        <v>2013</v>
      </c>
      <c r="D2270" s="2" t="s">
        <v>1797</v>
      </c>
      <c r="E2270" s="2" t="s">
        <v>32</v>
      </c>
      <c r="F2270" s="2" t="s">
        <v>16</v>
      </c>
      <c r="G2270" s="2"/>
      <c r="H2270" s="2">
        <v>2031</v>
      </c>
      <c r="I2270" s="10">
        <v>231369</v>
      </c>
      <c r="J2270" s="10">
        <f>Raw_Data!$I2270/Raw_Data!$H2270</f>
        <v>113.91875923190547</v>
      </c>
    </row>
    <row r="2271" spans="1:10" x14ac:dyDescent="0.3">
      <c r="A2271" s="8">
        <v>40605</v>
      </c>
      <c r="B2271" t="str">
        <f>TEXT(Raw_Data!$A2271, "MMM")</f>
        <v>Mar</v>
      </c>
      <c r="C2271">
        <f>YEAR(Raw_Data!$A2271)</f>
        <v>2011</v>
      </c>
      <c r="D2271" t="s">
        <v>377</v>
      </c>
      <c r="E2271" t="s">
        <v>15</v>
      </c>
      <c r="F2271" t="s">
        <v>16</v>
      </c>
      <c r="G2271">
        <v>5</v>
      </c>
      <c r="H2271">
        <v>2553</v>
      </c>
      <c r="I2271" s="1">
        <v>558640</v>
      </c>
      <c r="J2271" s="1">
        <f>Raw_Data!$I2271/Raw_Data!$H2271</f>
        <v>218.81707794751273</v>
      </c>
    </row>
    <row r="2272" spans="1:10" x14ac:dyDescent="0.3">
      <c r="A2272" s="9">
        <v>43808</v>
      </c>
      <c r="B2272" s="2" t="str">
        <f>TEXT(Raw_Data!$A2272, "MMM")</f>
        <v>Dec</v>
      </c>
      <c r="C2272" s="2">
        <f>YEAR(Raw_Data!$A2272)</f>
        <v>2019</v>
      </c>
      <c r="D2272" s="2" t="s">
        <v>180</v>
      </c>
      <c r="E2272" s="2" t="s">
        <v>32</v>
      </c>
      <c r="F2272" s="2" t="s">
        <v>27</v>
      </c>
      <c r="G2272" s="2"/>
      <c r="H2272" s="2">
        <v>1353</v>
      </c>
      <c r="I2272" s="10">
        <v>413341</v>
      </c>
      <c r="J2272" s="10">
        <f>Raw_Data!$I2272/Raw_Data!$H2272</f>
        <v>305.49963045084996</v>
      </c>
    </row>
    <row r="2273" spans="1:10" x14ac:dyDescent="0.3">
      <c r="A2273" s="8">
        <v>42578</v>
      </c>
      <c r="B2273" t="str">
        <f>TEXT(Raw_Data!$A2273, "MMM")</f>
        <v>Jul</v>
      </c>
      <c r="C2273">
        <f>YEAR(Raw_Data!$A2273)</f>
        <v>2016</v>
      </c>
      <c r="D2273" t="s">
        <v>1798</v>
      </c>
      <c r="E2273" t="s">
        <v>32</v>
      </c>
      <c r="F2273" t="s">
        <v>16</v>
      </c>
      <c r="G2273">
        <v>2</v>
      </c>
      <c r="H2273">
        <v>2588</v>
      </c>
      <c r="I2273" s="1">
        <v>249369</v>
      </c>
      <c r="J2273" s="1">
        <f>Raw_Data!$I2273/Raw_Data!$H2273</f>
        <v>96.355873261205559</v>
      </c>
    </row>
    <row r="2274" spans="1:10" x14ac:dyDescent="0.3">
      <c r="A2274" s="9">
        <v>40806</v>
      </c>
      <c r="B2274" s="2" t="str">
        <f>TEXT(Raw_Data!$A2274, "MMM")</f>
        <v>Sep</v>
      </c>
      <c r="C2274" s="2">
        <f>YEAR(Raw_Data!$A2274)</f>
        <v>2011</v>
      </c>
      <c r="D2274" s="2" t="s">
        <v>1799</v>
      </c>
      <c r="E2274" s="2" t="s">
        <v>13</v>
      </c>
      <c r="F2274" s="2" t="s">
        <v>11</v>
      </c>
      <c r="G2274" s="2"/>
      <c r="H2274" s="2">
        <v>2114</v>
      </c>
      <c r="I2274" s="10">
        <v>829552</v>
      </c>
      <c r="J2274" s="10">
        <f>Raw_Data!$I2274/Raw_Data!$H2274</f>
        <v>392.40870387890254</v>
      </c>
    </row>
    <row r="2275" spans="1:10" x14ac:dyDescent="0.3">
      <c r="A2275" s="8">
        <v>42852</v>
      </c>
      <c r="B2275" t="str">
        <f>TEXT(Raw_Data!$A2275, "MMM")</f>
        <v>Apr</v>
      </c>
      <c r="C2275">
        <f>YEAR(Raw_Data!$A2275)</f>
        <v>2017</v>
      </c>
      <c r="D2275" t="s">
        <v>1800</v>
      </c>
      <c r="E2275" t="s">
        <v>21</v>
      </c>
      <c r="F2275" t="s">
        <v>11</v>
      </c>
      <c r="H2275">
        <v>1258</v>
      </c>
      <c r="I2275" s="1">
        <v>664794</v>
      </c>
      <c r="J2275" s="1">
        <f>Raw_Data!$I2275/Raw_Data!$H2275</f>
        <v>528.45310015898247</v>
      </c>
    </row>
    <row r="2276" spans="1:10" x14ac:dyDescent="0.3">
      <c r="A2276" s="9">
        <v>41797</v>
      </c>
      <c r="B2276" s="2" t="str">
        <f>TEXT(Raw_Data!$A2276, "MMM")</f>
        <v>Jun</v>
      </c>
      <c r="C2276" s="2">
        <f>YEAR(Raw_Data!$A2276)</f>
        <v>2014</v>
      </c>
      <c r="D2276" s="2" t="s">
        <v>1801</v>
      </c>
      <c r="E2276" s="2" t="s">
        <v>23</v>
      </c>
      <c r="F2276" s="2" t="s">
        <v>16</v>
      </c>
      <c r="G2276" s="2">
        <v>5</v>
      </c>
      <c r="H2276" s="2">
        <v>1830</v>
      </c>
      <c r="I2276" s="10">
        <v>525569</v>
      </c>
      <c r="J2276" s="10">
        <f>Raw_Data!$I2276/Raw_Data!$H2276</f>
        <v>287.19617486338797</v>
      </c>
    </row>
    <row r="2277" spans="1:10" x14ac:dyDescent="0.3">
      <c r="A2277" s="8">
        <v>40710</v>
      </c>
      <c r="B2277" t="str">
        <f>TEXT(Raw_Data!$A2277, "MMM")</f>
        <v>Jun</v>
      </c>
      <c r="C2277">
        <f>YEAR(Raw_Data!$A2277)</f>
        <v>2011</v>
      </c>
      <c r="D2277" t="s">
        <v>1802</v>
      </c>
      <c r="E2277" t="s">
        <v>21</v>
      </c>
      <c r="F2277" t="s">
        <v>16</v>
      </c>
      <c r="G2277">
        <v>4</v>
      </c>
      <c r="H2277">
        <v>996</v>
      </c>
      <c r="I2277" s="1">
        <v>311633</v>
      </c>
      <c r="J2277" s="1">
        <f>Raw_Data!$I2277/Raw_Data!$H2277</f>
        <v>312.88453815261045</v>
      </c>
    </row>
    <row r="2278" spans="1:10" x14ac:dyDescent="0.3">
      <c r="A2278" s="9">
        <v>39879</v>
      </c>
      <c r="B2278" s="2" t="str">
        <f>TEXT(Raw_Data!$A2278, "MMM")</f>
        <v>Mar</v>
      </c>
      <c r="C2278" s="2">
        <f>YEAR(Raw_Data!$A2278)</f>
        <v>2009</v>
      </c>
      <c r="D2278" s="2" t="s">
        <v>1803</v>
      </c>
      <c r="E2278" s="2" t="s">
        <v>15</v>
      </c>
      <c r="F2278" s="2" t="s">
        <v>18</v>
      </c>
      <c r="G2278" s="2">
        <v>5</v>
      </c>
      <c r="H2278" s="2">
        <v>2023</v>
      </c>
      <c r="I2278" s="10">
        <v>827116</v>
      </c>
      <c r="J2278" s="10">
        <f>Raw_Data!$I2278/Raw_Data!$H2278</f>
        <v>408.85615422639643</v>
      </c>
    </row>
    <row r="2279" spans="1:10" x14ac:dyDescent="0.3">
      <c r="A2279" s="8">
        <v>40978</v>
      </c>
      <c r="B2279" t="str">
        <f>TEXT(Raw_Data!$A2279, "MMM")</f>
        <v>Mar</v>
      </c>
      <c r="C2279">
        <f>YEAR(Raw_Data!$A2279)</f>
        <v>2012</v>
      </c>
      <c r="D2279" t="s">
        <v>1804</v>
      </c>
      <c r="E2279" t="s">
        <v>25</v>
      </c>
      <c r="F2279" t="s">
        <v>27</v>
      </c>
      <c r="G2279">
        <v>3</v>
      </c>
      <c r="H2279">
        <v>1554</v>
      </c>
      <c r="I2279" s="1">
        <v>635761</v>
      </c>
      <c r="J2279" s="1">
        <f>Raw_Data!$I2279/Raw_Data!$H2279</f>
        <v>409.11261261261262</v>
      </c>
    </row>
    <row r="2280" spans="1:10" x14ac:dyDescent="0.3">
      <c r="A2280" s="9">
        <v>43850</v>
      </c>
      <c r="B2280" s="2" t="str">
        <f>TEXT(Raw_Data!$A2280, "MMM")</f>
        <v>Jan</v>
      </c>
      <c r="C2280" s="2">
        <f>YEAR(Raw_Data!$A2280)</f>
        <v>2020</v>
      </c>
      <c r="D2280" s="2" t="s">
        <v>1805</v>
      </c>
      <c r="E2280" s="2" t="s">
        <v>23</v>
      </c>
      <c r="F2280" s="2" t="s">
        <v>18</v>
      </c>
      <c r="G2280" s="2">
        <v>5</v>
      </c>
      <c r="H2280" s="2">
        <v>1970</v>
      </c>
      <c r="I2280" s="10">
        <v>629443</v>
      </c>
      <c r="J2280" s="10">
        <f>Raw_Data!$I2280/Raw_Data!$H2280</f>
        <v>319.51421319796953</v>
      </c>
    </row>
    <row r="2281" spans="1:10" x14ac:dyDescent="0.3">
      <c r="A2281" s="8">
        <v>38987</v>
      </c>
      <c r="B2281" t="str">
        <f>TEXT(Raw_Data!$A2281, "MMM")</f>
        <v>Sep</v>
      </c>
      <c r="C2281">
        <f>YEAR(Raw_Data!$A2281)</f>
        <v>2006</v>
      </c>
      <c r="D2281" t="s">
        <v>1806</v>
      </c>
      <c r="E2281" t="s">
        <v>25</v>
      </c>
      <c r="F2281" t="s">
        <v>18</v>
      </c>
      <c r="G2281">
        <v>4</v>
      </c>
      <c r="H2281">
        <v>1418</v>
      </c>
      <c r="I2281" s="1">
        <v>854541</v>
      </c>
      <c r="J2281" s="1">
        <f>Raw_Data!$I2281/Raw_Data!$H2281</f>
        <v>602.63822284908326</v>
      </c>
    </row>
    <row r="2282" spans="1:10" x14ac:dyDescent="0.3">
      <c r="A2282" s="9">
        <v>38811</v>
      </c>
      <c r="B2282" s="2" t="str">
        <f>TEXT(Raw_Data!$A2282, "MMM")</f>
        <v>Apr</v>
      </c>
      <c r="C2282" s="2">
        <f>YEAR(Raw_Data!$A2282)</f>
        <v>2006</v>
      </c>
      <c r="D2282" s="2" t="s">
        <v>410</v>
      </c>
      <c r="E2282" s="2" t="s">
        <v>25</v>
      </c>
      <c r="F2282" s="2" t="s">
        <v>16</v>
      </c>
      <c r="G2282" s="2"/>
      <c r="H2282" s="2">
        <v>3333</v>
      </c>
      <c r="I2282" s="10"/>
      <c r="J2282" s="10">
        <f>Raw_Data!$I2282/Raw_Data!$H2282</f>
        <v>0</v>
      </c>
    </row>
    <row r="2283" spans="1:10" x14ac:dyDescent="0.3">
      <c r="A2283" s="8">
        <v>43120</v>
      </c>
      <c r="B2283" t="str">
        <f>TEXT(Raw_Data!$A2283, "MMM")</f>
        <v>Jan</v>
      </c>
      <c r="C2283">
        <f>YEAR(Raw_Data!$A2283)</f>
        <v>2018</v>
      </c>
      <c r="D2283" t="s">
        <v>1807</v>
      </c>
      <c r="E2283" t="s">
        <v>29</v>
      </c>
      <c r="F2283" t="s">
        <v>18</v>
      </c>
      <c r="G2283">
        <v>2</v>
      </c>
      <c r="H2283">
        <v>1161</v>
      </c>
      <c r="I2283" s="1">
        <v>549013</v>
      </c>
      <c r="J2283" s="1">
        <f>Raw_Data!$I2283/Raw_Data!$H2283</f>
        <v>472.87941429801896</v>
      </c>
    </row>
    <row r="2284" spans="1:10" x14ac:dyDescent="0.3">
      <c r="A2284" s="9">
        <v>39528</v>
      </c>
      <c r="B2284" s="2" t="str">
        <f>TEXT(Raw_Data!$A2284, "MMM")</f>
        <v>Mar</v>
      </c>
      <c r="C2284" s="2">
        <f>YEAR(Raw_Data!$A2284)</f>
        <v>2008</v>
      </c>
      <c r="D2284" s="2" t="s">
        <v>1808</v>
      </c>
      <c r="E2284" s="2" t="s">
        <v>15</v>
      </c>
      <c r="F2284" s="2" t="s">
        <v>16</v>
      </c>
      <c r="G2284" s="2">
        <v>2</v>
      </c>
      <c r="H2284" s="2">
        <v>1054</v>
      </c>
      <c r="I2284" s="10">
        <v>667824</v>
      </c>
      <c r="J2284" s="10">
        <f>Raw_Data!$I2284/Raw_Data!$H2284</f>
        <v>633.6091081593928</v>
      </c>
    </row>
    <row r="2285" spans="1:10" x14ac:dyDescent="0.3">
      <c r="A2285" s="8">
        <v>40276</v>
      </c>
      <c r="B2285" t="str">
        <f>TEXT(Raw_Data!$A2285, "MMM")</f>
        <v>Apr</v>
      </c>
      <c r="C2285">
        <f>YEAR(Raw_Data!$A2285)</f>
        <v>2010</v>
      </c>
      <c r="D2285" t="s">
        <v>1809</v>
      </c>
      <c r="E2285" t="s">
        <v>15</v>
      </c>
      <c r="F2285" t="s">
        <v>16</v>
      </c>
      <c r="H2285">
        <v>1485</v>
      </c>
      <c r="I2285" s="1">
        <v>378841</v>
      </c>
      <c r="J2285" s="1">
        <f>Raw_Data!$I2285/Raw_Data!$H2285</f>
        <v>255.11178451178452</v>
      </c>
    </row>
    <row r="2286" spans="1:10" x14ac:dyDescent="0.3">
      <c r="A2286" s="9">
        <v>39832</v>
      </c>
      <c r="B2286" s="2" t="str">
        <f>TEXT(Raw_Data!$A2286, "MMM")</f>
        <v>Jan</v>
      </c>
      <c r="C2286" s="2">
        <f>YEAR(Raw_Data!$A2286)</f>
        <v>2009</v>
      </c>
      <c r="D2286" s="2" t="s">
        <v>1129</v>
      </c>
      <c r="E2286" s="2" t="s">
        <v>32</v>
      </c>
      <c r="F2286" s="2" t="s">
        <v>18</v>
      </c>
      <c r="G2286" s="2">
        <v>3</v>
      </c>
      <c r="H2286" s="2">
        <v>1354</v>
      </c>
      <c r="I2286" s="10">
        <v>414918</v>
      </c>
      <c r="J2286" s="10">
        <f>Raw_Data!$I2286/Raw_Data!$H2286</f>
        <v>306.43870014771051</v>
      </c>
    </row>
    <row r="2287" spans="1:10" x14ac:dyDescent="0.3">
      <c r="A2287" s="8">
        <v>43718</v>
      </c>
      <c r="B2287" t="str">
        <f>TEXT(Raw_Data!$A2287, "MMM")</f>
        <v>Sep</v>
      </c>
      <c r="C2287">
        <f>YEAR(Raw_Data!$A2287)</f>
        <v>2019</v>
      </c>
      <c r="D2287" t="s">
        <v>1810</v>
      </c>
      <c r="E2287" t="s">
        <v>25</v>
      </c>
      <c r="F2287" t="s">
        <v>16</v>
      </c>
      <c r="H2287">
        <v>1632</v>
      </c>
      <c r="I2287" s="1">
        <v>179213</v>
      </c>
      <c r="J2287" s="1">
        <f>Raw_Data!$I2287/Raw_Data!$H2287</f>
        <v>109.81188725490196</v>
      </c>
    </row>
    <row r="2288" spans="1:10" x14ac:dyDescent="0.3">
      <c r="A2288" s="9">
        <v>42470</v>
      </c>
      <c r="B2288" s="2" t="str">
        <f>TEXT(Raw_Data!$A2288, "MMM")</f>
        <v>Apr</v>
      </c>
      <c r="C2288" s="2">
        <f>YEAR(Raw_Data!$A2288)</f>
        <v>2016</v>
      </c>
      <c r="D2288" s="2" t="s">
        <v>840</v>
      </c>
      <c r="E2288" s="2" t="s">
        <v>15</v>
      </c>
      <c r="F2288" s="2" t="s">
        <v>11</v>
      </c>
      <c r="G2288" s="2"/>
      <c r="H2288" s="2">
        <v>2309</v>
      </c>
      <c r="I2288" s="10">
        <v>420919</v>
      </c>
      <c r="J2288" s="10">
        <f>Raw_Data!$I2288/Raw_Data!$H2288</f>
        <v>182.29493287137288</v>
      </c>
    </row>
    <row r="2289" spans="1:10" x14ac:dyDescent="0.3">
      <c r="A2289" s="8">
        <v>40172</v>
      </c>
      <c r="B2289" t="str">
        <f>TEXT(Raw_Data!$A2289, "MMM")</f>
        <v>Dec</v>
      </c>
      <c r="C2289">
        <f>YEAR(Raw_Data!$A2289)</f>
        <v>2009</v>
      </c>
      <c r="D2289" t="s">
        <v>1141</v>
      </c>
      <c r="E2289" t="s">
        <v>15</v>
      </c>
      <c r="F2289" t="s">
        <v>16</v>
      </c>
      <c r="G2289">
        <v>3</v>
      </c>
      <c r="H2289">
        <v>2522</v>
      </c>
      <c r="I2289" s="1">
        <v>657947</v>
      </c>
      <c r="J2289" s="1">
        <f>Raw_Data!$I2289/Raw_Data!$H2289</f>
        <v>260.88302934179222</v>
      </c>
    </row>
    <row r="2290" spans="1:10" x14ac:dyDescent="0.3">
      <c r="A2290" s="9">
        <v>39916</v>
      </c>
      <c r="B2290" s="2" t="str">
        <f>TEXT(Raw_Data!$A2290, "MMM")</f>
        <v>Apr</v>
      </c>
      <c r="C2290" s="2">
        <f>YEAR(Raw_Data!$A2290)</f>
        <v>2009</v>
      </c>
      <c r="D2290" s="2" t="s">
        <v>1811</v>
      </c>
      <c r="E2290" s="2" t="s">
        <v>29</v>
      </c>
      <c r="F2290" s="2" t="s">
        <v>27</v>
      </c>
      <c r="G2290" s="2">
        <v>2</v>
      </c>
      <c r="H2290" s="2">
        <v>3308</v>
      </c>
      <c r="I2290" s="10">
        <v>177723</v>
      </c>
      <c r="J2290" s="10">
        <f>Raw_Data!$I2290/Raw_Data!$H2290</f>
        <v>53.725211608222494</v>
      </c>
    </row>
    <row r="2291" spans="1:10" x14ac:dyDescent="0.3">
      <c r="A2291" s="8">
        <v>42384</v>
      </c>
      <c r="B2291" t="str">
        <f>TEXT(Raw_Data!$A2291, "MMM")</f>
        <v>Jan</v>
      </c>
      <c r="C2291">
        <f>YEAR(Raw_Data!$A2291)</f>
        <v>2016</v>
      </c>
      <c r="D2291" t="s">
        <v>1812</v>
      </c>
      <c r="E2291" t="s">
        <v>25</v>
      </c>
      <c r="F2291" t="s">
        <v>18</v>
      </c>
      <c r="G2291">
        <v>4</v>
      </c>
      <c r="H2291">
        <v>810</v>
      </c>
      <c r="I2291" s="1">
        <v>271816</v>
      </c>
      <c r="J2291" s="1">
        <f>Raw_Data!$I2291/Raw_Data!$H2291</f>
        <v>335.57530864197531</v>
      </c>
    </row>
    <row r="2292" spans="1:10" x14ac:dyDescent="0.3">
      <c r="A2292" s="9">
        <v>42258</v>
      </c>
      <c r="B2292" s="2" t="str">
        <f>TEXT(Raw_Data!$A2292, "MMM")</f>
        <v>Sep</v>
      </c>
      <c r="C2292" s="2">
        <f>YEAR(Raw_Data!$A2292)</f>
        <v>2015</v>
      </c>
      <c r="D2292" s="2" t="s">
        <v>1813</v>
      </c>
      <c r="E2292" s="2" t="s">
        <v>29</v>
      </c>
      <c r="F2292" s="2" t="s">
        <v>18</v>
      </c>
      <c r="G2292" s="2"/>
      <c r="H2292" s="2">
        <v>1885</v>
      </c>
      <c r="I2292" s="10">
        <v>412110</v>
      </c>
      <c r="J2292" s="10">
        <f>Raw_Data!$I2292/Raw_Data!$H2292</f>
        <v>218.62599469496021</v>
      </c>
    </row>
    <row r="2293" spans="1:10" x14ac:dyDescent="0.3">
      <c r="A2293" s="8">
        <v>39084</v>
      </c>
      <c r="B2293" t="str">
        <f>TEXT(Raw_Data!$A2293, "MMM")</f>
        <v>Jan</v>
      </c>
      <c r="C2293">
        <f>YEAR(Raw_Data!$A2293)</f>
        <v>2007</v>
      </c>
      <c r="D2293" t="s">
        <v>1814</v>
      </c>
      <c r="E2293" t="s">
        <v>25</v>
      </c>
      <c r="F2293" t="s">
        <v>11</v>
      </c>
      <c r="G2293">
        <v>4</v>
      </c>
      <c r="H2293">
        <v>3361</v>
      </c>
      <c r="I2293" s="1">
        <v>895601</v>
      </c>
      <c r="J2293" s="1">
        <f>Raw_Data!$I2293/Raw_Data!$H2293</f>
        <v>266.46861053257959</v>
      </c>
    </row>
    <row r="2294" spans="1:10" x14ac:dyDescent="0.3">
      <c r="A2294" s="9">
        <v>38134</v>
      </c>
      <c r="B2294" s="2" t="str">
        <f>TEXT(Raw_Data!$A2294, "MMM")</f>
        <v>May</v>
      </c>
      <c r="C2294" s="2">
        <f>YEAR(Raw_Data!$A2294)</f>
        <v>2004</v>
      </c>
      <c r="D2294" s="2" t="s">
        <v>328</v>
      </c>
      <c r="E2294" s="2" t="s">
        <v>21</v>
      </c>
      <c r="F2294" s="2" t="s">
        <v>18</v>
      </c>
      <c r="G2294" s="2">
        <v>2</v>
      </c>
      <c r="H2294" s="2">
        <v>1336</v>
      </c>
      <c r="I2294" s="10">
        <v>141708</v>
      </c>
      <c r="J2294" s="10">
        <f>Raw_Data!$I2294/Raw_Data!$H2294</f>
        <v>106.06886227544911</v>
      </c>
    </row>
    <row r="2295" spans="1:10" x14ac:dyDescent="0.3">
      <c r="A2295" s="8">
        <v>38926</v>
      </c>
      <c r="B2295" t="str">
        <f>TEXT(Raw_Data!$A2295, "MMM")</f>
        <v>Jul</v>
      </c>
      <c r="C2295">
        <f>YEAR(Raw_Data!$A2295)</f>
        <v>2006</v>
      </c>
      <c r="D2295" t="s">
        <v>1075</v>
      </c>
      <c r="E2295" t="s">
        <v>32</v>
      </c>
      <c r="F2295" t="s">
        <v>18</v>
      </c>
      <c r="H2295">
        <v>2165</v>
      </c>
      <c r="I2295" s="1">
        <v>558303</v>
      </c>
      <c r="J2295" s="1">
        <f>Raw_Data!$I2295/Raw_Data!$H2295</f>
        <v>257.87667436489608</v>
      </c>
    </row>
    <row r="2296" spans="1:10" x14ac:dyDescent="0.3">
      <c r="A2296" s="9">
        <v>41312</v>
      </c>
      <c r="B2296" s="2" t="str">
        <f>TEXT(Raw_Data!$A2296, "MMM")</f>
        <v>Feb</v>
      </c>
      <c r="C2296" s="2">
        <f>YEAR(Raw_Data!$A2296)</f>
        <v>2013</v>
      </c>
      <c r="D2296" s="2" t="s">
        <v>1815</v>
      </c>
      <c r="E2296" s="2" t="s">
        <v>32</v>
      </c>
      <c r="F2296" s="2" t="s">
        <v>18</v>
      </c>
      <c r="G2296" s="2">
        <v>2</v>
      </c>
      <c r="H2296" s="2">
        <v>2460</v>
      </c>
      <c r="I2296" s="10">
        <v>396761</v>
      </c>
      <c r="J2296" s="10">
        <f>Raw_Data!$I2296/Raw_Data!$H2296</f>
        <v>161.28495934959349</v>
      </c>
    </row>
    <row r="2297" spans="1:10" x14ac:dyDescent="0.3">
      <c r="A2297" s="8">
        <v>36982</v>
      </c>
      <c r="B2297" t="str">
        <f>TEXT(Raw_Data!$A2297, "MMM")</f>
        <v>Apr</v>
      </c>
      <c r="C2297">
        <f>YEAR(Raw_Data!$A2297)</f>
        <v>2001</v>
      </c>
      <c r="D2297" t="s">
        <v>1816</v>
      </c>
      <c r="E2297" t="s">
        <v>32</v>
      </c>
      <c r="F2297" t="s">
        <v>27</v>
      </c>
      <c r="G2297">
        <v>4</v>
      </c>
      <c r="H2297">
        <v>2784</v>
      </c>
      <c r="I2297" s="1">
        <v>212933</v>
      </c>
      <c r="J2297" s="1">
        <f>Raw_Data!$I2297/Raw_Data!$H2297</f>
        <v>76.484554597701148</v>
      </c>
    </row>
    <row r="2298" spans="1:10" x14ac:dyDescent="0.3">
      <c r="A2298" s="9">
        <v>37937</v>
      </c>
      <c r="B2298" s="2" t="str">
        <f>TEXT(Raw_Data!$A2298, "MMM")</f>
        <v>Nov</v>
      </c>
      <c r="C2298" s="2">
        <f>YEAR(Raw_Data!$A2298)</f>
        <v>2003</v>
      </c>
      <c r="D2298" s="2" t="s">
        <v>1817</v>
      </c>
      <c r="E2298" s="2" t="s">
        <v>32</v>
      </c>
      <c r="F2298" s="2" t="s">
        <v>18</v>
      </c>
      <c r="G2298" s="2">
        <v>2</v>
      </c>
      <c r="H2298" s="2">
        <v>1111</v>
      </c>
      <c r="I2298" s="10">
        <v>394080</v>
      </c>
      <c r="J2298" s="10">
        <f>Raw_Data!$I2298/Raw_Data!$H2298</f>
        <v>354.70747074707469</v>
      </c>
    </row>
    <row r="2299" spans="1:10" x14ac:dyDescent="0.3">
      <c r="A2299" s="8">
        <v>37929</v>
      </c>
      <c r="B2299" t="str">
        <f>TEXT(Raw_Data!$A2299, "MMM")</f>
        <v>Nov</v>
      </c>
      <c r="C2299">
        <f>YEAR(Raw_Data!$A2299)</f>
        <v>2003</v>
      </c>
      <c r="D2299" t="s">
        <v>1818</v>
      </c>
      <c r="E2299" t="s">
        <v>25</v>
      </c>
      <c r="F2299" t="s">
        <v>27</v>
      </c>
      <c r="G2299">
        <v>4</v>
      </c>
      <c r="H2299">
        <v>2808</v>
      </c>
      <c r="I2299" s="1">
        <v>408892</v>
      </c>
      <c r="J2299" s="1">
        <f>Raw_Data!$I2299/Raw_Data!$H2299</f>
        <v>145.61680911680912</v>
      </c>
    </row>
    <row r="2300" spans="1:10" x14ac:dyDescent="0.3">
      <c r="A2300" s="9">
        <v>40798</v>
      </c>
      <c r="B2300" s="2" t="str">
        <f>TEXT(Raw_Data!$A2300, "MMM")</f>
        <v>Sep</v>
      </c>
      <c r="C2300" s="2">
        <f>YEAR(Raw_Data!$A2300)</f>
        <v>2011</v>
      </c>
      <c r="D2300" s="2" t="s">
        <v>178</v>
      </c>
      <c r="E2300" s="2" t="s">
        <v>21</v>
      </c>
      <c r="F2300" s="2" t="s">
        <v>11</v>
      </c>
      <c r="G2300" s="2">
        <v>4</v>
      </c>
      <c r="H2300" s="2">
        <v>3139</v>
      </c>
      <c r="I2300" s="10">
        <v>741369</v>
      </c>
      <c r="J2300" s="10">
        <f>Raw_Data!$I2300/Raw_Data!$H2300</f>
        <v>236.17999362854411</v>
      </c>
    </row>
    <row r="2301" spans="1:10" x14ac:dyDescent="0.3">
      <c r="A2301" s="8">
        <v>41040</v>
      </c>
      <c r="B2301" t="str">
        <f>TEXT(Raw_Data!$A2301, "MMM")</f>
        <v>May</v>
      </c>
      <c r="C2301">
        <f>YEAR(Raw_Data!$A2301)</f>
        <v>2012</v>
      </c>
      <c r="D2301" t="s">
        <v>1819</v>
      </c>
      <c r="E2301" t="s">
        <v>32</v>
      </c>
      <c r="F2301" t="s">
        <v>27</v>
      </c>
      <c r="G2301">
        <v>5</v>
      </c>
      <c r="H2301">
        <v>3149</v>
      </c>
      <c r="I2301" s="1">
        <v>103174</v>
      </c>
      <c r="J2301" s="1">
        <f>Raw_Data!$I2301/Raw_Data!$H2301</f>
        <v>32.764052080025408</v>
      </c>
    </row>
    <row r="2302" spans="1:10" x14ac:dyDescent="0.3">
      <c r="A2302" s="9">
        <v>37128</v>
      </c>
      <c r="B2302" s="2" t="str">
        <f>TEXT(Raw_Data!$A2302, "MMM")</f>
        <v>Aug</v>
      </c>
      <c r="C2302" s="2">
        <f>YEAR(Raw_Data!$A2302)</f>
        <v>2001</v>
      </c>
      <c r="D2302" s="2" t="s">
        <v>611</v>
      </c>
      <c r="E2302" s="2" t="s">
        <v>25</v>
      </c>
      <c r="F2302" s="2" t="s">
        <v>16</v>
      </c>
      <c r="G2302" s="2">
        <v>3</v>
      </c>
      <c r="H2302" s="2">
        <v>1116</v>
      </c>
      <c r="I2302" s="10">
        <v>212543</v>
      </c>
      <c r="J2302" s="10">
        <f>Raw_Data!$I2302/Raw_Data!$H2302</f>
        <v>190.45071684587813</v>
      </c>
    </row>
    <row r="2303" spans="1:10" x14ac:dyDescent="0.3">
      <c r="A2303" s="8">
        <v>43814</v>
      </c>
      <c r="B2303" t="str">
        <f>TEXT(Raw_Data!$A2303, "MMM")</f>
        <v>Dec</v>
      </c>
      <c r="C2303">
        <f>YEAR(Raw_Data!$A2303)</f>
        <v>2019</v>
      </c>
      <c r="D2303" t="s">
        <v>1702</v>
      </c>
      <c r="E2303" t="s">
        <v>15</v>
      </c>
      <c r="F2303" t="s">
        <v>18</v>
      </c>
      <c r="H2303">
        <v>1367</v>
      </c>
      <c r="I2303" s="1">
        <v>527441</v>
      </c>
      <c r="J2303" s="1">
        <f>Raw_Data!$I2303/Raw_Data!$H2303</f>
        <v>385.83833211411849</v>
      </c>
    </row>
    <row r="2304" spans="1:10" x14ac:dyDescent="0.3">
      <c r="A2304" s="9">
        <v>42500</v>
      </c>
      <c r="B2304" s="2" t="str">
        <f>TEXT(Raw_Data!$A2304, "MMM")</f>
        <v>May</v>
      </c>
      <c r="C2304" s="2">
        <f>YEAR(Raw_Data!$A2304)</f>
        <v>2016</v>
      </c>
      <c r="D2304" s="2" t="s">
        <v>1820</v>
      </c>
      <c r="E2304" s="2" t="s">
        <v>29</v>
      </c>
      <c r="F2304" s="2" t="s">
        <v>11</v>
      </c>
      <c r="G2304" s="2"/>
      <c r="H2304" s="2">
        <v>3286</v>
      </c>
      <c r="I2304" s="10">
        <v>169925</v>
      </c>
      <c r="J2304" s="10">
        <f>Raw_Data!$I2304/Raw_Data!$H2304</f>
        <v>51.711807668898359</v>
      </c>
    </row>
    <row r="2305" spans="1:10" x14ac:dyDescent="0.3">
      <c r="A2305" s="8">
        <v>42245</v>
      </c>
      <c r="B2305" t="str">
        <f>TEXT(Raw_Data!$A2305, "MMM")</f>
        <v>Aug</v>
      </c>
      <c r="C2305">
        <f>YEAR(Raw_Data!$A2305)</f>
        <v>2015</v>
      </c>
      <c r="D2305" t="s">
        <v>1821</v>
      </c>
      <c r="E2305" t="s">
        <v>13</v>
      </c>
      <c r="F2305" t="s">
        <v>16</v>
      </c>
      <c r="H2305">
        <v>3472</v>
      </c>
      <c r="I2305" s="1">
        <v>392520</v>
      </c>
      <c r="J2305" s="1">
        <f>Raw_Data!$I2305/Raw_Data!$H2305</f>
        <v>113.05299539170507</v>
      </c>
    </row>
    <row r="2306" spans="1:10" x14ac:dyDescent="0.3">
      <c r="A2306" s="9">
        <v>43223</v>
      </c>
      <c r="B2306" s="2" t="str">
        <f>TEXT(Raw_Data!$A2306, "MMM")</f>
        <v>May</v>
      </c>
      <c r="C2306" s="2">
        <f>YEAR(Raw_Data!$A2306)</f>
        <v>2018</v>
      </c>
      <c r="D2306" s="2" t="s">
        <v>1822</v>
      </c>
      <c r="E2306" s="2" t="s">
        <v>15</v>
      </c>
      <c r="F2306" s="2" t="s">
        <v>16</v>
      </c>
      <c r="G2306" s="2">
        <v>5</v>
      </c>
      <c r="H2306" s="2">
        <v>3385</v>
      </c>
      <c r="I2306" s="10">
        <v>845649</v>
      </c>
      <c r="J2306" s="10">
        <f>Raw_Data!$I2306/Raw_Data!$H2306</f>
        <v>249.82245199409158</v>
      </c>
    </row>
    <row r="2307" spans="1:10" x14ac:dyDescent="0.3">
      <c r="A2307" s="8">
        <v>37329</v>
      </c>
      <c r="B2307" t="str">
        <f>TEXT(Raw_Data!$A2307, "MMM")</f>
        <v>Mar</v>
      </c>
      <c r="C2307">
        <f>YEAR(Raw_Data!$A2307)</f>
        <v>2002</v>
      </c>
      <c r="D2307" t="s">
        <v>545</v>
      </c>
      <c r="E2307" t="s">
        <v>23</v>
      </c>
      <c r="F2307" t="s">
        <v>27</v>
      </c>
      <c r="H2307">
        <v>1404</v>
      </c>
      <c r="I2307" s="1">
        <v>555935</v>
      </c>
      <c r="J2307" s="1">
        <f>Raw_Data!$I2307/Raw_Data!$H2307</f>
        <v>395.96509971509971</v>
      </c>
    </row>
    <row r="2308" spans="1:10" x14ac:dyDescent="0.3">
      <c r="A2308" s="9">
        <v>42717</v>
      </c>
      <c r="B2308" s="2" t="str">
        <f>TEXT(Raw_Data!$A2308, "MMM")</f>
        <v>Dec</v>
      </c>
      <c r="C2308" s="2">
        <f>YEAR(Raw_Data!$A2308)</f>
        <v>2016</v>
      </c>
      <c r="D2308" s="2" t="s">
        <v>1063</v>
      </c>
      <c r="E2308" s="2" t="s">
        <v>32</v>
      </c>
      <c r="F2308" s="2" t="s">
        <v>16</v>
      </c>
      <c r="G2308" s="2"/>
      <c r="H2308" s="2">
        <v>3386</v>
      </c>
      <c r="I2308" s="10">
        <v>576710</v>
      </c>
      <c r="J2308" s="10">
        <f>Raw_Data!$I2308/Raw_Data!$H2308</f>
        <v>170.32191376255167</v>
      </c>
    </row>
    <row r="2309" spans="1:10" x14ac:dyDescent="0.3">
      <c r="A2309" s="8">
        <v>42246</v>
      </c>
      <c r="B2309" t="str">
        <f>TEXT(Raw_Data!$A2309, "MMM")</f>
        <v>Aug</v>
      </c>
      <c r="C2309">
        <f>YEAR(Raw_Data!$A2309)</f>
        <v>2015</v>
      </c>
      <c r="D2309" t="s">
        <v>1823</v>
      </c>
      <c r="E2309" t="s">
        <v>15</v>
      </c>
      <c r="F2309" t="s">
        <v>27</v>
      </c>
      <c r="G2309">
        <v>4</v>
      </c>
      <c r="H2309">
        <v>3274</v>
      </c>
      <c r="I2309" s="1">
        <v>614245</v>
      </c>
      <c r="J2309" s="1">
        <f>Raw_Data!$I2309/Raw_Data!$H2309</f>
        <v>187.61301160659744</v>
      </c>
    </row>
    <row r="2310" spans="1:10" x14ac:dyDescent="0.3">
      <c r="A2310" s="9">
        <v>37256</v>
      </c>
      <c r="B2310" s="2" t="str">
        <f>TEXT(Raw_Data!$A2310, "MMM")</f>
        <v>Dec</v>
      </c>
      <c r="C2310" s="2">
        <f>YEAR(Raw_Data!$A2310)</f>
        <v>2001</v>
      </c>
      <c r="D2310" s="2" t="s">
        <v>1824</v>
      </c>
      <c r="E2310" s="2" t="s">
        <v>21</v>
      </c>
      <c r="F2310" s="2" t="s">
        <v>27</v>
      </c>
      <c r="G2310" s="2"/>
      <c r="H2310" s="2">
        <v>1855</v>
      </c>
      <c r="I2310" s="10">
        <v>503109</v>
      </c>
      <c r="J2310" s="10">
        <f>Raw_Data!$I2310/Raw_Data!$H2310</f>
        <v>271.21778975741239</v>
      </c>
    </row>
    <row r="2311" spans="1:10" x14ac:dyDescent="0.3">
      <c r="A2311" s="8">
        <v>37299</v>
      </c>
      <c r="B2311" t="str">
        <f>TEXT(Raw_Data!$A2311, "MMM")</f>
        <v>Feb</v>
      </c>
      <c r="C2311">
        <f>YEAR(Raw_Data!$A2311)</f>
        <v>2002</v>
      </c>
      <c r="D2311" t="s">
        <v>1033</v>
      </c>
      <c r="E2311" t="s">
        <v>29</v>
      </c>
      <c r="F2311" t="s">
        <v>27</v>
      </c>
      <c r="H2311">
        <v>1661</v>
      </c>
      <c r="I2311" s="1">
        <v>336155</v>
      </c>
      <c r="J2311" s="1">
        <f>Raw_Data!$I2311/Raw_Data!$H2311</f>
        <v>202.38109572546659</v>
      </c>
    </row>
    <row r="2312" spans="1:10" x14ac:dyDescent="0.3">
      <c r="A2312" s="9">
        <v>41105</v>
      </c>
      <c r="B2312" s="2" t="str">
        <f>TEXT(Raw_Data!$A2312, "MMM")</f>
        <v>Jul</v>
      </c>
      <c r="C2312" s="2">
        <f>YEAR(Raw_Data!$A2312)</f>
        <v>2012</v>
      </c>
      <c r="D2312" s="2" t="s">
        <v>1825</v>
      </c>
      <c r="E2312" s="2" t="s">
        <v>29</v>
      </c>
      <c r="F2312" s="2" t="s">
        <v>11</v>
      </c>
      <c r="G2312" s="2"/>
      <c r="H2312" s="2">
        <v>1360</v>
      </c>
      <c r="I2312" s="10">
        <v>807131</v>
      </c>
      <c r="J2312" s="10">
        <f>Raw_Data!$I2312/Raw_Data!$H2312</f>
        <v>593.4786764705882</v>
      </c>
    </row>
    <row r="2313" spans="1:10" x14ac:dyDescent="0.3">
      <c r="A2313" s="8">
        <v>36971</v>
      </c>
      <c r="B2313" t="str">
        <f>TEXT(Raw_Data!$A2313, "MMM")</f>
        <v>Mar</v>
      </c>
      <c r="C2313">
        <f>YEAR(Raw_Data!$A2313)</f>
        <v>2001</v>
      </c>
      <c r="D2313" t="s">
        <v>1826</v>
      </c>
      <c r="E2313" t="s">
        <v>21</v>
      </c>
      <c r="F2313" t="s">
        <v>16</v>
      </c>
      <c r="G2313">
        <v>5</v>
      </c>
      <c r="H2313">
        <v>1319</v>
      </c>
      <c r="I2313" s="1">
        <v>897332</v>
      </c>
      <c r="J2313" s="1">
        <f>Raw_Data!$I2313/Raw_Data!$H2313</f>
        <v>680.31235784685373</v>
      </c>
    </row>
    <row r="2314" spans="1:10" x14ac:dyDescent="0.3">
      <c r="A2314" s="9">
        <v>39906</v>
      </c>
      <c r="B2314" s="2" t="str">
        <f>TEXT(Raw_Data!$A2314, "MMM")</f>
        <v>Apr</v>
      </c>
      <c r="C2314" s="2">
        <f>YEAR(Raw_Data!$A2314)</f>
        <v>2009</v>
      </c>
      <c r="D2314" s="2" t="s">
        <v>399</v>
      </c>
      <c r="E2314" s="2" t="s">
        <v>32</v>
      </c>
      <c r="F2314" s="2" t="s">
        <v>18</v>
      </c>
      <c r="G2314" s="2"/>
      <c r="H2314" s="2">
        <v>2349</v>
      </c>
      <c r="I2314" s="10">
        <v>392635</v>
      </c>
      <c r="J2314" s="10">
        <f>Raw_Data!$I2314/Raw_Data!$H2314</f>
        <v>167.14985100042571</v>
      </c>
    </row>
    <row r="2315" spans="1:10" x14ac:dyDescent="0.3">
      <c r="A2315" s="8">
        <v>39697</v>
      </c>
      <c r="B2315" t="str">
        <f>TEXT(Raw_Data!$A2315, "MMM")</f>
        <v>Sep</v>
      </c>
      <c r="C2315">
        <f>YEAR(Raw_Data!$A2315)</f>
        <v>2008</v>
      </c>
      <c r="D2315" t="s">
        <v>1827</v>
      </c>
      <c r="E2315" t="s">
        <v>15</v>
      </c>
      <c r="F2315" t="s">
        <v>18</v>
      </c>
      <c r="H2315">
        <v>1092</v>
      </c>
      <c r="I2315" s="1">
        <v>205766</v>
      </c>
      <c r="J2315" s="1">
        <f>Raw_Data!$I2315/Raw_Data!$H2315</f>
        <v>188.43040293040292</v>
      </c>
    </row>
    <row r="2316" spans="1:10" x14ac:dyDescent="0.3">
      <c r="A2316" s="9">
        <v>43800</v>
      </c>
      <c r="B2316" s="2" t="str">
        <f>TEXT(Raw_Data!$A2316, "MMM")</f>
        <v>Dec</v>
      </c>
      <c r="C2316" s="2">
        <f>YEAR(Raw_Data!$A2316)</f>
        <v>2019</v>
      </c>
      <c r="D2316" s="2" t="s">
        <v>1828</v>
      </c>
      <c r="E2316" s="2" t="s">
        <v>32</v>
      </c>
      <c r="F2316" s="2" t="s">
        <v>18</v>
      </c>
      <c r="G2316" s="2"/>
      <c r="H2316" s="2">
        <v>2771</v>
      </c>
      <c r="I2316" s="10">
        <v>737737</v>
      </c>
      <c r="J2316" s="10">
        <f>Raw_Data!$I2316/Raw_Data!$H2316</f>
        <v>266.23493323709852</v>
      </c>
    </row>
    <row r="2317" spans="1:10" x14ac:dyDescent="0.3">
      <c r="A2317" s="8">
        <v>42423</v>
      </c>
      <c r="B2317" t="str">
        <f>TEXT(Raw_Data!$A2317, "MMM")</f>
        <v>Feb</v>
      </c>
      <c r="C2317">
        <f>YEAR(Raw_Data!$A2317)</f>
        <v>2016</v>
      </c>
      <c r="D2317" t="s">
        <v>389</v>
      </c>
      <c r="E2317" t="s">
        <v>25</v>
      </c>
      <c r="F2317" t="s">
        <v>16</v>
      </c>
      <c r="H2317">
        <v>810</v>
      </c>
      <c r="I2317" s="1">
        <v>358449</v>
      </c>
      <c r="J2317" s="1">
        <f>Raw_Data!$I2317/Raw_Data!$H2317</f>
        <v>442.52962962962965</v>
      </c>
    </row>
    <row r="2318" spans="1:10" x14ac:dyDescent="0.3">
      <c r="A2318" s="9">
        <v>37421</v>
      </c>
      <c r="B2318" s="2" t="str">
        <f>TEXT(Raw_Data!$A2318, "MMM")</f>
        <v>Jun</v>
      </c>
      <c r="C2318" s="2">
        <f>YEAR(Raw_Data!$A2318)</f>
        <v>2002</v>
      </c>
      <c r="D2318" s="2" t="s">
        <v>1726</v>
      </c>
      <c r="E2318" s="2" t="s">
        <v>23</v>
      </c>
      <c r="F2318" s="2" t="s">
        <v>16</v>
      </c>
      <c r="G2318" s="2">
        <v>5</v>
      </c>
      <c r="H2318" s="2">
        <v>2242</v>
      </c>
      <c r="I2318" s="10">
        <v>786446</v>
      </c>
      <c r="J2318" s="10">
        <f>Raw_Data!$I2318/Raw_Data!$H2318</f>
        <v>350.77876895628901</v>
      </c>
    </row>
    <row r="2319" spans="1:10" x14ac:dyDescent="0.3">
      <c r="A2319" s="8">
        <v>41901</v>
      </c>
      <c r="B2319" t="str">
        <f>TEXT(Raw_Data!$A2319, "MMM")</f>
        <v>Sep</v>
      </c>
      <c r="C2319">
        <f>YEAR(Raw_Data!$A2319)</f>
        <v>2014</v>
      </c>
      <c r="D2319" t="s">
        <v>844</v>
      </c>
      <c r="E2319" t="s">
        <v>23</v>
      </c>
      <c r="F2319" t="s">
        <v>27</v>
      </c>
      <c r="H2319">
        <v>2654</v>
      </c>
      <c r="I2319" s="1">
        <v>233420</v>
      </c>
      <c r="J2319" s="1">
        <f>Raw_Data!$I2319/Raw_Data!$H2319</f>
        <v>87.950263752825919</v>
      </c>
    </row>
    <row r="2320" spans="1:10" x14ac:dyDescent="0.3">
      <c r="A2320" s="9">
        <v>40116</v>
      </c>
      <c r="B2320" s="2" t="str">
        <f>TEXT(Raw_Data!$A2320, "MMM")</f>
        <v>Oct</v>
      </c>
      <c r="C2320" s="2">
        <f>YEAR(Raw_Data!$A2320)</f>
        <v>2009</v>
      </c>
      <c r="D2320" s="2" t="s">
        <v>1829</v>
      </c>
      <c r="E2320" s="2" t="s">
        <v>13</v>
      </c>
      <c r="F2320" s="2" t="s">
        <v>18</v>
      </c>
      <c r="G2320" s="2">
        <v>2</v>
      </c>
      <c r="H2320" s="2">
        <v>1347</v>
      </c>
      <c r="I2320" s="10">
        <v>586085</v>
      </c>
      <c r="J2320" s="10">
        <f>Raw_Data!$I2320/Raw_Data!$H2320</f>
        <v>435.1039346696362</v>
      </c>
    </row>
    <row r="2321" spans="1:10" x14ac:dyDescent="0.3">
      <c r="A2321" s="8">
        <v>43758</v>
      </c>
      <c r="B2321" t="str">
        <f>TEXT(Raw_Data!$A2321, "MMM")</f>
        <v>Oct</v>
      </c>
      <c r="C2321">
        <f>YEAR(Raw_Data!$A2321)</f>
        <v>2019</v>
      </c>
      <c r="D2321" t="s">
        <v>1830</v>
      </c>
      <c r="E2321" t="s">
        <v>15</v>
      </c>
      <c r="F2321" t="s">
        <v>27</v>
      </c>
      <c r="G2321">
        <v>5</v>
      </c>
      <c r="H2321">
        <v>1870</v>
      </c>
      <c r="I2321" s="1">
        <v>716798</v>
      </c>
      <c r="J2321" s="1">
        <f>Raw_Data!$I2321/Raw_Data!$H2321</f>
        <v>383.3144385026738</v>
      </c>
    </row>
    <row r="2322" spans="1:10" x14ac:dyDescent="0.3">
      <c r="A2322" s="9">
        <v>43065</v>
      </c>
      <c r="B2322" s="2" t="str">
        <f>TEXT(Raw_Data!$A2322, "MMM")</f>
        <v>Nov</v>
      </c>
      <c r="C2322" s="2">
        <f>YEAR(Raw_Data!$A2322)</f>
        <v>2017</v>
      </c>
      <c r="D2322" s="2" t="s">
        <v>1170</v>
      </c>
      <c r="E2322" s="2" t="s">
        <v>25</v>
      </c>
      <c r="F2322" s="2" t="s">
        <v>18</v>
      </c>
      <c r="G2322" s="2"/>
      <c r="H2322" s="2">
        <v>2421</v>
      </c>
      <c r="I2322" s="10">
        <v>657673</v>
      </c>
      <c r="J2322" s="10">
        <f>Raw_Data!$I2322/Raw_Data!$H2322</f>
        <v>271.65344898802147</v>
      </c>
    </row>
    <row r="2323" spans="1:10" x14ac:dyDescent="0.3">
      <c r="A2323" s="8">
        <v>38288</v>
      </c>
      <c r="B2323" t="str">
        <f>TEXT(Raw_Data!$A2323, "MMM")</f>
        <v>Oct</v>
      </c>
      <c r="C2323">
        <f>YEAR(Raw_Data!$A2323)</f>
        <v>2004</v>
      </c>
      <c r="D2323" t="s">
        <v>1831</v>
      </c>
      <c r="E2323" t="s">
        <v>15</v>
      </c>
      <c r="F2323" t="s">
        <v>18</v>
      </c>
      <c r="G2323">
        <v>3</v>
      </c>
      <c r="H2323">
        <v>998</v>
      </c>
      <c r="I2323" s="1">
        <v>484164</v>
      </c>
      <c r="J2323" s="1">
        <f>Raw_Data!$I2323/Raw_Data!$H2323</f>
        <v>485.13426853707415</v>
      </c>
    </row>
    <row r="2324" spans="1:10" x14ac:dyDescent="0.3">
      <c r="A2324" s="9">
        <v>42656</v>
      </c>
      <c r="B2324" s="2" t="str">
        <f>TEXT(Raw_Data!$A2324, "MMM")</f>
        <v>Oct</v>
      </c>
      <c r="C2324" s="2">
        <f>YEAR(Raw_Data!$A2324)</f>
        <v>2016</v>
      </c>
      <c r="D2324" s="2" t="s">
        <v>1832</v>
      </c>
      <c r="E2324" s="2" t="s">
        <v>25</v>
      </c>
      <c r="F2324" s="2" t="s">
        <v>16</v>
      </c>
      <c r="G2324" s="2">
        <v>2</v>
      </c>
      <c r="H2324" s="2">
        <v>3305</v>
      </c>
      <c r="I2324" s="10">
        <v>175740</v>
      </c>
      <c r="J2324" s="10">
        <f>Raw_Data!$I2324/Raw_Data!$H2324</f>
        <v>53.17397881996974</v>
      </c>
    </row>
    <row r="2325" spans="1:10" x14ac:dyDescent="0.3">
      <c r="A2325" s="8">
        <v>38950</v>
      </c>
      <c r="B2325" t="str">
        <f>TEXT(Raw_Data!$A2325, "MMM")</f>
        <v>Aug</v>
      </c>
      <c r="C2325">
        <f>YEAR(Raw_Data!$A2325)</f>
        <v>2006</v>
      </c>
      <c r="D2325" t="s">
        <v>1161</v>
      </c>
      <c r="E2325" t="s">
        <v>32</v>
      </c>
      <c r="F2325" t="s">
        <v>11</v>
      </c>
      <c r="H2325">
        <v>2062</v>
      </c>
      <c r="I2325" s="1">
        <v>637116</v>
      </c>
      <c r="J2325" s="1">
        <f>Raw_Data!$I2325/Raw_Data!$H2325</f>
        <v>308.97963142580022</v>
      </c>
    </row>
    <row r="2326" spans="1:10" x14ac:dyDescent="0.3">
      <c r="A2326" s="9">
        <v>38950</v>
      </c>
      <c r="B2326" s="2" t="str">
        <f>TEXT(Raw_Data!$A2326, "MMM")</f>
        <v>Aug</v>
      </c>
      <c r="C2326" s="2">
        <f>YEAR(Raw_Data!$A2326)</f>
        <v>2006</v>
      </c>
      <c r="D2326" s="2" t="s">
        <v>1833</v>
      </c>
      <c r="E2326" s="2" t="s">
        <v>23</v>
      </c>
      <c r="F2326" s="2" t="s">
        <v>11</v>
      </c>
      <c r="G2326" s="2">
        <v>3</v>
      </c>
      <c r="H2326" s="2">
        <v>2652</v>
      </c>
      <c r="I2326" s="10">
        <v>895299</v>
      </c>
      <c r="J2326" s="10">
        <f>Raw_Data!$I2326/Raw_Data!$H2326</f>
        <v>337.59389140271492</v>
      </c>
    </row>
    <row r="2327" spans="1:10" x14ac:dyDescent="0.3">
      <c r="A2327" s="8">
        <v>42308</v>
      </c>
      <c r="B2327" t="str">
        <f>TEXT(Raw_Data!$A2327, "MMM")</f>
        <v>Oct</v>
      </c>
      <c r="C2327">
        <f>YEAR(Raw_Data!$A2327)</f>
        <v>2015</v>
      </c>
      <c r="D2327" t="s">
        <v>1834</v>
      </c>
      <c r="E2327" t="s">
        <v>15</v>
      </c>
      <c r="F2327" t="s">
        <v>27</v>
      </c>
      <c r="G2327">
        <v>4</v>
      </c>
      <c r="H2327">
        <v>2897</v>
      </c>
      <c r="I2327" s="1">
        <v>299056</v>
      </c>
      <c r="J2327" s="1">
        <f>Raw_Data!$I2327/Raw_Data!$H2327</f>
        <v>103.22954780807733</v>
      </c>
    </row>
    <row r="2328" spans="1:10" x14ac:dyDescent="0.3">
      <c r="A2328" s="9">
        <v>37618</v>
      </c>
      <c r="B2328" s="2" t="str">
        <f>TEXT(Raw_Data!$A2328, "MMM")</f>
        <v>Dec</v>
      </c>
      <c r="C2328" s="2">
        <f>YEAR(Raw_Data!$A2328)</f>
        <v>2002</v>
      </c>
      <c r="D2328" s="2" t="s">
        <v>1835</v>
      </c>
      <c r="E2328" s="2" t="s">
        <v>32</v>
      </c>
      <c r="F2328" s="2" t="s">
        <v>11</v>
      </c>
      <c r="G2328" s="2">
        <v>5</v>
      </c>
      <c r="H2328" s="2">
        <v>1536</v>
      </c>
      <c r="I2328" s="10">
        <v>804702</v>
      </c>
      <c r="J2328" s="10">
        <f>Raw_Data!$I2328/Raw_Data!$H2328</f>
        <v>523.89453125</v>
      </c>
    </row>
    <row r="2329" spans="1:10" x14ac:dyDescent="0.3">
      <c r="A2329" s="8">
        <v>40271</v>
      </c>
      <c r="B2329" t="str">
        <f>TEXT(Raw_Data!$A2329, "MMM")</f>
        <v>Apr</v>
      </c>
      <c r="C2329">
        <f>YEAR(Raw_Data!$A2329)</f>
        <v>2010</v>
      </c>
      <c r="D2329" t="s">
        <v>1334</v>
      </c>
      <c r="E2329" t="s">
        <v>15</v>
      </c>
      <c r="F2329" t="s">
        <v>18</v>
      </c>
      <c r="G2329">
        <v>2</v>
      </c>
      <c r="H2329">
        <v>1089</v>
      </c>
      <c r="I2329" s="1">
        <v>310403</v>
      </c>
      <c r="J2329" s="1">
        <f>Raw_Data!$I2329/Raw_Data!$H2329</f>
        <v>285.03489439853075</v>
      </c>
    </row>
    <row r="2330" spans="1:10" x14ac:dyDescent="0.3">
      <c r="A2330" s="9">
        <v>38862</v>
      </c>
      <c r="B2330" s="2" t="str">
        <f>TEXT(Raw_Data!$A2330, "MMM")</f>
        <v>May</v>
      </c>
      <c r="C2330" s="2">
        <f>YEAR(Raw_Data!$A2330)</f>
        <v>2006</v>
      </c>
      <c r="D2330" s="2" t="s">
        <v>1836</v>
      </c>
      <c r="E2330" s="2" t="s">
        <v>15</v>
      </c>
      <c r="F2330" s="2" t="s">
        <v>16</v>
      </c>
      <c r="G2330" s="2">
        <v>3</v>
      </c>
      <c r="H2330" s="2">
        <v>2640</v>
      </c>
      <c r="I2330" s="10">
        <v>750217</v>
      </c>
      <c r="J2330" s="10">
        <f>Raw_Data!$I2330/Raw_Data!$H2330</f>
        <v>284.17310606060607</v>
      </c>
    </row>
    <row r="2331" spans="1:10" x14ac:dyDescent="0.3">
      <c r="A2331" s="8">
        <v>39946</v>
      </c>
      <c r="B2331" t="str">
        <f>TEXT(Raw_Data!$A2331, "MMM")</f>
        <v>May</v>
      </c>
      <c r="C2331">
        <f>YEAR(Raw_Data!$A2331)</f>
        <v>2009</v>
      </c>
      <c r="D2331" t="s">
        <v>1837</v>
      </c>
      <c r="E2331" t="s">
        <v>15</v>
      </c>
      <c r="F2331" t="s">
        <v>18</v>
      </c>
      <c r="G2331">
        <v>3</v>
      </c>
      <c r="H2331">
        <v>3380</v>
      </c>
      <c r="I2331" s="1">
        <v>348915</v>
      </c>
      <c r="J2331" s="1">
        <f>Raw_Data!$I2331/Raw_Data!$H2331</f>
        <v>103.22928994082841</v>
      </c>
    </row>
    <row r="2332" spans="1:10" x14ac:dyDescent="0.3">
      <c r="A2332" s="9">
        <v>42538</v>
      </c>
      <c r="B2332" s="2" t="str">
        <f>TEXT(Raw_Data!$A2332, "MMM")</f>
        <v>Jun</v>
      </c>
      <c r="C2332" s="2">
        <f>YEAR(Raw_Data!$A2332)</f>
        <v>2016</v>
      </c>
      <c r="D2332" s="2" t="s">
        <v>204</v>
      </c>
      <c r="E2332" s="2" t="s">
        <v>25</v>
      </c>
      <c r="F2332" s="2" t="s">
        <v>27</v>
      </c>
      <c r="G2332" s="2"/>
      <c r="H2332" s="2">
        <v>1217</v>
      </c>
      <c r="I2332" s="10">
        <v>847308</v>
      </c>
      <c r="J2332" s="10">
        <f>Raw_Data!$I2332/Raw_Data!$H2332</f>
        <v>696.22678718159409</v>
      </c>
    </row>
    <row r="2333" spans="1:10" x14ac:dyDescent="0.3">
      <c r="A2333" s="8">
        <v>37450</v>
      </c>
      <c r="B2333" t="str">
        <f>TEXT(Raw_Data!$A2333, "MMM")</f>
        <v>Jul</v>
      </c>
      <c r="C2333">
        <f>YEAR(Raw_Data!$A2333)</f>
        <v>2002</v>
      </c>
      <c r="D2333" t="s">
        <v>837</v>
      </c>
      <c r="E2333" t="s">
        <v>32</v>
      </c>
      <c r="F2333" t="s">
        <v>11</v>
      </c>
      <c r="H2333">
        <v>3001</v>
      </c>
      <c r="I2333" s="1">
        <v>222361</v>
      </c>
      <c r="J2333" s="1">
        <f>Raw_Data!$I2333/Raw_Data!$H2333</f>
        <v>74.095634788403871</v>
      </c>
    </row>
    <row r="2334" spans="1:10" x14ac:dyDescent="0.3">
      <c r="A2334" s="9">
        <v>41149</v>
      </c>
      <c r="B2334" s="2" t="str">
        <f>TEXT(Raw_Data!$A2334, "MMM")</f>
        <v>Aug</v>
      </c>
      <c r="C2334" s="2">
        <f>YEAR(Raw_Data!$A2334)</f>
        <v>2012</v>
      </c>
      <c r="D2334" s="2" t="s">
        <v>933</v>
      </c>
      <c r="E2334" s="2" t="s">
        <v>23</v>
      </c>
      <c r="F2334" s="2" t="s">
        <v>16</v>
      </c>
      <c r="G2334" s="2">
        <v>5</v>
      </c>
      <c r="H2334" s="2">
        <v>1267</v>
      </c>
      <c r="I2334" s="10">
        <v>246115</v>
      </c>
      <c r="J2334" s="10">
        <f>Raw_Data!$I2334/Raw_Data!$H2334</f>
        <v>194.25019731649567</v>
      </c>
    </row>
    <row r="2335" spans="1:10" x14ac:dyDescent="0.3">
      <c r="A2335" s="8">
        <v>40037</v>
      </c>
      <c r="B2335" t="str">
        <f>TEXT(Raw_Data!$A2335, "MMM")</f>
        <v>Aug</v>
      </c>
      <c r="C2335">
        <f>YEAR(Raw_Data!$A2335)</f>
        <v>2009</v>
      </c>
      <c r="D2335" t="s">
        <v>1838</v>
      </c>
      <c r="E2335" t="s">
        <v>15</v>
      </c>
      <c r="F2335" t="s">
        <v>18</v>
      </c>
      <c r="G2335">
        <v>3</v>
      </c>
      <c r="H2335">
        <v>1313</v>
      </c>
      <c r="I2335" s="1">
        <v>689480</v>
      </c>
      <c r="J2335" s="1">
        <f>Raw_Data!$I2335/Raw_Data!$H2335</f>
        <v>525.11805026656509</v>
      </c>
    </row>
    <row r="2336" spans="1:10" x14ac:dyDescent="0.3">
      <c r="A2336" s="9">
        <v>36916</v>
      </c>
      <c r="B2336" s="2" t="str">
        <f>TEXT(Raw_Data!$A2336, "MMM")</f>
        <v>Jan</v>
      </c>
      <c r="C2336" s="2">
        <f>YEAR(Raw_Data!$A2336)</f>
        <v>2001</v>
      </c>
      <c r="D2336" s="2" t="s">
        <v>1467</v>
      </c>
      <c r="E2336" s="2" t="s">
        <v>29</v>
      </c>
      <c r="F2336" s="2" t="s">
        <v>16</v>
      </c>
      <c r="G2336" s="2">
        <v>4</v>
      </c>
      <c r="H2336" s="2">
        <v>819</v>
      </c>
      <c r="I2336" s="10">
        <v>383326</v>
      </c>
      <c r="J2336" s="10">
        <f>Raw_Data!$I2336/Raw_Data!$H2336</f>
        <v>468.04151404151406</v>
      </c>
    </row>
    <row r="2337" spans="1:10" x14ac:dyDescent="0.3">
      <c r="A2337" s="8">
        <v>38860</v>
      </c>
      <c r="B2337" t="str">
        <f>TEXT(Raw_Data!$A2337, "MMM")</f>
        <v>May</v>
      </c>
      <c r="C2337">
        <f>YEAR(Raw_Data!$A2337)</f>
        <v>2006</v>
      </c>
      <c r="D2337" t="s">
        <v>1839</v>
      </c>
      <c r="E2337" t="s">
        <v>25</v>
      </c>
      <c r="F2337" t="s">
        <v>11</v>
      </c>
      <c r="G2337">
        <v>3</v>
      </c>
      <c r="H2337">
        <v>1190</v>
      </c>
      <c r="I2337" s="1">
        <v>150339</v>
      </c>
      <c r="J2337" s="1">
        <f>Raw_Data!$I2337/Raw_Data!$H2337</f>
        <v>126.33529411764705</v>
      </c>
    </row>
    <row r="2338" spans="1:10" x14ac:dyDescent="0.3">
      <c r="A2338" s="9">
        <v>38568</v>
      </c>
      <c r="B2338" s="2" t="str">
        <f>TEXT(Raw_Data!$A2338, "MMM")</f>
        <v>Aug</v>
      </c>
      <c r="C2338" s="2">
        <f>YEAR(Raw_Data!$A2338)</f>
        <v>2005</v>
      </c>
      <c r="D2338" s="2" t="s">
        <v>728</v>
      </c>
      <c r="E2338" s="2" t="s">
        <v>32</v>
      </c>
      <c r="F2338" s="2" t="s">
        <v>11</v>
      </c>
      <c r="G2338" s="2"/>
      <c r="H2338" s="2">
        <v>1764</v>
      </c>
      <c r="I2338" s="10">
        <v>301607</v>
      </c>
      <c r="J2338" s="10">
        <f>Raw_Data!$I2338/Raw_Data!$H2338</f>
        <v>170.97902494331066</v>
      </c>
    </row>
    <row r="2339" spans="1:10" x14ac:dyDescent="0.3">
      <c r="A2339" s="8">
        <v>38000</v>
      </c>
      <c r="B2339" t="str">
        <f>TEXT(Raw_Data!$A2339, "MMM")</f>
        <v>Jan</v>
      </c>
      <c r="C2339">
        <f>YEAR(Raw_Data!$A2339)</f>
        <v>2004</v>
      </c>
      <c r="D2339" t="s">
        <v>1111</v>
      </c>
      <c r="E2339" t="s">
        <v>25</v>
      </c>
      <c r="F2339" t="s">
        <v>16</v>
      </c>
      <c r="G2339">
        <v>5</v>
      </c>
      <c r="H2339">
        <v>3157</v>
      </c>
      <c r="I2339" s="1">
        <v>520634</v>
      </c>
      <c r="J2339" s="1">
        <f>Raw_Data!$I2339/Raw_Data!$H2339</f>
        <v>164.91415901171999</v>
      </c>
    </row>
    <row r="2340" spans="1:10" x14ac:dyDescent="0.3">
      <c r="A2340" s="9">
        <v>37960</v>
      </c>
      <c r="B2340" s="2" t="str">
        <f>TEXT(Raw_Data!$A2340, "MMM")</f>
        <v>Dec</v>
      </c>
      <c r="C2340" s="2">
        <f>YEAR(Raw_Data!$A2340)</f>
        <v>2003</v>
      </c>
      <c r="D2340" s="2" t="s">
        <v>1840</v>
      </c>
      <c r="E2340" s="2" t="s">
        <v>13</v>
      </c>
      <c r="F2340" s="2" t="s">
        <v>27</v>
      </c>
      <c r="G2340" s="2">
        <v>4</v>
      </c>
      <c r="H2340" s="2">
        <v>2940</v>
      </c>
      <c r="I2340" s="10">
        <v>292122</v>
      </c>
      <c r="J2340" s="10">
        <f>Raw_Data!$I2340/Raw_Data!$H2340</f>
        <v>99.361224489795916</v>
      </c>
    </row>
    <row r="2341" spans="1:10" x14ac:dyDescent="0.3">
      <c r="A2341" s="8">
        <v>39871</v>
      </c>
      <c r="B2341" t="str">
        <f>TEXT(Raw_Data!$A2341, "MMM")</f>
        <v>Feb</v>
      </c>
      <c r="C2341">
        <f>YEAR(Raw_Data!$A2341)</f>
        <v>2009</v>
      </c>
      <c r="D2341" t="s">
        <v>1309</v>
      </c>
      <c r="E2341" t="s">
        <v>32</v>
      </c>
      <c r="F2341" t="s">
        <v>18</v>
      </c>
      <c r="H2341">
        <v>1617</v>
      </c>
      <c r="I2341" s="1">
        <v>274908</v>
      </c>
      <c r="J2341" s="1">
        <f>Raw_Data!$I2341/Raw_Data!$H2341</f>
        <v>170.01113172541744</v>
      </c>
    </row>
    <row r="2342" spans="1:10" x14ac:dyDescent="0.3">
      <c r="A2342" s="9">
        <v>36934</v>
      </c>
      <c r="B2342" s="2" t="str">
        <f>TEXT(Raw_Data!$A2342, "MMM")</f>
        <v>Feb</v>
      </c>
      <c r="C2342" s="2">
        <f>YEAR(Raw_Data!$A2342)</f>
        <v>2001</v>
      </c>
      <c r="D2342" s="2" t="s">
        <v>1841</v>
      </c>
      <c r="E2342" s="2" t="s">
        <v>29</v>
      </c>
      <c r="F2342" s="2" t="s">
        <v>27</v>
      </c>
      <c r="G2342" s="2"/>
      <c r="H2342" s="2">
        <v>903</v>
      </c>
      <c r="I2342" s="10">
        <v>163830</v>
      </c>
      <c r="J2342" s="10">
        <f>Raw_Data!$I2342/Raw_Data!$H2342</f>
        <v>181.42857142857142</v>
      </c>
    </row>
    <row r="2343" spans="1:10" x14ac:dyDescent="0.3">
      <c r="A2343" s="8">
        <v>41921</v>
      </c>
      <c r="B2343" t="str">
        <f>TEXT(Raw_Data!$A2343, "MMM")</f>
        <v>Oct</v>
      </c>
      <c r="C2343">
        <f>YEAR(Raw_Data!$A2343)</f>
        <v>2014</v>
      </c>
      <c r="D2343" t="s">
        <v>1842</v>
      </c>
      <c r="E2343" t="s">
        <v>13</v>
      </c>
      <c r="F2343" t="s">
        <v>16</v>
      </c>
      <c r="G2343">
        <v>4</v>
      </c>
      <c r="H2343">
        <v>2571</v>
      </c>
      <c r="I2343" s="1">
        <v>287660</v>
      </c>
      <c r="J2343" s="1">
        <f>Raw_Data!$I2343/Raw_Data!$H2343</f>
        <v>111.88642551536367</v>
      </c>
    </row>
    <row r="2344" spans="1:10" x14ac:dyDescent="0.3">
      <c r="A2344" s="9">
        <v>42032</v>
      </c>
      <c r="B2344" s="2" t="str">
        <f>TEXT(Raw_Data!$A2344, "MMM")</f>
        <v>Jan</v>
      </c>
      <c r="C2344" s="2">
        <f>YEAR(Raw_Data!$A2344)</f>
        <v>2015</v>
      </c>
      <c r="D2344" s="2" t="s">
        <v>1843</v>
      </c>
      <c r="E2344" s="2" t="s">
        <v>32</v>
      </c>
      <c r="F2344" s="2" t="s">
        <v>16</v>
      </c>
      <c r="G2344" s="2">
        <v>5</v>
      </c>
      <c r="H2344" s="2">
        <v>2539</v>
      </c>
      <c r="I2344" s="10">
        <v>159135</v>
      </c>
      <c r="J2344" s="10">
        <f>Raw_Data!$I2344/Raw_Data!$H2344</f>
        <v>62.676250492319809</v>
      </c>
    </row>
    <row r="2345" spans="1:10" x14ac:dyDescent="0.3">
      <c r="A2345" s="8">
        <v>37457</v>
      </c>
      <c r="B2345" t="str">
        <f>TEXT(Raw_Data!$A2345, "MMM")</f>
        <v>Jul</v>
      </c>
      <c r="C2345">
        <f>YEAR(Raw_Data!$A2345)</f>
        <v>2002</v>
      </c>
      <c r="D2345" t="s">
        <v>725</v>
      </c>
      <c r="E2345" t="s">
        <v>25</v>
      </c>
      <c r="F2345" t="s">
        <v>11</v>
      </c>
      <c r="G2345">
        <v>3</v>
      </c>
      <c r="H2345">
        <v>3340</v>
      </c>
      <c r="I2345" s="1">
        <v>280241</v>
      </c>
      <c r="J2345" s="1">
        <f>Raw_Data!$I2345/Raw_Data!$H2345</f>
        <v>83.904491017964077</v>
      </c>
    </row>
    <row r="2346" spans="1:10" x14ac:dyDescent="0.3">
      <c r="A2346" s="9">
        <v>40061</v>
      </c>
      <c r="B2346" s="2" t="str">
        <f>TEXT(Raw_Data!$A2346, "MMM")</f>
        <v>Sep</v>
      </c>
      <c r="C2346" s="2">
        <f>YEAR(Raw_Data!$A2346)</f>
        <v>2009</v>
      </c>
      <c r="D2346" s="2" t="s">
        <v>148</v>
      </c>
      <c r="E2346" s="2" t="s">
        <v>32</v>
      </c>
      <c r="F2346" s="2" t="s">
        <v>18</v>
      </c>
      <c r="G2346" s="2"/>
      <c r="H2346" s="2">
        <v>1134</v>
      </c>
      <c r="I2346" s="10">
        <v>887802</v>
      </c>
      <c r="J2346" s="10">
        <f>Raw_Data!$I2346/Raw_Data!$H2346</f>
        <v>782.89417989417984</v>
      </c>
    </row>
    <row r="2347" spans="1:10" x14ac:dyDescent="0.3">
      <c r="A2347" s="8">
        <v>43465</v>
      </c>
      <c r="B2347" t="str">
        <f>TEXT(Raw_Data!$A2347, "MMM")</f>
        <v>Dec</v>
      </c>
      <c r="C2347">
        <f>YEAR(Raw_Data!$A2347)</f>
        <v>2018</v>
      </c>
      <c r="D2347" t="s">
        <v>740</v>
      </c>
      <c r="E2347" t="s">
        <v>21</v>
      </c>
      <c r="F2347" t="s">
        <v>27</v>
      </c>
      <c r="G2347">
        <v>4</v>
      </c>
      <c r="H2347">
        <v>891</v>
      </c>
      <c r="I2347" s="1">
        <v>618945</v>
      </c>
      <c r="J2347" s="1">
        <f>Raw_Data!$I2347/Raw_Data!$H2347</f>
        <v>694.66329966329965</v>
      </c>
    </row>
    <row r="2348" spans="1:10" x14ac:dyDescent="0.3">
      <c r="A2348" s="9">
        <v>42545</v>
      </c>
      <c r="B2348" s="2" t="str">
        <f>TEXT(Raw_Data!$A2348, "MMM")</f>
        <v>Jun</v>
      </c>
      <c r="C2348" s="2">
        <f>YEAR(Raw_Data!$A2348)</f>
        <v>2016</v>
      </c>
      <c r="D2348" s="2" t="s">
        <v>1574</v>
      </c>
      <c r="E2348" s="2" t="s">
        <v>25</v>
      </c>
      <c r="F2348" s="2" t="s">
        <v>18</v>
      </c>
      <c r="G2348" s="2">
        <v>4</v>
      </c>
      <c r="H2348" s="2">
        <v>1055</v>
      </c>
      <c r="I2348" s="10">
        <v>608664</v>
      </c>
      <c r="J2348" s="10">
        <f>Raw_Data!$I2348/Raw_Data!$H2348</f>
        <v>576.93270142180097</v>
      </c>
    </row>
    <row r="2349" spans="1:10" x14ac:dyDescent="0.3">
      <c r="A2349" s="8">
        <v>41648</v>
      </c>
      <c r="B2349" t="str">
        <f>TEXT(Raw_Data!$A2349, "MMM")</f>
        <v>Jan</v>
      </c>
      <c r="C2349">
        <f>YEAR(Raw_Data!$A2349)</f>
        <v>2014</v>
      </c>
      <c r="D2349" t="s">
        <v>1844</v>
      </c>
      <c r="E2349" t="s">
        <v>29</v>
      </c>
      <c r="F2349" t="s">
        <v>16</v>
      </c>
      <c r="G2349">
        <v>4</v>
      </c>
      <c r="H2349">
        <v>1978</v>
      </c>
      <c r="I2349" s="1">
        <v>193483</v>
      </c>
      <c r="J2349" s="1">
        <f>Raw_Data!$I2349/Raw_Data!$H2349</f>
        <v>97.817492416582411</v>
      </c>
    </row>
    <row r="2350" spans="1:10" x14ac:dyDescent="0.3">
      <c r="A2350" s="9">
        <v>41905</v>
      </c>
      <c r="B2350" s="2" t="str">
        <f>TEXT(Raw_Data!$A2350, "MMM")</f>
        <v>Sep</v>
      </c>
      <c r="C2350" s="2">
        <f>YEAR(Raw_Data!$A2350)</f>
        <v>2014</v>
      </c>
      <c r="D2350" s="2" t="s">
        <v>1845</v>
      </c>
      <c r="E2350" s="2" t="s">
        <v>21</v>
      </c>
      <c r="F2350" s="2" t="s">
        <v>16</v>
      </c>
      <c r="G2350" s="2"/>
      <c r="H2350" s="2">
        <v>1430</v>
      </c>
      <c r="I2350" s="10">
        <v>721373</v>
      </c>
      <c r="J2350" s="10">
        <f>Raw_Data!$I2350/Raw_Data!$H2350</f>
        <v>504.45664335664338</v>
      </c>
    </row>
    <row r="2351" spans="1:10" x14ac:dyDescent="0.3">
      <c r="A2351" s="8">
        <v>43802</v>
      </c>
      <c r="B2351" t="str">
        <f>TEXT(Raw_Data!$A2351, "MMM")</f>
        <v>Dec</v>
      </c>
      <c r="C2351">
        <f>YEAR(Raw_Data!$A2351)</f>
        <v>2019</v>
      </c>
      <c r="D2351" t="s">
        <v>1846</v>
      </c>
      <c r="E2351" t="s">
        <v>25</v>
      </c>
      <c r="F2351" t="s">
        <v>18</v>
      </c>
      <c r="G2351">
        <v>4</v>
      </c>
      <c r="H2351">
        <v>1870</v>
      </c>
      <c r="I2351" s="1">
        <v>122268</v>
      </c>
      <c r="J2351" s="1">
        <f>Raw_Data!$I2351/Raw_Data!$H2351</f>
        <v>65.383957219251343</v>
      </c>
    </row>
    <row r="2352" spans="1:10" x14ac:dyDescent="0.3">
      <c r="A2352" s="9">
        <v>38095</v>
      </c>
      <c r="B2352" s="2" t="str">
        <f>TEXT(Raw_Data!$A2352, "MMM")</f>
        <v>Apr</v>
      </c>
      <c r="C2352" s="2">
        <f>YEAR(Raw_Data!$A2352)</f>
        <v>2004</v>
      </c>
      <c r="D2352" s="2" t="s">
        <v>1389</v>
      </c>
      <c r="E2352" s="2" t="s">
        <v>15</v>
      </c>
      <c r="F2352" s="2" t="s">
        <v>11</v>
      </c>
      <c r="G2352" s="2"/>
      <c r="H2352" s="2">
        <v>2392</v>
      </c>
      <c r="I2352" s="10">
        <v>653867</v>
      </c>
      <c r="J2352" s="10">
        <f>Raw_Data!$I2352/Raw_Data!$H2352</f>
        <v>273.35576923076923</v>
      </c>
    </row>
    <row r="2353" spans="1:10" x14ac:dyDescent="0.3">
      <c r="A2353" s="8">
        <v>44052</v>
      </c>
      <c r="B2353" t="str">
        <f>TEXT(Raw_Data!$A2353, "MMM")</f>
        <v>Aug</v>
      </c>
      <c r="C2353">
        <f>YEAR(Raw_Data!$A2353)</f>
        <v>2020</v>
      </c>
      <c r="D2353" t="s">
        <v>1847</v>
      </c>
      <c r="E2353" t="s">
        <v>13</v>
      </c>
      <c r="F2353" t="s">
        <v>16</v>
      </c>
      <c r="G2353">
        <v>5</v>
      </c>
      <c r="H2353">
        <v>1672</v>
      </c>
      <c r="I2353" s="1">
        <v>419256</v>
      </c>
      <c r="J2353" s="1">
        <f>Raw_Data!$I2353/Raw_Data!$H2353</f>
        <v>250.7511961722488</v>
      </c>
    </row>
    <row r="2354" spans="1:10" x14ac:dyDescent="0.3">
      <c r="A2354" s="9">
        <v>38923</v>
      </c>
      <c r="B2354" s="2" t="str">
        <f>TEXT(Raw_Data!$A2354, "MMM")</f>
        <v>Jul</v>
      </c>
      <c r="C2354" s="2">
        <f>YEAR(Raw_Data!$A2354)</f>
        <v>2006</v>
      </c>
      <c r="D2354" s="2" t="s">
        <v>1848</v>
      </c>
      <c r="E2354" s="2" t="s">
        <v>25</v>
      </c>
      <c r="F2354" s="2" t="s">
        <v>27</v>
      </c>
      <c r="G2354" s="2">
        <v>5</v>
      </c>
      <c r="H2354" s="2">
        <v>2878</v>
      </c>
      <c r="I2354" s="10"/>
      <c r="J2354" s="10">
        <f>Raw_Data!$I2354/Raw_Data!$H2354</f>
        <v>0</v>
      </c>
    </row>
    <row r="2355" spans="1:10" x14ac:dyDescent="0.3">
      <c r="A2355" s="8">
        <v>43170</v>
      </c>
      <c r="B2355" t="str">
        <f>TEXT(Raw_Data!$A2355, "MMM")</f>
        <v>Mar</v>
      </c>
      <c r="C2355">
        <f>YEAR(Raw_Data!$A2355)</f>
        <v>2018</v>
      </c>
      <c r="D2355" t="s">
        <v>942</v>
      </c>
      <c r="E2355" t="s">
        <v>32</v>
      </c>
      <c r="F2355" t="s">
        <v>16</v>
      </c>
      <c r="G2355">
        <v>5</v>
      </c>
      <c r="H2355">
        <v>2108</v>
      </c>
      <c r="I2355" s="1">
        <v>857006</v>
      </c>
      <c r="J2355" s="1">
        <f>Raw_Data!$I2355/Raw_Data!$H2355</f>
        <v>406.54933586337762</v>
      </c>
    </row>
    <row r="2356" spans="1:10" x14ac:dyDescent="0.3">
      <c r="A2356" s="9">
        <v>36980</v>
      </c>
      <c r="B2356" s="2" t="str">
        <f>TEXT(Raw_Data!$A2356, "MMM")</f>
        <v>Mar</v>
      </c>
      <c r="C2356" s="2">
        <f>YEAR(Raw_Data!$A2356)</f>
        <v>2001</v>
      </c>
      <c r="D2356" s="2" t="s">
        <v>276</v>
      </c>
      <c r="E2356" s="2" t="s">
        <v>21</v>
      </c>
      <c r="F2356" s="2" t="s">
        <v>11</v>
      </c>
      <c r="G2356" s="2">
        <v>5</v>
      </c>
      <c r="H2356" s="2">
        <v>2250</v>
      </c>
      <c r="I2356" s="10">
        <v>746067</v>
      </c>
      <c r="J2356" s="10">
        <f>Raw_Data!$I2356/Raw_Data!$H2356</f>
        <v>331.58533333333332</v>
      </c>
    </row>
    <row r="2357" spans="1:10" x14ac:dyDescent="0.3">
      <c r="A2357" s="8">
        <v>37731</v>
      </c>
      <c r="B2357" t="str">
        <f>TEXT(Raw_Data!$A2357, "MMM")</f>
        <v>Apr</v>
      </c>
      <c r="C2357">
        <f>YEAR(Raw_Data!$A2357)</f>
        <v>2003</v>
      </c>
      <c r="D2357" t="s">
        <v>342</v>
      </c>
      <c r="E2357" t="s">
        <v>32</v>
      </c>
      <c r="F2357" t="s">
        <v>11</v>
      </c>
      <c r="G2357">
        <v>5</v>
      </c>
      <c r="H2357">
        <v>1622</v>
      </c>
      <c r="I2357" s="1">
        <v>201033</v>
      </c>
      <c r="J2357" s="1">
        <f>Raw_Data!$I2357/Raw_Data!$H2357</f>
        <v>123.94143033292232</v>
      </c>
    </row>
    <row r="2358" spans="1:10" x14ac:dyDescent="0.3">
      <c r="A2358" s="9">
        <v>39222</v>
      </c>
      <c r="B2358" s="2" t="str">
        <f>TEXT(Raw_Data!$A2358, "MMM")</f>
        <v>May</v>
      </c>
      <c r="C2358" s="2">
        <f>YEAR(Raw_Data!$A2358)</f>
        <v>2007</v>
      </c>
      <c r="D2358" s="2" t="s">
        <v>1301</v>
      </c>
      <c r="E2358" s="2" t="s">
        <v>29</v>
      </c>
      <c r="F2358" s="2" t="s">
        <v>18</v>
      </c>
      <c r="G2358" s="2">
        <v>2</v>
      </c>
      <c r="H2358" s="2">
        <v>2987</v>
      </c>
      <c r="I2358" s="10">
        <v>717786</v>
      </c>
      <c r="J2358" s="10">
        <f>Raw_Data!$I2358/Raw_Data!$H2358</f>
        <v>240.30331436223636</v>
      </c>
    </row>
    <row r="2359" spans="1:10" x14ac:dyDescent="0.3">
      <c r="A2359" s="8">
        <v>43109</v>
      </c>
      <c r="B2359" t="str">
        <f>TEXT(Raw_Data!$A2359, "MMM")</f>
        <v>Jan</v>
      </c>
      <c r="C2359">
        <f>YEAR(Raw_Data!$A2359)</f>
        <v>2018</v>
      </c>
      <c r="D2359" t="s">
        <v>1849</v>
      </c>
      <c r="E2359" t="s">
        <v>29</v>
      </c>
      <c r="F2359" t="s">
        <v>18</v>
      </c>
      <c r="H2359">
        <v>2374</v>
      </c>
      <c r="I2359" s="1">
        <v>565897</v>
      </c>
      <c r="J2359" s="1">
        <f>Raw_Data!$I2359/Raw_Data!$H2359</f>
        <v>238.37278854254424</v>
      </c>
    </row>
    <row r="2360" spans="1:10" x14ac:dyDescent="0.3">
      <c r="A2360" s="9">
        <v>42418</v>
      </c>
      <c r="B2360" s="2" t="str">
        <f>TEXT(Raw_Data!$A2360, "MMM")</f>
        <v>Feb</v>
      </c>
      <c r="C2360" s="2">
        <f>YEAR(Raw_Data!$A2360)</f>
        <v>2016</v>
      </c>
      <c r="D2360" s="2" t="s">
        <v>680</v>
      </c>
      <c r="E2360" s="2" t="s">
        <v>32</v>
      </c>
      <c r="F2360" s="2" t="s">
        <v>16</v>
      </c>
      <c r="G2360" s="2">
        <v>2</v>
      </c>
      <c r="H2360" s="2">
        <v>1407</v>
      </c>
      <c r="I2360" s="10">
        <v>543725</v>
      </c>
      <c r="J2360" s="10">
        <f>Raw_Data!$I2360/Raw_Data!$H2360</f>
        <v>386.44278606965173</v>
      </c>
    </row>
    <row r="2361" spans="1:10" x14ac:dyDescent="0.3">
      <c r="A2361" s="8">
        <v>37360</v>
      </c>
      <c r="B2361" t="str">
        <f>TEXT(Raw_Data!$A2361, "MMM")</f>
        <v>Apr</v>
      </c>
      <c r="C2361">
        <f>YEAR(Raw_Data!$A2361)</f>
        <v>2002</v>
      </c>
      <c r="D2361" t="s">
        <v>1850</v>
      </c>
      <c r="E2361" t="s">
        <v>13</v>
      </c>
      <c r="F2361" t="s">
        <v>18</v>
      </c>
      <c r="G2361">
        <v>3</v>
      </c>
      <c r="H2361">
        <v>1370</v>
      </c>
      <c r="I2361" s="1">
        <v>370959</v>
      </c>
      <c r="J2361" s="1">
        <f>Raw_Data!$I2361/Raw_Data!$H2361</f>
        <v>270.7729927007299</v>
      </c>
    </row>
    <row r="2362" spans="1:10" x14ac:dyDescent="0.3">
      <c r="A2362" s="9">
        <v>38091</v>
      </c>
      <c r="B2362" s="2" t="str">
        <f>TEXT(Raw_Data!$A2362, "MMM")</f>
        <v>Apr</v>
      </c>
      <c r="C2362" s="2">
        <f>YEAR(Raw_Data!$A2362)</f>
        <v>2004</v>
      </c>
      <c r="D2362" s="2" t="s">
        <v>1851</v>
      </c>
      <c r="E2362" s="2" t="s">
        <v>32</v>
      </c>
      <c r="F2362" s="2" t="s">
        <v>16</v>
      </c>
      <c r="G2362" s="2">
        <v>4</v>
      </c>
      <c r="H2362" s="2">
        <v>1650</v>
      </c>
      <c r="I2362" s="10">
        <v>819894</v>
      </c>
      <c r="J2362" s="10">
        <f>Raw_Data!$I2362/Raw_Data!$H2362</f>
        <v>496.90545454545452</v>
      </c>
    </row>
    <row r="2363" spans="1:10" x14ac:dyDescent="0.3">
      <c r="A2363" s="8">
        <v>37890</v>
      </c>
      <c r="B2363" t="str">
        <f>TEXT(Raw_Data!$A2363, "MMM")</f>
        <v>Sep</v>
      </c>
      <c r="C2363">
        <f>YEAR(Raw_Data!$A2363)</f>
        <v>2003</v>
      </c>
      <c r="D2363" t="s">
        <v>725</v>
      </c>
      <c r="E2363" t="s">
        <v>25</v>
      </c>
      <c r="F2363" t="s">
        <v>11</v>
      </c>
      <c r="G2363">
        <v>4</v>
      </c>
      <c r="H2363">
        <v>2679</v>
      </c>
      <c r="I2363" s="1">
        <v>738267</v>
      </c>
      <c r="J2363" s="1">
        <f>Raw_Data!$I2363/Raw_Data!$H2363</f>
        <v>275.57558790593504</v>
      </c>
    </row>
    <row r="2364" spans="1:10" x14ac:dyDescent="0.3">
      <c r="A2364" s="9">
        <v>37686</v>
      </c>
      <c r="B2364" s="2" t="str">
        <f>TEXT(Raw_Data!$A2364, "MMM")</f>
        <v>Mar</v>
      </c>
      <c r="C2364" s="2">
        <f>YEAR(Raw_Data!$A2364)</f>
        <v>2003</v>
      </c>
      <c r="D2364" s="2" t="s">
        <v>318</v>
      </c>
      <c r="E2364" s="2" t="s">
        <v>25</v>
      </c>
      <c r="F2364" s="2" t="s">
        <v>18</v>
      </c>
      <c r="G2364" s="2">
        <v>3</v>
      </c>
      <c r="H2364" s="2">
        <v>1099</v>
      </c>
      <c r="I2364" s="10">
        <v>482134</v>
      </c>
      <c r="J2364" s="10">
        <f>Raw_Data!$I2364/Raw_Data!$H2364</f>
        <v>438.70245677888988</v>
      </c>
    </row>
    <row r="2365" spans="1:10" x14ac:dyDescent="0.3">
      <c r="A2365" s="8">
        <v>38971</v>
      </c>
      <c r="B2365" t="str">
        <f>TEXT(Raw_Data!$A2365, "MMM")</f>
        <v>Sep</v>
      </c>
      <c r="C2365">
        <f>YEAR(Raw_Data!$A2365)</f>
        <v>2006</v>
      </c>
      <c r="D2365" t="s">
        <v>360</v>
      </c>
      <c r="E2365" t="s">
        <v>32</v>
      </c>
      <c r="F2365" t="s">
        <v>27</v>
      </c>
      <c r="G2365">
        <v>2</v>
      </c>
      <c r="H2365">
        <v>1324</v>
      </c>
      <c r="I2365" s="1">
        <v>380769</v>
      </c>
      <c r="J2365" s="1">
        <f>Raw_Data!$I2365/Raw_Data!$H2365</f>
        <v>287.58987915407857</v>
      </c>
    </row>
    <row r="2366" spans="1:10" x14ac:dyDescent="0.3">
      <c r="A2366" s="9">
        <v>38686</v>
      </c>
      <c r="B2366" s="2" t="str">
        <f>TEXT(Raw_Data!$A2366, "MMM")</f>
        <v>Nov</v>
      </c>
      <c r="C2366" s="2">
        <f>YEAR(Raw_Data!$A2366)</f>
        <v>2005</v>
      </c>
      <c r="D2366" s="2" t="s">
        <v>1144</v>
      </c>
      <c r="E2366" s="2" t="s">
        <v>29</v>
      </c>
      <c r="F2366" s="2" t="s">
        <v>27</v>
      </c>
      <c r="G2366" s="2">
        <v>2</v>
      </c>
      <c r="H2366" s="2">
        <v>2983</v>
      </c>
      <c r="I2366" s="10">
        <v>469541</v>
      </c>
      <c r="J2366" s="10">
        <f>Raw_Data!$I2366/Raw_Data!$H2366</f>
        <v>157.40563191418036</v>
      </c>
    </row>
    <row r="2367" spans="1:10" x14ac:dyDescent="0.3">
      <c r="A2367" s="8">
        <v>41006</v>
      </c>
      <c r="B2367" t="str">
        <f>TEXT(Raw_Data!$A2367, "MMM")</f>
        <v>Apr</v>
      </c>
      <c r="C2367">
        <f>YEAR(Raw_Data!$A2367)</f>
        <v>2012</v>
      </c>
      <c r="D2367" t="s">
        <v>1852</v>
      </c>
      <c r="E2367" t="s">
        <v>25</v>
      </c>
      <c r="F2367" t="s">
        <v>11</v>
      </c>
      <c r="G2367">
        <v>3</v>
      </c>
      <c r="H2367">
        <v>2638</v>
      </c>
      <c r="I2367" s="1">
        <v>793517</v>
      </c>
      <c r="J2367" s="1">
        <f>Raw_Data!$I2367/Raw_Data!$H2367</f>
        <v>300.80250189537526</v>
      </c>
    </row>
    <row r="2368" spans="1:10" x14ac:dyDescent="0.3">
      <c r="A2368" s="9">
        <v>41311</v>
      </c>
      <c r="B2368" s="2" t="str">
        <f>TEXT(Raw_Data!$A2368, "MMM")</f>
        <v>Feb</v>
      </c>
      <c r="C2368" s="2">
        <f>YEAR(Raw_Data!$A2368)</f>
        <v>2013</v>
      </c>
      <c r="D2368" s="2" t="s">
        <v>490</v>
      </c>
      <c r="E2368" s="2" t="s">
        <v>25</v>
      </c>
      <c r="F2368" s="2" t="s">
        <v>18</v>
      </c>
      <c r="G2368" s="2">
        <v>4</v>
      </c>
      <c r="H2368" s="2">
        <v>2576</v>
      </c>
      <c r="I2368" s="10">
        <v>519091</v>
      </c>
      <c r="J2368" s="10">
        <f>Raw_Data!$I2368/Raw_Data!$H2368</f>
        <v>201.51048136645963</v>
      </c>
    </row>
    <row r="2369" spans="1:10" x14ac:dyDescent="0.3">
      <c r="A2369" s="8">
        <v>40023</v>
      </c>
      <c r="B2369" t="str">
        <f>TEXT(Raw_Data!$A2369, "MMM")</f>
        <v>Jul</v>
      </c>
      <c r="C2369">
        <f>YEAR(Raw_Data!$A2369)</f>
        <v>2009</v>
      </c>
      <c r="D2369" t="s">
        <v>536</v>
      </c>
      <c r="E2369" t="s">
        <v>25</v>
      </c>
      <c r="F2369" t="s">
        <v>27</v>
      </c>
      <c r="G2369">
        <v>4</v>
      </c>
      <c r="H2369">
        <v>3216</v>
      </c>
      <c r="I2369" s="1">
        <v>300066</v>
      </c>
      <c r="J2369" s="1">
        <f>Raw_Data!$I2369/Raw_Data!$H2369</f>
        <v>93.304104477611943</v>
      </c>
    </row>
    <row r="2370" spans="1:10" x14ac:dyDescent="0.3">
      <c r="A2370" s="9">
        <v>40604</v>
      </c>
      <c r="B2370" s="2" t="str">
        <f>TEXT(Raw_Data!$A2370, "MMM")</f>
        <v>Mar</v>
      </c>
      <c r="C2370" s="2">
        <f>YEAR(Raw_Data!$A2370)</f>
        <v>2011</v>
      </c>
      <c r="D2370" s="2" t="s">
        <v>1853</v>
      </c>
      <c r="E2370" s="2" t="s">
        <v>13</v>
      </c>
      <c r="F2370" s="2" t="s">
        <v>16</v>
      </c>
      <c r="G2370" s="2"/>
      <c r="H2370" s="2">
        <v>2132</v>
      </c>
      <c r="I2370" s="10">
        <v>657132</v>
      </c>
      <c r="J2370" s="10">
        <f>Raw_Data!$I2370/Raw_Data!$H2370</f>
        <v>308.22326454033771</v>
      </c>
    </row>
    <row r="2371" spans="1:10" x14ac:dyDescent="0.3">
      <c r="A2371" s="8">
        <v>40245</v>
      </c>
      <c r="B2371" t="str">
        <f>TEXT(Raw_Data!$A2371, "MMM")</f>
        <v>Mar</v>
      </c>
      <c r="C2371">
        <f>YEAR(Raw_Data!$A2371)</f>
        <v>2010</v>
      </c>
      <c r="D2371" t="s">
        <v>750</v>
      </c>
      <c r="E2371" t="s">
        <v>32</v>
      </c>
      <c r="F2371" t="s">
        <v>11</v>
      </c>
      <c r="G2371">
        <v>2</v>
      </c>
      <c r="H2371">
        <v>2336</v>
      </c>
      <c r="I2371" s="1">
        <v>193374</v>
      </c>
      <c r="J2371" s="1">
        <f>Raw_Data!$I2371/Raw_Data!$H2371</f>
        <v>82.779965753424662</v>
      </c>
    </row>
    <row r="2372" spans="1:10" x14ac:dyDescent="0.3">
      <c r="A2372" s="9">
        <v>41613</v>
      </c>
      <c r="B2372" s="2" t="str">
        <f>TEXT(Raw_Data!$A2372, "MMM")</f>
        <v>Dec</v>
      </c>
      <c r="C2372" s="2">
        <f>YEAR(Raw_Data!$A2372)</f>
        <v>2013</v>
      </c>
      <c r="D2372" s="2" t="s">
        <v>1854</v>
      </c>
      <c r="E2372" s="2" t="s">
        <v>29</v>
      </c>
      <c r="F2372" s="2" t="s">
        <v>18</v>
      </c>
      <c r="G2372" s="2">
        <v>5</v>
      </c>
      <c r="H2372" s="2">
        <v>2854</v>
      </c>
      <c r="I2372" s="10">
        <v>770113</v>
      </c>
      <c r="J2372" s="10">
        <f>Raw_Data!$I2372/Raw_Data!$H2372</f>
        <v>269.8363700070077</v>
      </c>
    </row>
    <row r="2373" spans="1:10" x14ac:dyDescent="0.3">
      <c r="A2373" s="8">
        <v>43874</v>
      </c>
      <c r="B2373" t="str">
        <f>TEXT(Raw_Data!$A2373, "MMM")</f>
        <v>Feb</v>
      </c>
      <c r="C2373">
        <f>YEAR(Raw_Data!$A2373)</f>
        <v>2020</v>
      </c>
      <c r="D2373" t="s">
        <v>1855</v>
      </c>
      <c r="E2373" t="s">
        <v>32</v>
      </c>
      <c r="F2373" t="s">
        <v>11</v>
      </c>
      <c r="G2373">
        <v>2</v>
      </c>
      <c r="H2373">
        <v>2631</v>
      </c>
      <c r="I2373" s="1">
        <v>285046</v>
      </c>
      <c r="J2373" s="1">
        <f>Raw_Data!$I2373/Raw_Data!$H2373</f>
        <v>108.34131508931965</v>
      </c>
    </row>
    <row r="2374" spans="1:10" x14ac:dyDescent="0.3">
      <c r="A2374" s="9">
        <v>42608</v>
      </c>
      <c r="B2374" s="2" t="str">
        <f>TEXT(Raw_Data!$A2374, "MMM")</f>
        <v>Aug</v>
      </c>
      <c r="C2374" s="2">
        <f>YEAR(Raw_Data!$A2374)</f>
        <v>2016</v>
      </c>
      <c r="D2374" s="2" t="s">
        <v>1856</v>
      </c>
      <c r="E2374" s="2" t="s">
        <v>15</v>
      </c>
      <c r="F2374" s="2" t="s">
        <v>16</v>
      </c>
      <c r="G2374" s="2">
        <v>2</v>
      </c>
      <c r="H2374" s="2">
        <v>860</v>
      </c>
      <c r="I2374" s="10">
        <v>305478</v>
      </c>
      <c r="J2374" s="10">
        <f>Raw_Data!$I2374/Raw_Data!$H2374</f>
        <v>355.20697674418602</v>
      </c>
    </row>
    <row r="2375" spans="1:10" x14ac:dyDescent="0.3">
      <c r="A2375" s="8">
        <v>38055</v>
      </c>
      <c r="B2375" t="str">
        <f>TEXT(Raw_Data!$A2375, "MMM")</f>
        <v>Mar</v>
      </c>
      <c r="C2375">
        <f>YEAR(Raw_Data!$A2375)</f>
        <v>2004</v>
      </c>
      <c r="D2375" t="s">
        <v>1857</v>
      </c>
      <c r="E2375" t="s">
        <v>15</v>
      </c>
      <c r="F2375" t="s">
        <v>11</v>
      </c>
      <c r="G2375">
        <v>4</v>
      </c>
      <c r="H2375">
        <v>2550</v>
      </c>
      <c r="I2375" s="1">
        <v>350091</v>
      </c>
      <c r="J2375" s="1">
        <f>Raw_Data!$I2375/Raw_Data!$H2375</f>
        <v>137.29058823529411</v>
      </c>
    </row>
    <row r="2376" spans="1:10" x14ac:dyDescent="0.3">
      <c r="A2376" s="9">
        <v>40224</v>
      </c>
      <c r="B2376" s="2" t="str">
        <f>TEXT(Raw_Data!$A2376, "MMM")</f>
        <v>Feb</v>
      </c>
      <c r="C2376" s="2">
        <f>YEAR(Raw_Data!$A2376)</f>
        <v>2010</v>
      </c>
      <c r="D2376" s="2" t="s">
        <v>1858</v>
      </c>
      <c r="E2376" s="2" t="s">
        <v>15</v>
      </c>
      <c r="F2376" s="2" t="s">
        <v>18</v>
      </c>
      <c r="G2376" s="2">
        <v>3</v>
      </c>
      <c r="H2376" s="2">
        <v>2734</v>
      </c>
      <c r="I2376" s="10">
        <v>192591</v>
      </c>
      <c r="J2376" s="10">
        <f>Raw_Data!$I2376/Raw_Data!$H2376</f>
        <v>70.442940746159479</v>
      </c>
    </row>
    <row r="2377" spans="1:10" x14ac:dyDescent="0.3">
      <c r="A2377" s="8">
        <v>41357</v>
      </c>
      <c r="B2377" t="str">
        <f>TEXT(Raw_Data!$A2377, "MMM")</f>
        <v>Mar</v>
      </c>
      <c r="C2377">
        <f>YEAR(Raw_Data!$A2377)</f>
        <v>2013</v>
      </c>
      <c r="D2377" t="s">
        <v>1859</v>
      </c>
      <c r="E2377" t="s">
        <v>21</v>
      </c>
      <c r="F2377" t="s">
        <v>11</v>
      </c>
      <c r="H2377">
        <v>1566</v>
      </c>
      <c r="I2377" s="1">
        <v>750125</v>
      </c>
      <c r="J2377" s="1">
        <f>Raw_Data!$I2377/Raw_Data!$H2377</f>
        <v>479.00702426564493</v>
      </c>
    </row>
    <row r="2378" spans="1:10" x14ac:dyDescent="0.3">
      <c r="A2378" s="9">
        <v>37111</v>
      </c>
      <c r="B2378" s="2" t="str">
        <f>TEXT(Raw_Data!$A2378, "MMM")</f>
        <v>Aug</v>
      </c>
      <c r="C2378" s="2">
        <f>YEAR(Raw_Data!$A2378)</f>
        <v>2001</v>
      </c>
      <c r="D2378" s="2" t="s">
        <v>1838</v>
      </c>
      <c r="E2378" s="2" t="s">
        <v>29</v>
      </c>
      <c r="F2378" s="2" t="s">
        <v>27</v>
      </c>
      <c r="G2378" s="2">
        <v>4</v>
      </c>
      <c r="H2378" s="2">
        <v>2721</v>
      </c>
      <c r="I2378" s="10">
        <v>514136</v>
      </c>
      <c r="J2378" s="10">
        <f>Raw_Data!$I2378/Raw_Data!$H2378</f>
        <v>188.95112091142963</v>
      </c>
    </row>
    <row r="2379" spans="1:10" x14ac:dyDescent="0.3">
      <c r="A2379" s="8">
        <v>42551</v>
      </c>
      <c r="B2379" t="str">
        <f>TEXT(Raw_Data!$A2379, "MMM")</f>
        <v>Jun</v>
      </c>
      <c r="C2379">
        <f>YEAR(Raw_Data!$A2379)</f>
        <v>2016</v>
      </c>
      <c r="D2379" t="s">
        <v>39</v>
      </c>
      <c r="E2379" t="s">
        <v>25</v>
      </c>
      <c r="F2379" t="s">
        <v>16</v>
      </c>
      <c r="G2379">
        <v>4</v>
      </c>
      <c r="H2379">
        <v>1475</v>
      </c>
      <c r="I2379" s="1">
        <v>567490</v>
      </c>
      <c r="J2379" s="1">
        <f>Raw_Data!$I2379/Raw_Data!$H2379</f>
        <v>384.73898305084748</v>
      </c>
    </row>
    <row r="2380" spans="1:10" x14ac:dyDescent="0.3">
      <c r="A2380" s="9">
        <v>41643</v>
      </c>
      <c r="B2380" s="2" t="str">
        <f>TEXT(Raw_Data!$A2380, "MMM")</f>
        <v>Jan</v>
      </c>
      <c r="C2380" s="2">
        <f>YEAR(Raw_Data!$A2380)</f>
        <v>2014</v>
      </c>
      <c r="D2380" s="2" t="s">
        <v>387</v>
      </c>
      <c r="E2380" s="2" t="s">
        <v>32</v>
      </c>
      <c r="F2380" s="2" t="s">
        <v>11</v>
      </c>
      <c r="G2380" s="2">
        <v>2</v>
      </c>
      <c r="H2380" s="2">
        <v>2963</v>
      </c>
      <c r="I2380" s="10">
        <v>216405</v>
      </c>
      <c r="J2380" s="10">
        <f>Raw_Data!$I2380/Raw_Data!$H2380</f>
        <v>73.035774552818083</v>
      </c>
    </row>
    <row r="2381" spans="1:10" x14ac:dyDescent="0.3">
      <c r="A2381" s="8">
        <v>38353</v>
      </c>
      <c r="B2381" t="str">
        <f>TEXT(Raw_Data!$A2381, "MMM")</f>
        <v>Jan</v>
      </c>
      <c r="C2381">
        <f>YEAR(Raw_Data!$A2381)</f>
        <v>2005</v>
      </c>
      <c r="D2381" t="s">
        <v>1860</v>
      </c>
      <c r="E2381" t="s">
        <v>21</v>
      </c>
      <c r="F2381" t="s">
        <v>11</v>
      </c>
      <c r="G2381">
        <v>2</v>
      </c>
      <c r="H2381">
        <v>3284</v>
      </c>
      <c r="I2381" s="1">
        <v>423821</v>
      </c>
      <c r="J2381" s="1">
        <f>Raw_Data!$I2381/Raw_Data!$H2381</f>
        <v>129.05633373934228</v>
      </c>
    </row>
    <row r="2382" spans="1:10" x14ac:dyDescent="0.3">
      <c r="A2382" s="9">
        <v>36973</v>
      </c>
      <c r="B2382" s="2" t="str">
        <f>TEXT(Raw_Data!$A2382, "MMM")</f>
        <v>Mar</v>
      </c>
      <c r="C2382" s="2">
        <f>YEAR(Raw_Data!$A2382)</f>
        <v>2001</v>
      </c>
      <c r="D2382" s="2" t="s">
        <v>1577</v>
      </c>
      <c r="E2382" s="2" t="s">
        <v>13</v>
      </c>
      <c r="F2382" s="2" t="s">
        <v>16</v>
      </c>
      <c r="G2382" s="2"/>
      <c r="H2382" s="2">
        <v>2706</v>
      </c>
      <c r="I2382" s="10">
        <v>697714</v>
      </c>
      <c r="J2382" s="10">
        <f>Raw_Data!$I2382/Raw_Data!$H2382</f>
        <v>257.83961566888394</v>
      </c>
    </row>
    <row r="2383" spans="1:10" x14ac:dyDescent="0.3">
      <c r="A2383" s="8">
        <v>42774</v>
      </c>
      <c r="B2383" t="str">
        <f>TEXT(Raw_Data!$A2383, "MMM")</f>
        <v>Feb</v>
      </c>
      <c r="C2383">
        <f>YEAR(Raw_Data!$A2383)</f>
        <v>2017</v>
      </c>
      <c r="D2383" t="s">
        <v>1861</v>
      </c>
      <c r="E2383" t="s">
        <v>15</v>
      </c>
      <c r="F2383" t="s">
        <v>27</v>
      </c>
      <c r="G2383">
        <v>5</v>
      </c>
      <c r="H2383">
        <v>1075</v>
      </c>
      <c r="I2383" s="1">
        <v>435118</v>
      </c>
      <c r="J2383" s="1">
        <f>Raw_Data!$I2383/Raw_Data!$H2383</f>
        <v>404.76093023255817</v>
      </c>
    </row>
    <row r="2384" spans="1:10" x14ac:dyDescent="0.3">
      <c r="A2384" s="9">
        <v>40492</v>
      </c>
      <c r="B2384" s="2" t="str">
        <f>TEXT(Raw_Data!$A2384, "MMM")</f>
        <v>Nov</v>
      </c>
      <c r="C2384" s="2">
        <f>YEAR(Raw_Data!$A2384)</f>
        <v>2010</v>
      </c>
      <c r="D2384" s="2" t="s">
        <v>1495</v>
      </c>
      <c r="E2384" s="2" t="s">
        <v>15</v>
      </c>
      <c r="F2384" s="2" t="s">
        <v>18</v>
      </c>
      <c r="G2384" s="2"/>
      <c r="H2384" s="2">
        <v>2382</v>
      </c>
      <c r="I2384" s="10">
        <v>104225</v>
      </c>
      <c r="J2384" s="10">
        <f>Raw_Data!$I2384/Raw_Data!$H2384</f>
        <v>43.755247691015953</v>
      </c>
    </row>
    <row r="2385" spans="1:10" x14ac:dyDescent="0.3">
      <c r="A2385" s="8">
        <v>43514</v>
      </c>
      <c r="B2385" t="str">
        <f>TEXT(Raw_Data!$A2385, "MMM")</f>
        <v>Feb</v>
      </c>
      <c r="C2385">
        <f>YEAR(Raw_Data!$A2385)</f>
        <v>2019</v>
      </c>
      <c r="D2385" t="s">
        <v>1345</v>
      </c>
      <c r="E2385" t="s">
        <v>21</v>
      </c>
      <c r="F2385" t="s">
        <v>11</v>
      </c>
      <c r="G2385">
        <v>2</v>
      </c>
      <c r="H2385">
        <v>2645</v>
      </c>
      <c r="I2385" s="1">
        <v>430006</v>
      </c>
      <c r="J2385" s="1">
        <f>Raw_Data!$I2385/Raw_Data!$H2385</f>
        <v>162.57315689981095</v>
      </c>
    </row>
    <row r="2386" spans="1:10" x14ac:dyDescent="0.3">
      <c r="A2386" s="9">
        <v>41364</v>
      </c>
      <c r="B2386" s="2" t="str">
        <f>TEXT(Raw_Data!$A2386, "MMM")</f>
        <v>Mar</v>
      </c>
      <c r="C2386" s="2">
        <f>YEAR(Raw_Data!$A2386)</f>
        <v>2013</v>
      </c>
      <c r="D2386" s="2" t="s">
        <v>406</v>
      </c>
      <c r="E2386" s="2" t="s">
        <v>25</v>
      </c>
      <c r="F2386" s="2" t="s">
        <v>27</v>
      </c>
      <c r="G2386" s="2"/>
      <c r="H2386" s="2">
        <v>1007</v>
      </c>
      <c r="I2386" s="10">
        <v>145595</v>
      </c>
      <c r="J2386" s="10">
        <f>Raw_Data!$I2386/Raw_Data!$H2386</f>
        <v>144.5829195630586</v>
      </c>
    </row>
    <row r="2387" spans="1:10" x14ac:dyDescent="0.3">
      <c r="A2387" s="8">
        <v>41141</v>
      </c>
      <c r="B2387" t="str">
        <f>TEXT(Raw_Data!$A2387, "MMM")</f>
        <v>Aug</v>
      </c>
      <c r="C2387">
        <f>YEAR(Raw_Data!$A2387)</f>
        <v>2012</v>
      </c>
      <c r="D2387" t="s">
        <v>1862</v>
      </c>
      <c r="E2387" t="s">
        <v>32</v>
      </c>
      <c r="F2387" t="s">
        <v>11</v>
      </c>
      <c r="G2387">
        <v>4</v>
      </c>
      <c r="H2387">
        <v>1647</v>
      </c>
      <c r="I2387" s="1">
        <v>678154</v>
      </c>
      <c r="J2387" s="1">
        <f>Raw_Data!$I2387/Raw_Data!$H2387</f>
        <v>411.7510625379478</v>
      </c>
    </row>
    <row r="2388" spans="1:10" x14ac:dyDescent="0.3">
      <c r="A2388" s="9">
        <v>43748</v>
      </c>
      <c r="B2388" s="2" t="str">
        <f>TEXT(Raw_Data!$A2388, "MMM")</f>
        <v>Oct</v>
      </c>
      <c r="C2388" s="2">
        <f>YEAR(Raw_Data!$A2388)</f>
        <v>2019</v>
      </c>
      <c r="D2388" s="2" t="s">
        <v>1863</v>
      </c>
      <c r="E2388" s="2" t="s">
        <v>15</v>
      </c>
      <c r="F2388" s="2" t="s">
        <v>27</v>
      </c>
      <c r="G2388" s="2">
        <v>5</v>
      </c>
      <c r="H2388" s="2">
        <v>1835</v>
      </c>
      <c r="I2388" s="10">
        <v>857933</v>
      </c>
      <c r="J2388" s="10">
        <f>Raw_Data!$I2388/Raw_Data!$H2388</f>
        <v>467.53841961852862</v>
      </c>
    </row>
    <row r="2389" spans="1:10" x14ac:dyDescent="0.3">
      <c r="A2389" s="8">
        <v>42223</v>
      </c>
      <c r="B2389" t="str">
        <f>TEXT(Raw_Data!$A2389, "MMM")</f>
        <v>Aug</v>
      </c>
      <c r="C2389">
        <f>YEAR(Raw_Data!$A2389)</f>
        <v>2015</v>
      </c>
      <c r="D2389" t="s">
        <v>861</v>
      </c>
      <c r="E2389" t="s">
        <v>15</v>
      </c>
      <c r="F2389" t="s">
        <v>16</v>
      </c>
      <c r="G2389">
        <v>2</v>
      </c>
      <c r="H2389">
        <v>3212</v>
      </c>
      <c r="I2389" s="1">
        <v>488067</v>
      </c>
      <c r="J2389" s="1">
        <f>Raw_Data!$I2389/Raw_Data!$H2389</f>
        <v>151.95112079701121</v>
      </c>
    </row>
    <row r="2390" spans="1:10" x14ac:dyDescent="0.3">
      <c r="A2390" s="9">
        <v>40004</v>
      </c>
      <c r="B2390" s="2" t="str">
        <f>TEXT(Raw_Data!$A2390, "MMM")</f>
        <v>Jul</v>
      </c>
      <c r="C2390" s="2">
        <f>YEAR(Raw_Data!$A2390)</f>
        <v>2009</v>
      </c>
      <c r="D2390" s="2" t="s">
        <v>1864</v>
      </c>
      <c r="E2390" s="2" t="s">
        <v>32</v>
      </c>
      <c r="F2390" s="2" t="s">
        <v>18</v>
      </c>
      <c r="G2390" s="2">
        <v>5</v>
      </c>
      <c r="H2390" s="2">
        <v>1196</v>
      </c>
      <c r="I2390" s="10">
        <v>566110</v>
      </c>
      <c r="J2390" s="10">
        <f>Raw_Data!$I2390/Raw_Data!$H2390</f>
        <v>473.33612040133778</v>
      </c>
    </row>
    <row r="2391" spans="1:10" x14ac:dyDescent="0.3">
      <c r="A2391" s="8">
        <v>43288</v>
      </c>
      <c r="B2391" t="str">
        <f>TEXT(Raw_Data!$A2391, "MMM")</f>
        <v>Jul</v>
      </c>
      <c r="C2391">
        <f>YEAR(Raw_Data!$A2391)</f>
        <v>2018</v>
      </c>
      <c r="D2391" t="s">
        <v>1865</v>
      </c>
      <c r="E2391" t="s">
        <v>15</v>
      </c>
      <c r="F2391" t="s">
        <v>18</v>
      </c>
      <c r="H2391">
        <v>2825</v>
      </c>
      <c r="I2391" s="1">
        <v>715497</v>
      </c>
      <c r="J2391" s="1">
        <f>Raw_Data!$I2391/Raw_Data!$H2391</f>
        <v>253.27327433628318</v>
      </c>
    </row>
    <row r="2392" spans="1:10" x14ac:dyDescent="0.3">
      <c r="A2392" s="9">
        <v>42688</v>
      </c>
      <c r="B2392" s="2" t="str">
        <f>TEXT(Raw_Data!$A2392, "MMM")</f>
        <v>Nov</v>
      </c>
      <c r="C2392" s="2">
        <f>YEAR(Raw_Data!$A2392)</f>
        <v>2016</v>
      </c>
      <c r="D2392" s="2" t="s">
        <v>1818</v>
      </c>
      <c r="E2392" s="2" t="s">
        <v>15</v>
      </c>
      <c r="F2392" s="2" t="s">
        <v>27</v>
      </c>
      <c r="G2392" s="2">
        <v>4</v>
      </c>
      <c r="H2392" s="2">
        <v>881</v>
      </c>
      <c r="I2392" s="10">
        <v>634350</v>
      </c>
      <c r="J2392" s="10">
        <f>Raw_Data!$I2392/Raw_Data!$H2392</f>
        <v>720.03405221339392</v>
      </c>
    </row>
    <row r="2393" spans="1:10" x14ac:dyDescent="0.3">
      <c r="A2393" s="8">
        <v>39014</v>
      </c>
      <c r="B2393" t="str">
        <f>TEXT(Raw_Data!$A2393, "MMM")</f>
        <v>Oct</v>
      </c>
      <c r="C2393">
        <f>YEAR(Raw_Data!$A2393)</f>
        <v>2006</v>
      </c>
      <c r="D2393" t="s">
        <v>1254</v>
      </c>
      <c r="E2393" t="s">
        <v>32</v>
      </c>
      <c r="F2393" t="s">
        <v>11</v>
      </c>
      <c r="H2393">
        <v>2015</v>
      </c>
      <c r="I2393" s="1">
        <v>552479</v>
      </c>
      <c r="J2393" s="1">
        <f>Raw_Data!$I2393/Raw_Data!$H2393</f>
        <v>274.18312655086851</v>
      </c>
    </row>
    <row r="2394" spans="1:10" x14ac:dyDescent="0.3">
      <c r="A2394" s="9">
        <v>43541</v>
      </c>
      <c r="B2394" s="2" t="str">
        <f>TEXT(Raw_Data!$A2394, "MMM")</f>
        <v>Mar</v>
      </c>
      <c r="C2394" s="2">
        <f>YEAR(Raw_Data!$A2394)</f>
        <v>2019</v>
      </c>
      <c r="D2394" s="2" t="s">
        <v>1356</v>
      </c>
      <c r="E2394" s="2" t="s">
        <v>23</v>
      </c>
      <c r="F2394" s="2" t="s">
        <v>27</v>
      </c>
      <c r="G2394" s="2">
        <v>4</v>
      </c>
      <c r="H2394" s="2">
        <v>2336</v>
      </c>
      <c r="I2394" s="10">
        <v>267537</v>
      </c>
      <c r="J2394" s="10">
        <f>Raw_Data!$I2394/Raw_Data!$H2394</f>
        <v>114.52782534246575</v>
      </c>
    </row>
    <row r="2395" spans="1:10" x14ac:dyDescent="0.3">
      <c r="A2395" s="8">
        <v>36962</v>
      </c>
      <c r="B2395" t="str">
        <f>TEXT(Raw_Data!$A2395, "MMM")</f>
        <v>Mar</v>
      </c>
      <c r="C2395">
        <f>YEAR(Raw_Data!$A2395)</f>
        <v>2001</v>
      </c>
      <c r="D2395" t="s">
        <v>569</v>
      </c>
      <c r="E2395" t="s">
        <v>23</v>
      </c>
      <c r="F2395" t="s">
        <v>27</v>
      </c>
      <c r="G2395">
        <v>5</v>
      </c>
      <c r="H2395">
        <v>3092</v>
      </c>
      <c r="I2395" s="1">
        <v>857201</v>
      </c>
      <c r="J2395" s="1">
        <f>Raw_Data!$I2395/Raw_Data!$H2395</f>
        <v>277.23188874514875</v>
      </c>
    </row>
    <row r="2396" spans="1:10" x14ac:dyDescent="0.3">
      <c r="A2396" s="9">
        <v>41026</v>
      </c>
      <c r="B2396" s="2" t="str">
        <f>TEXT(Raw_Data!$A2396, "MMM")</f>
        <v>Apr</v>
      </c>
      <c r="C2396" s="2">
        <f>YEAR(Raw_Data!$A2396)</f>
        <v>2012</v>
      </c>
      <c r="D2396" s="2" t="s">
        <v>1260</v>
      </c>
      <c r="E2396" s="2" t="s">
        <v>32</v>
      </c>
      <c r="F2396" s="2" t="s">
        <v>18</v>
      </c>
      <c r="G2396" s="2">
        <v>5</v>
      </c>
      <c r="H2396" s="2">
        <v>2194</v>
      </c>
      <c r="I2396" s="10">
        <v>118270</v>
      </c>
      <c r="J2396" s="10">
        <f>Raw_Data!$I2396/Raw_Data!$H2396</f>
        <v>53.906107566089332</v>
      </c>
    </row>
    <row r="2397" spans="1:10" x14ac:dyDescent="0.3">
      <c r="A2397" s="8">
        <v>38138</v>
      </c>
      <c r="B2397" t="str">
        <f>TEXT(Raw_Data!$A2397, "MMM")</f>
        <v>May</v>
      </c>
      <c r="C2397">
        <f>YEAR(Raw_Data!$A2397)</f>
        <v>2004</v>
      </c>
      <c r="D2397" t="s">
        <v>326</v>
      </c>
      <c r="E2397" t="s">
        <v>13</v>
      </c>
      <c r="F2397" t="s">
        <v>27</v>
      </c>
      <c r="G2397">
        <v>5</v>
      </c>
      <c r="H2397">
        <v>2538</v>
      </c>
      <c r="I2397" s="1">
        <v>677776</v>
      </c>
      <c r="J2397" s="1">
        <f>Raw_Data!$I2397/Raw_Data!$H2397</f>
        <v>267.05122143420016</v>
      </c>
    </row>
    <row r="2398" spans="1:10" x14ac:dyDescent="0.3">
      <c r="A2398" s="9">
        <v>42724</v>
      </c>
      <c r="B2398" s="2" t="str">
        <f>TEXT(Raw_Data!$A2398, "MMM")</f>
        <v>Dec</v>
      </c>
      <c r="C2398" s="2">
        <f>YEAR(Raw_Data!$A2398)</f>
        <v>2016</v>
      </c>
      <c r="D2398" s="2" t="s">
        <v>1866</v>
      </c>
      <c r="E2398" s="2" t="s">
        <v>32</v>
      </c>
      <c r="F2398" s="2" t="s">
        <v>16</v>
      </c>
      <c r="G2398" s="2">
        <v>5</v>
      </c>
      <c r="H2398" s="2">
        <v>3123</v>
      </c>
      <c r="I2398" s="10">
        <v>176700</v>
      </c>
      <c r="J2398" s="10">
        <f>Raw_Data!$I2398/Raw_Data!$H2398</f>
        <v>56.58021133525456</v>
      </c>
    </row>
    <row r="2399" spans="1:10" x14ac:dyDescent="0.3">
      <c r="A2399" s="8">
        <v>42294</v>
      </c>
      <c r="B2399" t="str">
        <f>TEXT(Raw_Data!$A2399, "MMM")</f>
        <v>Oct</v>
      </c>
      <c r="C2399">
        <f>YEAR(Raw_Data!$A2399)</f>
        <v>2015</v>
      </c>
      <c r="D2399" t="s">
        <v>1867</v>
      </c>
      <c r="E2399" t="s">
        <v>32</v>
      </c>
      <c r="F2399" t="s">
        <v>16</v>
      </c>
      <c r="G2399">
        <v>3</v>
      </c>
      <c r="H2399">
        <v>1888</v>
      </c>
      <c r="I2399" s="1">
        <v>370642</v>
      </c>
      <c r="J2399" s="1">
        <f>Raw_Data!$I2399/Raw_Data!$H2399</f>
        <v>196.31461864406779</v>
      </c>
    </row>
    <row r="2400" spans="1:10" x14ac:dyDescent="0.3">
      <c r="A2400" s="9">
        <v>39153</v>
      </c>
      <c r="B2400" s="2" t="str">
        <f>TEXT(Raw_Data!$A2400, "MMM")</f>
        <v>Mar</v>
      </c>
      <c r="C2400" s="2">
        <f>YEAR(Raw_Data!$A2400)</f>
        <v>2007</v>
      </c>
      <c r="D2400" s="2" t="s">
        <v>530</v>
      </c>
      <c r="E2400" s="2" t="s">
        <v>15</v>
      </c>
      <c r="F2400" s="2" t="s">
        <v>27</v>
      </c>
      <c r="G2400" s="2"/>
      <c r="H2400" s="2">
        <v>1674</v>
      </c>
      <c r="I2400" s="10">
        <v>482966</v>
      </c>
      <c r="J2400" s="10">
        <f>Raw_Data!$I2400/Raw_Data!$H2400</f>
        <v>288.51015531660693</v>
      </c>
    </row>
    <row r="2401" spans="1:10" x14ac:dyDescent="0.3">
      <c r="A2401" s="8">
        <v>41862</v>
      </c>
      <c r="B2401" t="str">
        <f>TEXT(Raw_Data!$A2401, "MMM")</f>
        <v>Aug</v>
      </c>
      <c r="C2401">
        <f>YEAR(Raw_Data!$A2401)</f>
        <v>2014</v>
      </c>
      <c r="D2401" t="s">
        <v>1556</v>
      </c>
      <c r="E2401" t="s">
        <v>32</v>
      </c>
      <c r="F2401" t="s">
        <v>27</v>
      </c>
      <c r="G2401">
        <v>4</v>
      </c>
      <c r="H2401">
        <v>2485</v>
      </c>
      <c r="I2401" s="1">
        <v>790126</v>
      </c>
      <c r="J2401" s="1">
        <f>Raw_Data!$I2401/Raw_Data!$H2401</f>
        <v>317.95814889336015</v>
      </c>
    </row>
    <row r="2402" spans="1:10" x14ac:dyDescent="0.3">
      <c r="A2402" s="9">
        <v>43732</v>
      </c>
      <c r="B2402" s="2" t="str">
        <f>TEXT(Raw_Data!$A2402, "MMM")</f>
        <v>Sep</v>
      </c>
      <c r="C2402" s="2">
        <f>YEAR(Raw_Data!$A2402)</f>
        <v>2019</v>
      </c>
      <c r="D2402" s="2" t="s">
        <v>1868</v>
      </c>
      <c r="E2402" s="2" t="s">
        <v>23</v>
      </c>
      <c r="F2402" s="2" t="s">
        <v>11</v>
      </c>
      <c r="G2402" s="2">
        <v>2</v>
      </c>
      <c r="H2402" s="2">
        <v>2377</v>
      </c>
      <c r="I2402" s="10">
        <v>392332</v>
      </c>
      <c r="J2402" s="10">
        <f>Raw_Data!$I2402/Raw_Data!$H2402</f>
        <v>165.05342869162811</v>
      </c>
    </row>
    <row r="2403" spans="1:10" x14ac:dyDescent="0.3">
      <c r="A2403" s="8">
        <v>38453</v>
      </c>
      <c r="B2403" t="str">
        <f>TEXT(Raw_Data!$A2403, "MMM")</f>
        <v>Apr</v>
      </c>
      <c r="C2403">
        <f>YEAR(Raw_Data!$A2403)</f>
        <v>2005</v>
      </c>
      <c r="D2403" t="s">
        <v>436</v>
      </c>
      <c r="E2403" t="s">
        <v>32</v>
      </c>
      <c r="F2403" t="s">
        <v>16</v>
      </c>
      <c r="G2403">
        <v>2</v>
      </c>
      <c r="H2403">
        <v>1194</v>
      </c>
      <c r="I2403" s="1">
        <v>179617</v>
      </c>
      <c r="J2403" s="1">
        <f>Raw_Data!$I2403/Raw_Data!$H2403</f>
        <v>150.43299832495813</v>
      </c>
    </row>
    <row r="2404" spans="1:10" x14ac:dyDescent="0.3">
      <c r="A2404" s="9">
        <v>40598</v>
      </c>
      <c r="B2404" s="2" t="str">
        <f>TEXT(Raw_Data!$A2404, "MMM")</f>
        <v>Feb</v>
      </c>
      <c r="C2404" s="2">
        <f>YEAR(Raw_Data!$A2404)</f>
        <v>2011</v>
      </c>
      <c r="D2404" s="2" t="s">
        <v>1869</v>
      </c>
      <c r="E2404" s="2" t="s">
        <v>32</v>
      </c>
      <c r="F2404" s="2" t="s">
        <v>16</v>
      </c>
      <c r="G2404" s="2">
        <v>5</v>
      </c>
      <c r="H2404" s="2">
        <v>2043</v>
      </c>
      <c r="I2404" s="10">
        <v>341728</v>
      </c>
      <c r="J2404" s="10">
        <f>Raw_Data!$I2404/Raw_Data!$H2404</f>
        <v>167.26774351443956</v>
      </c>
    </row>
    <row r="2405" spans="1:10" x14ac:dyDescent="0.3">
      <c r="A2405" s="8">
        <v>39974</v>
      </c>
      <c r="B2405" t="str">
        <f>TEXT(Raw_Data!$A2405, "MMM")</f>
        <v>Jun</v>
      </c>
      <c r="C2405">
        <f>YEAR(Raw_Data!$A2405)</f>
        <v>2009</v>
      </c>
      <c r="D2405" t="s">
        <v>1870</v>
      </c>
      <c r="E2405" t="s">
        <v>32</v>
      </c>
      <c r="F2405" t="s">
        <v>27</v>
      </c>
      <c r="G2405">
        <v>4</v>
      </c>
      <c r="H2405">
        <v>3027</v>
      </c>
      <c r="I2405" s="1">
        <v>825170</v>
      </c>
      <c r="J2405" s="1">
        <f>Raw_Data!$I2405/Raw_Data!$H2405</f>
        <v>272.6032375289065</v>
      </c>
    </row>
    <row r="2406" spans="1:10" x14ac:dyDescent="0.3">
      <c r="A2406" s="9">
        <v>37535</v>
      </c>
      <c r="B2406" s="2" t="str">
        <f>TEXT(Raw_Data!$A2406, "MMM")</f>
        <v>Oct</v>
      </c>
      <c r="C2406" s="2">
        <f>YEAR(Raw_Data!$A2406)</f>
        <v>2002</v>
      </c>
      <c r="D2406" s="2" t="s">
        <v>474</v>
      </c>
      <c r="E2406" s="2" t="s">
        <v>13</v>
      </c>
      <c r="F2406" s="2" t="s">
        <v>27</v>
      </c>
      <c r="G2406" s="2">
        <v>5</v>
      </c>
      <c r="H2406" s="2">
        <v>1987</v>
      </c>
      <c r="I2406" s="10">
        <v>809094</v>
      </c>
      <c r="J2406" s="10">
        <f>Raw_Data!$I2406/Raw_Data!$H2406</f>
        <v>407.19375943633617</v>
      </c>
    </row>
    <row r="2407" spans="1:10" x14ac:dyDescent="0.3">
      <c r="A2407" s="8">
        <v>39495</v>
      </c>
      <c r="B2407" t="str">
        <f>TEXT(Raw_Data!$A2407, "MMM")</f>
        <v>Feb</v>
      </c>
      <c r="C2407">
        <f>YEAR(Raw_Data!$A2407)</f>
        <v>2008</v>
      </c>
      <c r="D2407" t="s">
        <v>1840</v>
      </c>
      <c r="E2407" t="s">
        <v>32</v>
      </c>
      <c r="F2407" t="s">
        <v>16</v>
      </c>
      <c r="G2407">
        <v>4</v>
      </c>
      <c r="H2407">
        <v>2075</v>
      </c>
      <c r="I2407" s="1">
        <v>666106</v>
      </c>
      <c r="J2407" s="1">
        <f>Raw_Data!$I2407/Raw_Data!$H2407</f>
        <v>321.01493975903617</v>
      </c>
    </row>
    <row r="2408" spans="1:10" x14ac:dyDescent="0.3">
      <c r="A2408" s="9">
        <v>38879</v>
      </c>
      <c r="B2408" s="2" t="str">
        <f>TEXT(Raw_Data!$A2408, "MMM")</f>
        <v>Jun</v>
      </c>
      <c r="C2408" s="2">
        <f>YEAR(Raw_Data!$A2408)</f>
        <v>2006</v>
      </c>
      <c r="D2408" s="2" t="s">
        <v>1804</v>
      </c>
      <c r="E2408" s="2" t="s">
        <v>15</v>
      </c>
      <c r="F2408" s="2" t="s">
        <v>18</v>
      </c>
      <c r="G2408" s="2"/>
      <c r="H2408" s="2">
        <v>1013</v>
      </c>
      <c r="I2408" s="10">
        <v>358797</v>
      </c>
      <c r="J2408" s="10">
        <f>Raw_Data!$I2408/Raw_Data!$H2408</f>
        <v>354.19249753208294</v>
      </c>
    </row>
    <row r="2409" spans="1:10" x14ac:dyDescent="0.3">
      <c r="A2409" s="8">
        <v>43928</v>
      </c>
      <c r="B2409" t="str">
        <f>TEXT(Raw_Data!$A2409, "MMM")</f>
        <v>Apr</v>
      </c>
      <c r="C2409">
        <f>YEAR(Raw_Data!$A2409)</f>
        <v>2020</v>
      </c>
      <c r="D2409" t="s">
        <v>1088</v>
      </c>
      <c r="E2409" t="s">
        <v>15</v>
      </c>
      <c r="F2409" t="s">
        <v>16</v>
      </c>
      <c r="G2409">
        <v>4</v>
      </c>
      <c r="H2409">
        <v>1852</v>
      </c>
      <c r="I2409" s="1">
        <v>178840</v>
      </c>
      <c r="J2409" s="1">
        <f>Raw_Data!$I2409/Raw_Data!$H2409</f>
        <v>96.565874730021605</v>
      </c>
    </row>
    <row r="2410" spans="1:10" x14ac:dyDescent="0.3">
      <c r="A2410" s="9">
        <v>39040</v>
      </c>
      <c r="B2410" s="2" t="str">
        <f>TEXT(Raw_Data!$A2410, "MMM")</f>
        <v>Nov</v>
      </c>
      <c r="C2410" s="2">
        <f>YEAR(Raw_Data!$A2410)</f>
        <v>2006</v>
      </c>
      <c r="D2410" s="2" t="s">
        <v>1871</v>
      </c>
      <c r="E2410" s="2" t="s">
        <v>13</v>
      </c>
      <c r="F2410" s="2" t="s">
        <v>11</v>
      </c>
      <c r="G2410" s="2"/>
      <c r="H2410" s="2">
        <v>834</v>
      </c>
      <c r="I2410" s="10">
        <v>402935</v>
      </c>
      <c r="J2410" s="10">
        <f>Raw_Data!$I2410/Raw_Data!$H2410</f>
        <v>483.13549160671465</v>
      </c>
    </row>
    <row r="2411" spans="1:10" x14ac:dyDescent="0.3">
      <c r="A2411" s="8">
        <v>39378</v>
      </c>
      <c r="B2411" t="str">
        <f>TEXT(Raw_Data!$A2411, "MMM")</f>
        <v>Oct</v>
      </c>
      <c r="C2411">
        <f>YEAR(Raw_Data!$A2411)</f>
        <v>2007</v>
      </c>
      <c r="D2411" t="s">
        <v>1872</v>
      </c>
      <c r="E2411" t="s">
        <v>25</v>
      </c>
      <c r="F2411" t="s">
        <v>11</v>
      </c>
      <c r="G2411">
        <v>3</v>
      </c>
      <c r="H2411">
        <v>3239</v>
      </c>
      <c r="I2411" s="1">
        <v>659094</v>
      </c>
      <c r="J2411" s="1">
        <f>Raw_Data!$I2411/Raw_Data!$H2411</f>
        <v>203.48687866625502</v>
      </c>
    </row>
    <row r="2412" spans="1:10" x14ac:dyDescent="0.3">
      <c r="A2412" s="9">
        <v>42947</v>
      </c>
      <c r="B2412" s="2" t="str">
        <f>TEXT(Raw_Data!$A2412, "MMM")</f>
        <v>Jul</v>
      </c>
      <c r="C2412" s="2">
        <f>YEAR(Raw_Data!$A2412)</f>
        <v>2017</v>
      </c>
      <c r="D2412" s="2" t="s">
        <v>1873</v>
      </c>
      <c r="E2412" s="2" t="s">
        <v>32</v>
      </c>
      <c r="F2412" s="2" t="s">
        <v>16</v>
      </c>
      <c r="G2412" s="2">
        <v>3</v>
      </c>
      <c r="H2412" s="2">
        <v>1994</v>
      </c>
      <c r="I2412" s="10">
        <v>827570</v>
      </c>
      <c r="J2412" s="10">
        <f>Raw_Data!$I2412/Raw_Data!$H2412</f>
        <v>415.03009027081242</v>
      </c>
    </row>
    <row r="2413" spans="1:10" x14ac:dyDescent="0.3">
      <c r="A2413" s="8">
        <v>43604</v>
      </c>
      <c r="B2413" t="str">
        <f>TEXT(Raw_Data!$A2413, "MMM")</f>
        <v>May</v>
      </c>
      <c r="C2413">
        <f>YEAR(Raw_Data!$A2413)</f>
        <v>2019</v>
      </c>
      <c r="D2413" t="s">
        <v>1482</v>
      </c>
      <c r="E2413" t="s">
        <v>13</v>
      </c>
      <c r="F2413" t="s">
        <v>18</v>
      </c>
      <c r="G2413">
        <v>3</v>
      </c>
      <c r="H2413">
        <v>2567</v>
      </c>
      <c r="I2413" s="1">
        <v>117262</v>
      </c>
      <c r="J2413" s="1">
        <f>Raw_Data!$I2413/Raw_Data!$H2413</f>
        <v>45.680560966108295</v>
      </c>
    </row>
    <row r="2414" spans="1:10" x14ac:dyDescent="0.3">
      <c r="A2414" s="9">
        <v>41741</v>
      </c>
      <c r="B2414" s="2" t="str">
        <f>TEXT(Raw_Data!$A2414, "MMM")</f>
        <v>Apr</v>
      </c>
      <c r="C2414" s="2">
        <f>YEAR(Raw_Data!$A2414)</f>
        <v>2014</v>
      </c>
      <c r="D2414" s="2" t="s">
        <v>311</v>
      </c>
      <c r="E2414" s="2" t="s">
        <v>15</v>
      </c>
      <c r="F2414" s="2" t="s">
        <v>11</v>
      </c>
      <c r="G2414" s="2"/>
      <c r="H2414" s="2">
        <v>2079</v>
      </c>
      <c r="I2414" s="10">
        <v>476170</v>
      </c>
      <c r="J2414" s="10">
        <f>Raw_Data!$I2414/Raw_Data!$H2414</f>
        <v>229.03799903799904</v>
      </c>
    </row>
    <row r="2415" spans="1:10" x14ac:dyDescent="0.3">
      <c r="A2415" s="8">
        <v>37654</v>
      </c>
      <c r="B2415" t="str">
        <f>TEXT(Raw_Data!$A2415, "MMM")</f>
        <v>Feb</v>
      </c>
      <c r="C2415">
        <f>YEAR(Raw_Data!$A2415)</f>
        <v>2003</v>
      </c>
      <c r="D2415" t="s">
        <v>1275</v>
      </c>
      <c r="E2415" t="s">
        <v>25</v>
      </c>
      <c r="F2415" t="s">
        <v>18</v>
      </c>
      <c r="H2415">
        <v>2601</v>
      </c>
      <c r="I2415" s="1">
        <v>754174</v>
      </c>
      <c r="J2415" s="1">
        <f>Raw_Data!$I2415/Raw_Data!$H2415</f>
        <v>289.95540176855053</v>
      </c>
    </row>
    <row r="2416" spans="1:10" x14ac:dyDescent="0.3">
      <c r="A2416" s="9">
        <v>37596</v>
      </c>
      <c r="B2416" s="2" t="str">
        <f>TEXT(Raw_Data!$A2416, "MMM")</f>
        <v>Dec</v>
      </c>
      <c r="C2416" s="2">
        <f>YEAR(Raw_Data!$A2416)</f>
        <v>2002</v>
      </c>
      <c r="D2416" s="2" t="s">
        <v>96</v>
      </c>
      <c r="E2416" s="2" t="s">
        <v>13</v>
      </c>
      <c r="F2416" s="2" t="s">
        <v>11</v>
      </c>
      <c r="G2416" s="2"/>
      <c r="H2416" s="2">
        <v>2060</v>
      </c>
      <c r="I2416" s="10">
        <v>662019</v>
      </c>
      <c r="J2416" s="10">
        <f>Raw_Data!$I2416/Raw_Data!$H2416</f>
        <v>321.36844660194174</v>
      </c>
    </row>
    <row r="2417" spans="1:10" x14ac:dyDescent="0.3">
      <c r="A2417" s="8">
        <v>42136</v>
      </c>
      <c r="B2417" t="str">
        <f>TEXT(Raw_Data!$A2417, "MMM")</f>
        <v>May</v>
      </c>
      <c r="C2417">
        <f>YEAR(Raw_Data!$A2417)</f>
        <v>2015</v>
      </c>
      <c r="D2417" t="s">
        <v>1874</v>
      </c>
      <c r="E2417" t="s">
        <v>25</v>
      </c>
      <c r="F2417" t="s">
        <v>27</v>
      </c>
      <c r="G2417">
        <v>4</v>
      </c>
      <c r="H2417">
        <v>872</v>
      </c>
      <c r="I2417" s="1">
        <v>573268</v>
      </c>
      <c r="J2417" s="1">
        <f>Raw_Data!$I2417/Raw_Data!$H2417</f>
        <v>657.4174311926605</v>
      </c>
    </row>
    <row r="2418" spans="1:10" x14ac:dyDescent="0.3">
      <c r="A2418" s="9">
        <v>40946</v>
      </c>
      <c r="B2418" s="2" t="str">
        <f>TEXT(Raw_Data!$A2418, "MMM")</f>
        <v>Feb</v>
      </c>
      <c r="C2418" s="2">
        <f>YEAR(Raw_Data!$A2418)</f>
        <v>2012</v>
      </c>
      <c r="D2418" s="2" t="s">
        <v>1875</v>
      </c>
      <c r="E2418" s="2" t="s">
        <v>25</v>
      </c>
      <c r="F2418" s="2" t="s">
        <v>27</v>
      </c>
      <c r="G2418" s="2"/>
      <c r="H2418" s="2">
        <v>2312</v>
      </c>
      <c r="I2418" s="10">
        <v>507149</v>
      </c>
      <c r="J2418" s="10">
        <f>Raw_Data!$I2418/Raw_Data!$H2418</f>
        <v>219.35510380622839</v>
      </c>
    </row>
    <row r="2419" spans="1:10" x14ac:dyDescent="0.3">
      <c r="A2419" s="8">
        <v>38326</v>
      </c>
      <c r="B2419" t="str">
        <f>TEXT(Raw_Data!$A2419, "MMM")</f>
        <v>Dec</v>
      </c>
      <c r="C2419">
        <f>YEAR(Raw_Data!$A2419)</f>
        <v>2004</v>
      </c>
      <c r="D2419" t="s">
        <v>1876</v>
      </c>
      <c r="E2419" t="s">
        <v>13</v>
      </c>
      <c r="F2419" t="s">
        <v>11</v>
      </c>
      <c r="G2419">
        <v>3</v>
      </c>
      <c r="H2419">
        <v>989</v>
      </c>
      <c r="I2419" s="1">
        <v>455949</v>
      </c>
      <c r="J2419" s="1">
        <f>Raw_Data!$I2419/Raw_Data!$H2419</f>
        <v>461.02022244691608</v>
      </c>
    </row>
    <row r="2420" spans="1:10" x14ac:dyDescent="0.3">
      <c r="A2420" s="9">
        <v>39915</v>
      </c>
      <c r="B2420" s="2" t="str">
        <f>TEXT(Raw_Data!$A2420, "MMM")</f>
        <v>Apr</v>
      </c>
      <c r="C2420" s="2">
        <f>YEAR(Raw_Data!$A2420)</f>
        <v>2009</v>
      </c>
      <c r="D2420" s="2" t="s">
        <v>1435</v>
      </c>
      <c r="E2420" s="2" t="s">
        <v>23</v>
      </c>
      <c r="F2420" s="2" t="s">
        <v>16</v>
      </c>
      <c r="G2420" s="2">
        <v>3</v>
      </c>
      <c r="H2420" s="2">
        <v>3325</v>
      </c>
      <c r="I2420" s="10">
        <v>210959</v>
      </c>
      <c r="J2420" s="10">
        <f>Raw_Data!$I2420/Raw_Data!$H2420</f>
        <v>63.446315789473687</v>
      </c>
    </row>
    <row r="2421" spans="1:10" x14ac:dyDescent="0.3">
      <c r="A2421" s="8">
        <v>41312</v>
      </c>
      <c r="B2421" t="str">
        <f>TEXT(Raw_Data!$A2421, "MMM")</f>
        <v>Feb</v>
      </c>
      <c r="C2421">
        <f>YEAR(Raw_Data!$A2421)</f>
        <v>2013</v>
      </c>
      <c r="D2421" t="s">
        <v>1877</v>
      </c>
      <c r="E2421" t="s">
        <v>32</v>
      </c>
      <c r="F2421" t="s">
        <v>18</v>
      </c>
      <c r="G2421">
        <v>5</v>
      </c>
      <c r="H2421">
        <v>3082</v>
      </c>
      <c r="I2421" s="1">
        <v>754900</v>
      </c>
      <c r="J2421" s="1">
        <f>Raw_Data!$I2421/Raw_Data!$H2421</f>
        <v>244.93835171966256</v>
      </c>
    </row>
    <row r="2422" spans="1:10" x14ac:dyDescent="0.3">
      <c r="A2422" s="9">
        <v>40253</v>
      </c>
      <c r="B2422" s="2" t="str">
        <f>TEXT(Raw_Data!$A2422, "MMM")</f>
        <v>Mar</v>
      </c>
      <c r="C2422" s="2">
        <f>YEAR(Raw_Data!$A2422)</f>
        <v>2010</v>
      </c>
      <c r="D2422" s="2" t="s">
        <v>1878</v>
      </c>
      <c r="E2422" s="2" t="s">
        <v>23</v>
      </c>
      <c r="F2422" s="2" t="s">
        <v>16</v>
      </c>
      <c r="G2422" s="2"/>
      <c r="H2422" s="2">
        <v>3275</v>
      </c>
      <c r="I2422" s="10">
        <v>390120</v>
      </c>
      <c r="J2422" s="10">
        <f>Raw_Data!$I2422/Raw_Data!$H2422</f>
        <v>119.1206106870229</v>
      </c>
    </row>
    <row r="2423" spans="1:10" x14ac:dyDescent="0.3">
      <c r="A2423" s="8">
        <v>41561</v>
      </c>
      <c r="B2423" t="str">
        <f>TEXT(Raw_Data!$A2423, "MMM")</f>
        <v>Oct</v>
      </c>
      <c r="C2423">
        <f>YEAR(Raw_Data!$A2423)</f>
        <v>2013</v>
      </c>
      <c r="D2423" t="s">
        <v>1879</v>
      </c>
      <c r="E2423" t="s">
        <v>29</v>
      </c>
      <c r="F2423" t="s">
        <v>18</v>
      </c>
      <c r="G2423">
        <v>3</v>
      </c>
      <c r="H2423">
        <v>1813</v>
      </c>
      <c r="I2423" s="1">
        <v>789610</v>
      </c>
      <c r="J2423" s="1">
        <f>Raw_Data!$I2423/Raw_Data!$H2423</f>
        <v>435.52675124103695</v>
      </c>
    </row>
    <row r="2424" spans="1:10" x14ac:dyDescent="0.3">
      <c r="A2424" s="9">
        <v>38056</v>
      </c>
      <c r="B2424" s="2" t="str">
        <f>TEXT(Raw_Data!$A2424, "MMM")</f>
        <v>Mar</v>
      </c>
      <c r="C2424" s="2">
        <f>YEAR(Raw_Data!$A2424)</f>
        <v>2004</v>
      </c>
      <c r="D2424" s="2" t="s">
        <v>249</v>
      </c>
      <c r="E2424" s="2" t="s">
        <v>23</v>
      </c>
      <c r="F2424" s="2" t="s">
        <v>11</v>
      </c>
      <c r="G2424" s="2">
        <v>3</v>
      </c>
      <c r="H2424" s="2">
        <v>3486</v>
      </c>
      <c r="I2424" s="10">
        <v>854175</v>
      </c>
      <c r="J2424" s="10">
        <f>Raw_Data!$I2424/Raw_Data!$H2424</f>
        <v>245.03012048192772</v>
      </c>
    </row>
    <row r="2425" spans="1:10" x14ac:dyDescent="0.3">
      <c r="A2425" s="8">
        <v>38215</v>
      </c>
      <c r="B2425" t="str">
        <f>TEXT(Raw_Data!$A2425, "MMM")</f>
        <v>Aug</v>
      </c>
      <c r="C2425">
        <f>YEAR(Raw_Data!$A2425)</f>
        <v>2004</v>
      </c>
      <c r="D2425" t="s">
        <v>1880</v>
      </c>
      <c r="E2425" t="s">
        <v>25</v>
      </c>
      <c r="F2425" t="s">
        <v>18</v>
      </c>
      <c r="G2425">
        <v>5</v>
      </c>
      <c r="H2425">
        <v>1290</v>
      </c>
      <c r="I2425" s="1">
        <v>775916</v>
      </c>
      <c r="J2425" s="1">
        <f>Raw_Data!$I2425/Raw_Data!$H2425</f>
        <v>601.48527131782942</v>
      </c>
    </row>
    <row r="2426" spans="1:10" x14ac:dyDescent="0.3">
      <c r="A2426" s="9">
        <v>40951</v>
      </c>
      <c r="B2426" s="2" t="str">
        <f>TEXT(Raw_Data!$A2426, "MMM")</f>
        <v>Feb</v>
      </c>
      <c r="C2426" s="2">
        <f>YEAR(Raw_Data!$A2426)</f>
        <v>2012</v>
      </c>
      <c r="D2426" s="2" t="s">
        <v>1881</v>
      </c>
      <c r="E2426" s="2" t="s">
        <v>29</v>
      </c>
      <c r="F2426" s="2" t="s">
        <v>16</v>
      </c>
      <c r="G2426" s="2">
        <v>3</v>
      </c>
      <c r="H2426" s="2">
        <v>3143</v>
      </c>
      <c r="I2426" s="10">
        <v>387174</v>
      </c>
      <c r="J2426" s="10">
        <f>Raw_Data!$I2426/Raw_Data!$H2426</f>
        <v>123.18612790327713</v>
      </c>
    </row>
    <row r="2427" spans="1:10" x14ac:dyDescent="0.3">
      <c r="A2427" s="8">
        <v>39193</v>
      </c>
      <c r="B2427" t="str">
        <f>TEXT(Raw_Data!$A2427, "MMM")</f>
        <v>Apr</v>
      </c>
      <c r="C2427">
        <f>YEAR(Raw_Data!$A2427)</f>
        <v>2007</v>
      </c>
      <c r="D2427" t="s">
        <v>1882</v>
      </c>
      <c r="E2427" t="s">
        <v>23</v>
      </c>
      <c r="F2427" t="s">
        <v>27</v>
      </c>
      <c r="G2427">
        <v>4</v>
      </c>
      <c r="H2427">
        <v>1383</v>
      </c>
      <c r="I2427" s="1">
        <v>426296</v>
      </c>
      <c r="J2427" s="1">
        <f>Raw_Data!$I2427/Raw_Data!$H2427</f>
        <v>308.24005784526389</v>
      </c>
    </row>
    <row r="2428" spans="1:10" x14ac:dyDescent="0.3">
      <c r="A2428" s="9">
        <v>41998</v>
      </c>
      <c r="B2428" s="2" t="str">
        <f>TEXT(Raw_Data!$A2428, "MMM")</f>
        <v>Dec</v>
      </c>
      <c r="C2428" s="2">
        <f>YEAR(Raw_Data!$A2428)</f>
        <v>2014</v>
      </c>
      <c r="D2428" s="2" t="s">
        <v>1883</v>
      </c>
      <c r="E2428" s="2" t="s">
        <v>25</v>
      </c>
      <c r="F2428" s="2" t="s">
        <v>11</v>
      </c>
      <c r="G2428" s="2">
        <v>5</v>
      </c>
      <c r="H2428" s="2">
        <v>2513</v>
      </c>
      <c r="I2428" s="10">
        <v>624392</v>
      </c>
      <c r="J2428" s="10">
        <f>Raw_Data!$I2428/Raw_Data!$H2428</f>
        <v>248.46478312773579</v>
      </c>
    </row>
    <row r="2429" spans="1:10" x14ac:dyDescent="0.3">
      <c r="A2429" s="8">
        <v>41699</v>
      </c>
      <c r="B2429" t="str">
        <f>TEXT(Raw_Data!$A2429, "MMM")</f>
        <v>Mar</v>
      </c>
      <c r="C2429">
        <f>YEAR(Raw_Data!$A2429)</f>
        <v>2014</v>
      </c>
      <c r="D2429" t="s">
        <v>1884</v>
      </c>
      <c r="E2429" t="s">
        <v>32</v>
      </c>
      <c r="F2429" t="s">
        <v>27</v>
      </c>
      <c r="G2429">
        <v>3</v>
      </c>
      <c r="H2429">
        <v>1250</v>
      </c>
      <c r="I2429" s="1">
        <v>496766</v>
      </c>
      <c r="J2429" s="1">
        <f>Raw_Data!$I2429/Raw_Data!$H2429</f>
        <v>397.4128</v>
      </c>
    </row>
    <row r="2430" spans="1:10" x14ac:dyDescent="0.3">
      <c r="A2430" s="9">
        <v>38383</v>
      </c>
      <c r="B2430" s="2" t="str">
        <f>TEXT(Raw_Data!$A2430, "MMM")</f>
        <v>Jan</v>
      </c>
      <c r="C2430" s="2">
        <f>YEAR(Raw_Data!$A2430)</f>
        <v>2005</v>
      </c>
      <c r="D2430" s="2" t="s">
        <v>1382</v>
      </c>
      <c r="E2430" s="2" t="s">
        <v>25</v>
      </c>
      <c r="F2430" s="2" t="s">
        <v>11</v>
      </c>
      <c r="G2430" s="2">
        <v>4</v>
      </c>
      <c r="H2430" s="2">
        <v>1297</v>
      </c>
      <c r="I2430" s="10">
        <v>736536</v>
      </c>
      <c r="J2430" s="10">
        <f>Raw_Data!$I2430/Raw_Data!$H2430</f>
        <v>567.8766383962992</v>
      </c>
    </row>
    <row r="2431" spans="1:10" x14ac:dyDescent="0.3">
      <c r="A2431" s="8">
        <v>39208</v>
      </c>
      <c r="B2431" t="str">
        <f>TEXT(Raw_Data!$A2431, "MMM")</f>
        <v>May</v>
      </c>
      <c r="C2431">
        <f>YEAR(Raw_Data!$A2431)</f>
        <v>2007</v>
      </c>
      <c r="D2431" t="s">
        <v>1885</v>
      </c>
      <c r="E2431" t="s">
        <v>21</v>
      </c>
      <c r="F2431" t="s">
        <v>16</v>
      </c>
      <c r="G2431">
        <v>4</v>
      </c>
      <c r="H2431">
        <v>3369</v>
      </c>
      <c r="I2431" s="1">
        <v>421107</v>
      </c>
      <c r="J2431" s="1">
        <f>Raw_Data!$I2431/Raw_Data!$H2431</f>
        <v>124.9946571682992</v>
      </c>
    </row>
    <row r="2432" spans="1:10" x14ac:dyDescent="0.3">
      <c r="A2432" s="9">
        <v>37712</v>
      </c>
      <c r="B2432" s="2" t="str">
        <f>TEXT(Raw_Data!$A2432, "MMM")</f>
        <v>Apr</v>
      </c>
      <c r="C2432" s="2">
        <f>YEAR(Raw_Data!$A2432)</f>
        <v>2003</v>
      </c>
      <c r="D2432" s="2" t="s">
        <v>590</v>
      </c>
      <c r="E2432" s="2" t="s">
        <v>29</v>
      </c>
      <c r="F2432" s="2" t="s">
        <v>27</v>
      </c>
      <c r="G2432" s="2">
        <v>3</v>
      </c>
      <c r="H2432" s="2">
        <v>2160</v>
      </c>
      <c r="I2432" s="10">
        <v>780514</v>
      </c>
      <c r="J2432" s="10">
        <f>Raw_Data!$I2432/Raw_Data!$H2432</f>
        <v>361.34907407407405</v>
      </c>
    </row>
    <row r="2433" spans="1:10" x14ac:dyDescent="0.3">
      <c r="A2433" s="8">
        <v>44001</v>
      </c>
      <c r="B2433" t="str">
        <f>TEXT(Raw_Data!$A2433, "MMM")</f>
        <v>Jun</v>
      </c>
      <c r="C2433">
        <f>YEAR(Raw_Data!$A2433)</f>
        <v>2020</v>
      </c>
      <c r="D2433" t="s">
        <v>1886</v>
      </c>
      <c r="E2433" t="s">
        <v>13</v>
      </c>
      <c r="F2433" t="s">
        <v>27</v>
      </c>
      <c r="G2433">
        <v>2</v>
      </c>
      <c r="H2433">
        <v>2900</v>
      </c>
      <c r="I2433" s="1">
        <v>370554</v>
      </c>
      <c r="J2433" s="1">
        <f>Raw_Data!$I2433/Raw_Data!$H2433</f>
        <v>127.77724137931034</v>
      </c>
    </row>
    <row r="2434" spans="1:10" x14ac:dyDescent="0.3">
      <c r="A2434" s="9">
        <v>40041</v>
      </c>
      <c r="B2434" s="2" t="str">
        <f>TEXT(Raw_Data!$A2434, "MMM")</f>
        <v>Aug</v>
      </c>
      <c r="C2434" s="2">
        <f>YEAR(Raw_Data!$A2434)</f>
        <v>2009</v>
      </c>
      <c r="D2434" s="2" t="s">
        <v>1163</v>
      </c>
      <c r="E2434" s="2" t="s">
        <v>25</v>
      </c>
      <c r="F2434" s="2" t="s">
        <v>18</v>
      </c>
      <c r="G2434" s="2"/>
      <c r="H2434" s="2">
        <v>2254</v>
      </c>
      <c r="I2434" s="10">
        <v>635653</v>
      </c>
      <c r="J2434" s="10">
        <f>Raw_Data!$I2434/Raw_Data!$H2434</f>
        <v>282.01109139307897</v>
      </c>
    </row>
    <row r="2435" spans="1:10" x14ac:dyDescent="0.3">
      <c r="A2435" s="8">
        <v>40946</v>
      </c>
      <c r="B2435" t="str">
        <f>TEXT(Raw_Data!$A2435, "MMM")</f>
        <v>Feb</v>
      </c>
      <c r="C2435">
        <f>YEAR(Raw_Data!$A2435)</f>
        <v>2012</v>
      </c>
      <c r="D2435" t="s">
        <v>839</v>
      </c>
      <c r="E2435" t="s">
        <v>21</v>
      </c>
      <c r="F2435" t="s">
        <v>18</v>
      </c>
      <c r="G2435">
        <v>4</v>
      </c>
      <c r="H2435">
        <v>2679</v>
      </c>
      <c r="I2435" s="1">
        <v>564392</v>
      </c>
      <c r="J2435" s="1">
        <f>Raw_Data!$I2435/Raw_Data!$H2435</f>
        <v>210.67263904441955</v>
      </c>
    </row>
    <row r="2436" spans="1:10" x14ac:dyDescent="0.3">
      <c r="A2436" s="9">
        <v>41396</v>
      </c>
      <c r="B2436" s="2" t="str">
        <f>TEXT(Raw_Data!$A2436, "MMM")</f>
        <v>May</v>
      </c>
      <c r="C2436" s="2">
        <f>YEAR(Raw_Data!$A2436)</f>
        <v>2013</v>
      </c>
      <c r="D2436" s="2" t="s">
        <v>1887</v>
      </c>
      <c r="E2436" s="2" t="s">
        <v>29</v>
      </c>
      <c r="F2436" s="2" t="s">
        <v>16</v>
      </c>
      <c r="G2436" s="2"/>
      <c r="H2436" s="2">
        <v>3469</v>
      </c>
      <c r="I2436" s="10">
        <v>300569</v>
      </c>
      <c r="J2436" s="10">
        <f>Raw_Data!$I2436/Raw_Data!$H2436</f>
        <v>86.644277889881806</v>
      </c>
    </row>
    <row r="2437" spans="1:10" x14ac:dyDescent="0.3">
      <c r="A2437" s="8">
        <v>37766</v>
      </c>
      <c r="B2437" t="str">
        <f>TEXT(Raw_Data!$A2437, "MMM")</f>
        <v>May</v>
      </c>
      <c r="C2437">
        <f>YEAR(Raw_Data!$A2437)</f>
        <v>2003</v>
      </c>
      <c r="D2437" t="s">
        <v>1888</v>
      </c>
      <c r="E2437" t="s">
        <v>21</v>
      </c>
      <c r="F2437" t="s">
        <v>27</v>
      </c>
      <c r="G2437">
        <v>5</v>
      </c>
      <c r="H2437">
        <v>3137</v>
      </c>
      <c r="I2437" s="1">
        <v>501852</v>
      </c>
      <c r="J2437" s="1">
        <f>Raw_Data!$I2437/Raw_Data!$H2437</f>
        <v>159.97832323876315</v>
      </c>
    </row>
    <row r="2438" spans="1:10" x14ac:dyDescent="0.3">
      <c r="A2438" s="9">
        <v>42790</v>
      </c>
      <c r="B2438" s="2" t="str">
        <f>TEXT(Raw_Data!$A2438, "MMM")</f>
        <v>Feb</v>
      </c>
      <c r="C2438" s="2">
        <f>YEAR(Raw_Data!$A2438)</f>
        <v>2017</v>
      </c>
      <c r="D2438" s="2" t="s">
        <v>1889</v>
      </c>
      <c r="E2438" s="2" t="s">
        <v>21</v>
      </c>
      <c r="F2438" s="2" t="s">
        <v>16</v>
      </c>
      <c r="G2438" s="2"/>
      <c r="H2438" s="2">
        <v>3062</v>
      </c>
      <c r="I2438" s="10">
        <v>408396</v>
      </c>
      <c r="J2438" s="10">
        <f>Raw_Data!$I2438/Raw_Data!$H2438</f>
        <v>133.37557152188111</v>
      </c>
    </row>
    <row r="2439" spans="1:10" x14ac:dyDescent="0.3">
      <c r="A2439" s="8">
        <v>42086</v>
      </c>
      <c r="B2439" t="str">
        <f>TEXT(Raw_Data!$A2439, "MMM")</f>
        <v>Mar</v>
      </c>
      <c r="C2439">
        <f>YEAR(Raw_Data!$A2439)</f>
        <v>2015</v>
      </c>
      <c r="D2439" t="s">
        <v>1890</v>
      </c>
      <c r="E2439" t="s">
        <v>23</v>
      </c>
      <c r="F2439" t="s">
        <v>18</v>
      </c>
      <c r="G2439">
        <v>3</v>
      </c>
      <c r="H2439">
        <v>1945</v>
      </c>
      <c r="I2439" s="1">
        <v>251764</v>
      </c>
      <c r="J2439" s="1">
        <f>Raw_Data!$I2439/Raw_Data!$H2439</f>
        <v>129.44164524421595</v>
      </c>
    </row>
    <row r="2440" spans="1:10" x14ac:dyDescent="0.3">
      <c r="A2440" s="9">
        <v>39126</v>
      </c>
      <c r="B2440" s="2" t="str">
        <f>TEXT(Raw_Data!$A2440, "MMM")</f>
        <v>Feb</v>
      </c>
      <c r="C2440" s="2">
        <f>YEAR(Raw_Data!$A2440)</f>
        <v>2007</v>
      </c>
      <c r="D2440" s="2" t="s">
        <v>1657</v>
      </c>
      <c r="E2440" s="2" t="s">
        <v>15</v>
      </c>
      <c r="F2440" s="2" t="s">
        <v>27</v>
      </c>
      <c r="G2440" s="2">
        <v>5</v>
      </c>
      <c r="H2440" s="2">
        <v>1496</v>
      </c>
      <c r="I2440" s="10">
        <v>721041</v>
      </c>
      <c r="J2440" s="10">
        <f>Raw_Data!$I2440/Raw_Data!$H2440</f>
        <v>481.97927807486633</v>
      </c>
    </row>
    <row r="2441" spans="1:10" x14ac:dyDescent="0.3">
      <c r="A2441" s="8">
        <v>43060</v>
      </c>
      <c r="B2441" t="str">
        <f>TEXT(Raw_Data!$A2441, "MMM")</f>
        <v>Nov</v>
      </c>
      <c r="C2441">
        <f>YEAR(Raw_Data!$A2441)</f>
        <v>2017</v>
      </c>
      <c r="D2441" t="s">
        <v>1891</v>
      </c>
      <c r="E2441" t="s">
        <v>32</v>
      </c>
      <c r="F2441" t="s">
        <v>27</v>
      </c>
      <c r="G2441">
        <v>5</v>
      </c>
      <c r="H2441">
        <v>2468</v>
      </c>
      <c r="I2441" s="1"/>
      <c r="J2441" s="1">
        <f>Raw_Data!$I2441/Raw_Data!$H2441</f>
        <v>0</v>
      </c>
    </row>
    <row r="2442" spans="1:10" x14ac:dyDescent="0.3">
      <c r="A2442" s="9">
        <v>37316</v>
      </c>
      <c r="B2442" s="2" t="str">
        <f>TEXT(Raw_Data!$A2442, "MMM")</f>
        <v>Mar</v>
      </c>
      <c r="C2442" s="2">
        <f>YEAR(Raw_Data!$A2442)</f>
        <v>2002</v>
      </c>
      <c r="D2442" s="2" t="s">
        <v>1892</v>
      </c>
      <c r="E2442" s="2" t="s">
        <v>32</v>
      </c>
      <c r="F2442" s="2" t="s">
        <v>16</v>
      </c>
      <c r="G2442" s="2">
        <v>4</v>
      </c>
      <c r="H2442" s="2">
        <v>3013</v>
      </c>
      <c r="I2442" s="10">
        <v>595535</v>
      </c>
      <c r="J2442" s="10">
        <f>Raw_Data!$I2442/Raw_Data!$H2442</f>
        <v>197.65516096913376</v>
      </c>
    </row>
    <row r="2443" spans="1:10" x14ac:dyDescent="0.3">
      <c r="A2443" s="8">
        <v>38219</v>
      </c>
      <c r="B2443" t="str">
        <f>TEXT(Raw_Data!$A2443, "MMM")</f>
        <v>Aug</v>
      </c>
      <c r="C2443">
        <f>YEAR(Raw_Data!$A2443)</f>
        <v>2004</v>
      </c>
      <c r="D2443" t="s">
        <v>1893</v>
      </c>
      <c r="E2443" t="s">
        <v>13</v>
      </c>
      <c r="F2443" t="s">
        <v>27</v>
      </c>
      <c r="G2443">
        <v>4</v>
      </c>
      <c r="H2443">
        <v>1765</v>
      </c>
      <c r="I2443" s="1">
        <v>193173</v>
      </c>
      <c r="J2443" s="1">
        <f>Raw_Data!$I2443/Raw_Data!$H2443</f>
        <v>109.44645892351275</v>
      </c>
    </row>
    <row r="2444" spans="1:10" x14ac:dyDescent="0.3">
      <c r="A2444" s="9">
        <v>41899</v>
      </c>
      <c r="B2444" s="2" t="str">
        <f>TEXT(Raw_Data!$A2444, "MMM")</f>
        <v>Sep</v>
      </c>
      <c r="C2444" s="2">
        <f>YEAR(Raw_Data!$A2444)</f>
        <v>2014</v>
      </c>
      <c r="D2444" s="2" t="s">
        <v>1894</v>
      </c>
      <c r="E2444" s="2" t="s">
        <v>25</v>
      </c>
      <c r="F2444" s="2" t="s">
        <v>18</v>
      </c>
      <c r="G2444" s="2">
        <v>3</v>
      </c>
      <c r="H2444" s="2">
        <v>3202</v>
      </c>
      <c r="I2444" s="10">
        <v>769643</v>
      </c>
      <c r="J2444" s="10">
        <f>Raw_Data!$I2444/Raw_Data!$H2444</f>
        <v>240.36321049344158</v>
      </c>
    </row>
    <row r="2445" spans="1:10" x14ac:dyDescent="0.3">
      <c r="A2445" s="8">
        <v>39504</v>
      </c>
      <c r="B2445" t="str">
        <f>TEXT(Raw_Data!$A2445, "MMM")</f>
        <v>Feb</v>
      </c>
      <c r="C2445">
        <f>YEAR(Raw_Data!$A2445)</f>
        <v>2008</v>
      </c>
      <c r="D2445" t="s">
        <v>1895</v>
      </c>
      <c r="E2445" t="s">
        <v>15</v>
      </c>
      <c r="F2445" t="s">
        <v>16</v>
      </c>
      <c r="H2445">
        <v>1664</v>
      </c>
      <c r="I2445" s="1">
        <v>277417</v>
      </c>
      <c r="J2445" s="1">
        <f>Raw_Data!$I2445/Raw_Data!$H2445</f>
        <v>166.71694711538461</v>
      </c>
    </row>
    <row r="2446" spans="1:10" x14ac:dyDescent="0.3">
      <c r="A2446" s="9">
        <v>42715</v>
      </c>
      <c r="B2446" s="2" t="str">
        <f>TEXT(Raw_Data!$A2446, "MMM")</f>
        <v>Dec</v>
      </c>
      <c r="C2446" s="2">
        <f>YEAR(Raw_Data!$A2446)</f>
        <v>2016</v>
      </c>
      <c r="D2446" s="2" t="s">
        <v>1896</v>
      </c>
      <c r="E2446" s="2" t="s">
        <v>25</v>
      </c>
      <c r="F2446" s="2" t="s">
        <v>27</v>
      </c>
      <c r="G2446" s="2">
        <v>4</v>
      </c>
      <c r="H2446" s="2">
        <v>3330</v>
      </c>
      <c r="I2446" s="10">
        <v>289702</v>
      </c>
      <c r="J2446" s="10">
        <f>Raw_Data!$I2446/Raw_Data!$H2446</f>
        <v>86.997597597597604</v>
      </c>
    </row>
    <row r="2447" spans="1:10" x14ac:dyDescent="0.3">
      <c r="A2447" s="8">
        <v>38771</v>
      </c>
      <c r="B2447" t="str">
        <f>TEXT(Raw_Data!$A2447, "MMM")</f>
        <v>Feb</v>
      </c>
      <c r="C2447">
        <f>YEAR(Raw_Data!$A2447)</f>
        <v>2006</v>
      </c>
      <c r="D2447" t="s">
        <v>1897</v>
      </c>
      <c r="E2447" t="s">
        <v>29</v>
      </c>
      <c r="F2447" t="s">
        <v>18</v>
      </c>
      <c r="G2447">
        <v>4</v>
      </c>
      <c r="H2447">
        <v>1603</v>
      </c>
      <c r="I2447" s="1">
        <v>870404</v>
      </c>
      <c r="J2447" s="1">
        <f>Raw_Data!$I2447/Raw_Data!$H2447</f>
        <v>542.98440424204614</v>
      </c>
    </row>
    <row r="2448" spans="1:10" x14ac:dyDescent="0.3">
      <c r="A2448" s="9">
        <v>40874</v>
      </c>
      <c r="B2448" s="2" t="str">
        <f>TEXT(Raw_Data!$A2448, "MMM")</f>
        <v>Nov</v>
      </c>
      <c r="C2448" s="2">
        <f>YEAR(Raw_Data!$A2448)</f>
        <v>2011</v>
      </c>
      <c r="D2448" s="2" t="s">
        <v>1394</v>
      </c>
      <c r="E2448" s="2" t="s">
        <v>15</v>
      </c>
      <c r="F2448" s="2" t="s">
        <v>27</v>
      </c>
      <c r="G2448" s="2">
        <v>3</v>
      </c>
      <c r="H2448" s="2">
        <v>899</v>
      </c>
      <c r="I2448" s="10">
        <v>484249</v>
      </c>
      <c r="J2448" s="10">
        <f>Raw_Data!$I2448/Raw_Data!$H2448</f>
        <v>538.65294771968854</v>
      </c>
    </row>
    <row r="2449" spans="1:10" x14ac:dyDescent="0.3">
      <c r="A2449" s="8">
        <v>41384</v>
      </c>
      <c r="B2449" t="str">
        <f>TEXT(Raw_Data!$A2449, "MMM")</f>
        <v>Apr</v>
      </c>
      <c r="C2449">
        <f>YEAR(Raw_Data!$A2449)</f>
        <v>2013</v>
      </c>
      <c r="D2449" t="s">
        <v>1898</v>
      </c>
      <c r="E2449" t="s">
        <v>29</v>
      </c>
      <c r="F2449" t="s">
        <v>16</v>
      </c>
      <c r="G2449">
        <v>2</v>
      </c>
      <c r="H2449">
        <v>1339</v>
      </c>
      <c r="I2449" s="1">
        <v>865335</v>
      </c>
      <c r="J2449" s="1">
        <f>Raw_Data!$I2449/Raw_Data!$H2449</f>
        <v>646.2546676624346</v>
      </c>
    </row>
    <row r="2450" spans="1:10" x14ac:dyDescent="0.3">
      <c r="A2450" s="9">
        <v>39513</v>
      </c>
      <c r="B2450" s="2" t="str">
        <f>TEXT(Raw_Data!$A2450, "MMM")</f>
        <v>Mar</v>
      </c>
      <c r="C2450" s="2">
        <f>YEAR(Raw_Data!$A2450)</f>
        <v>2008</v>
      </c>
      <c r="D2450" s="2" t="s">
        <v>1899</v>
      </c>
      <c r="E2450" s="2" t="s">
        <v>32</v>
      </c>
      <c r="F2450" s="2" t="s">
        <v>27</v>
      </c>
      <c r="G2450" s="2">
        <v>2</v>
      </c>
      <c r="H2450" s="2">
        <v>1302</v>
      </c>
      <c r="I2450" s="10">
        <v>206017</v>
      </c>
      <c r="J2450" s="10">
        <f>Raw_Data!$I2450/Raw_Data!$H2450</f>
        <v>158.23118279569891</v>
      </c>
    </row>
    <row r="2451" spans="1:10" x14ac:dyDescent="0.3">
      <c r="A2451" s="8">
        <v>39309</v>
      </c>
      <c r="B2451" t="str">
        <f>TEXT(Raw_Data!$A2451, "MMM")</f>
        <v>Aug</v>
      </c>
      <c r="C2451">
        <f>YEAR(Raw_Data!$A2451)</f>
        <v>2007</v>
      </c>
      <c r="D2451" t="s">
        <v>308</v>
      </c>
      <c r="E2451" t="s">
        <v>23</v>
      </c>
      <c r="F2451" t="s">
        <v>27</v>
      </c>
      <c r="G2451">
        <v>4</v>
      </c>
      <c r="H2451">
        <v>817</v>
      </c>
      <c r="I2451" s="1">
        <v>171043</v>
      </c>
      <c r="J2451" s="1">
        <f>Raw_Data!$I2451/Raw_Data!$H2451</f>
        <v>209.35495716034271</v>
      </c>
    </row>
    <row r="2452" spans="1:10" x14ac:dyDescent="0.3">
      <c r="A2452" s="9">
        <v>42208</v>
      </c>
      <c r="B2452" s="2" t="str">
        <f>TEXT(Raw_Data!$A2452, "MMM")</f>
        <v>Jul</v>
      </c>
      <c r="C2452" s="2">
        <f>YEAR(Raw_Data!$A2452)</f>
        <v>2015</v>
      </c>
      <c r="D2452" s="2" t="s">
        <v>1900</v>
      </c>
      <c r="E2452" s="2" t="s">
        <v>23</v>
      </c>
      <c r="F2452" s="2" t="s">
        <v>16</v>
      </c>
      <c r="G2452" s="2">
        <v>4</v>
      </c>
      <c r="H2452" s="2">
        <v>1849</v>
      </c>
      <c r="I2452" s="10">
        <v>319990</v>
      </c>
      <c r="J2452" s="10">
        <f>Raw_Data!$I2452/Raw_Data!$H2452</f>
        <v>173.06111411573823</v>
      </c>
    </row>
    <row r="2453" spans="1:10" x14ac:dyDescent="0.3">
      <c r="A2453" s="8">
        <v>39966</v>
      </c>
      <c r="B2453" t="str">
        <f>TEXT(Raw_Data!$A2453, "MMM")</f>
        <v>Jun</v>
      </c>
      <c r="C2453">
        <f>YEAR(Raw_Data!$A2453)</f>
        <v>2009</v>
      </c>
      <c r="D2453" t="s">
        <v>1901</v>
      </c>
      <c r="E2453" t="s">
        <v>25</v>
      </c>
      <c r="F2453" t="s">
        <v>18</v>
      </c>
      <c r="G2453">
        <v>5</v>
      </c>
      <c r="H2453">
        <v>811</v>
      </c>
      <c r="I2453" s="1">
        <v>734959</v>
      </c>
      <c r="J2453" s="1">
        <f>Raw_Data!$I2453/Raw_Data!$H2453</f>
        <v>906.23797780517884</v>
      </c>
    </row>
    <row r="2454" spans="1:10" x14ac:dyDescent="0.3">
      <c r="A2454" s="9">
        <v>37597</v>
      </c>
      <c r="B2454" s="2" t="str">
        <f>TEXT(Raw_Data!$A2454, "MMM")</f>
        <v>Dec</v>
      </c>
      <c r="C2454" s="2">
        <f>YEAR(Raw_Data!$A2454)</f>
        <v>2002</v>
      </c>
      <c r="D2454" s="2" t="s">
        <v>851</v>
      </c>
      <c r="E2454" s="2" t="s">
        <v>32</v>
      </c>
      <c r="F2454" s="2" t="s">
        <v>27</v>
      </c>
      <c r="G2454" s="2">
        <v>2</v>
      </c>
      <c r="H2454" s="2">
        <v>3183</v>
      </c>
      <c r="I2454" s="10">
        <v>856282</v>
      </c>
      <c r="J2454" s="10">
        <f>Raw_Data!$I2454/Raw_Data!$H2454</f>
        <v>269.01727929626139</v>
      </c>
    </row>
    <row r="2455" spans="1:10" x14ac:dyDescent="0.3">
      <c r="A2455" s="8">
        <v>39247</v>
      </c>
      <c r="B2455" t="str">
        <f>TEXT(Raw_Data!$A2455, "MMM")</f>
        <v>Jun</v>
      </c>
      <c r="C2455">
        <f>YEAR(Raw_Data!$A2455)</f>
        <v>2007</v>
      </c>
      <c r="D2455" t="s">
        <v>1902</v>
      </c>
      <c r="E2455" t="s">
        <v>25</v>
      </c>
      <c r="F2455" t="s">
        <v>16</v>
      </c>
      <c r="G2455">
        <v>5</v>
      </c>
      <c r="H2455">
        <v>2132</v>
      </c>
      <c r="I2455" s="1">
        <v>294152</v>
      </c>
      <c r="J2455" s="1">
        <f>Raw_Data!$I2455/Raw_Data!$H2455</f>
        <v>137.96998123827393</v>
      </c>
    </row>
    <row r="2456" spans="1:10" x14ac:dyDescent="0.3">
      <c r="A2456" s="9">
        <v>42388</v>
      </c>
      <c r="B2456" s="2" t="str">
        <f>TEXT(Raw_Data!$A2456, "MMM")</f>
        <v>Jan</v>
      </c>
      <c r="C2456" s="2">
        <f>YEAR(Raw_Data!$A2456)</f>
        <v>2016</v>
      </c>
      <c r="D2456" s="2" t="s">
        <v>82</v>
      </c>
      <c r="E2456" s="2" t="s">
        <v>21</v>
      </c>
      <c r="F2456" s="2" t="s">
        <v>11</v>
      </c>
      <c r="G2456" s="2"/>
      <c r="H2456" s="2">
        <v>1985</v>
      </c>
      <c r="I2456" s="10">
        <v>780081</v>
      </c>
      <c r="J2456" s="10">
        <f>Raw_Data!$I2456/Raw_Data!$H2456</f>
        <v>392.98790931989925</v>
      </c>
    </row>
    <row r="2457" spans="1:10" x14ac:dyDescent="0.3">
      <c r="A2457" s="8">
        <v>36896</v>
      </c>
      <c r="B2457" t="str">
        <f>TEXT(Raw_Data!$A2457, "MMM")</f>
        <v>Jan</v>
      </c>
      <c r="C2457">
        <f>YEAR(Raw_Data!$A2457)</f>
        <v>2001</v>
      </c>
      <c r="D2457" t="s">
        <v>737</v>
      </c>
      <c r="E2457" t="s">
        <v>15</v>
      </c>
      <c r="F2457" t="s">
        <v>27</v>
      </c>
      <c r="G2457">
        <v>4</v>
      </c>
      <c r="H2457">
        <v>2871</v>
      </c>
      <c r="I2457" s="1">
        <v>485444</v>
      </c>
      <c r="J2457" s="1">
        <f>Raw_Data!$I2457/Raw_Data!$H2457</f>
        <v>169.08533611981889</v>
      </c>
    </row>
    <row r="2458" spans="1:10" x14ac:dyDescent="0.3">
      <c r="A2458" s="9">
        <v>41792</v>
      </c>
      <c r="B2458" s="2" t="str">
        <f>TEXT(Raw_Data!$A2458, "MMM")</f>
        <v>Jun</v>
      </c>
      <c r="C2458" s="2">
        <f>YEAR(Raw_Data!$A2458)</f>
        <v>2014</v>
      </c>
      <c r="D2458" s="2" t="s">
        <v>1247</v>
      </c>
      <c r="E2458" s="2" t="s">
        <v>15</v>
      </c>
      <c r="F2458" s="2" t="s">
        <v>18</v>
      </c>
      <c r="G2458" s="2">
        <v>4</v>
      </c>
      <c r="H2458" s="2">
        <v>3366</v>
      </c>
      <c r="I2458" s="10">
        <v>513521</v>
      </c>
      <c r="J2458" s="10">
        <f>Raw_Data!$I2458/Raw_Data!$H2458</f>
        <v>152.56120023767082</v>
      </c>
    </row>
    <row r="2459" spans="1:10" x14ac:dyDescent="0.3">
      <c r="A2459" s="8">
        <v>43682</v>
      </c>
      <c r="B2459" t="str">
        <f>TEXT(Raw_Data!$A2459, "MMM")</f>
        <v>Aug</v>
      </c>
      <c r="C2459">
        <f>YEAR(Raw_Data!$A2459)</f>
        <v>2019</v>
      </c>
      <c r="D2459" t="s">
        <v>1542</v>
      </c>
      <c r="E2459" t="s">
        <v>25</v>
      </c>
      <c r="F2459" t="s">
        <v>16</v>
      </c>
      <c r="H2459">
        <v>1246</v>
      </c>
      <c r="I2459" s="1">
        <v>518266</v>
      </c>
      <c r="J2459" s="1">
        <f>Raw_Data!$I2459/Raw_Data!$H2459</f>
        <v>415.9438202247191</v>
      </c>
    </row>
    <row r="2460" spans="1:10" x14ac:dyDescent="0.3">
      <c r="A2460" s="9">
        <v>43742</v>
      </c>
      <c r="B2460" s="2" t="str">
        <f>TEXT(Raw_Data!$A2460, "MMM")</f>
        <v>Oct</v>
      </c>
      <c r="C2460" s="2">
        <f>YEAR(Raw_Data!$A2460)</f>
        <v>2019</v>
      </c>
      <c r="D2460" s="2" t="s">
        <v>336</v>
      </c>
      <c r="E2460" s="2" t="s">
        <v>25</v>
      </c>
      <c r="F2460" s="2" t="s">
        <v>16</v>
      </c>
      <c r="G2460" s="2">
        <v>2</v>
      </c>
      <c r="H2460" s="2">
        <v>1308</v>
      </c>
      <c r="I2460" s="10">
        <v>561865</v>
      </c>
      <c r="J2460" s="10">
        <f>Raw_Data!$I2460/Raw_Data!$H2460</f>
        <v>429.56039755351679</v>
      </c>
    </row>
    <row r="2461" spans="1:10" x14ac:dyDescent="0.3">
      <c r="A2461" s="8">
        <v>43643</v>
      </c>
      <c r="B2461" t="str">
        <f>TEXT(Raw_Data!$A2461, "MMM")</f>
        <v>Jun</v>
      </c>
      <c r="C2461">
        <f>YEAR(Raw_Data!$A2461)</f>
        <v>2019</v>
      </c>
      <c r="D2461" t="s">
        <v>1903</v>
      </c>
      <c r="E2461" t="s">
        <v>23</v>
      </c>
      <c r="F2461" t="s">
        <v>18</v>
      </c>
      <c r="G2461">
        <v>5</v>
      </c>
      <c r="H2461">
        <v>3064</v>
      </c>
      <c r="I2461" s="1">
        <v>475026</v>
      </c>
      <c r="J2461" s="1">
        <f>Raw_Data!$I2461/Raw_Data!$H2461</f>
        <v>155.03459530026109</v>
      </c>
    </row>
    <row r="2462" spans="1:10" x14ac:dyDescent="0.3">
      <c r="A2462" s="9">
        <v>43762</v>
      </c>
      <c r="B2462" s="2" t="str">
        <f>TEXT(Raw_Data!$A2462, "MMM")</f>
        <v>Oct</v>
      </c>
      <c r="C2462" s="2">
        <f>YEAR(Raw_Data!$A2462)</f>
        <v>2019</v>
      </c>
      <c r="D2462" s="2" t="s">
        <v>1904</v>
      </c>
      <c r="E2462" s="2" t="s">
        <v>29</v>
      </c>
      <c r="F2462" s="2" t="s">
        <v>27</v>
      </c>
      <c r="G2462" s="2"/>
      <c r="H2462" s="2">
        <v>1925</v>
      </c>
      <c r="I2462" s="10">
        <v>873506</v>
      </c>
      <c r="J2462" s="10">
        <f>Raw_Data!$I2462/Raw_Data!$H2462</f>
        <v>453.76935064935066</v>
      </c>
    </row>
    <row r="2463" spans="1:10" x14ac:dyDescent="0.3">
      <c r="A2463" s="8">
        <v>37375</v>
      </c>
      <c r="B2463" t="str">
        <f>TEXT(Raw_Data!$A2463, "MMM")</f>
        <v>Apr</v>
      </c>
      <c r="C2463">
        <f>YEAR(Raw_Data!$A2463)</f>
        <v>2002</v>
      </c>
      <c r="D2463" t="s">
        <v>520</v>
      </c>
      <c r="E2463" t="s">
        <v>29</v>
      </c>
      <c r="F2463" t="s">
        <v>11</v>
      </c>
      <c r="H2463">
        <v>2225</v>
      </c>
      <c r="I2463" s="1">
        <v>351496</v>
      </c>
      <c r="J2463" s="1">
        <f>Raw_Data!$I2463/Raw_Data!$H2463</f>
        <v>157.97573033707866</v>
      </c>
    </row>
    <row r="2464" spans="1:10" x14ac:dyDescent="0.3">
      <c r="A2464" s="9">
        <v>38290</v>
      </c>
      <c r="B2464" s="2" t="str">
        <f>TEXT(Raw_Data!$A2464, "MMM")</f>
        <v>Oct</v>
      </c>
      <c r="C2464" s="2">
        <f>YEAR(Raw_Data!$A2464)</f>
        <v>2004</v>
      </c>
      <c r="D2464" s="2" t="s">
        <v>1816</v>
      </c>
      <c r="E2464" s="2" t="s">
        <v>23</v>
      </c>
      <c r="F2464" s="2" t="s">
        <v>27</v>
      </c>
      <c r="G2464" s="2">
        <v>5</v>
      </c>
      <c r="H2464" s="2">
        <v>2461</v>
      </c>
      <c r="I2464" s="10">
        <v>602234</v>
      </c>
      <c r="J2464" s="10">
        <f>Raw_Data!$I2464/Raw_Data!$H2464</f>
        <v>244.71109305160505</v>
      </c>
    </row>
    <row r="2465" spans="1:10" x14ac:dyDescent="0.3">
      <c r="A2465" s="8">
        <v>38604</v>
      </c>
      <c r="B2465" t="str">
        <f>TEXT(Raw_Data!$A2465, "MMM")</f>
        <v>Sep</v>
      </c>
      <c r="C2465">
        <f>YEAR(Raw_Data!$A2465)</f>
        <v>2005</v>
      </c>
      <c r="D2465" t="s">
        <v>1905</v>
      </c>
      <c r="E2465" t="s">
        <v>15</v>
      </c>
      <c r="F2465" t="s">
        <v>11</v>
      </c>
      <c r="H2465">
        <v>1406</v>
      </c>
      <c r="I2465" s="1">
        <v>194840</v>
      </c>
      <c r="J2465" s="1">
        <f>Raw_Data!$I2465/Raw_Data!$H2465</f>
        <v>138.57752489331438</v>
      </c>
    </row>
    <row r="2466" spans="1:10" x14ac:dyDescent="0.3">
      <c r="A2466" s="9">
        <v>37694</v>
      </c>
      <c r="B2466" s="2" t="str">
        <f>TEXT(Raw_Data!$A2466, "MMM")</f>
        <v>Mar</v>
      </c>
      <c r="C2466" s="2">
        <f>YEAR(Raw_Data!$A2466)</f>
        <v>2003</v>
      </c>
      <c r="D2466" s="2" t="s">
        <v>1906</v>
      </c>
      <c r="E2466" s="2" t="s">
        <v>32</v>
      </c>
      <c r="F2466" s="2" t="s">
        <v>11</v>
      </c>
      <c r="G2466" s="2">
        <v>4</v>
      </c>
      <c r="H2466" s="2">
        <v>2195</v>
      </c>
      <c r="I2466" s="10">
        <v>676975</v>
      </c>
      <c r="J2466" s="10">
        <f>Raw_Data!$I2466/Raw_Data!$H2466</f>
        <v>308.41685649202731</v>
      </c>
    </row>
    <row r="2467" spans="1:10" x14ac:dyDescent="0.3">
      <c r="A2467" s="8">
        <v>37536</v>
      </c>
      <c r="B2467" t="str">
        <f>TEXT(Raw_Data!$A2467, "MMM")</f>
        <v>Oct</v>
      </c>
      <c r="C2467">
        <f>YEAR(Raw_Data!$A2467)</f>
        <v>2002</v>
      </c>
      <c r="D2467" t="s">
        <v>442</v>
      </c>
      <c r="E2467" t="s">
        <v>15</v>
      </c>
      <c r="F2467" t="s">
        <v>27</v>
      </c>
      <c r="G2467">
        <v>2</v>
      </c>
      <c r="H2467">
        <v>1371</v>
      </c>
      <c r="I2467" s="1">
        <v>399585</v>
      </c>
      <c r="J2467" s="1">
        <f>Raw_Data!$I2467/Raw_Data!$H2467</f>
        <v>291.45514223194749</v>
      </c>
    </row>
    <row r="2468" spans="1:10" x14ac:dyDescent="0.3">
      <c r="A2468" s="9">
        <v>39975</v>
      </c>
      <c r="B2468" s="2" t="str">
        <f>TEXT(Raw_Data!$A2468, "MMM")</f>
        <v>Jun</v>
      </c>
      <c r="C2468" s="2">
        <f>YEAR(Raw_Data!$A2468)</f>
        <v>2009</v>
      </c>
      <c r="D2468" s="2" t="s">
        <v>858</v>
      </c>
      <c r="E2468" s="2" t="s">
        <v>13</v>
      </c>
      <c r="F2468" s="2" t="s">
        <v>16</v>
      </c>
      <c r="G2468" s="2"/>
      <c r="H2468" s="2">
        <v>3141</v>
      </c>
      <c r="I2468" s="10">
        <v>852238</v>
      </c>
      <c r="J2468" s="10">
        <f>Raw_Data!$I2468/Raw_Data!$H2468</f>
        <v>271.3269659344158</v>
      </c>
    </row>
    <row r="2469" spans="1:10" x14ac:dyDescent="0.3">
      <c r="A2469" s="8">
        <v>43625</v>
      </c>
      <c r="B2469" t="str">
        <f>TEXT(Raw_Data!$A2469, "MMM")</f>
        <v>Jun</v>
      </c>
      <c r="C2469">
        <f>YEAR(Raw_Data!$A2469)</f>
        <v>2019</v>
      </c>
      <c r="D2469" t="s">
        <v>1907</v>
      </c>
      <c r="E2469" t="s">
        <v>32</v>
      </c>
      <c r="F2469" t="s">
        <v>11</v>
      </c>
      <c r="G2469">
        <v>2</v>
      </c>
      <c r="H2469">
        <v>3301</v>
      </c>
      <c r="I2469" s="1">
        <v>526275</v>
      </c>
      <c r="J2469" s="1">
        <f>Raw_Data!$I2469/Raw_Data!$H2469</f>
        <v>159.42896092093304</v>
      </c>
    </row>
    <row r="2470" spans="1:10" x14ac:dyDescent="0.3">
      <c r="A2470" s="9">
        <v>42962</v>
      </c>
      <c r="B2470" s="2" t="str">
        <f>TEXT(Raw_Data!$A2470, "MMM")</f>
        <v>Aug</v>
      </c>
      <c r="C2470" s="2">
        <f>YEAR(Raw_Data!$A2470)</f>
        <v>2017</v>
      </c>
      <c r="D2470" s="2" t="s">
        <v>1908</v>
      </c>
      <c r="E2470" s="2" t="s">
        <v>15</v>
      </c>
      <c r="F2470" s="2" t="s">
        <v>18</v>
      </c>
      <c r="G2470" s="2">
        <v>4</v>
      </c>
      <c r="H2470" s="2">
        <v>2274</v>
      </c>
      <c r="I2470" s="10">
        <v>280433</v>
      </c>
      <c r="J2470" s="10">
        <f>Raw_Data!$I2470/Raw_Data!$H2470</f>
        <v>123.32145998240985</v>
      </c>
    </row>
    <row r="2471" spans="1:10" x14ac:dyDescent="0.3">
      <c r="A2471" s="8">
        <v>37798</v>
      </c>
      <c r="B2471" t="str">
        <f>TEXT(Raw_Data!$A2471, "MMM")</f>
        <v>Jun</v>
      </c>
      <c r="C2471">
        <f>YEAR(Raw_Data!$A2471)</f>
        <v>2003</v>
      </c>
      <c r="D2471" t="s">
        <v>1909</v>
      </c>
      <c r="E2471" t="s">
        <v>15</v>
      </c>
      <c r="F2471" t="s">
        <v>11</v>
      </c>
      <c r="G2471">
        <v>3</v>
      </c>
      <c r="H2471">
        <v>1325</v>
      </c>
      <c r="I2471" s="1">
        <v>202342</v>
      </c>
      <c r="J2471" s="1">
        <f>Raw_Data!$I2471/Raw_Data!$H2471</f>
        <v>152.71094339622641</v>
      </c>
    </row>
    <row r="2472" spans="1:10" x14ac:dyDescent="0.3">
      <c r="A2472" s="9">
        <v>39044</v>
      </c>
      <c r="B2472" s="2" t="str">
        <f>TEXT(Raw_Data!$A2472, "MMM")</f>
        <v>Nov</v>
      </c>
      <c r="C2472" s="2">
        <f>YEAR(Raw_Data!$A2472)</f>
        <v>2006</v>
      </c>
      <c r="D2472" s="2" t="s">
        <v>1910</v>
      </c>
      <c r="E2472" s="2" t="s">
        <v>32</v>
      </c>
      <c r="F2472" s="2" t="s">
        <v>27</v>
      </c>
      <c r="G2472" s="2">
        <v>3</v>
      </c>
      <c r="H2472" s="2">
        <v>2640</v>
      </c>
      <c r="I2472" s="10">
        <v>893820</v>
      </c>
      <c r="J2472" s="10">
        <f>Raw_Data!$I2472/Raw_Data!$H2472</f>
        <v>338.56818181818181</v>
      </c>
    </row>
    <row r="2473" spans="1:10" x14ac:dyDescent="0.3">
      <c r="A2473" s="8">
        <v>38670</v>
      </c>
      <c r="B2473" t="str">
        <f>TEXT(Raw_Data!$A2473, "MMM")</f>
        <v>Nov</v>
      </c>
      <c r="C2473">
        <f>YEAR(Raw_Data!$A2473)</f>
        <v>2005</v>
      </c>
      <c r="D2473" t="s">
        <v>105</v>
      </c>
      <c r="E2473" t="s">
        <v>25</v>
      </c>
      <c r="F2473" t="s">
        <v>27</v>
      </c>
      <c r="H2473">
        <v>1087</v>
      </c>
      <c r="I2473" s="1"/>
      <c r="J2473" s="1">
        <f>Raw_Data!$I2473/Raw_Data!$H2473</f>
        <v>0</v>
      </c>
    </row>
    <row r="2474" spans="1:10" x14ac:dyDescent="0.3">
      <c r="A2474" s="9">
        <v>42403</v>
      </c>
      <c r="B2474" s="2" t="str">
        <f>TEXT(Raw_Data!$A2474, "MMM")</f>
        <v>Feb</v>
      </c>
      <c r="C2474" s="2">
        <f>YEAR(Raw_Data!$A2474)</f>
        <v>2016</v>
      </c>
      <c r="D2474" s="2" t="s">
        <v>926</v>
      </c>
      <c r="E2474" s="2" t="s">
        <v>32</v>
      </c>
      <c r="F2474" s="2" t="s">
        <v>11</v>
      </c>
      <c r="G2474" s="2">
        <v>4</v>
      </c>
      <c r="H2474" s="2">
        <v>3295</v>
      </c>
      <c r="I2474" s="10">
        <v>831690</v>
      </c>
      <c r="J2474" s="10">
        <f>Raw_Data!$I2474/Raw_Data!$H2474</f>
        <v>252.40971168437025</v>
      </c>
    </row>
    <row r="2475" spans="1:10" x14ac:dyDescent="0.3">
      <c r="A2475" s="8">
        <v>41868</v>
      </c>
      <c r="B2475" t="str">
        <f>TEXT(Raw_Data!$A2475, "MMM")</f>
        <v>Aug</v>
      </c>
      <c r="C2475">
        <f>YEAR(Raw_Data!$A2475)</f>
        <v>2014</v>
      </c>
      <c r="D2475" t="s">
        <v>1911</v>
      </c>
      <c r="E2475" t="s">
        <v>13</v>
      </c>
      <c r="F2475" t="s">
        <v>11</v>
      </c>
      <c r="G2475">
        <v>5</v>
      </c>
      <c r="H2475">
        <v>1250</v>
      </c>
      <c r="I2475" s="1">
        <v>174454</v>
      </c>
      <c r="J2475" s="1">
        <f>Raw_Data!$I2475/Raw_Data!$H2475</f>
        <v>139.56319999999999</v>
      </c>
    </row>
    <row r="2476" spans="1:10" x14ac:dyDescent="0.3">
      <c r="A2476" s="9">
        <v>40311</v>
      </c>
      <c r="B2476" s="2" t="str">
        <f>TEXT(Raw_Data!$A2476, "MMM")</f>
        <v>May</v>
      </c>
      <c r="C2476" s="2">
        <f>YEAR(Raw_Data!$A2476)</f>
        <v>2010</v>
      </c>
      <c r="D2476" s="2" t="s">
        <v>1912</v>
      </c>
      <c r="E2476" s="2" t="s">
        <v>32</v>
      </c>
      <c r="F2476" s="2" t="s">
        <v>11</v>
      </c>
      <c r="G2476" s="2"/>
      <c r="H2476" s="2">
        <v>2507</v>
      </c>
      <c r="I2476" s="10">
        <v>436421</v>
      </c>
      <c r="J2476" s="10">
        <f>Raw_Data!$I2476/Raw_Data!$H2476</f>
        <v>174.08097327483048</v>
      </c>
    </row>
    <row r="2477" spans="1:10" x14ac:dyDescent="0.3">
      <c r="A2477" s="8">
        <v>41505</v>
      </c>
      <c r="B2477" t="str">
        <f>TEXT(Raw_Data!$A2477, "MMM")</f>
        <v>Aug</v>
      </c>
      <c r="C2477">
        <f>YEAR(Raw_Data!$A2477)</f>
        <v>2013</v>
      </c>
      <c r="D2477" t="s">
        <v>1913</v>
      </c>
      <c r="E2477" t="s">
        <v>32</v>
      </c>
      <c r="F2477" t="s">
        <v>18</v>
      </c>
      <c r="H2477">
        <v>2229</v>
      </c>
      <c r="I2477" s="1">
        <v>222000</v>
      </c>
      <c r="J2477" s="1">
        <f>Raw_Data!$I2477/Raw_Data!$H2477</f>
        <v>99.596231493943478</v>
      </c>
    </row>
    <row r="2478" spans="1:10" x14ac:dyDescent="0.3">
      <c r="A2478" s="9">
        <v>43681</v>
      </c>
      <c r="B2478" s="2" t="str">
        <f>TEXT(Raw_Data!$A2478, "MMM")</f>
        <v>Aug</v>
      </c>
      <c r="C2478" s="2">
        <f>YEAR(Raw_Data!$A2478)</f>
        <v>2019</v>
      </c>
      <c r="D2478" s="2" t="s">
        <v>1401</v>
      </c>
      <c r="E2478" s="2" t="s">
        <v>32</v>
      </c>
      <c r="F2478" s="2" t="s">
        <v>16</v>
      </c>
      <c r="G2478" s="2"/>
      <c r="H2478" s="2">
        <v>3417</v>
      </c>
      <c r="I2478" s="10">
        <v>131039</v>
      </c>
      <c r="J2478" s="10">
        <f>Raw_Data!$I2478/Raw_Data!$H2478</f>
        <v>38.349136669593207</v>
      </c>
    </row>
    <row r="2479" spans="1:10" x14ac:dyDescent="0.3">
      <c r="A2479" s="8">
        <v>39027</v>
      </c>
      <c r="B2479" t="str">
        <f>TEXT(Raw_Data!$A2479, "MMM")</f>
        <v>Nov</v>
      </c>
      <c r="C2479">
        <f>YEAR(Raw_Data!$A2479)</f>
        <v>2006</v>
      </c>
      <c r="D2479" t="s">
        <v>1914</v>
      </c>
      <c r="E2479" t="s">
        <v>29</v>
      </c>
      <c r="F2479" t="s">
        <v>18</v>
      </c>
      <c r="G2479">
        <v>3</v>
      </c>
      <c r="H2479">
        <v>2432</v>
      </c>
      <c r="I2479" s="1">
        <v>394304</v>
      </c>
      <c r="J2479" s="1">
        <f>Raw_Data!$I2479/Raw_Data!$H2479</f>
        <v>162.13157894736841</v>
      </c>
    </row>
    <row r="2480" spans="1:10" x14ac:dyDescent="0.3">
      <c r="A2480" s="9">
        <v>41852</v>
      </c>
      <c r="B2480" s="2" t="str">
        <f>TEXT(Raw_Data!$A2480, "MMM")</f>
        <v>Aug</v>
      </c>
      <c r="C2480" s="2">
        <f>YEAR(Raw_Data!$A2480)</f>
        <v>2014</v>
      </c>
      <c r="D2480" s="2" t="s">
        <v>1181</v>
      </c>
      <c r="E2480" s="2" t="s">
        <v>23</v>
      </c>
      <c r="F2480" s="2" t="s">
        <v>18</v>
      </c>
      <c r="G2480" s="2"/>
      <c r="H2480" s="2">
        <v>1165</v>
      </c>
      <c r="I2480" s="10">
        <v>519245</v>
      </c>
      <c r="J2480" s="10">
        <f>Raw_Data!$I2480/Raw_Data!$H2480</f>
        <v>445.7038626609442</v>
      </c>
    </row>
    <row r="2481" spans="1:10" x14ac:dyDescent="0.3">
      <c r="A2481" s="8">
        <v>43414</v>
      </c>
      <c r="B2481" t="str">
        <f>TEXT(Raw_Data!$A2481, "MMM")</f>
        <v>Nov</v>
      </c>
      <c r="C2481">
        <f>YEAR(Raw_Data!$A2481)</f>
        <v>2018</v>
      </c>
      <c r="D2481" t="s">
        <v>1575</v>
      </c>
      <c r="E2481" t="s">
        <v>25</v>
      </c>
      <c r="F2481" t="s">
        <v>16</v>
      </c>
      <c r="G2481">
        <v>2</v>
      </c>
      <c r="H2481">
        <v>3122</v>
      </c>
      <c r="I2481" s="1">
        <v>271980</v>
      </c>
      <c r="J2481" s="1">
        <f>Raw_Data!$I2481/Raw_Data!$H2481</f>
        <v>87.117232543241514</v>
      </c>
    </row>
    <row r="2482" spans="1:10" x14ac:dyDescent="0.3">
      <c r="A2482" s="9">
        <v>42728</v>
      </c>
      <c r="B2482" s="2" t="str">
        <f>TEXT(Raw_Data!$A2482, "MMM")</f>
        <v>Dec</v>
      </c>
      <c r="C2482" s="2">
        <f>YEAR(Raw_Data!$A2482)</f>
        <v>2016</v>
      </c>
      <c r="D2482" s="2" t="s">
        <v>1915</v>
      </c>
      <c r="E2482" s="2" t="s">
        <v>21</v>
      </c>
      <c r="F2482" s="2" t="s">
        <v>27</v>
      </c>
      <c r="G2482" s="2"/>
      <c r="H2482" s="2">
        <v>2004</v>
      </c>
      <c r="I2482" s="10">
        <v>375874</v>
      </c>
      <c r="J2482" s="10">
        <f>Raw_Data!$I2482/Raw_Data!$H2482</f>
        <v>187.56187624750498</v>
      </c>
    </row>
    <row r="2483" spans="1:10" x14ac:dyDescent="0.3">
      <c r="A2483" s="8">
        <v>37642</v>
      </c>
      <c r="B2483" t="str">
        <f>TEXT(Raw_Data!$A2483, "MMM")</f>
        <v>Jan</v>
      </c>
      <c r="C2483">
        <f>YEAR(Raw_Data!$A2483)</f>
        <v>2003</v>
      </c>
      <c r="D2483" t="s">
        <v>1916</v>
      </c>
      <c r="E2483" t="s">
        <v>15</v>
      </c>
      <c r="F2483" t="s">
        <v>18</v>
      </c>
      <c r="G2483">
        <v>3</v>
      </c>
      <c r="H2483">
        <v>2845</v>
      </c>
      <c r="I2483" s="1">
        <v>242977</v>
      </c>
      <c r="J2483" s="1">
        <f>Raw_Data!$I2483/Raw_Data!$H2483</f>
        <v>85.404920913884013</v>
      </c>
    </row>
    <row r="2484" spans="1:10" x14ac:dyDescent="0.3">
      <c r="A2484" s="9">
        <v>38698</v>
      </c>
      <c r="B2484" s="2" t="str">
        <f>TEXT(Raw_Data!$A2484, "MMM")</f>
        <v>Dec</v>
      </c>
      <c r="C2484" s="2">
        <f>YEAR(Raw_Data!$A2484)</f>
        <v>2005</v>
      </c>
      <c r="D2484" s="2" t="s">
        <v>1917</v>
      </c>
      <c r="E2484" s="2" t="s">
        <v>32</v>
      </c>
      <c r="F2484" s="2" t="s">
        <v>11</v>
      </c>
      <c r="G2484" s="2">
        <v>3</v>
      </c>
      <c r="H2484" s="2">
        <v>1436</v>
      </c>
      <c r="I2484" s="10">
        <v>855565</v>
      </c>
      <c r="J2484" s="10">
        <f>Raw_Data!$I2484/Raw_Data!$H2484</f>
        <v>595.79735376044573</v>
      </c>
    </row>
    <row r="2485" spans="1:10" x14ac:dyDescent="0.3">
      <c r="A2485" s="8">
        <v>43660</v>
      </c>
      <c r="B2485" t="str">
        <f>TEXT(Raw_Data!$A2485, "MMM")</f>
        <v>Jul</v>
      </c>
      <c r="C2485">
        <f>YEAR(Raw_Data!$A2485)</f>
        <v>2019</v>
      </c>
      <c r="D2485" t="s">
        <v>582</v>
      </c>
      <c r="E2485" t="s">
        <v>23</v>
      </c>
      <c r="F2485" t="s">
        <v>18</v>
      </c>
      <c r="G2485">
        <v>5</v>
      </c>
      <c r="H2485">
        <v>3487</v>
      </c>
      <c r="I2485" s="1">
        <v>421791</v>
      </c>
      <c r="J2485" s="1">
        <f>Raw_Data!$I2485/Raw_Data!$H2485</f>
        <v>120.96099799254374</v>
      </c>
    </row>
    <row r="2486" spans="1:10" x14ac:dyDescent="0.3">
      <c r="A2486" s="9">
        <v>38543</v>
      </c>
      <c r="B2486" s="2" t="str">
        <f>TEXT(Raw_Data!$A2486, "MMM")</f>
        <v>Jul</v>
      </c>
      <c r="C2486" s="2">
        <f>YEAR(Raw_Data!$A2486)</f>
        <v>2005</v>
      </c>
      <c r="D2486" s="2" t="s">
        <v>974</v>
      </c>
      <c r="E2486" s="2" t="s">
        <v>21</v>
      </c>
      <c r="F2486" s="2" t="s">
        <v>16</v>
      </c>
      <c r="G2486" s="2">
        <v>2</v>
      </c>
      <c r="H2486" s="2">
        <v>1472</v>
      </c>
      <c r="I2486" s="10">
        <v>473230</v>
      </c>
      <c r="J2486" s="10">
        <f>Raw_Data!$I2486/Raw_Data!$H2486</f>
        <v>321.48777173913044</v>
      </c>
    </row>
    <row r="2487" spans="1:10" x14ac:dyDescent="0.3">
      <c r="A2487" s="8">
        <v>39184</v>
      </c>
      <c r="B2487" t="str">
        <f>TEXT(Raw_Data!$A2487, "MMM")</f>
        <v>Apr</v>
      </c>
      <c r="C2487">
        <f>YEAR(Raw_Data!$A2487)</f>
        <v>2007</v>
      </c>
      <c r="D2487" t="s">
        <v>1918</v>
      </c>
      <c r="E2487" t="s">
        <v>32</v>
      </c>
      <c r="F2487" t="s">
        <v>11</v>
      </c>
      <c r="G2487">
        <v>3</v>
      </c>
      <c r="H2487">
        <v>1083</v>
      </c>
      <c r="I2487" s="1">
        <v>434809</v>
      </c>
      <c r="J2487" s="1">
        <f>Raw_Data!$I2487/Raw_Data!$H2487</f>
        <v>401.48568790397047</v>
      </c>
    </row>
    <row r="2488" spans="1:10" x14ac:dyDescent="0.3">
      <c r="A2488" s="9">
        <v>39697</v>
      </c>
      <c r="B2488" s="2" t="str">
        <f>TEXT(Raw_Data!$A2488, "MMM")</f>
        <v>Sep</v>
      </c>
      <c r="C2488" s="2">
        <f>YEAR(Raw_Data!$A2488)</f>
        <v>2008</v>
      </c>
      <c r="D2488" s="2" t="s">
        <v>1919</v>
      </c>
      <c r="E2488" s="2" t="s">
        <v>13</v>
      </c>
      <c r="F2488" s="2" t="s">
        <v>18</v>
      </c>
      <c r="G2488" s="2"/>
      <c r="H2488" s="2">
        <v>1960</v>
      </c>
      <c r="I2488" s="10">
        <v>300800</v>
      </c>
      <c r="J2488" s="10">
        <f>Raw_Data!$I2488/Raw_Data!$H2488</f>
        <v>153.46938775510205</v>
      </c>
    </row>
    <row r="2489" spans="1:10" x14ac:dyDescent="0.3">
      <c r="A2489" s="8">
        <v>44109</v>
      </c>
      <c r="B2489" t="str">
        <f>TEXT(Raw_Data!$A2489, "MMM")</f>
        <v>Oct</v>
      </c>
      <c r="C2489">
        <f>YEAR(Raw_Data!$A2489)</f>
        <v>2020</v>
      </c>
      <c r="D2489" t="s">
        <v>1920</v>
      </c>
      <c r="E2489" t="s">
        <v>25</v>
      </c>
      <c r="F2489" t="s">
        <v>16</v>
      </c>
      <c r="G2489">
        <v>4</v>
      </c>
      <c r="H2489">
        <v>1505</v>
      </c>
      <c r="I2489" s="1">
        <v>621135</v>
      </c>
      <c r="J2489" s="1">
        <f>Raw_Data!$I2489/Raw_Data!$H2489</f>
        <v>412.71428571428572</v>
      </c>
    </row>
    <row r="2490" spans="1:10" x14ac:dyDescent="0.3">
      <c r="A2490" s="9">
        <v>39313</v>
      </c>
      <c r="B2490" s="2" t="str">
        <f>TEXT(Raw_Data!$A2490, "MMM")</f>
        <v>Aug</v>
      </c>
      <c r="C2490" s="2">
        <f>YEAR(Raw_Data!$A2490)</f>
        <v>2007</v>
      </c>
      <c r="D2490" s="2" t="s">
        <v>1921</v>
      </c>
      <c r="E2490" s="2" t="s">
        <v>32</v>
      </c>
      <c r="F2490" s="2" t="s">
        <v>11</v>
      </c>
      <c r="G2490" s="2">
        <v>5</v>
      </c>
      <c r="H2490" s="2">
        <v>1422</v>
      </c>
      <c r="I2490" s="10">
        <v>289980</v>
      </c>
      <c r="J2490" s="10">
        <f>Raw_Data!$I2490/Raw_Data!$H2490</f>
        <v>203.92405063291139</v>
      </c>
    </row>
    <row r="2491" spans="1:10" x14ac:dyDescent="0.3">
      <c r="A2491" s="8">
        <v>42599</v>
      </c>
      <c r="B2491" t="str">
        <f>TEXT(Raw_Data!$A2491, "MMM")</f>
        <v>Aug</v>
      </c>
      <c r="C2491">
        <f>YEAR(Raw_Data!$A2491)</f>
        <v>2016</v>
      </c>
      <c r="D2491" t="s">
        <v>415</v>
      </c>
      <c r="E2491" t="s">
        <v>25</v>
      </c>
      <c r="F2491" t="s">
        <v>16</v>
      </c>
      <c r="G2491">
        <v>3</v>
      </c>
      <c r="H2491">
        <v>2078</v>
      </c>
      <c r="I2491" s="1">
        <v>891835</v>
      </c>
      <c r="J2491" s="1">
        <f>Raw_Data!$I2491/Raw_Data!$H2491</f>
        <v>429.17949951876807</v>
      </c>
    </row>
    <row r="2492" spans="1:10" x14ac:dyDescent="0.3">
      <c r="A2492" s="9">
        <v>38827</v>
      </c>
      <c r="B2492" s="2" t="str">
        <f>TEXT(Raw_Data!$A2492, "MMM")</f>
        <v>Apr</v>
      </c>
      <c r="C2492" s="2">
        <f>YEAR(Raw_Data!$A2492)</f>
        <v>2006</v>
      </c>
      <c r="D2492" s="2" t="s">
        <v>1922</v>
      </c>
      <c r="E2492" s="2" t="s">
        <v>15</v>
      </c>
      <c r="F2492" s="2" t="s">
        <v>16</v>
      </c>
      <c r="G2492" s="2">
        <v>3</v>
      </c>
      <c r="H2492" s="2">
        <v>2655</v>
      </c>
      <c r="I2492" s="10">
        <v>743263</v>
      </c>
      <c r="J2492" s="10">
        <f>Raw_Data!$I2492/Raw_Data!$H2492</f>
        <v>279.94839924670435</v>
      </c>
    </row>
    <row r="2493" spans="1:10" x14ac:dyDescent="0.3">
      <c r="A2493" s="8">
        <v>42094</v>
      </c>
      <c r="B2493" t="str">
        <f>TEXT(Raw_Data!$A2493, "MMM")</f>
        <v>Mar</v>
      </c>
      <c r="C2493">
        <f>YEAR(Raw_Data!$A2493)</f>
        <v>2015</v>
      </c>
      <c r="D2493" t="s">
        <v>1923</v>
      </c>
      <c r="E2493" t="s">
        <v>15</v>
      </c>
      <c r="F2493" t="s">
        <v>18</v>
      </c>
      <c r="H2493">
        <v>1816</v>
      </c>
      <c r="I2493" s="1">
        <v>106478</v>
      </c>
      <c r="J2493" s="1">
        <f>Raw_Data!$I2493/Raw_Data!$H2493</f>
        <v>58.633259911894271</v>
      </c>
    </row>
    <row r="2494" spans="1:10" x14ac:dyDescent="0.3">
      <c r="A2494" s="9">
        <v>41635</v>
      </c>
      <c r="B2494" s="2" t="str">
        <f>TEXT(Raw_Data!$A2494, "MMM")</f>
        <v>Dec</v>
      </c>
      <c r="C2494" s="2">
        <f>YEAR(Raw_Data!$A2494)</f>
        <v>2013</v>
      </c>
      <c r="D2494" s="2" t="s">
        <v>1544</v>
      </c>
      <c r="E2494" s="2" t="s">
        <v>29</v>
      </c>
      <c r="F2494" s="2" t="s">
        <v>27</v>
      </c>
      <c r="G2494" s="2">
        <v>5</v>
      </c>
      <c r="H2494" s="2">
        <v>2502</v>
      </c>
      <c r="I2494" s="10">
        <v>174512</v>
      </c>
      <c r="J2494" s="10">
        <f>Raw_Data!$I2494/Raw_Data!$H2494</f>
        <v>69.749000799360516</v>
      </c>
    </row>
    <row r="2495" spans="1:10" x14ac:dyDescent="0.3">
      <c r="A2495" s="8">
        <v>40369</v>
      </c>
      <c r="B2495" t="str">
        <f>TEXT(Raw_Data!$A2495, "MMM")</f>
        <v>Jul</v>
      </c>
      <c r="C2495">
        <f>YEAR(Raw_Data!$A2495)</f>
        <v>2010</v>
      </c>
      <c r="D2495" t="s">
        <v>1803</v>
      </c>
      <c r="E2495" t="s">
        <v>21</v>
      </c>
      <c r="F2495" t="s">
        <v>16</v>
      </c>
      <c r="G2495">
        <v>3</v>
      </c>
      <c r="H2495">
        <v>2046</v>
      </c>
      <c r="I2495" s="1">
        <v>823370</v>
      </c>
      <c r="J2495" s="1">
        <f>Raw_Data!$I2495/Raw_Data!$H2495</f>
        <v>402.42913000977518</v>
      </c>
    </row>
    <row r="2496" spans="1:10" x14ac:dyDescent="0.3">
      <c r="A2496" s="9">
        <v>39818</v>
      </c>
      <c r="B2496" s="2" t="str">
        <f>TEXT(Raw_Data!$A2496, "MMM")</f>
        <v>Jan</v>
      </c>
      <c r="C2496" s="2">
        <f>YEAR(Raw_Data!$A2496)</f>
        <v>2009</v>
      </c>
      <c r="D2496" s="2" t="s">
        <v>1924</v>
      </c>
      <c r="E2496" s="2" t="s">
        <v>15</v>
      </c>
      <c r="F2496" s="2" t="s">
        <v>11</v>
      </c>
      <c r="G2496" s="2">
        <v>5</v>
      </c>
      <c r="H2496" s="2">
        <v>3176</v>
      </c>
      <c r="I2496" s="10">
        <v>411085</v>
      </c>
      <c r="J2496" s="10">
        <f>Raw_Data!$I2496/Raw_Data!$H2496</f>
        <v>129.43482367758187</v>
      </c>
    </row>
    <row r="2497" spans="1:10" x14ac:dyDescent="0.3">
      <c r="A2497" s="8">
        <v>41470</v>
      </c>
      <c r="B2497" t="str">
        <f>TEXT(Raw_Data!$A2497, "MMM")</f>
        <v>Jul</v>
      </c>
      <c r="C2497">
        <f>YEAR(Raw_Data!$A2497)</f>
        <v>2013</v>
      </c>
      <c r="D2497" t="s">
        <v>550</v>
      </c>
      <c r="E2497" t="s">
        <v>32</v>
      </c>
      <c r="F2497" t="s">
        <v>11</v>
      </c>
      <c r="G2497">
        <v>2</v>
      </c>
      <c r="H2497">
        <v>2731</v>
      </c>
      <c r="I2497" s="1">
        <v>607770</v>
      </c>
      <c r="J2497" s="1">
        <f>Raw_Data!$I2497/Raw_Data!$H2497</f>
        <v>222.5448553643354</v>
      </c>
    </row>
    <row r="2498" spans="1:10" x14ac:dyDescent="0.3">
      <c r="A2498" s="9">
        <v>38214</v>
      </c>
      <c r="B2498" s="2" t="str">
        <f>TEXT(Raw_Data!$A2498, "MMM")</f>
        <v>Aug</v>
      </c>
      <c r="C2498" s="2">
        <f>YEAR(Raw_Data!$A2498)</f>
        <v>2004</v>
      </c>
      <c r="D2498" s="2" t="s">
        <v>80</v>
      </c>
      <c r="E2498" s="2" t="s">
        <v>32</v>
      </c>
      <c r="F2498" s="2" t="s">
        <v>16</v>
      </c>
      <c r="G2498" s="2"/>
      <c r="H2498" s="2">
        <v>1074</v>
      </c>
      <c r="I2498" s="10">
        <v>750363</v>
      </c>
      <c r="J2498" s="10">
        <f>Raw_Data!$I2498/Raw_Data!$H2498</f>
        <v>698.6620111731844</v>
      </c>
    </row>
    <row r="2499" spans="1:10" x14ac:dyDescent="0.3">
      <c r="A2499" s="8">
        <v>43643</v>
      </c>
      <c r="B2499" t="str">
        <f>TEXT(Raw_Data!$A2499, "MMM")</f>
        <v>Jun</v>
      </c>
      <c r="C2499">
        <f>YEAR(Raw_Data!$A2499)</f>
        <v>2019</v>
      </c>
      <c r="D2499" t="s">
        <v>1925</v>
      </c>
      <c r="E2499" t="s">
        <v>25</v>
      </c>
      <c r="F2499" t="s">
        <v>18</v>
      </c>
      <c r="G2499">
        <v>3</v>
      </c>
      <c r="H2499">
        <v>1811</v>
      </c>
      <c r="I2499" s="1">
        <v>624399</v>
      </c>
      <c r="J2499" s="1">
        <f>Raw_Data!$I2499/Raw_Data!$H2499</f>
        <v>344.78133627829931</v>
      </c>
    </row>
    <row r="2500" spans="1:10" x14ac:dyDescent="0.3">
      <c r="A2500" s="9">
        <v>43544</v>
      </c>
      <c r="B2500" s="2" t="str">
        <f>TEXT(Raw_Data!$A2500, "MMM")</f>
        <v>Mar</v>
      </c>
      <c r="C2500" s="2">
        <f>YEAR(Raw_Data!$A2500)</f>
        <v>2019</v>
      </c>
      <c r="D2500" s="2" t="s">
        <v>651</v>
      </c>
      <c r="E2500" s="2" t="s">
        <v>32</v>
      </c>
      <c r="F2500" s="2" t="s">
        <v>18</v>
      </c>
      <c r="G2500" s="2">
        <v>2</v>
      </c>
      <c r="H2500" s="2">
        <v>1827</v>
      </c>
      <c r="I2500" s="10">
        <v>633811</v>
      </c>
      <c r="J2500" s="10">
        <f>Raw_Data!$I2500/Raw_Data!$H2500</f>
        <v>346.9135194307608</v>
      </c>
    </row>
    <row r="2501" spans="1:10" x14ac:dyDescent="0.3">
      <c r="A2501" s="8">
        <v>39630</v>
      </c>
      <c r="B2501" t="str">
        <f>TEXT(Raw_Data!$A2501, "MMM")</f>
        <v>Jul</v>
      </c>
      <c r="C2501">
        <f>YEAR(Raw_Data!$A2501)</f>
        <v>2008</v>
      </c>
      <c r="D2501" t="s">
        <v>1926</v>
      </c>
      <c r="E2501" t="s">
        <v>25</v>
      </c>
      <c r="F2501" t="s">
        <v>18</v>
      </c>
      <c r="G2501">
        <v>4</v>
      </c>
      <c r="H2501">
        <v>2570</v>
      </c>
      <c r="I2501" s="1">
        <v>640234</v>
      </c>
      <c r="J2501" s="1">
        <f>Raw_Data!$I2501/Raw_Data!$H2501</f>
        <v>249.11828793774319</v>
      </c>
    </row>
    <row r="2502" spans="1:10" x14ac:dyDescent="0.3">
      <c r="A2502" s="9">
        <v>42548</v>
      </c>
      <c r="B2502" s="2" t="str">
        <f>TEXT(Raw_Data!$A2502, "MMM")</f>
        <v>Jun</v>
      </c>
      <c r="C2502" s="2">
        <f>YEAR(Raw_Data!$A2502)</f>
        <v>2016</v>
      </c>
      <c r="D2502" s="2" t="s">
        <v>837</v>
      </c>
      <c r="E2502" s="2" t="s">
        <v>29</v>
      </c>
      <c r="F2502" s="2" t="s">
        <v>16</v>
      </c>
      <c r="G2502" s="2">
        <v>5</v>
      </c>
      <c r="H2502" s="2">
        <v>2726</v>
      </c>
      <c r="I2502" s="10">
        <v>113833</v>
      </c>
      <c r="J2502" s="10">
        <f>Raw_Data!$I2502/Raw_Data!$H2502</f>
        <v>41.758253851797505</v>
      </c>
    </row>
    <row r="2503" spans="1:10" x14ac:dyDescent="0.3">
      <c r="A2503" s="8">
        <v>37572</v>
      </c>
      <c r="B2503" t="str">
        <f>TEXT(Raw_Data!$A2503, "MMM")</f>
        <v>Nov</v>
      </c>
      <c r="C2503">
        <f>YEAR(Raw_Data!$A2503)</f>
        <v>2002</v>
      </c>
      <c r="D2503" t="s">
        <v>568</v>
      </c>
      <c r="E2503" t="s">
        <v>25</v>
      </c>
      <c r="F2503" t="s">
        <v>27</v>
      </c>
      <c r="H2503">
        <v>1125</v>
      </c>
      <c r="I2503" s="1">
        <v>618932</v>
      </c>
      <c r="J2503" s="1">
        <f>Raw_Data!$I2503/Raw_Data!$H2503</f>
        <v>550.16177777777773</v>
      </c>
    </row>
    <row r="2504" spans="1:10" x14ac:dyDescent="0.3">
      <c r="A2504" s="9">
        <v>43721</v>
      </c>
      <c r="B2504" s="2" t="str">
        <f>TEXT(Raw_Data!$A2504, "MMM")</f>
        <v>Sep</v>
      </c>
      <c r="C2504" s="2">
        <f>YEAR(Raw_Data!$A2504)</f>
        <v>2019</v>
      </c>
      <c r="D2504" s="2" t="s">
        <v>1927</v>
      </c>
      <c r="E2504" s="2" t="s">
        <v>13</v>
      </c>
      <c r="F2504" s="2" t="s">
        <v>11</v>
      </c>
      <c r="G2504" s="2"/>
      <c r="H2504" s="2">
        <v>2056</v>
      </c>
      <c r="I2504" s="10">
        <v>491474</v>
      </c>
      <c r="J2504" s="10">
        <f>Raw_Data!$I2504/Raw_Data!$H2504</f>
        <v>239.04377431906616</v>
      </c>
    </row>
    <row r="2505" spans="1:10" x14ac:dyDescent="0.3">
      <c r="A2505" s="8">
        <v>39186</v>
      </c>
      <c r="B2505" t="str">
        <f>TEXT(Raw_Data!$A2505, "MMM")</f>
        <v>Apr</v>
      </c>
      <c r="C2505">
        <f>YEAR(Raw_Data!$A2505)</f>
        <v>2007</v>
      </c>
      <c r="D2505" t="s">
        <v>1928</v>
      </c>
      <c r="E2505" t="s">
        <v>29</v>
      </c>
      <c r="F2505" t="s">
        <v>16</v>
      </c>
      <c r="H2505">
        <v>1402</v>
      </c>
      <c r="I2505" s="1">
        <v>255002</v>
      </c>
      <c r="J2505" s="1">
        <f>Raw_Data!$I2505/Raw_Data!$H2505</f>
        <v>181.88445078459344</v>
      </c>
    </row>
    <row r="2506" spans="1:10" x14ac:dyDescent="0.3">
      <c r="A2506" s="9">
        <v>39028</v>
      </c>
      <c r="B2506" s="2" t="str">
        <f>TEXT(Raw_Data!$A2506, "MMM")</f>
        <v>Nov</v>
      </c>
      <c r="C2506" s="2">
        <f>YEAR(Raw_Data!$A2506)</f>
        <v>2006</v>
      </c>
      <c r="D2506" s="2" t="s">
        <v>1929</v>
      </c>
      <c r="E2506" s="2" t="s">
        <v>25</v>
      </c>
      <c r="F2506" s="2" t="s">
        <v>27</v>
      </c>
      <c r="G2506" s="2"/>
      <c r="H2506" s="2">
        <v>2461</v>
      </c>
      <c r="I2506" s="10">
        <v>331680</v>
      </c>
      <c r="J2506" s="10">
        <f>Raw_Data!$I2506/Raw_Data!$H2506</f>
        <v>134.77448191791956</v>
      </c>
    </row>
    <row r="2507" spans="1:10" x14ac:dyDescent="0.3">
      <c r="A2507" s="8">
        <v>41022</v>
      </c>
      <c r="B2507" t="str">
        <f>TEXT(Raw_Data!$A2507, "MMM")</f>
        <v>Apr</v>
      </c>
      <c r="C2507">
        <f>YEAR(Raw_Data!$A2507)</f>
        <v>2012</v>
      </c>
      <c r="D2507" t="s">
        <v>386</v>
      </c>
      <c r="E2507" t="s">
        <v>21</v>
      </c>
      <c r="F2507" t="s">
        <v>18</v>
      </c>
      <c r="G2507">
        <v>5</v>
      </c>
      <c r="H2507">
        <v>1272</v>
      </c>
      <c r="I2507" s="1">
        <v>619942</v>
      </c>
      <c r="J2507" s="1">
        <f>Raw_Data!$I2507/Raw_Data!$H2507</f>
        <v>487.37578616352204</v>
      </c>
    </row>
    <row r="2508" spans="1:10" x14ac:dyDescent="0.3">
      <c r="A2508" s="9">
        <v>39169</v>
      </c>
      <c r="B2508" s="2" t="str">
        <f>TEXT(Raw_Data!$A2508, "MMM")</f>
        <v>Mar</v>
      </c>
      <c r="C2508" s="2">
        <f>YEAR(Raw_Data!$A2508)</f>
        <v>2007</v>
      </c>
      <c r="D2508" s="2" t="s">
        <v>1930</v>
      </c>
      <c r="E2508" s="2" t="s">
        <v>21</v>
      </c>
      <c r="F2508" s="2" t="s">
        <v>16</v>
      </c>
      <c r="G2508" s="2">
        <v>4</v>
      </c>
      <c r="H2508" s="2">
        <v>2132</v>
      </c>
      <c r="I2508" s="10">
        <v>622832</v>
      </c>
      <c r="J2508" s="10">
        <f>Raw_Data!$I2508/Raw_Data!$H2508</f>
        <v>292.13508442776737</v>
      </c>
    </row>
    <row r="2509" spans="1:10" x14ac:dyDescent="0.3">
      <c r="A2509" s="8">
        <v>41992</v>
      </c>
      <c r="B2509" t="str">
        <f>TEXT(Raw_Data!$A2509, "MMM")</f>
        <v>Dec</v>
      </c>
      <c r="C2509">
        <f>YEAR(Raw_Data!$A2509)</f>
        <v>2014</v>
      </c>
      <c r="D2509" t="s">
        <v>1931</v>
      </c>
      <c r="E2509" t="s">
        <v>15</v>
      </c>
      <c r="F2509" t="s">
        <v>11</v>
      </c>
      <c r="H2509">
        <v>1122</v>
      </c>
      <c r="I2509" s="1">
        <v>361592</v>
      </c>
      <c r="J2509" s="1">
        <f>Raw_Data!$I2509/Raw_Data!$H2509</f>
        <v>322.27450980392155</v>
      </c>
    </row>
    <row r="2510" spans="1:10" x14ac:dyDescent="0.3">
      <c r="A2510" s="9">
        <v>38015</v>
      </c>
      <c r="B2510" s="2" t="str">
        <f>TEXT(Raw_Data!$A2510, "MMM")</f>
        <v>Jan</v>
      </c>
      <c r="C2510" s="2">
        <f>YEAR(Raw_Data!$A2510)</f>
        <v>2004</v>
      </c>
      <c r="D2510" s="2" t="s">
        <v>1932</v>
      </c>
      <c r="E2510" s="2" t="s">
        <v>21</v>
      </c>
      <c r="F2510" s="2" t="s">
        <v>18</v>
      </c>
      <c r="G2510" s="2">
        <v>3</v>
      </c>
      <c r="H2510" s="2">
        <v>2683</v>
      </c>
      <c r="I2510" s="10">
        <v>813260</v>
      </c>
      <c r="J2510" s="10">
        <f>Raw_Data!$I2510/Raw_Data!$H2510</f>
        <v>303.11591502049941</v>
      </c>
    </row>
    <row r="2511" spans="1:10" x14ac:dyDescent="0.3">
      <c r="A2511" s="8">
        <v>42708</v>
      </c>
      <c r="B2511" t="str">
        <f>TEXT(Raw_Data!$A2511, "MMM")</f>
        <v>Dec</v>
      </c>
      <c r="C2511">
        <f>YEAR(Raw_Data!$A2511)</f>
        <v>2016</v>
      </c>
      <c r="D2511" t="s">
        <v>1134</v>
      </c>
      <c r="E2511" t="s">
        <v>13</v>
      </c>
      <c r="F2511" t="s">
        <v>27</v>
      </c>
      <c r="G2511">
        <v>5</v>
      </c>
      <c r="H2511">
        <v>2100</v>
      </c>
      <c r="I2511" s="1">
        <v>171673</v>
      </c>
      <c r="J2511" s="1">
        <f>Raw_Data!$I2511/Raw_Data!$H2511</f>
        <v>81.749047619047616</v>
      </c>
    </row>
    <row r="2512" spans="1:10" x14ac:dyDescent="0.3">
      <c r="A2512" s="9">
        <v>36897</v>
      </c>
      <c r="B2512" s="2" t="str">
        <f>TEXT(Raw_Data!$A2512, "MMM")</f>
        <v>Jan</v>
      </c>
      <c r="C2512" s="2">
        <f>YEAR(Raw_Data!$A2512)</f>
        <v>2001</v>
      </c>
      <c r="D2512" s="2" t="s">
        <v>989</v>
      </c>
      <c r="E2512" s="2" t="s">
        <v>25</v>
      </c>
      <c r="F2512" s="2" t="s">
        <v>16</v>
      </c>
      <c r="G2512" s="2"/>
      <c r="H2512" s="2">
        <v>1527</v>
      </c>
      <c r="I2512" s="10">
        <v>438319</v>
      </c>
      <c r="J2512" s="10">
        <f>Raw_Data!$I2512/Raw_Data!$H2512</f>
        <v>287.04584151931891</v>
      </c>
    </row>
    <row r="2513" spans="1:10" x14ac:dyDescent="0.3">
      <c r="A2513" s="8">
        <v>40213</v>
      </c>
      <c r="B2513" t="str">
        <f>TEXT(Raw_Data!$A2513, "MMM")</f>
        <v>Feb</v>
      </c>
      <c r="C2513">
        <f>YEAR(Raw_Data!$A2513)</f>
        <v>2010</v>
      </c>
      <c r="D2513" t="s">
        <v>1933</v>
      </c>
      <c r="E2513" t="s">
        <v>25</v>
      </c>
      <c r="F2513" t="s">
        <v>18</v>
      </c>
      <c r="H2513">
        <v>2539</v>
      </c>
      <c r="I2513" s="1">
        <v>665735</v>
      </c>
      <c r="J2513" s="1">
        <f>Raw_Data!$I2513/Raw_Data!$H2513</f>
        <v>262.20362347380859</v>
      </c>
    </row>
    <row r="2514" spans="1:10" x14ac:dyDescent="0.3">
      <c r="A2514" s="9">
        <v>39518</v>
      </c>
      <c r="B2514" s="2" t="str">
        <f>TEXT(Raw_Data!$A2514, "MMM")</f>
        <v>Mar</v>
      </c>
      <c r="C2514" s="2">
        <f>YEAR(Raw_Data!$A2514)</f>
        <v>2008</v>
      </c>
      <c r="D2514" s="2" t="s">
        <v>600</v>
      </c>
      <c r="E2514" s="2" t="s">
        <v>21</v>
      </c>
      <c r="F2514" s="2" t="s">
        <v>18</v>
      </c>
      <c r="G2514" s="2"/>
      <c r="H2514" s="2">
        <v>898</v>
      </c>
      <c r="I2514" s="10">
        <v>441469</v>
      </c>
      <c r="J2514" s="10">
        <f>Raw_Data!$I2514/Raw_Data!$H2514</f>
        <v>491.61358574610244</v>
      </c>
    </row>
    <row r="2515" spans="1:10" x14ac:dyDescent="0.3">
      <c r="A2515" s="8">
        <v>42723</v>
      </c>
      <c r="B2515" t="str">
        <f>TEXT(Raw_Data!$A2515, "MMM")</f>
        <v>Dec</v>
      </c>
      <c r="C2515">
        <f>YEAR(Raw_Data!$A2515)</f>
        <v>2016</v>
      </c>
      <c r="D2515" t="s">
        <v>1934</v>
      </c>
      <c r="E2515" t="s">
        <v>15</v>
      </c>
      <c r="F2515" t="s">
        <v>16</v>
      </c>
      <c r="G2515">
        <v>3</v>
      </c>
      <c r="H2515">
        <v>2231</v>
      </c>
      <c r="I2515" s="1">
        <v>571205</v>
      </c>
      <c r="J2515" s="1">
        <f>Raw_Data!$I2515/Raw_Data!$H2515</f>
        <v>256.03092783505156</v>
      </c>
    </row>
    <row r="2516" spans="1:10" x14ac:dyDescent="0.3">
      <c r="A2516" s="9">
        <v>37596</v>
      </c>
      <c r="B2516" s="2" t="str">
        <f>TEXT(Raw_Data!$A2516, "MMM")</f>
        <v>Dec</v>
      </c>
      <c r="C2516" s="2">
        <f>YEAR(Raw_Data!$A2516)</f>
        <v>2002</v>
      </c>
      <c r="D2516" s="2" t="s">
        <v>902</v>
      </c>
      <c r="E2516" s="2" t="s">
        <v>25</v>
      </c>
      <c r="F2516" s="2" t="s">
        <v>27</v>
      </c>
      <c r="G2516" s="2">
        <v>5</v>
      </c>
      <c r="H2516" s="2">
        <v>3153</v>
      </c>
      <c r="I2516" s="10">
        <v>188700</v>
      </c>
      <c r="J2516" s="10">
        <f>Raw_Data!$I2516/Raw_Data!$H2516</f>
        <v>59.847764034253089</v>
      </c>
    </row>
    <row r="2517" spans="1:10" x14ac:dyDescent="0.3">
      <c r="A2517" s="8">
        <v>39467</v>
      </c>
      <c r="B2517" t="str">
        <f>TEXT(Raw_Data!$A2517, "MMM")</f>
        <v>Jan</v>
      </c>
      <c r="C2517">
        <f>YEAR(Raw_Data!$A2517)</f>
        <v>2008</v>
      </c>
      <c r="D2517" t="s">
        <v>1432</v>
      </c>
      <c r="E2517" t="s">
        <v>32</v>
      </c>
      <c r="F2517" t="s">
        <v>18</v>
      </c>
      <c r="G2517">
        <v>5</v>
      </c>
      <c r="H2517">
        <v>3205</v>
      </c>
      <c r="I2517" s="1">
        <v>362612</v>
      </c>
      <c r="J2517" s="1">
        <f>Raw_Data!$I2517/Raw_Data!$H2517</f>
        <v>113.13946957878315</v>
      </c>
    </row>
    <row r="2518" spans="1:10" x14ac:dyDescent="0.3">
      <c r="A2518" s="9">
        <v>37387</v>
      </c>
      <c r="B2518" s="2" t="str">
        <f>TEXT(Raw_Data!$A2518, "MMM")</f>
        <v>May</v>
      </c>
      <c r="C2518" s="2">
        <f>YEAR(Raw_Data!$A2518)</f>
        <v>2002</v>
      </c>
      <c r="D2518" s="2" t="s">
        <v>585</v>
      </c>
      <c r="E2518" s="2" t="s">
        <v>15</v>
      </c>
      <c r="F2518" s="2" t="s">
        <v>11</v>
      </c>
      <c r="G2518" s="2">
        <v>4</v>
      </c>
      <c r="H2518" s="2">
        <v>3016</v>
      </c>
      <c r="I2518" s="10">
        <v>675144</v>
      </c>
      <c r="J2518" s="10">
        <f>Raw_Data!$I2518/Raw_Data!$H2518</f>
        <v>223.85411140583554</v>
      </c>
    </row>
    <row r="2519" spans="1:10" x14ac:dyDescent="0.3">
      <c r="A2519" s="8">
        <v>42389</v>
      </c>
      <c r="B2519" t="str">
        <f>TEXT(Raw_Data!$A2519, "MMM")</f>
        <v>Jan</v>
      </c>
      <c r="C2519">
        <f>YEAR(Raw_Data!$A2519)</f>
        <v>2016</v>
      </c>
      <c r="D2519" t="s">
        <v>1935</v>
      </c>
      <c r="E2519" t="s">
        <v>32</v>
      </c>
      <c r="F2519" t="s">
        <v>16</v>
      </c>
      <c r="H2519">
        <v>1583</v>
      </c>
      <c r="I2519" s="1"/>
      <c r="J2519" s="1">
        <f>Raw_Data!$I2519/Raw_Data!$H2519</f>
        <v>0</v>
      </c>
    </row>
    <row r="2520" spans="1:10" x14ac:dyDescent="0.3">
      <c r="A2520" s="9">
        <v>38531</v>
      </c>
      <c r="B2520" s="2" t="str">
        <f>TEXT(Raw_Data!$A2520, "MMM")</f>
        <v>Jun</v>
      </c>
      <c r="C2520" s="2">
        <f>YEAR(Raw_Data!$A2520)</f>
        <v>2005</v>
      </c>
      <c r="D2520" s="2" t="s">
        <v>253</v>
      </c>
      <c r="E2520" s="2" t="s">
        <v>13</v>
      </c>
      <c r="F2520" s="2" t="s">
        <v>18</v>
      </c>
      <c r="G2520" s="2"/>
      <c r="H2520" s="2">
        <v>2521</v>
      </c>
      <c r="I2520" s="10">
        <v>150359</v>
      </c>
      <c r="J2520" s="10">
        <f>Raw_Data!$I2520/Raw_Data!$H2520</f>
        <v>59.642602142007142</v>
      </c>
    </row>
    <row r="2521" spans="1:10" x14ac:dyDescent="0.3">
      <c r="A2521" s="8">
        <v>38932</v>
      </c>
      <c r="B2521" t="str">
        <f>TEXT(Raw_Data!$A2521, "MMM")</f>
        <v>Aug</v>
      </c>
      <c r="C2521">
        <f>YEAR(Raw_Data!$A2521)</f>
        <v>2006</v>
      </c>
      <c r="D2521" t="s">
        <v>1936</v>
      </c>
      <c r="E2521" t="s">
        <v>15</v>
      </c>
      <c r="F2521" t="s">
        <v>16</v>
      </c>
      <c r="H2521">
        <v>2176</v>
      </c>
      <c r="I2521" s="1">
        <v>663563</v>
      </c>
      <c r="J2521" s="1">
        <f>Raw_Data!$I2521/Raw_Data!$H2521</f>
        <v>304.94623161764707</v>
      </c>
    </row>
    <row r="2522" spans="1:10" x14ac:dyDescent="0.3">
      <c r="A2522" s="9">
        <v>42444</v>
      </c>
      <c r="B2522" s="2" t="str">
        <f>TEXT(Raw_Data!$A2522, "MMM")</f>
        <v>Mar</v>
      </c>
      <c r="C2522" s="2">
        <f>YEAR(Raw_Data!$A2522)</f>
        <v>2016</v>
      </c>
      <c r="D2522" s="2" t="s">
        <v>590</v>
      </c>
      <c r="E2522" s="2" t="s">
        <v>25</v>
      </c>
      <c r="F2522" s="2" t="s">
        <v>27</v>
      </c>
      <c r="G2522" s="2"/>
      <c r="H2522" s="2">
        <v>2229</v>
      </c>
      <c r="I2522" s="10">
        <v>423593</v>
      </c>
      <c r="J2522" s="10">
        <f>Raw_Data!$I2522/Raw_Data!$H2522</f>
        <v>190.03723642889187</v>
      </c>
    </row>
    <row r="2523" spans="1:10" x14ac:dyDescent="0.3">
      <c r="A2523" s="8">
        <v>37012</v>
      </c>
      <c r="B2523" t="str">
        <f>TEXT(Raw_Data!$A2523, "MMM")</f>
        <v>May</v>
      </c>
      <c r="C2523">
        <f>YEAR(Raw_Data!$A2523)</f>
        <v>2001</v>
      </c>
      <c r="D2523" t="s">
        <v>1937</v>
      </c>
      <c r="E2523" t="s">
        <v>29</v>
      </c>
      <c r="F2523" t="s">
        <v>16</v>
      </c>
      <c r="H2523">
        <v>3185</v>
      </c>
      <c r="I2523" s="1">
        <v>747065</v>
      </c>
      <c r="J2523" s="1">
        <f>Raw_Data!$I2523/Raw_Data!$H2523</f>
        <v>234.55729984301414</v>
      </c>
    </row>
    <row r="2524" spans="1:10" x14ac:dyDescent="0.3">
      <c r="A2524" s="9">
        <v>37712</v>
      </c>
      <c r="B2524" s="2" t="str">
        <f>TEXT(Raw_Data!$A2524, "MMM")</f>
        <v>Apr</v>
      </c>
      <c r="C2524" s="2">
        <f>YEAR(Raw_Data!$A2524)</f>
        <v>2003</v>
      </c>
      <c r="D2524" s="2" t="s">
        <v>953</v>
      </c>
      <c r="E2524" s="2" t="s">
        <v>29</v>
      </c>
      <c r="F2524" s="2" t="s">
        <v>18</v>
      </c>
      <c r="G2524" s="2">
        <v>4</v>
      </c>
      <c r="H2524" s="2">
        <v>2564</v>
      </c>
      <c r="I2524" s="10">
        <v>844938</v>
      </c>
      <c r="J2524" s="10">
        <f>Raw_Data!$I2524/Raw_Data!$H2524</f>
        <v>329.53900156006239</v>
      </c>
    </row>
    <row r="2525" spans="1:10" x14ac:dyDescent="0.3">
      <c r="A2525" s="8">
        <v>37912</v>
      </c>
      <c r="B2525" t="str">
        <f>TEXT(Raw_Data!$A2525, "MMM")</f>
        <v>Oct</v>
      </c>
      <c r="C2525">
        <f>YEAR(Raw_Data!$A2525)</f>
        <v>2003</v>
      </c>
      <c r="D2525" t="s">
        <v>1938</v>
      </c>
      <c r="E2525" t="s">
        <v>21</v>
      </c>
      <c r="F2525" t="s">
        <v>16</v>
      </c>
      <c r="H2525">
        <v>2131</v>
      </c>
      <c r="I2525" s="1">
        <v>791295</v>
      </c>
      <c r="J2525" s="1">
        <f>Raw_Data!$I2525/Raw_Data!$H2525</f>
        <v>371.3256687001408</v>
      </c>
    </row>
    <row r="2526" spans="1:10" x14ac:dyDescent="0.3">
      <c r="A2526" s="9">
        <v>41646</v>
      </c>
      <c r="B2526" s="2" t="str">
        <f>TEXT(Raw_Data!$A2526, "MMM")</f>
        <v>Jan</v>
      </c>
      <c r="C2526" s="2">
        <f>YEAR(Raw_Data!$A2526)</f>
        <v>2014</v>
      </c>
      <c r="D2526" s="2" t="s">
        <v>1545</v>
      </c>
      <c r="E2526" s="2" t="s">
        <v>32</v>
      </c>
      <c r="F2526" s="2" t="s">
        <v>11</v>
      </c>
      <c r="G2526" s="2">
        <v>3</v>
      </c>
      <c r="H2526" s="2">
        <v>1276</v>
      </c>
      <c r="I2526" s="10">
        <v>114917</v>
      </c>
      <c r="J2526" s="10">
        <f>Raw_Data!$I2526/Raw_Data!$H2526</f>
        <v>90.060344827586206</v>
      </c>
    </row>
    <row r="2527" spans="1:10" x14ac:dyDescent="0.3">
      <c r="A2527" s="8">
        <v>40005</v>
      </c>
      <c r="B2527" t="str">
        <f>TEXT(Raw_Data!$A2527, "MMM")</f>
        <v>Jul</v>
      </c>
      <c r="C2527">
        <f>YEAR(Raw_Data!$A2527)</f>
        <v>2009</v>
      </c>
      <c r="D2527" t="s">
        <v>1939</v>
      </c>
      <c r="E2527" t="s">
        <v>23</v>
      </c>
      <c r="F2527" t="s">
        <v>27</v>
      </c>
      <c r="H2527">
        <v>2811</v>
      </c>
      <c r="I2527" s="1">
        <v>201785</v>
      </c>
      <c r="J2527" s="1">
        <f>Raw_Data!$I2527/Raw_Data!$H2527</f>
        <v>71.784062611170398</v>
      </c>
    </row>
    <row r="2528" spans="1:10" x14ac:dyDescent="0.3">
      <c r="A2528" s="9">
        <v>43140</v>
      </c>
      <c r="B2528" s="2" t="str">
        <f>TEXT(Raw_Data!$A2528, "MMM")</f>
        <v>Feb</v>
      </c>
      <c r="C2528" s="2">
        <f>YEAR(Raw_Data!$A2528)</f>
        <v>2018</v>
      </c>
      <c r="D2528" s="2" t="s">
        <v>1940</v>
      </c>
      <c r="E2528" s="2" t="s">
        <v>32</v>
      </c>
      <c r="F2528" s="2" t="s">
        <v>16</v>
      </c>
      <c r="G2528" s="2"/>
      <c r="H2528" s="2">
        <v>2927</v>
      </c>
      <c r="I2528" s="10">
        <v>752001</v>
      </c>
      <c r="J2528" s="10">
        <f>Raw_Data!$I2528/Raw_Data!$H2528</f>
        <v>256.91868807652889</v>
      </c>
    </row>
    <row r="2529" spans="1:10" x14ac:dyDescent="0.3">
      <c r="A2529" s="8">
        <v>41362</v>
      </c>
      <c r="B2529" t="str">
        <f>TEXT(Raw_Data!$A2529, "MMM")</f>
        <v>Mar</v>
      </c>
      <c r="C2529">
        <f>YEAR(Raw_Data!$A2529)</f>
        <v>2013</v>
      </c>
      <c r="D2529" t="s">
        <v>1215</v>
      </c>
      <c r="E2529" t="s">
        <v>15</v>
      </c>
      <c r="F2529" t="s">
        <v>27</v>
      </c>
      <c r="G2529">
        <v>4</v>
      </c>
      <c r="H2529">
        <v>1853</v>
      </c>
      <c r="I2529" s="1">
        <v>402418</v>
      </c>
      <c r="J2529" s="1">
        <f>Raw_Data!$I2529/Raw_Data!$H2529</f>
        <v>217.17107393416083</v>
      </c>
    </row>
    <row r="2530" spans="1:10" x14ac:dyDescent="0.3">
      <c r="A2530" s="9">
        <v>40675</v>
      </c>
      <c r="B2530" s="2" t="str">
        <f>TEXT(Raw_Data!$A2530, "MMM")</f>
        <v>May</v>
      </c>
      <c r="C2530" s="2">
        <f>YEAR(Raw_Data!$A2530)</f>
        <v>2011</v>
      </c>
      <c r="D2530" s="2" t="s">
        <v>1941</v>
      </c>
      <c r="E2530" s="2" t="s">
        <v>25</v>
      </c>
      <c r="F2530" s="2" t="s">
        <v>27</v>
      </c>
      <c r="G2530" s="2">
        <v>2</v>
      </c>
      <c r="H2530" s="2">
        <v>2896</v>
      </c>
      <c r="I2530" s="10">
        <v>569059</v>
      </c>
      <c r="J2530" s="10">
        <f>Raw_Data!$I2530/Raw_Data!$H2530</f>
        <v>196.49827348066299</v>
      </c>
    </row>
    <row r="2531" spans="1:10" x14ac:dyDescent="0.3">
      <c r="A2531" s="8">
        <v>38953</v>
      </c>
      <c r="B2531" t="str">
        <f>TEXT(Raw_Data!$A2531, "MMM")</f>
        <v>Aug</v>
      </c>
      <c r="C2531">
        <f>YEAR(Raw_Data!$A2531)</f>
        <v>2006</v>
      </c>
      <c r="D2531" t="s">
        <v>1942</v>
      </c>
      <c r="E2531" t="s">
        <v>32</v>
      </c>
      <c r="F2531" t="s">
        <v>27</v>
      </c>
      <c r="G2531">
        <v>2</v>
      </c>
      <c r="H2531">
        <v>3258</v>
      </c>
      <c r="I2531" s="1">
        <v>465250</v>
      </c>
      <c r="J2531" s="1">
        <f>Raw_Data!$I2531/Raw_Data!$H2531</f>
        <v>142.8023327194598</v>
      </c>
    </row>
    <row r="2532" spans="1:10" x14ac:dyDescent="0.3">
      <c r="A2532" s="9">
        <v>38076</v>
      </c>
      <c r="B2532" s="2" t="str">
        <f>TEXT(Raw_Data!$A2532, "MMM")</f>
        <v>Mar</v>
      </c>
      <c r="C2532" s="2">
        <f>YEAR(Raw_Data!$A2532)</f>
        <v>2004</v>
      </c>
      <c r="D2532" s="2" t="s">
        <v>1943</v>
      </c>
      <c r="E2532" s="2" t="s">
        <v>25</v>
      </c>
      <c r="F2532" s="2" t="s">
        <v>27</v>
      </c>
      <c r="G2532" s="2">
        <v>2</v>
      </c>
      <c r="H2532" s="2">
        <v>3252</v>
      </c>
      <c r="I2532" s="10">
        <v>774059</v>
      </c>
      <c r="J2532" s="10">
        <f>Raw_Data!$I2532/Raw_Data!$H2532</f>
        <v>238.02552275522754</v>
      </c>
    </row>
    <row r="2533" spans="1:10" x14ac:dyDescent="0.3">
      <c r="A2533" s="8">
        <v>41821</v>
      </c>
      <c r="B2533" t="str">
        <f>TEXT(Raw_Data!$A2533, "MMM")</f>
        <v>Jul</v>
      </c>
      <c r="C2533">
        <f>YEAR(Raw_Data!$A2533)</f>
        <v>2014</v>
      </c>
      <c r="D2533" t="s">
        <v>1944</v>
      </c>
      <c r="E2533" t="s">
        <v>13</v>
      </c>
      <c r="F2533" t="s">
        <v>27</v>
      </c>
      <c r="G2533">
        <v>2</v>
      </c>
      <c r="H2533">
        <v>1929</v>
      </c>
      <c r="I2533" s="1">
        <v>818283</v>
      </c>
      <c r="J2533" s="1">
        <f>Raw_Data!$I2533/Raw_Data!$H2533</f>
        <v>424.20062208398133</v>
      </c>
    </row>
    <row r="2534" spans="1:10" x14ac:dyDescent="0.3">
      <c r="A2534" s="9">
        <v>38550</v>
      </c>
      <c r="B2534" s="2" t="str">
        <f>TEXT(Raw_Data!$A2534, "MMM")</f>
        <v>Jul</v>
      </c>
      <c r="C2534" s="2">
        <f>YEAR(Raw_Data!$A2534)</f>
        <v>2005</v>
      </c>
      <c r="D2534" s="2" t="s">
        <v>1945</v>
      </c>
      <c r="E2534" s="2" t="s">
        <v>21</v>
      </c>
      <c r="F2534" s="2" t="s">
        <v>16</v>
      </c>
      <c r="G2534" s="2">
        <v>3</v>
      </c>
      <c r="H2534" s="2">
        <v>1797</v>
      </c>
      <c r="I2534" s="10">
        <v>200055</v>
      </c>
      <c r="J2534" s="10">
        <f>Raw_Data!$I2534/Raw_Data!$H2534</f>
        <v>111.32721202003339</v>
      </c>
    </row>
    <row r="2535" spans="1:10" x14ac:dyDescent="0.3">
      <c r="A2535" s="8">
        <v>40270</v>
      </c>
      <c r="B2535" t="str">
        <f>TEXT(Raw_Data!$A2535, "MMM")</f>
        <v>Apr</v>
      </c>
      <c r="C2535">
        <f>YEAR(Raw_Data!$A2535)</f>
        <v>2010</v>
      </c>
      <c r="D2535" t="s">
        <v>1946</v>
      </c>
      <c r="E2535" t="s">
        <v>21</v>
      </c>
      <c r="F2535" t="s">
        <v>27</v>
      </c>
      <c r="G2535">
        <v>4</v>
      </c>
      <c r="H2535">
        <v>1224</v>
      </c>
      <c r="I2535" s="1">
        <v>314375</v>
      </c>
      <c r="J2535" s="1">
        <f>Raw_Data!$I2535/Raw_Data!$H2535</f>
        <v>256.84232026143792</v>
      </c>
    </row>
    <row r="2536" spans="1:10" x14ac:dyDescent="0.3">
      <c r="A2536" s="9">
        <v>38220</v>
      </c>
      <c r="B2536" s="2" t="str">
        <f>TEXT(Raw_Data!$A2536, "MMM")</f>
        <v>Aug</v>
      </c>
      <c r="C2536" s="2">
        <f>YEAR(Raw_Data!$A2536)</f>
        <v>2004</v>
      </c>
      <c r="D2536" s="2" t="s">
        <v>892</v>
      </c>
      <c r="E2536" s="2" t="s">
        <v>21</v>
      </c>
      <c r="F2536" s="2" t="s">
        <v>27</v>
      </c>
      <c r="G2536" s="2"/>
      <c r="H2536" s="2">
        <v>2603</v>
      </c>
      <c r="I2536" s="10">
        <v>254546</v>
      </c>
      <c r="J2536" s="10">
        <f>Raw_Data!$I2536/Raw_Data!$H2536</f>
        <v>97.78947368421052</v>
      </c>
    </row>
    <row r="2537" spans="1:10" x14ac:dyDescent="0.3">
      <c r="A2537" s="8">
        <v>43835</v>
      </c>
      <c r="B2537" t="str">
        <f>TEXT(Raw_Data!$A2537, "MMM")</f>
        <v>Jan</v>
      </c>
      <c r="C2537">
        <f>YEAR(Raw_Data!$A2537)</f>
        <v>2020</v>
      </c>
      <c r="D2537" t="s">
        <v>1947</v>
      </c>
      <c r="E2537" t="s">
        <v>21</v>
      </c>
      <c r="F2537" t="s">
        <v>27</v>
      </c>
      <c r="G2537">
        <v>2</v>
      </c>
      <c r="H2537">
        <v>2956</v>
      </c>
      <c r="I2537" s="1"/>
      <c r="J2537" s="1">
        <f>Raw_Data!$I2537/Raw_Data!$H2537</f>
        <v>0</v>
      </c>
    </row>
    <row r="2538" spans="1:10" x14ac:dyDescent="0.3">
      <c r="A2538" s="9">
        <v>38085</v>
      </c>
      <c r="B2538" s="2" t="str">
        <f>TEXT(Raw_Data!$A2538, "MMM")</f>
        <v>Apr</v>
      </c>
      <c r="C2538" s="2">
        <f>YEAR(Raw_Data!$A2538)</f>
        <v>2004</v>
      </c>
      <c r="D2538" s="2" t="s">
        <v>1948</v>
      </c>
      <c r="E2538" s="2" t="s">
        <v>23</v>
      </c>
      <c r="F2538" s="2" t="s">
        <v>16</v>
      </c>
      <c r="G2538" s="2"/>
      <c r="H2538" s="2">
        <v>1764</v>
      </c>
      <c r="I2538" s="10">
        <v>687106</v>
      </c>
      <c r="J2538" s="10">
        <f>Raw_Data!$I2538/Raw_Data!$H2538</f>
        <v>389.51587301587301</v>
      </c>
    </row>
    <row r="2539" spans="1:10" x14ac:dyDescent="0.3">
      <c r="A2539" s="8">
        <v>44088</v>
      </c>
      <c r="B2539" t="str">
        <f>TEXT(Raw_Data!$A2539, "MMM")</f>
        <v>Sep</v>
      </c>
      <c r="C2539">
        <f>YEAR(Raw_Data!$A2539)</f>
        <v>2020</v>
      </c>
      <c r="D2539" t="s">
        <v>1949</v>
      </c>
      <c r="E2539" t="s">
        <v>32</v>
      </c>
      <c r="F2539" t="s">
        <v>18</v>
      </c>
      <c r="G2539">
        <v>2</v>
      </c>
      <c r="H2539">
        <v>2968</v>
      </c>
      <c r="I2539" s="1">
        <v>834596</v>
      </c>
      <c r="J2539" s="1">
        <f>Raw_Data!$I2539/Raw_Data!$H2539</f>
        <v>281.19811320754718</v>
      </c>
    </row>
    <row r="2540" spans="1:10" x14ac:dyDescent="0.3">
      <c r="A2540" s="9">
        <v>38886</v>
      </c>
      <c r="B2540" s="2" t="str">
        <f>TEXT(Raw_Data!$A2540, "MMM")</f>
        <v>Jun</v>
      </c>
      <c r="C2540" s="2">
        <f>YEAR(Raw_Data!$A2540)</f>
        <v>2006</v>
      </c>
      <c r="D2540" s="2" t="s">
        <v>1950</v>
      </c>
      <c r="E2540" s="2" t="s">
        <v>15</v>
      </c>
      <c r="F2540" s="2" t="s">
        <v>27</v>
      </c>
      <c r="G2540" s="2"/>
      <c r="H2540" s="2">
        <v>3054</v>
      </c>
      <c r="I2540" s="10">
        <v>295130</v>
      </c>
      <c r="J2540" s="10">
        <f>Raw_Data!$I2540/Raw_Data!$H2540</f>
        <v>96.637197118533066</v>
      </c>
    </row>
    <row r="2541" spans="1:10" x14ac:dyDescent="0.3">
      <c r="A2541" s="8">
        <v>38054</v>
      </c>
      <c r="B2541" t="str">
        <f>TEXT(Raw_Data!$A2541, "MMM")</f>
        <v>Mar</v>
      </c>
      <c r="C2541">
        <f>YEAR(Raw_Data!$A2541)</f>
        <v>2004</v>
      </c>
      <c r="D2541" t="s">
        <v>207</v>
      </c>
      <c r="E2541" t="s">
        <v>21</v>
      </c>
      <c r="F2541" t="s">
        <v>27</v>
      </c>
      <c r="G2541">
        <v>3</v>
      </c>
      <c r="H2541">
        <v>2160</v>
      </c>
      <c r="I2541" s="1">
        <v>280806</v>
      </c>
      <c r="J2541" s="1">
        <f>Raw_Data!$I2541/Raw_Data!$H2541</f>
        <v>130.00277777777777</v>
      </c>
    </row>
    <row r="2542" spans="1:10" x14ac:dyDescent="0.3">
      <c r="A2542" s="9">
        <v>37026</v>
      </c>
      <c r="B2542" s="2" t="str">
        <f>TEXT(Raw_Data!$A2542, "MMM")</f>
        <v>May</v>
      </c>
      <c r="C2542" s="2">
        <f>YEAR(Raw_Data!$A2542)</f>
        <v>2001</v>
      </c>
      <c r="D2542" s="2" t="s">
        <v>1951</v>
      </c>
      <c r="E2542" s="2" t="s">
        <v>21</v>
      </c>
      <c r="F2542" s="2" t="s">
        <v>27</v>
      </c>
      <c r="G2542" s="2"/>
      <c r="H2542" s="2">
        <v>1644</v>
      </c>
      <c r="I2542" s="10">
        <v>703237</v>
      </c>
      <c r="J2542" s="10">
        <f>Raw_Data!$I2542/Raw_Data!$H2542</f>
        <v>427.7597323600973</v>
      </c>
    </row>
    <row r="2543" spans="1:10" x14ac:dyDescent="0.3">
      <c r="A2543" s="8">
        <v>43321</v>
      </c>
      <c r="B2543" t="str">
        <f>TEXT(Raw_Data!$A2543, "MMM")</f>
        <v>Aug</v>
      </c>
      <c r="C2543">
        <f>YEAR(Raw_Data!$A2543)</f>
        <v>2018</v>
      </c>
      <c r="D2543" t="s">
        <v>1952</v>
      </c>
      <c r="E2543" t="s">
        <v>23</v>
      </c>
      <c r="F2543" t="s">
        <v>16</v>
      </c>
      <c r="G2543">
        <v>4</v>
      </c>
      <c r="H2543">
        <v>2416</v>
      </c>
      <c r="I2543" s="1">
        <v>647785</v>
      </c>
      <c r="J2543" s="1">
        <f>Raw_Data!$I2543/Raw_Data!$H2543</f>
        <v>268.12293046357615</v>
      </c>
    </row>
    <row r="2544" spans="1:10" x14ac:dyDescent="0.3">
      <c r="A2544" s="9">
        <v>40141</v>
      </c>
      <c r="B2544" s="2" t="str">
        <f>TEXT(Raw_Data!$A2544, "MMM")</f>
        <v>Nov</v>
      </c>
      <c r="C2544" s="2">
        <f>YEAR(Raw_Data!$A2544)</f>
        <v>2009</v>
      </c>
      <c r="D2544" s="2" t="s">
        <v>1953</v>
      </c>
      <c r="E2544" s="2" t="s">
        <v>25</v>
      </c>
      <c r="F2544" s="2" t="s">
        <v>11</v>
      </c>
      <c r="G2544" s="2">
        <v>3</v>
      </c>
      <c r="H2544" s="2">
        <v>2577</v>
      </c>
      <c r="I2544" s="10">
        <v>244171</v>
      </c>
      <c r="J2544" s="10">
        <f>Raw_Data!$I2544/Raw_Data!$H2544</f>
        <v>94.750097012029485</v>
      </c>
    </row>
    <row r="2545" spans="1:10" x14ac:dyDescent="0.3">
      <c r="A2545" s="8">
        <v>42666</v>
      </c>
      <c r="B2545" t="str">
        <f>TEXT(Raw_Data!$A2545, "MMM")</f>
        <v>Oct</v>
      </c>
      <c r="C2545">
        <f>YEAR(Raw_Data!$A2545)</f>
        <v>2016</v>
      </c>
      <c r="D2545" t="s">
        <v>1954</v>
      </c>
      <c r="E2545" t="s">
        <v>15</v>
      </c>
      <c r="F2545" t="s">
        <v>11</v>
      </c>
      <c r="G2545">
        <v>4</v>
      </c>
      <c r="H2545">
        <v>2649</v>
      </c>
      <c r="I2545" s="1"/>
      <c r="J2545" s="1">
        <f>Raw_Data!$I2545/Raw_Data!$H2545</f>
        <v>0</v>
      </c>
    </row>
    <row r="2546" spans="1:10" x14ac:dyDescent="0.3">
      <c r="A2546" s="9">
        <v>43472</v>
      </c>
      <c r="B2546" s="2" t="str">
        <f>TEXT(Raw_Data!$A2546, "MMM")</f>
        <v>Jan</v>
      </c>
      <c r="C2546" s="2">
        <f>YEAR(Raw_Data!$A2546)</f>
        <v>2019</v>
      </c>
      <c r="D2546" s="2" t="s">
        <v>1955</v>
      </c>
      <c r="E2546" s="2" t="s">
        <v>23</v>
      </c>
      <c r="F2546" s="2" t="s">
        <v>11</v>
      </c>
      <c r="G2546" s="2">
        <v>2</v>
      </c>
      <c r="H2546" s="2">
        <v>987</v>
      </c>
      <c r="I2546" s="10">
        <v>550682</v>
      </c>
      <c r="J2546" s="10">
        <f>Raw_Data!$I2546/Raw_Data!$H2546</f>
        <v>557.93515704154004</v>
      </c>
    </row>
    <row r="2547" spans="1:10" x14ac:dyDescent="0.3">
      <c r="A2547" s="8">
        <v>43019</v>
      </c>
      <c r="B2547" t="str">
        <f>TEXT(Raw_Data!$A2547, "MMM")</f>
        <v>Oct</v>
      </c>
      <c r="C2547">
        <f>YEAR(Raw_Data!$A2547)</f>
        <v>2017</v>
      </c>
      <c r="D2547" t="s">
        <v>1956</v>
      </c>
      <c r="E2547" t="s">
        <v>21</v>
      </c>
      <c r="F2547" t="s">
        <v>27</v>
      </c>
      <c r="G2547">
        <v>4</v>
      </c>
      <c r="H2547">
        <v>1087</v>
      </c>
      <c r="I2547" s="1">
        <v>157976</v>
      </c>
      <c r="J2547" s="1">
        <f>Raw_Data!$I2547/Raw_Data!$H2547</f>
        <v>145.33210671573138</v>
      </c>
    </row>
    <row r="2548" spans="1:10" x14ac:dyDescent="0.3">
      <c r="A2548" s="9">
        <v>39852</v>
      </c>
      <c r="B2548" s="2" t="str">
        <f>TEXT(Raw_Data!$A2548, "MMM")</f>
        <v>Feb</v>
      </c>
      <c r="C2548" s="2">
        <f>YEAR(Raw_Data!$A2548)</f>
        <v>2009</v>
      </c>
      <c r="D2548" s="2" t="s">
        <v>1957</v>
      </c>
      <c r="E2548" s="2" t="s">
        <v>15</v>
      </c>
      <c r="F2548" s="2" t="s">
        <v>16</v>
      </c>
      <c r="G2548" s="2"/>
      <c r="H2548" s="2">
        <v>2294</v>
      </c>
      <c r="I2548" s="10">
        <v>452443</v>
      </c>
      <c r="J2548" s="10">
        <f>Raw_Data!$I2548/Raw_Data!$H2548</f>
        <v>197.22885789014822</v>
      </c>
    </row>
    <row r="2549" spans="1:10" x14ac:dyDescent="0.3">
      <c r="A2549" s="8">
        <v>37076</v>
      </c>
      <c r="B2549" t="str">
        <f>TEXT(Raw_Data!$A2549, "MMM")</f>
        <v>Jul</v>
      </c>
      <c r="C2549">
        <f>YEAR(Raw_Data!$A2549)</f>
        <v>2001</v>
      </c>
      <c r="D2549" t="s">
        <v>1958</v>
      </c>
      <c r="E2549" t="s">
        <v>13</v>
      </c>
      <c r="F2549" t="s">
        <v>11</v>
      </c>
      <c r="G2549">
        <v>2</v>
      </c>
      <c r="H2549">
        <v>2692</v>
      </c>
      <c r="I2549" s="1">
        <v>815452</v>
      </c>
      <c r="J2549" s="1">
        <f>Raw_Data!$I2549/Raw_Data!$H2549</f>
        <v>302.91679049034173</v>
      </c>
    </row>
    <row r="2550" spans="1:10" x14ac:dyDescent="0.3">
      <c r="A2550" s="9">
        <v>43149</v>
      </c>
      <c r="B2550" s="2" t="str">
        <f>TEXT(Raw_Data!$A2550, "MMM")</f>
        <v>Feb</v>
      </c>
      <c r="C2550" s="2">
        <f>YEAR(Raw_Data!$A2550)</f>
        <v>2018</v>
      </c>
      <c r="D2550" s="2" t="s">
        <v>924</v>
      </c>
      <c r="E2550" s="2" t="s">
        <v>13</v>
      </c>
      <c r="F2550" s="2" t="s">
        <v>11</v>
      </c>
      <c r="G2550" s="2"/>
      <c r="H2550" s="2">
        <v>3023</v>
      </c>
      <c r="I2550" s="10">
        <v>502985</v>
      </c>
      <c r="J2550" s="10">
        <f>Raw_Data!$I2550/Raw_Data!$H2550</f>
        <v>166.38604035726101</v>
      </c>
    </row>
    <row r="2551" spans="1:10" x14ac:dyDescent="0.3">
      <c r="A2551" s="8">
        <v>38755</v>
      </c>
      <c r="B2551" t="str">
        <f>TEXT(Raw_Data!$A2551, "MMM")</f>
        <v>Feb</v>
      </c>
      <c r="C2551">
        <f>YEAR(Raw_Data!$A2551)</f>
        <v>2006</v>
      </c>
      <c r="D2551" t="s">
        <v>1214</v>
      </c>
      <c r="E2551" t="s">
        <v>32</v>
      </c>
      <c r="F2551" t="s">
        <v>18</v>
      </c>
      <c r="G2551">
        <v>4</v>
      </c>
      <c r="H2551">
        <v>1827</v>
      </c>
      <c r="I2551" s="1">
        <v>270150</v>
      </c>
      <c r="J2551" s="1">
        <f>Raw_Data!$I2551/Raw_Data!$H2551</f>
        <v>147.86535303776682</v>
      </c>
    </row>
    <row r="2552" spans="1:10" x14ac:dyDescent="0.3">
      <c r="A2552" s="9">
        <v>37571</v>
      </c>
      <c r="B2552" s="2" t="str">
        <f>TEXT(Raw_Data!$A2552, "MMM")</f>
        <v>Nov</v>
      </c>
      <c r="C2552" s="2">
        <f>YEAR(Raw_Data!$A2552)</f>
        <v>2002</v>
      </c>
      <c r="D2552" s="2" t="s">
        <v>1959</v>
      </c>
      <c r="E2552" s="2" t="s">
        <v>32</v>
      </c>
      <c r="F2552" s="2" t="s">
        <v>11</v>
      </c>
      <c r="G2552" s="2">
        <v>3</v>
      </c>
      <c r="H2552" s="2">
        <v>3406</v>
      </c>
      <c r="I2552" s="10">
        <v>616722</v>
      </c>
      <c r="J2552" s="10">
        <f>Raw_Data!$I2552/Raw_Data!$H2552</f>
        <v>181.06928948913682</v>
      </c>
    </row>
    <row r="2553" spans="1:10" x14ac:dyDescent="0.3">
      <c r="A2553" s="8">
        <v>43237</v>
      </c>
      <c r="B2553" t="str">
        <f>TEXT(Raw_Data!$A2553, "MMM")</f>
        <v>May</v>
      </c>
      <c r="C2553">
        <f>YEAR(Raw_Data!$A2553)</f>
        <v>2018</v>
      </c>
      <c r="D2553" t="s">
        <v>1960</v>
      </c>
      <c r="E2553" t="s">
        <v>32</v>
      </c>
      <c r="F2553" t="s">
        <v>27</v>
      </c>
      <c r="G2553">
        <v>2</v>
      </c>
      <c r="H2553">
        <v>1169</v>
      </c>
      <c r="I2553" s="1">
        <v>606375</v>
      </c>
      <c r="J2553" s="1">
        <f>Raw_Data!$I2553/Raw_Data!$H2553</f>
        <v>518.71257485029935</v>
      </c>
    </row>
    <row r="2554" spans="1:10" x14ac:dyDescent="0.3">
      <c r="A2554" s="9">
        <v>38764</v>
      </c>
      <c r="B2554" s="2" t="str">
        <f>TEXT(Raw_Data!$A2554, "MMM")</f>
        <v>Feb</v>
      </c>
      <c r="C2554" s="2">
        <f>YEAR(Raw_Data!$A2554)</f>
        <v>2006</v>
      </c>
      <c r="D2554" s="2" t="s">
        <v>1101</v>
      </c>
      <c r="E2554" s="2" t="s">
        <v>15</v>
      </c>
      <c r="F2554" s="2" t="s">
        <v>16</v>
      </c>
      <c r="G2554" s="2">
        <v>4</v>
      </c>
      <c r="H2554" s="2">
        <v>2118</v>
      </c>
      <c r="I2554" s="10">
        <v>465725</v>
      </c>
      <c r="J2554" s="10">
        <f>Raw_Data!$I2554/Raw_Data!$H2554</f>
        <v>219.8890462700661</v>
      </c>
    </row>
    <row r="2555" spans="1:10" x14ac:dyDescent="0.3">
      <c r="A2555" s="8">
        <v>41939</v>
      </c>
      <c r="B2555" t="str">
        <f>TEXT(Raw_Data!$A2555, "MMM")</f>
        <v>Oct</v>
      </c>
      <c r="C2555">
        <f>YEAR(Raw_Data!$A2555)</f>
        <v>2014</v>
      </c>
      <c r="D2555" t="s">
        <v>575</v>
      </c>
      <c r="E2555" t="s">
        <v>32</v>
      </c>
      <c r="F2555" t="s">
        <v>27</v>
      </c>
      <c r="G2555">
        <v>3</v>
      </c>
      <c r="H2555">
        <v>1636</v>
      </c>
      <c r="I2555" s="1">
        <v>617371</v>
      </c>
      <c r="J2555" s="1">
        <f>Raw_Data!$I2555/Raw_Data!$H2555</f>
        <v>377.36613691931541</v>
      </c>
    </row>
    <row r="2556" spans="1:10" x14ac:dyDescent="0.3">
      <c r="A2556" s="9">
        <v>42762</v>
      </c>
      <c r="B2556" s="2" t="str">
        <f>TEXT(Raw_Data!$A2556, "MMM")</f>
        <v>Jan</v>
      </c>
      <c r="C2556" s="2">
        <f>YEAR(Raw_Data!$A2556)</f>
        <v>2017</v>
      </c>
      <c r="D2556" s="2" t="s">
        <v>1961</v>
      </c>
      <c r="E2556" s="2" t="s">
        <v>21</v>
      </c>
      <c r="F2556" s="2" t="s">
        <v>11</v>
      </c>
      <c r="G2556" s="2">
        <v>3</v>
      </c>
      <c r="H2556" s="2">
        <v>1533</v>
      </c>
      <c r="I2556" s="10">
        <v>204207</v>
      </c>
      <c r="J2556" s="10">
        <f>Raw_Data!$I2556/Raw_Data!$H2556</f>
        <v>133.20743639921722</v>
      </c>
    </row>
    <row r="2557" spans="1:10" x14ac:dyDescent="0.3">
      <c r="A2557" s="8">
        <v>40154</v>
      </c>
      <c r="B2557" t="str">
        <f>TEXT(Raw_Data!$A2557, "MMM")</f>
        <v>Dec</v>
      </c>
      <c r="C2557">
        <f>YEAR(Raw_Data!$A2557)</f>
        <v>2009</v>
      </c>
      <c r="D2557" t="s">
        <v>1962</v>
      </c>
      <c r="E2557" t="s">
        <v>25</v>
      </c>
      <c r="F2557" t="s">
        <v>27</v>
      </c>
      <c r="G2557">
        <v>3</v>
      </c>
      <c r="H2557">
        <v>2134</v>
      </c>
      <c r="I2557" s="1">
        <v>315690</v>
      </c>
      <c r="J2557" s="1">
        <f>Raw_Data!$I2557/Raw_Data!$H2557</f>
        <v>147.93345829428304</v>
      </c>
    </row>
    <row r="2558" spans="1:10" x14ac:dyDescent="0.3">
      <c r="A2558" s="9">
        <v>37642</v>
      </c>
      <c r="B2558" s="2" t="str">
        <f>TEXT(Raw_Data!$A2558, "MMM")</f>
        <v>Jan</v>
      </c>
      <c r="C2558" s="2">
        <f>YEAR(Raw_Data!$A2558)</f>
        <v>2003</v>
      </c>
      <c r="D2558" s="2" t="s">
        <v>364</v>
      </c>
      <c r="E2558" s="2" t="s">
        <v>29</v>
      </c>
      <c r="F2558" s="2" t="s">
        <v>16</v>
      </c>
      <c r="G2558" s="2">
        <v>2</v>
      </c>
      <c r="H2558" s="2">
        <v>1289</v>
      </c>
      <c r="I2558" s="10">
        <v>442090</v>
      </c>
      <c r="J2558" s="10">
        <f>Raw_Data!$I2558/Raw_Data!$H2558</f>
        <v>342.9712955779674</v>
      </c>
    </row>
    <row r="2559" spans="1:10" x14ac:dyDescent="0.3">
      <c r="A2559" s="8">
        <v>37833</v>
      </c>
      <c r="B2559" t="str">
        <f>TEXT(Raw_Data!$A2559, "MMM")</f>
        <v>Jul</v>
      </c>
      <c r="C2559">
        <f>YEAR(Raw_Data!$A2559)</f>
        <v>2003</v>
      </c>
      <c r="D2559" t="s">
        <v>1963</v>
      </c>
      <c r="E2559" t="s">
        <v>13</v>
      </c>
      <c r="F2559" t="s">
        <v>11</v>
      </c>
      <c r="H2559">
        <v>2423</v>
      </c>
      <c r="I2559" s="1">
        <v>199383</v>
      </c>
      <c r="J2559" s="1">
        <f>Raw_Data!$I2559/Raw_Data!$H2559</f>
        <v>82.287659925711921</v>
      </c>
    </row>
    <row r="2560" spans="1:10" x14ac:dyDescent="0.3">
      <c r="A2560" s="9">
        <v>38768</v>
      </c>
      <c r="B2560" s="2" t="str">
        <f>TEXT(Raw_Data!$A2560, "MMM")</f>
        <v>Feb</v>
      </c>
      <c r="C2560" s="2">
        <f>YEAR(Raw_Data!$A2560)</f>
        <v>2006</v>
      </c>
      <c r="D2560" s="2" t="s">
        <v>1964</v>
      </c>
      <c r="E2560" s="2" t="s">
        <v>15</v>
      </c>
      <c r="F2560" s="2" t="s">
        <v>16</v>
      </c>
      <c r="G2560" s="2">
        <v>2</v>
      </c>
      <c r="H2560" s="2">
        <v>3475</v>
      </c>
      <c r="I2560" s="10">
        <v>859633</v>
      </c>
      <c r="J2560" s="10">
        <f>Raw_Data!$I2560/Raw_Data!$H2560</f>
        <v>247.37640287769784</v>
      </c>
    </row>
    <row r="2561" spans="1:10" x14ac:dyDescent="0.3">
      <c r="A2561" s="8">
        <v>38956</v>
      </c>
      <c r="B2561" t="str">
        <f>TEXT(Raw_Data!$A2561, "MMM")</f>
        <v>Aug</v>
      </c>
      <c r="C2561">
        <f>YEAR(Raw_Data!$A2561)</f>
        <v>2006</v>
      </c>
      <c r="D2561" t="s">
        <v>1965</v>
      </c>
      <c r="E2561" t="s">
        <v>32</v>
      </c>
      <c r="F2561" t="s">
        <v>16</v>
      </c>
      <c r="H2561">
        <v>1709</v>
      </c>
      <c r="I2561" s="1">
        <v>429937</v>
      </c>
      <c r="J2561" s="1">
        <f>Raw_Data!$I2561/Raw_Data!$H2561</f>
        <v>251.57226448215332</v>
      </c>
    </row>
    <row r="2562" spans="1:10" x14ac:dyDescent="0.3">
      <c r="A2562" s="9">
        <v>43861</v>
      </c>
      <c r="B2562" s="2" t="str">
        <f>TEXT(Raw_Data!$A2562, "MMM")</f>
        <v>Jan</v>
      </c>
      <c r="C2562" s="2">
        <f>YEAR(Raw_Data!$A2562)</f>
        <v>2020</v>
      </c>
      <c r="D2562" s="2" t="s">
        <v>1966</v>
      </c>
      <c r="E2562" s="2" t="s">
        <v>32</v>
      </c>
      <c r="F2562" s="2" t="s">
        <v>11</v>
      </c>
      <c r="G2562" s="2">
        <v>2</v>
      </c>
      <c r="H2562" s="2">
        <v>2986</v>
      </c>
      <c r="I2562" s="10">
        <v>885732</v>
      </c>
      <c r="J2562" s="10">
        <f>Raw_Data!$I2562/Raw_Data!$H2562</f>
        <v>296.6282652377763</v>
      </c>
    </row>
    <row r="2563" spans="1:10" x14ac:dyDescent="0.3">
      <c r="A2563" s="8">
        <v>39920</v>
      </c>
      <c r="B2563" t="str">
        <f>TEXT(Raw_Data!$A2563, "MMM")</f>
        <v>Apr</v>
      </c>
      <c r="C2563">
        <f>YEAR(Raw_Data!$A2563)</f>
        <v>2009</v>
      </c>
      <c r="D2563" t="s">
        <v>1368</v>
      </c>
      <c r="E2563" t="s">
        <v>32</v>
      </c>
      <c r="F2563" t="s">
        <v>18</v>
      </c>
      <c r="G2563">
        <v>4</v>
      </c>
      <c r="H2563">
        <v>2064</v>
      </c>
      <c r="I2563" s="1">
        <v>461906</v>
      </c>
      <c r="J2563" s="1">
        <f>Raw_Data!$I2563/Raw_Data!$H2563</f>
        <v>223.79166666666666</v>
      </c>
    </row>
    <row r="2564" spans="1:10" x14ac:dyDescent="0.3">
      <c r="A2564" s="9">
        <v>44152</v>
      </c>
      <c r="B2564" s="2" t="str">
        <f>TEXT(Raw_Data!$A2564, "MMM")</f>
        <v>Nov</v>
      </c>
      <c r="C2564" s="2">
        <f>YEAR(Raw_Data!$A2564)</f>
        <v>2020</v>
      </c>
      <c r="D2564" s="2" t="s">
        <v>53</v>
      </c>
      <c r="E2564" s="2" t="s">
        <v>15</v>
      </c>
      <c r="F2564" s="2" t="s">
        <v>11</v>
      </c>
      <c r="G2564" s="2">
        <v>5</v>
      </c>
      <c r="H2564" s="2">
        <v>2132</v>
      </c>
      <c r="I2564" s="10"/>
      <c r="J2564" s="10">
        <f>Raw_Data!$I2564/Raw_Data!$H2564</f>
        <v>0</v>
      </c>
    </row>
    <row r="2565" spans="1:10" x14ac:dyDescent="0.3">
      <c r="A2565" s="8">
        <v>38271</v>
      </c>
      <c r="B2565" t="str">
        <f>TEXT(Raw_Data!$A2565, "MMM")</f>
        <v>Oct</v>
      </c>
      <c r="C2565">
        <f>YEAR(Raw_Data!$A2565)</f>
        <v>2004</v>
      </c>
      <c r="D2565" t="s">
        <v>1967</v>
      </c>
      <c r="E2565" t="s">
        <v>32</v>
      </c>
      <c r="F2565" t="s">
        <v>16</v>
      </c>
      <c r="G2565">
        <v>3</v>
      </c>
      <c r="H2565">
        <v>2537</v>
      </c>
      <c r="I2565" s="1">
        <v>518765</v>
      </c>
      <c r="J2565" s="1">
        <f>Raw_Data!$I2565/Raw_Data!$H2565</f>
        <v>204.47970043358296</v>
      </c>
    </row>
    <row r="2566" spans="1:10" x14ac:dyDescent="0.3">
      <c r="A2566" s="9">
        <v>42806</v>
      </c>
      <c r="B2566" s="2" t="str">
        <f>TEXT(Raw_Data!$A2566, "MMM")</f>
        <v>Mar</v>
      </c>
      <c r="C2566" s="2">
        <f>YEAR(Raw_Data!$A2566)</f>
        <v>2017</v>
      </c>
      <c r="D2566" s="2" t="s">
        <v>1202</v>
      </c>
      <c r="E2566" s="2" t="s">
        <v>32</v>
      </c>
      <c r="F2566" s="2" t="s">
        <v>18</v>
      </c>
      <c r="G2566" s="2">
        <v>2</v>
      </c>
      <c r="H2566" s="2">
        <v>2521</v>
      </c>
      <c r="I2566" s="10">
        <v>344733</v>
      </c>
      <c r="J2566" s="10">
        <f>Raw_Data!$I2566/Raw_Data!$H2566</f>
        <v>136.74454581515272</v>
      </c>
    </row>
    <row r="2567" spans="1:10" x14ac:dyDescent="0.3">
      <c r="A2567" s="8">
        <v>42013</v>
      </c>
      <c r="B2567" t="str">
        <f>TEXT(Raw_Data!$A2567, "MMM")</f>
        <v>Jan</v>
      </c>
      <c r="C2567">
        <f>YEAR(Raw_Data!$A2567)</f>
        <v>2015</v>
      </c>
      <c r="D2567" t="s">
        <v>1396</v>
      </c>
      <c r="E2567" t="s">
        <v>23</v>
      </c>
      <c r="F2567" t="s">
        <v>27</v>
      </c>
      <c r="H2567">
        <v>1302</v>
      </c>
      <c r="I2567" s="1">
        <v>677170</v>
      </c>
      <c r="J2567" s="1">
        <f>Raw_Data!$I2567/Raw_Data!$H2567</f>
        <v>520.09984639016898</v>
      </c>
    </row>
    <row r="2568" spans="1:10" x14ac:dyDescent="0.3">
      <c r="A2568" s="9">
        <v>42384</v>
      </c>
      <c r="B2568" s="2" t="str">
        <f>TEXT(Raw_Data!$A2568, "MMM")</f>
        <v>Jan</v>
      </c>
      <c r="C2568" s="2">
        <f>YEAR(Raw_Data!$A2568)</f>
        <v>2016</v>
      </c>
      <c r="D2568" s="2" t="s">
        <v>1250</v>
      </c>
      <c r="E2568" s="2" t="s">
        <v>13</v>
      </c>
      <c r="F2568" s="2" t="s">
        <v>11</v>
      </c>
      <c r="G2568" s="2"/>
      <c r="H2568" s="2">
        <v>1949</v>
      </c>
      <c r="I2568" s="10">
        <v>842193</v>
      </c>
      <c r="J2568" s="10">
        <f>Raw_Data!$I2568/Raw_Data!$H2568</f>
        <v>432.11544381734222</v>
      </c>
    </row>
    <row r="2569" spans="1:10" x14ac:dyDescent="0.3">
      <c r="A2569" s="8">
        <v>43219</v>
      </c>
      <c r="B2569" t="str">
        <f>TEXT(Raw_Data!$A2569, "MMM")</f>
        <v>Apr</v>
      </c>
      <c r="C2569">
        <f>YEAR(Raw_Data!$A2569)</f>
        <v>2018</v>
      </c>
      <c r="D2569" t="s">
        <v>1968</v>
      </c>
      <c r="E2569" t="s">
        <v>13</v>
      </c>
      <c r="F2569" t="s">
        <v>16</v>
      </c>
      <c r="H2569">
        <v>1615</v>
      </c>
      <c r="I2569" s="1">
        <v>845037</v>
      </c>
      <c r="J2569" s="1">
        <f>Raw_Data!$I2569/Raw_Data!$H2569</f>
        <v>523.24272445820429</v>
      </c>
    </row>
    <row r="2570" spans="1:10" x14ac:dyDescent="0.3">
      <c r="A2570" s="9">
        <v>37799</v>
      </c>
      <c r="B2570" s="2" t="str">
        <f>TEXT(Raw_Data!$A2570, "MMM")</f>
        <v>Jun</v>
      </c>
      <c r="C2570" s="2">
        <f>YEAR(Raw_Data!$A2570)</f>
        <v>2003</v>
      </c>
      <c r="D2570" s="2" t="s">
        <v>1969</v>
      </c>
      <c r="E2570" s="2" t="s">
        <v>21</v>
      </c>
      <c r="F2570" s="2" t="s">
        <v>11</v>
      </c>
      <c r="G2570" s="2"/>
      <c r="H2570" s="2">
        <v>1393</v>
      </c>
      <c r="I2570" s="10">
        <v>828874</v>
      </c>
      <c r="J2570" s="10">
        <f>Raw_Data!$I2570/Raw_Data!$H2570</f>
        <v>595.02799712849969</v>
      </c>
    </row>
    <row r="2571" spans="1:10" x14ac:dyDescent="0.3">
      <c r="A2571" s="8">
        <v>42006</v>
      </c>
      <c r="B2571" t="str">
        <f>TEXT(Raw_Data!$A2571, "MMM")</f>
        <v>Jan</v>
      </c>
      <c r="C2571">
        <f>YEAR(Raw_Data!$A2571)</f>
        <v>2015</v>
      </c>
      <c r="D2571" t="s">
        <v>1519</v>
      </c>
      <c r="E2571" t="s">
        <v>32</v>
      </c>
      <c r="F2571" t="s">
        <v>16</v>
      </c>
      <c r="G2571">
        <v>4</v>
      </c>
      <c r="H2571">
        <v>1985</v>
      </c>
      <c r="I2571" s="1">
        <v>207253</v>
      </c>
      <c r="J2571" s="1">
        <f>Raw_Data!$I2571/Raw_Data!$H2571</f>
        <v>104.4095717884131</v>
      </c>
    </row>
    <row r="2572" spans="1:10" x14ac:dyDescent="0.3">
      <c r="A2572" s="9">
        <v>40588</v>
      </c>
      <c r="B2572" s="2" t="str">
        <f>TEXT(Raw_Data!$A2572, "MMM")</f>
        <v>Feb</v>
      </c>
      <c r="C2572" s="2">
        <f>YEAR(Raw_Data!$A2572)</f>
        <v>2011</v>
      </c>
      <c r="D2572" s="2" t="s">
        <v>1970</v>
      </c>
      <c r="E2572" s="2" t="s">
        <v>21</v>
      </c>
      <c r="F2572" s="2" t="s">
        <v>11</v>
      </c>
      <c r="G2572" s="2">
        <v>4</v>
      </c>
      <c r="H2572" s="2">
        <v>959</v>
      </c>
      <c r="I2572" s="10">
        <v>245264</v>
      </c>
      <c r="J2572" s="10">
        <f>Raw_Data!$I2572/Raw_Data!$H2572</f>
        <v>255.74973931178312</v>
      </c>
    </row>
    <row r="2573" spans="1:10" x14ac:dyDescent="0.3">
      <c r="A2573" s="8">
        <v>42258</v>
      </c>
      <c r="B2573" t="str">
        <f>TEXT(Raw_Data!$A2573, "MMM")</f>
        <v>Sep</v>
      </c>
      <c r="C2573">
        <f>YEAR(Raw_Data!$A2573)</f>
        <v>2015</v>
      </c>
      <c r="D2573" t="s">
        <v>764</v>
      </c>
      <c r="E2573" t="s">
        <v>23</v>
      </c>
      <c r="F2573" t="s">
        <v>18</v>
      </c>
      <c r="G2573">
        <v>5</v>
      </c>
      <c r="H2573">
        <v>954</v>
      </c>
      <c r="I2573" s="1">
        <v>479973</v>
      </c>
      <c r="J2573" s="1">
        <f>Raw_Data!$I2573/Raw_Data!$H2573</f>
        <v>503.11635220125788</v>
      </c>
    </row>
    <row r="2574" spans="1:10" x14ac:dyDescent="0.3">
      <c r="A2574" s="9">
        <v>37952</v>
      </c>
      <c r="B2574" s="2" t="str">
        <f>TEXT(Raw_Data!$A2574, "MMM")</f>
        <v>Nov</v>
      </c>
      <c r="C2574" s="2">
        <f>YEAR(Raw_Data!$A2574)</f>
        <v>2003</v>
      </c>
      <c r="D2574" s="2" t="s">
        <v>1971</v>
      </c>
      <c r="E2574" s="2" t="s">
        <v>29</v>
      </c>
      <c r="F2574" s="2" t="s">
        <v>16</v>
      </c>
      <c r="G2574" s="2">
        <v>3</v>
      </c>
      <c r="H2574" s="2">
        <v>1092</v>
      </c>
      <c r="I2574" s="10">
        <v>732503</v>
      </c>
      <c r="J2574" s="10">
        <f>Raw_Data!$I2574/Raw_Data!$H2574</f>
        <v>670.79029304029302</v>
      </c>
    </row>
    <row r="2575" spans="1:10" x14ac:dyDescent="0.3">
      <c r="A2575" s="8">
        <v>43615</v>
      </c>
      <c r="B2575" t="str">
        <f>TEXT(Raw_Data!$A2575, "MMM")</f>
        <v>May</v>
      </c>
      <c r="C2575">
        <f>YEAR(Raw_Data!$A2575)</f>
        <v>2019</v>
      </c>
      <c r="D2575" t="s">
        <v>1119</v>
      </c>
      <c r="E2575" t="s">
        <v>15</v>
      </c>
      <c r="F2575" t="s">
        <v>16</v>
      </c>
      <c r="G2575">
        <v>5</v>
      </c>
      <c r="H2575">
        <v>1949</v>
      </c>
      <c r="I2575" s="1">
        <v>276368</v>
      </c>
      <c r="J2575" s="1">
        <f>Raw_Data!$I2575/Raw_Data!$H2575</f>
        <v>141.79989738327347</v>
      </c>
    </row>
    <row r="2576" spans="1:10" x14ac:dyDescent="0.3">
      <c r="A2576" s="9">
        <v>38828</v>
      </c>
      <c r="B2576" s="2" t="str">
        <f>TEXT(Raw_Data!$A2576, "MMM")</f>
        <v>Apr</v>
      </c>
      <c r="C2576" s="2">
        <f>YEAR(Raw_Data!$A2576)</f>
        <v>2006</v>
      </c>
      <c r="D2576" s="2" t="s">
        <v>1972</v>
      </c>
      <c r="E2576" s="2" t="s">
        <v>13</v>
      </c>
      <c r="F2576" s="2" t="s">
        <v>27</v>
      </c>
      <c r="G2576" s="2">
        <v>4</v>
      </c>
      <c r="H2576" s="2">
        <v>2772</v>
      </c>
      <c r="I2576" s="10"/>
      <c r="J2576" s="10">
        <f>Raw_Data!$I2576/Raw_Data!$H2576</f>
        <v>0</v>
      </c>
    </row>
    <row r="2577" spans="1:10" x14ac:dyDescent="0.3">
      <c r="A2577" s="8">
        <v>43098</v>
      </c>
      <c r="B2577" t="str">
        <f>TEXT(Raw_Data!$A2577, "MMM")</f>
        <v>Dec</v>
      </c>
      <c r="C2577">
        <f>YEAR(Raw_Data!$A2577)</f>
        <v>2017</v>
      </c>
      <c r="D2577" t="s">
        <v>1973</v>
      </c>
      <c r="E2577" t="s">
        <v>21</v>
      </c>
      <c r="F2577" t="s">
        <v>11</v>
      </c>
      <c r="G2577">
        <v>4</v>
      </c>
      <c r="H2577">
        <v>2968</v>
      </c>
      <c r="I2577" s="1">
        <v>173753</v>
      </c>
      <c r="J2577" s="1">
        <f>Raw_Data!$I2577/Raw_Data!$H2577</f>
        <v>58.542115902964959</v>
      </c>
    </row>
    <row r="2578" spans="1:10" x14ac:dyDescent="0.3">
      <c r="A2578" s="9">
        <v>43997</v>
      </c>
      <c r="B2578" s="2" t="str">
        <f>TEXT(Raw_Data!$A2578, "MMM")</f>
        <v>Jun</v>
      </c>
      <c r="C2578" s="2">
        <f>YEAR(Raw_Data!$A2578)</f>
        <v>2020</v>
      </c>
      <c r="D2578" s="2" t="s">
        <v>1974</v>
      </c>
      <c r="E2578" s="2" t="s">
        <v>29</v>
      </c>
      <c r="F2578" s="2" t="s">
        <v>18</v>
      </c>
      <c r="G2578" s="2"/>
      <c r="H2578" s="2">
        <v>1361</v>
      </c>
      <c r="I2578" s="10">
        <v>569344</v>
      </c>
      <c r="J2578" s="10">
        <f>Raw_Data!$I2578/Raw_Data!$H2578</f>
        <v>418.32770022042615</v>
      </c>
    </row>
    <row r="2579" spans="1:10" x14ac:dyDescent="0.3">
      <c r="A2579" s="8">
        <v>43234</v>
      </c>
      <c r="B2579" t="str">
        <f>TEXT(Raw_Data!$A2579, "MMM")</f>
        <v>May</v>
      </c>
      <c r="C2579">
        <f>YEAR(Raw_Data!$A2579)</f>
        <v>2018</v>
      </c>
      <c r="D2579" t="s">
        <v>1975</v>
      </c>
      <c r="E2579" t="s">
        <v>21</v>
      </c>
      <c r="F2579" t="s">
        <v>18</v>
      </c>
      <c r="H2579">
        <v>1374</v>
      </c>
      <c r="I2579" s="1">
        <v>402412</v>
      </c>
      <c r="J2579" s="1">
        <f>Raw_Data!$I2579/Raw_Data!$H2579</f>
        <v>292.87627365356622</v>
      </c>
    </row>
    <row r="2580" spans="1:10" x14ac:dyDescent="0.3">
      <c r="A2580" s="9">
        <v>42957</v>
      </c>
      <c r="B2580" s="2" t="str">
        <f>TEXT(Raw_Data!$A2580, "MMM")</f>
        <v>Aug</v>
      </c>
      <c r="C2580" s="2">
        <f>YEAR(Raw_Data!$A2580)</f>
        <v>2017</v>
      </c>
      <c r="D2580" s="2" t="s">
        <v>1976</v>
      </c>
      <c r="E2580" s="2" t="s">
        <v>29</v>
      </c>
      <c r="F2580" s="2" t="s">
        <v>16</v>
      </c>
      <c r="G2580" s="2">
        <v>2</v>
      </c>
      <c r="H2580" s="2">
        <v>2750</v>
      </c>
      <c r="I2580" s="10">
        <v>783228</v>
      </c>
      <c r="J2580" s="10">
        <f>Raw_Data!$I2580/Raw_Data!$H2580</f>
        <v>284.81018181818183</v>
      </c>
    </row>
    <row r="2581" spans="1:10" x14ac:dyDescent="0.3">
      <c r="A2581" s="8">
        <v>39299</v>
      </c>
      <c r="B2581" t="str">
        <f>TEXT(Raw_Data!$A2581, "MMM")</f>
        <v>Aug</v>
      </c>
      <c r="C2581">
        <f>YEAR(Raw_Data!$A2581)</f>
        <v>2007</v>
      </c>
      <c r="D2581" t="s">
        <v>1977</v>
      </c>
      <c r="E2581" t="s">
        <v>32</v>
      </c>
      <c r="F2581" t="s">
        <v>11</v>
      </c>
      <c r="H2581">
        <v>2973</v>
      </c>
      <c r="I2581" s="1">
        <v>324479</v>
      </c>
      <c r="J2581" s="1">
        <f>Raw_Data!$I2581/Raw_Data!$H2581</f>
        <v>109.14194416414396</v>
      </c>
    </row>
    <row r="2582" spans="1:10" x14ac:dyDescent="0.3">
      <c r="A2582" s="9">
        <v>41353</v>
      </c>
      <c r="B2582" s="2" t="str">
        <f>TEXT(Raw_Data!$A2582, "MMM")</f>
        <v>Mar</v>
      </c>
      <c r="C2582" s="2">
        <f>YEAR(Raw_Data!$A2582)</f>
        <v>2013</v>
      </c>
      <c r="D2582" s="2" t="s">
        <v>1978</v>
      </c>
      <c r="E2582" s="2" t="s">
        <v>21</v>
      </c>
      <c r="F2582" s="2" t="s">
        <v>27</v>
      </c>
      <c r="G2582" s="2">
        <v>2</v>
      </c>
      <c r="H2582" s="2">
        <v>1401</v>
      </c>
      <c r="I2582" s="10">
        <v>356128</v>
      </c>
      <c r="J2582" s="10">
        <f>Raw_Data!$I2582/Raw_Data!$H2582</f>
        <v>254.19557458957888</v>
      </c>
    </row>
    <row r="2583" spans="1:10" x14ac:dyDescent="0.3">
      <c r="A2583" s="8">
        <v>37748</v>
      </c>
      <c r="B2583" t="str">
        <f>TEXT(Raw_Data!$A2583, "MMM")</f>
        <v>May</v>
      </c>
      <c r="C2583">
        <f>YEAR(Raw_Data!$A2583)</f>
        <v>2003</v>
      </c>
      <c r="D2583" t="s">
        <v>1266</v>
      </c>
      <c r="E2583" t="s">
        <v>15</v>
      </c>
      <c r="F2583" t="s">
        <v>27</v>
      </c>
      <c r="G2583">
        <v>3</v>
      </c>
      <c r="H2583">
        <v>3431</v>
      </c>
      <c r="I2583" s="1">
        <v>736825</v>
      </c>
      <c r="J2583" s="1">
        <f>Raw_Data!$I2583/Raw_Data!$H2583</f>
        <v>214.75517341882832</v>
      </c>
    </row>
    <row r="2584" spans="1:10" x14ac:dyDescent="0.3">
      <c r="A2584" s="9">
        <v>37574</v>
      </c>
      <c r="B2584" s="2" t="str">
        <f>TEXT(Raw_Data!$A2584, "MMM")</f>
        <v>Nov</v>
      </c>
      <c r="C2584" s="2">
        <f>YEAR(Raw_Data!$A2584)</f>
        <v>2002</v>
      </c>
      <c r="D2584" s="2" t="s">
        <v>1979</v>
      </c>
      <c r="E2584" s="2" t="s">
        <v>15</v>
      </c>
      <c r="F2584" s="2" t="s">
        <v>11</v>
      </c>
      <c r="G2584" s="2">
        <v>4</v>
      </c>
      <c r="H2584" s="2">
        <v>1756</v>
      </c>
      <c r="I2584" s="10">
        <v>294720</v>
      </c>
      <c r="J2584" s="10">
        <f>Raw_Data!$I2584/Raw_Data!$H2584</f>
        <v>167.8359908883827</v>
      </c>
    </row>
    <row r="2585" spans="1:10" x14ac:dyDescent="0.3">
      <c r="A2585" s="8">
        <v>43102</v>
      </c>
      <c r="B2585" t="str">
        <f>TEXT(Raw_Data!$A2585, "MMM")</f>
        <v>Jan</v>
      </c>
      <c r="C2585">
        <f>YEAR(Raw_Data!$A2585)</f>
        <v>2018</v>
      </c>
      <c r="D2585" t="s">
        <v>1651</v>
      </c>
      <c r="E2585" t="s">
        <v>25</v>
      </c>
      <c r="F2585" t="s">
        <v>18</v>
      </c>
      <c r="G2585">
        <v>3</v>
      </c>
      <c r="H2585">
        <v>1460</v>
      </c>
      <c r="I2585" s="1">
        <v>818205</v>
      </c>
      <c r="J2585" s="1">
        <f>Raw_Data!$I2585/Raw_Data!$H2585</f>
        <v>560.41438356164383</v>
      </c>
    </row>
    <row r="2586" spans="1:10" x14ac:dyDescent="0.3">
      <c r="A2586" s="9">
        <v>40528</v>
      </c>
      <c r="B2586" s="2" t="str">
        <f>TEXT(Raw_Data!$A2586, "MMM")</f>
        <v>Dec</v>
      </c>
      <c r="C2586" s="2">
        <f>YEAR(Raw_Data!$A2586)</f>
        <v>2010</v>
      </c>
      <c r="D2586" s="2" t="s">
        <v>107</v>
      </c>
      <c r="E2586" s="2" t="s">
        <v>21</v>
      </c>
      <c r="F2586" s="2" t="s">
        <v>27</v>
      </c>
      <c r="G2586" s="2">
        <v>2</v>
      </c>
      <c r="H2586" s="2">
        <v>2398</v>
      </c>
      <c r="I2586" s="10">
        <v>463170</v>
      </c>
      <c r="J2586" s="10">
        <f>Raw_Data!$I2586/Raw_Data!$H2586</f>
        <v>193.14845704753961</v>
      </c>
    </row>
    <row r="2587" spans="1:10" x14ac:dyDescent="0.3">
      <c r="A2587" s="8">
        <v>44099</v>
      </c>
      <c r="B2587" t="str">
        <f>TEXT(Raw_Data!$A2587, "MMM")</f>
        <v>Sep</v>
      </c>
      <c r="C2587">
        <f>YEAR(Raw_Data!$A2587)</f>
        <v>2020</v>
      </c>
      <c r="D2587" t="s">
        <v>633</v>
      </c>
      <c r="E2587" t="s">
        <v>21</v>
      </c>
      <c r="F2587" t="s">
        <v>18</v>
      </c>
      <c r="G2587">
        <v>4</v>
      </c>
      <c r="H2587">
        <v>1526</v>
      </c>
      <c r="I2587" s="1">
        <v>709298</v>
      </c>
      <c r="J2587" s="1">
        <f>Raw_Data!$I2587/Raw_Data!$H2587</f>
        <v>464.8086500655308</v>
      </c>
    </row>
    <row r="2588" spans="1:10" x14ac:dyDescent="0.3">
      <c r="A2588" s="9">
        <v>39173</v>
      </c>
      <c r="B2588" s="2" t="str">
        <f>TEXT(Raw_Data!$A2588, "MMM")</f>
        <v>Apr</v>
      </c>
      <c r="C2588" s="2">
        <f>YEAR(Raw_Data!$A2588)</f>
        <v>2007</v>
      </c>
      <c r="D2588" s="2" t="s">
        <v>1980</v>
      </c>
      <c r="E2588" s="2" t="s">
        <v>15</v>
      </c>
      <c r="F2588" s="2" t="s">
        <v>18</v>
      </c>
      <c r="G2588" s="2"/>
      <c r="H2588" s="2">
        <v>2763</v>
      </c>
      <c r="I2588" s="10">
        <v>622223</v>
      </c>
      <c r="J2588" s="10">
        <f>Raw_Data!$I2588/Raw_Data!$H2588</f>
        <v>225.19833514296056</v>
      </c>
    </row>
    <row r="2589" spans="1:10" x14ac:dyDescent="0.3">
      <c r="A2589" s="8">
        <v>43612</v>
      </c>
      <c r="B2589" t="str">
        <f>TEXT(Raw_Data!$A2589, "MMM")</f>
        <v>May</v>
      </c>
      <c r="C2589">
        <f>YEAR(Raw_Data!$A2589)</f>
        <v>2019</v>
      </c>
      <c r="D2589" t="s">
        <v>1981</v>
      </c>
      <c r="E2589" t="s">
        <v>21</v>
      </c>
      <c r="F2589" t="s">
        <v>16</v>
      </c>
      <c r="G2589">
        <v>3</v>
      </c>
      <c r="H2589">
        <v>2161</v>
      </c>
      <c r="I2589" s="1">
        <v>101600</v>
      </c>
      <c r="J2589" s="1">
        <f>Raw_Data!$I2589/Raw_Data!$H2589</f>
        <v>47.015270708005552</v>
      </c>
    </row>
    <row r="2590" spans="1:10" x14ac:dyDescent="0.3">
      <c r="A2590" s="9">
        <v>39482</v>
      </c>
      <c r="B2590" s="2" t="str">
        <f>TEXT(Raw_Data!$A2590, "MMM")</f>
        <v>Feb</v>
      </c>
      <c r="C2590" s="2">
        <f>YEAR(Raw_Data!$A2590)</f>
        <v>2008</v>
      </c>
      <c r="D2590" s="2" t="s">
        <v>1982</v>
      </c>
      <c r="E2590" s="2" t="s">
        <v>25</v>
      </c>
      <c r="F2590" s="2" t="s">
        <v>16</v>
      </c>
      <c r="G2590" s="2">
        <v>3</v>
      </c>
      <c r="H2590" s="2">
        <v>2173</v>
      </c>
      <c r="I2590" s="10">
        <v>268604</v>
      </c>
      <c r="J2590" s="10">
        <f>Raw_Data!$I2590/Raw_Data!$H2590</f>
        <v>123.60975609756098</v>
      </c>
    </row>
    <row r="2591" spans="1:10" x14ac:dyDescent="0.3">
      <c r="A2591" s="8">
        <v>42666</v>
      </c>
      <c r="B2591" t="str">
        <f>TEXT(Raw_Data!$A2591, "MMM")</f>
        <v>Oct</v>
      </c>
      <c r="C2591">
        <f>YEAR(Raw_Data!$A2591)</f>
        <v>2016</v>
      </c>
      <c r="D2591" t="s">
        <v>251</v>
      </c>
      <c r="E2591" t="s">
        <v>15</v>
      </c>
      <c r="F2591" t="s">
        <v>11</v>
      </c>
      <c r="G2591">
        <v>5</v>
      </c>
      <c r="H2591">
        <v>2259</v>
      </c>
      <c r="I2591" s="1">
        <v>775424</v>
      </c>
      <c r="J2591" s="1">
        <f>Raw_Data!$I2591/Raw_Data!$H2591</f>
        <v>343.25984949092521</v>
      </c>
    </row>
    <row r="2592" spans="1:10" x14ac:dyDescent="0.3">
      <c r="A2592" s="9">
        <v>37102</v>
      </c>
      <c r="B2592" s="2" t="str">
        <f>TEXT(Raw_Data!$A2592, "MMM")</f>
        <v>Jul</v>
      </c>
      <c r="C2592" s="2">
        <f>YEAR(Raw_Data!$A2592)</f>
        <v>2001</v>
      </c>
      <c r="D2592" s="2" t="s">
        <v>1983</v>
      </c>
      <c r="E2592" s="2" t="s">
        <v>25</v>
      </c>
      <c r="F2592" s="2" t="s">
        <v>16</v>
      </c>
      <c r="G2592" s="2">
        <v>2</v>
      </c>
      <c r="H2592" s="2">
        <v>3409</v>
      </c>
      <c r="I2592" s="10"/>
      <c r="J2592" s="10">
        <f>Raw_Data!$I2592/Raw_Data!$H2592</f>
        <v>0</v>
      </c>
    </row>
    <row r="2593" spans="1:10" x14ac:dyDescent="0.3">
      <c r="A2593" s="8">
        <v>40117</v>
      </c>
      <c r="B2593" t="str">
        <f>TEXT(Raw_Data!$A2593, "MMM")</f>
        <v>Oct</v>
      </c>
      <c r="C2593">
        <f>YEAR(Raw_Data!$A2593)</f>
        <v>2009</v>
      </c>
      <c r="D2593" t="s">
        <v>899</v>
      </c>
      <c r="E2593" t="s">
        <v>15</v>
      </c>
      <c r="F2593" t="s">
        <v>11</v>
      </c>
      <c r="G2593">
        <v>4</v>
      </c>
      <c r="H2593">
        <v>2866</v>
      </c>
      <c r="I2593" s="1">
        <v>575857</v>
      </c>
      <c r="J2593" s="1">
        <f>Raw_Data!$I2593/Raw_Data!$H2593</f>
        <v>200.92707606420097</v>
      </c>
    </row>
    <row r="2594" spans="1:10" x14ac:dyDescent="0.3">
      <c r="A2594" s="9">
        <v>37437</v>
      </c>
      <c r="B2594" s="2" t="str">
        <f>TEXT(Raw_Data!$A2594, "MMM")</f>
        <v>Jun</v>
      </c>
      <c r="C2594" s="2">
        <f>YEAR(Raw_Data!$A2594)</f>
        <v>2002</v>
      </c>
      <c r="D2594" s="2" t="s">
        <v>1984</v>
      </c>
      <c r="E2594" s="2" t="s">
        <v>32</v>
      </c>
      <c r="F2594" s="2" t="s">
        <v>16</v>
      </c>
      <c r="G2594" s="2">
        <v>5</v>
      </c>
      <c r="H2594" s="2">
        <v>825</v>
      </c>
      <c r="I2594" s="10"/>
      <c r="J2594" s="10">
        <f>Raw_Data!$I2594/Raw_Data!$H2594</f>
        <v>0</v>
      </c>
    </row>
    <row r="2595" spans="1:10" x14ac:dyDescent="0.3">
      <c r="A2595" s="8">
        <v>39757</v>
      </c>
      <c r="B2595" t="str">
        <f>TEXT(Raw_Data!$A2595, "MMM")</f>
        <v>Nov</v>
      </c>
      <c r="C2595">
        <f>YEAR(Raw_Data!$A2595)</f>
        <v>2008</v>
      </c>
      <c r="D2595" t="s">
        <v>117</v>
      </c>
      <c r="E2595" t="s">
        <v>25</v>
      </c>
      <c r="F2595" t="s">
        <v>27</v>
      </c>
      <c r="H2595">
        <v>2126</v>
      </c>
      <c r="I2595" s="1">
        <v>347718</v>
      </c>
      <c r="J2595" s="1">
        <f>Raw_Data!$I2595/Raw_Data!$H2595</f>
        <v>163.55503292568204</v>
      </c>
    </row>
    <row r="2596" spans="1:10" x14ac:dyDescent="0.3">
      <c r="A2596" s="9">
        <v>40947</v>
      </c>
      <c r="B2596" s="2" t="str">
        <f>TEXT(Raw_Data!$A2596, "MMM")</f>
        <v>Feb</v>
      </c>
      <c r="C2596" s="2">
        <f>YEAR(Raw_Data!$A2596)</f>
        <v>2012</v>
      </c>
      <c r="D2596" s="2" t="s">
        <v>1985</v>
      </c>
      <c r="E2596" s="2" t="s">
        <v>15</v>
      </c>
      <c r="F2596" s="2" t="s">
        <v>11</v>
      </c>
      <c r="G2596" s="2">
        <v>5</v>
      </c>
      <c r="H2596" s="2">
        <v>2780</v>
      </c>
      <c r="I2596" s="10">
        <v>896000</v>
      </c>
      <c r="J2596" s="10">
        <f>Raw_Data!$I2596/Raw_Data!$H2596</f>
        <v>322.30215827338128</v>
      </c>
    </row>
    <row r="2597" spans="1:10" x14ac:dyDescent="0.3">
      <c r="A2597" s="8">
        <v>40189</v>
      </c>
      <c r="B2597" t="str">
        <f>TEXT(Raw_Data!$A2597, "MMM")</f>
        <v>Jan</v>
      </c>
      <c r="C2597">
        <f>YEAR(Raw_Data!$A2597)</f>
        <v>2010</v>
      </c>
      <c r="D2597" t="s">
        <v>1416</v>
      </c>
      <c r="E2597" t="s">
        <v>21</v>
      </c>
      <c r="F2597" t="s">
        <v>11</v>
      </c>
      <c r="H2597">
        <v>3414</v>
      </c>
      <c r="I2597" s="1">
        <v>665731</v>
      </c>
      <c r="J2597" s="1">
        <f>Raw_Data!$I2597/Raw_Data!$H2597</f>
        <v>195.00029291154073</v>
      </c>
    </row>
    <row r="2598" spans="1:10" x14ac:dyDescent="0.3">
      <c r="A2598" s="9">
        <v>39490</v>
      </c>
      <c r="B2598" s="2" t="str">
        <f>TEXT(Raw_Data!$A2598, "MMM")</f>
        <v>Feb</v>
      </c>
      <c r="C2598" s="2">
        <f>YEAR(Raw_Data!$A2598)</f>
        <v>2008</v>
      </c>
      <c r="D2598" s="2" t="s">
        <v>1349</v>
      </c>
      <c r="E2598" s="2" t="s">
        <v>13</v>
      </c>
      <c r="F2598" s="2" t="s">
        <v>16</v>
      </c>
      <c r="G2598" s="2">
        <v>5</v>
      </c>
      <c r="H2598" s="2">
        <v>2858</v>
      </c>
      <c r="I2598" s="10">
        <v>617495</v>
      </c>
      <c r="J2598" s="10">
        <f>Raw_Data!$I2598/Raw_Data!$H2598</f>
        <v>216.05843247025894</v>
      </c>
    </row>
    <row r="2599" spans="1:10" x14ac:dyDescent="0.3">
      <c r="A2599" s="8">
        <v>39423</v>
      </c>
      <c r="B2599" t="str">
        <f>TEXT(Raw_Data!$A2599, "MMM")</f>
        <v>Dec</v>
      </c>
      <c r="C2599">
        <f>YEAR(Raw_Data!$A2599)</f>
        <v>2007</v>
      </c>
      <c r="D2599" t="s">
        <v>1986</v>
      </c>
      <c r="E2599" t="s">
        <v>29</v>
      </c>
      <c r="F2599" t="s">
        <v>18</v>
      </c>
      <c r="G2599">
        <v>4</v>
      </c>
      <c r="H2599">
        <v>2195</v>
      </c>
      <c r="I2599" s="1">
        <v>280154</v>
      </c>
      <c r="J2599" s="1">
        <f>Raw_Data!$I2599/Raw_Data!$H2599</f>
        <v>127.63280182232346</v>
      </c>
    </row>
    <row r="2600" spans="1:10" x14ac:dyDescent="0.3">
      <c r="A2600" s="9">
        <v>37050</v>
      </c>
      <c r="B2600" s="2" t="str">
        <f>TEXT(Raw_Data!$A2600, "MMM")</f>
        <v>Jun</v>
      </c>
      <c r="C2600" s="2">
        <f>YEAR(Raw_Data!$A2600)</f>
        <v>2001</v>
      </c>
      <c r="D2600" s="2" t="s">
        <v>1639</v>
      </c>
      <c r="E2600" s="2" t="s">
        <v>21</v>
      </c>
      <c r="F2600" s="2" t="s">
        <v>18</v>
      </c>
      <c r="G2600" s="2">
        <v>2</v>
      </c>
      <c r="H2600" s="2">
        <v>3043</v>
      </c>
      <c r="I2600" s="10">
        <v>286854</v>
      </c>
      <c r="J2600" s="10">
        <f>Raw_Data!$I2600/Raw_Data!$H2600</f>
        <v>94.266841932303649</v>
      </c>
    </row>
    <row r="2601" spans="1:10" x14ac:dyDescent="0.3">
      <c r="A2601" s="8">
        <v>40445</v>
      </c>
      <c r="B2601" t="str">
        <f>TEXT(Raw_Data!$A2601, "MMM")</f>
        <v>Sep</v>
      </c>
      <c r="C2601">
        <f>YEAR(Raw_Data!$A2601)</f>
        <v>2010</v>
      </c>
      <c r="D2601" t="s">
        <v>591</v>
      </c>
      <c r="E2601" t="s">
        <v>29</v>
      </c>
      <c r="F2601" t="s">
        <v>27</v>
      </c>
      <c r="G2601">
        <v>5</v>
      </c>
      <c r="H2601">
        <v>1051</v>
      </c>
      <c r="I2601" s="1">
        <v>313651</v>
      </c>
      <c r="J2601" s="1">
        <f>Raw_Data!$I2601/Raw_Data!$H2601</f>
        <v>298.43101807802094</v>
      </c>
    </row>
    <row r="2602" spans="1:10" x14ac:dyDescent="0.3">
      <c r="A2602" s="9">
        <v>38047</v>
      </c>
      <c r="B2602" s="2" t="str">
        <f>TEXT(Raw_Data!$A2602, "MMM")</f>
        <v>Mar</v>
      </c>
      <c r="C2602" s="2">
        <f>YEAR(Raw_Data!$A2602)</f>
        <v>2004</v>
      </c>
      <c r="D2602" s="2" t="s">
        <v>1987</v>
      </c>
      <c r="E2602" s="2" t="s">
        <v>29</v>
      </c>
      <c r="F2602" s="2" t="s">
        <v>18</v>
      </c>
      <c r="G2602" s="2"/>
      <c r="H2602" s="2">
        <v>2251</v>
      </c>
      <c r="I2602" s="10">
        <v>642230</v>
      </c>
      <c r="J2602" s="10">
        <f>Raw_Data!$I2602/Raw_Data!$H2602</f>
        <v>285.30875166592625</v>
      </c>
    </row>
    <row r="2603" spans="1:10" x14ac:dyDescent="0.3">
      <c r="A2603" s="8">
        <v>37302</v>
      </c>
      <c r="B2603" t="str">
        <f>TEXT(Raw_Data!$A2603, "MMM")</f>
        <v>Feb</v>
      </c>
      <c r="C2603">
        <f>YEAR(Raw_Data!$A2603)</f>
        <v>2002</v>
      </c>
      <c r="D2603" t="s">
        <v>1988</v>
      </c>
      <c r="E2603" t="s">
        <v>21</v>
      </c>
      <c r="F2603" t="s">
        <v>27</v>
      </c>
      <c r="H2603">
        <v>1959</v>
      </c>
      <c r="I2603" s="1">
        <v>470903</v>
      </c>
      <c r="J2603" s="1">
        <f>Raw_Data!$I2603/Raw_Data!$H2603</f>
        <v>240.37927514037776</v>
      </c>
    </row>
    <row r="2604" spans="1:10" x14ac:dyDescent="0.3">
      <c r="A2604" s="9">
        <v>41579</v>
      </c>
      <c r="B2604" s="2" t="str">
        <f>TEXT(Raw_Data!$A2604, "MMM")</f>
        <v>Nov</v>
      </c>
      <c r="C2604" s="2">
        <f>YEAR(Raw_Data!$A2604)</f>
        <v>2013</v>
      </c>
      <c r="D2604" s="2" t="s">
        <v>1989</v>
      </c>
      <c r="E2604" s="2" t="s">
        <v>21</v>
      </c>
      <c r="F2604" s="2" t="s">
        <v>16</v>
      </c>
      <c r="G2604" s="2">
        <v>3</v>
      </c>
      <c r="H2604" s="2">
        <v>1261</v>
      </c>
      <c r="I2604" s="10">
        <v>797693</v>
      </c>
      <c r="J2604" s="10">
        <f>Raw_Data!$I2604/Raw_Data!$H2604</f>
        <v>632.58762886597935</v>
      </c>
    </row>
    <row r="2605" spans="1:10" x14ac:dyDescent="0.3">
      <c r="A2605" s="8">
        <v>38062</v>
      </c>
      <c r="B2605" t="str">
        <f>TEXT(Raw_Data!$A2605, "MMM")</f>
        <v>Mar</v>
      </c>
      <c r="C2605">
        <f>YEAR(Raw_Data!$A2605)</f>
        <v>2004</v>
      </c>
      <c r="D2605" t="s">
        <v>1859</v>
      </c>
      <c r="E2605" t="s">
        <v>23</v>
      </c>
      <c r="F2605" t="s">
        <v>18</v>
      </c>
      <c r="H2605">
        <v>2157</v>
      </c>
      <c r="I2605" s="1">
        <v>815087</v>
      </c>
      <c r="J2605" s="1">
        <f>Raw_Data!$I2605/Raw_Data!$H2605</f>
        <v>377.87992582290218</v>
      </c>
    </row>
    <row r="2606" spans="1:10" x14ac:dyDescent="0.3">
      <c r="A2606" s="9">
        <v>41748</v>
      </c>
      <c r="B2606" s="2" t="str">
        <f>TEXT(Raw_Data!$A2606, "MMM")</f>
        <v>Apr</v>
      </c>
      <c r="C2606" s="2">
        <f>YEAR(Raw_Data!$A2606)</f>
        <v>2014</v>
      </c>
      <c r="D2606" s="2" t="s">
        <v>291</v>
      </c>
      <c r="E2606" s="2" t="s">
        <v>15</v>
      </c>
      <c r="F2606" s="2" t="s">
        <v>11</v>
      </c>
      <c r="G2606" s="2">
        <v>2</v>
      </c>
      <c r="H2606" s="2">
        <v>2726</v>
      </c>
      <c r="I2606" s="10">
        <v>605047</v>
      </c>
      <c r="J2606" s="10">
        <f>Raw_Data!$I2606/Raw_Data!$H2606</f>
        <v>221.95414526779163</v>
      </c>
    </row>
    <row r="2607" spans="1:10" x14ac:dyDescent="0.3">
      <c r="A2607" s="8">
        <v>37089</v>
      </c>
      <c r="B2607" t="str">
        <f>TEXT(Raw_Data!$A2607, "MMM")</f>
        <v>Jul</v>
      </c>
      <c r="C2607">
        <f>YEAR(Raw_Data!$A2607)</f>
        <v>2001</v>
      </c>
      <c r="D2607" t="s">
        <v>831</v>
      </c>
      <c r="E2607" t="s">
        <v>32</v>
      </c>
      <c r="F2607" t="s">
        <v>11</v>
      </c>
      <c r="H2607">
        <v>3316</v>
      </c>
      <c r="I2607" s="1">
        <v>224469</v>
      </c>
      <c r="J2607" s="1">
        <f>Raw_Data!$I2607/Raw_Data!$H2607</f>
        <v>67.692702050663456</v>
      </c>
    </row>
    <row r="2608" spans="1:10" x14ac:dyDescent="0.3">
      <c r="A2608" s="9">
        <v>37613</v>
      </c>
      <c r="B2608" s="2" t="str">
        <f>TEXT(Raw_Data!$A2608, "MMM")</f>
        <v>Dec</v>
      </c>
      <c r="C2608" s="2">
        <f>YEAR(Raw_Data!$A2608)</f>
        <v>2002</v>
      </c>
      <c r="D2608" s="2" t="s">
        <v>1224</v>
      </c>
      <c r="E2608" s="2" t="s">
        <v>15</v>
      </c>
      <c r="F2608" s="2" t="s">
        <v>27</v>
      </c>
      <c r="G2608" s="2">
        <v>4</v>
      </c>
      <c r="H2608" s="2">
        <v>1167</v>
      </c>
      <c r="I2608" s="10">
        <v>418063</v>
      </c>
      <c r="J2608" s="10">
        <f>Raw_Data!$I2608/Raw_Data!$H2608</f>
        <v>358.23736075407027</v>
      </c>
    </row>
    <row r="2609" spans="1:10" x14ac:dyDescent="0.3">
      <c r="A2609" s="8">
        <v>41699</v>
      </c>
      <c r="B2609" t="str">
        <f>TEXT(Raw_Data!$A2609, "MMM")</f>
        <v>Mar</v>
      </c>
      <c r="C2609">
        <f>YEAR(Raw_Data!$A2609)</f>
        <v>2014</v>
      </c>
      <c r="D2609" t="s">
        <v>786</v>
      </c>
      <c r="E2609" t="s">
        <v>13</v>
      </c>
      <c r="F2609" t="s">
        <v>18</v>
      </c>
      <c r="H2609">
        <v>2627</v>
      </c>
      <c r="I2609" s="1">
        <v>432309</v>
      </c>
      <c r="J2609" s="1">
        <f>Raw_Data!$I2609/Raw_Data!$H2609</f>
        <v>164.56376094404263</v>
      </c>
    </row>
    <row r="2610" spans="1:10" x14ac:dyDescent="0.3">
      <c r="A2610" s="9">
        <v>44057</v>
      </c>
      <c r="B2610" s="2" t="str">
        <f>TEXT(Raw_Data!$A2610, "MMM")</f>
        <v>Aug</v>
      </c>
      <c r="C2610" s="2">
        <f>YEAR(Raw_Data!$A2610)</f>
        <v>2020</v>
      </c>
      <c r="D2610" s="2" t="s">
        <v>982</v>
      </c>
      <c r="E2610" s="2" t="s">
        <v>25</v>
      </c>
      <c r="F2610" s="2" t="s">
        <v>16</v>
      </c>
      <c r="G2610" s="2"/>
      <c r="H2610" s="2">
        <v>1470</v>
      </c>
      <c r="I2610" s="10">
        <v>283984</v>
      </c>
      <c r="J2610" s="10">
        <f>Raw_Data!$I2610/Raw_Data!$H2610</f>
        <v>193.18639455782312</v>
      </c>
    </row>
    <row r="2611" spans="1:10" x14ac:dyDescent="0.3">
      <c r="A2611" s="8">
        <v>37551</v>
      </c>
      <c r="B2611" t="str">
        <f>TEXT(Raw_Data!$A2611, "MMM")</f>
        <v>Oct</v>
      </c>
      <c r="C2611">
        <f>YEAR(Raw_Data!$A2611)</f>
        <v>2002</v>
      </c>
      <c r="D2611" t="s">
        <v>114</v>
      </c>
      <c r="E2611" t="s">
        <v>25</v>
      </c>
      <c r="F2611" t="s">
        <v>11</v>
      </c>
      <c r="H2611">
        <v>3072</v>
      </c>
      <c r="I2611" s="1">
        <v>161732</v>
      </c>
      <c r="J2611" s="1">
        <f>Raw_Data!$I2611/Raw_Data!$H2611</f>
        <v>52.647135416666664</v>
      </c>
    </row>
    <row r="2612" spans="1:10" x14ac:dyDescent="0.3">
      <c r="A2612" s="9">
        <v>43878</v>
      </c>
      <c r="B2612" s="2" t="str">
        <f>TEXT(Raw_Data!$A2612, "MMM")</f>
        <v>Feb</v>
      </c>
      <c r="C2612" s="2">
        <f>YEAR(Raw_Data!$A2612)</f>
        <v>2020</v>
      </c>
      <c r="D2612" s="2" t="s">
        <v>1200</v>
      </c>
      <c r="E2612" s="2" t="s">
        <v>13</v>
      </c>
      <c r="F2612" s="2" t="s">
        <v>27</v>
      </c>
      <c r="G2612" s="2">
        <v>3</v>
      </c>
      <c r="H2612" s="2">
        <v>1983</v>
      </c>
      <c r="I2612" s="10">
        <v>236858</v>
      </c>
      <c r="J2612" s="10">
        <f>Raw_Data!$I2612/Raw_Data!$H2612</f>
        <v>119.44427634896621</v>
      </c>
    </row>
    <row r="2613" spans="1:10" x14ac:dyDescent="0.3">
      <c r="A2613" s="8">
        <v>39603</v>
      </c>
      <c r="B2613" t="str">
        <f>TEXT(Raw_Data!$A2613, "MMM")</f>
        <v>Jun</v>
      </c>
      <c r="C2613">
        <f>YEAR(Raw_Data!$A2613)</f>
        <v>2008</v>
      </c>
      <c r="D2613" t="s">
        <v>1817</v>
      </c>
      <c r="E2613" t="s">
        <v>21</v>
      </c>
      <c r="F2613" t="s">
        <v>18</v>
      </c>
      <c r="H2613">
        <v>1224</v>
      </c>
      <c r="I2613" s="1">
        <v>264157</v>
      </c>
      <c r="J2613" s="1">
        <f>Raw_Data!$I2613/Raw_Data!$H2613</f>
        <v>215.81454248366012</v>
      </c>
    </row>
    <row r="2614" spans="1:10" x14ac:dyDescent="0.3">
      <c r="A2614" s="9">
        <v>40379</v>
      </c>
      <c r="B2614" s="2" t="str">
        <f>TEXT(Raw_Data!$A2614, "MMM")</f>
        <v>Jul</v>
      </c>
      <c r="C2614" s="2">
        <f>YEAR(Raw_Data!$A2614)</f>
        <v>2010</v>
      </c>
      <c r="D2614" s="2" t="s">
        <v>1592</v>
      </c>
      <c r="E2614" s="2" t="s">
        <v>15</v>
      </c>
      <c r="F2614" s="2" t="s">
        <v>18</v>
      </c>
      <c r="G2614" s="2">
        <v>3</v>
      </c>
      <c r="H2614" s="2">
        <v>1895</v>
      </c>
      <c r="I2614" s="10">
        <v>824372</v>
      </c>
      <c r="J2614" s="10">
        <f>Raw_Data!$I2614/Raw_Data!$H2614</f>
        <v>435.02480211081792</v>
      </c>
    </row>
    <row r="2615" spans="1:10" x14ac:dyDescent="0.3">
      <c r="A2615" s="8">
        <v>39899</v>
      </c>
      <c r="B2615" t="str">
        <f>TEXT(Raw_Data!$A2615, "MMM")</f>
        <v>Mar</v>
      </c>
      <c r="C2615">
        <f>YEAR(Raw_Data!$A2615)</f>
        <v>2009</v>
      </c>
      <c r="D2615" t="s">
        <v>1990</v>
      </c>
      <c r="E2615" t="s">
        <v>32</v>
      </c>
      <c r="F2615" t="s">
        <v>18</v>
      </c>
      <c r="H2615">
        <v>2540</v>
      </c>
      <c r="I2615" s="1">
        <v>414791</v>
      </c>
      <c r="J2615" s="1">
        <f>Raw_Data!$I2615/Raw_Data!$H2615</f>
        <v>163.30354330708661</v>
      </c>
    </row>
    <row r="2616" spans="1:10" x14ac:dyDescent="0.3">
      <c r="A2616" s="9">
        <v>39890</v>
      </c>
      <c r="B2616" s="2" t="str">
        <f>TEXT(Raw_Data!$A2616, "MMM")</f>
        <v>Mar</v>
      </c>
      <c r="C2616" s="2">
        <f>YEAR(Raw_Data!$A2616)</f>
        <v>2009</v>
      </c>
      <c r="D2616" s="2" t="s">
        <v>1991</v>
      </c>
      <c r="E2616" s="2" t="s">
        <v>25</v>
      </c>
      <c r="F2616" s="2" t="s">
        <v>11</v>
      </c>
      <c r="G2616" s="2">
        <v>3</v>
      </c>
      <c r="H2616" s="2">
        <v>2827</v>
      </c>
      <c r="I2616" s="10">
        <v>149838</v>
      </c>
      <c r="J2616" s="10">
        <f>Raw_Data!$I2616/Raw_Data!$H2616</f>
        <v>53.002476123098688</v>
      </c>
    </row>
    <row r="2617" spans="1:10" x14ac:dyDescent="0.3">
      <c r="A2617" s="8">
        <v>41150</v>
      </c>
      <c r="B2617" t="str">
        <f>TEXT(Raw_Data!$A2617, "MMM")</f>
        <v>Aug</v>
      </c>
      <c r="C2617">
        <f>YEAR(Raw_Data!$A2617)</f>
        <v>2012</v>
      </c>
      <c r="D2617" t="s">
        <v>1992</v>
      </c>
      <c r="E2617" t="s">
        <v>32</v>
      </c>
      <c r="F2617" t="s">
        <v>11</v>
      </c>
      <c r="G2617">
        <v>2</v>
      </c>
      <c r="H2617">
        <v>1344</v>
      </c>
      <c r="I2617" s="1">
        <v>592475</v>
      </c>
      <c r="J2617" s="1">
        <f>Raw_Data!$I2617/Raw_Data!$H2617</f>
        <v>440.82961309523807</v>
      </c>
    </row>
    <row r="2618" spans="1:10" x14ac:dyDescent="0.3">
      <c r="A2618" s="9">
        <v>42105</v>
      </c>
      <c r="B2618" s="2" t="str">
        <f>TEXT(Raw_Data!$A2618, "MMM")</f>
        <v>Apr</v>
      </c>
      <c r="C2618" s="2">
        <f>YEAR(Raw_Data!$A2618)</f>
        <v>2015</v>
      </c>
      <c r="D2618" s="2" t="s">
        <v>1577</v>
      </c>
      <c r="E2618" s="2" t="s">
        <v>23</v>
      </c>
      <c r="F2618" s="2" t="s">
        <v>18</v>
      </c>
      <c r="G2618" s="2"/>
      <c r="H2618" s="2">
        <v>1952</v>
      </c>
      <c r="I2618" s="10">
        <v>640752</v>
      </c>
      <c r="J2618" s="10">
        <f>Raw_Data!$I2618/Raw_Data!$H2618</f>
        <v>328.25409836065575</v>
      </c>
    </row>
    <row r="2619" spans="1:10" x14ac:dyDescent="0.3">
      <c r="A2619" s="8">
        <v>43128</v>
      </c>
      <c r="B2619" t="str">
        <f>TEXT(Raw_Data!$A2619, "MMM")</f>
        <v>Jan</v>
      </c>
      <c r="C2619">
        <f>YEAR(Raw_Data!$A2619)</f>
        <v>2018</v>
      </c>
      <c r="D2619" t="s">
        <v>1993</v>
      </c>
      <c r="E2619" t="s">
        <v>32</v>
      </c>
      <c r="F2619" t="s">
        <v>27</v>
      </c>
      <c r="H2619">
        <v>1216</v>
      </c>
      <c r="I2619" s="1">
        <v>466042</v>
      </c>
      <c r="J2619" s="1">
        <f>Raw_Data!$I2619/Raw_Data!$H2619</f>
        <v>383.25822368421052</v>
      </c>
    </row>
    <row r="2620" spans="1:10" x14ac:dyDescent="0.3">
      <c r="A2620" s="9">
        <v>42996</v>
      </c>
      <c r="B2620" s="2" t="str">
        <f>TEXT(Raw_Data!$A2620, "MMM")</f>
        <v>Sep</v>
      </c>
      <c r="C2620" s="2">
        <f>YEAR(Raw_Data!$A2620)</f>
        <v>2017</v>
      </c>
      <c r="D2620" s="2" t="s">
        <v>1994</v>
      </c>
      <c r="E2620" s="2" t="s">
        <v>25</v>
      </c>
      <c r="F2620" s="2" t="s">
        <v>18</v>
      </c>
      <c r="G2620" s="2"/>
      <c r="H2620" s="2">
        <v>2316</v>
      </c>
      <c r="I2620" s="10">
        <v>424635</v>
      </c>
      <c r="J2620" s="10">
        <f>Raw_Data!$I2620/Raw_Data!$H2620</f>
        <v>183.34844559585491</v>
      </c>
    </row>
    <row r="2621" spans="1:10" x14ac:dyDescent="0.3">
      <c r="A2621" s="8">
        <v>41547</v>
      </c>
      <c r="B2621" t="str">
        <f>TEXT(Raw_Data!$A2621, "MMM")</f>
        <v>Sep</v>
      </c>
      <c r="C2621">
        <f>YEAR(Raw_Data!$A2621)</f>
        <v>2013</v>
      </c>
      <c r="D2621" t="s">
        <v>1995</v>
      </c>
      <c r="E2621" t="s">
        <v>15</v>
      </c>
      <c r="F2621" t="s">
        <v>27</v>
      </c>
      <c r="G2621">
        <v>3</v>
      </c>
      <c r="H2621">
        <v>3249</v>
      </c>
      <c r="I2621" s="1">
        <v>346818</v>
      </c>
      <c r="J2621" s="1">
        <f>Raw_Data!$I2621/Raw_Data!$H2621</f>
        <v>106.7460757156048</v>
      </c>
    </row>
    <row r="2622" spans="1:10" x14ac:dyDescent="0.3">
      <c r="A2622" s="9">
        <v>42327</v>
      </c>
      <c r="B2622" s="2" t="str">
        <f>TEXT(Raw_Data!$A2622, "MMM")</f>
        <v>Nov</v>
      </c>
      <c r="C2622" s="2">
        <f>YEAR(Raw_Data!$A2622)</f>
        <v>2015</v>
      </c>
      <c r="D2622" s="2" t="s">
        <v>1996</v>
      </c>
      <c r="E2622" s="2" t="s">
        <v>15</v>
      </c>
      <c r="F2622" s="2" t="s">
        <v>18</v>
      </c>
      <c r="G2622" s="2">
        <v>3</v>
      </c>
      <c r="H2622" s="2">
        <v>1110</v>
      </c>
      <c r="I2622" s="10">
        <v>660641</v>
      </c>
      <c r="J2622" s="10">
        <f>Raw_Data!$I2622/Raw_Data!$H2622</f>
        <v>595.17207207207207</v>
      </c>
    </row>
    <row r="2623" spans="1:10" x14ac:dyDescent="0.3">
      <c r="A2623" s="8">
        <v>40363</v>
      </c>
      <c r="B2623" t="str">
        <f>TEXT(Raw_Data!$A2623, "MMM")</f>
        <v>Jul</v>
      </c>
      <c r="C2623">
        <f>YEAR(Raw_Data!$A2623)</f>
        <v>2010</v>
      </c>
      <c r="D2623" t="s">
        <v>1963</v>
      </c>
      <c r="E2623" t="s">
        <v>25</v>
      </c>
      <c r="F2623" t="s">
        <v>27</v>
      </c>
      <c r="H2623">
        <v>2780</v>
      </c>
      <c r="I2623" s="1">
        <v>148439</v>
      </c>
      <c r="J2623" s="1">
        <f>Raw_Data!$I2623/Raw_Data!$H2623</f>
        <v>53.395323741007196</v>
      </c>
    </row>
    <row r="2624" spans="1:10" x14ac:dyDescent="0.3">
      <c r="A2624" s="9">
        <v>37629</v>
      </c>
      <c r="B2624" s="2" t="str">
        <f>TEXT(Raw_Data!$A2624, "MMM")</f>
        <v>Jan</v>
      </c>
      <c r="C2624" s="2">
        <f>YEAR(Raw_Data!$A2624)</f>
        <v>2003</v>
      </c>
      <c r="D2624" s="2" t="s">
        <v>1997</v>
      </c>
      <c r="E2624" s="2" t="s">
        <v>21</v>
      </c>
      <c r="F2624" s="2" t="s">
        <v>18</v>
      </c>
      <c r="G2624" s="2">
        <v>3</v>
      </c>
      <c r="H2624" s="2">
        <v>3428</v>
      </c>
      <c r="I2624" s="10">
        <v>782518</v>
      </c>
      <c r="J2624" s="10">
        <f>Raw_Data!$I2624/Raw_Data!$H2624</f>
        <v>228.27246207701285</v>
      </c>
    </row>
    <row r="2625" spans="1:10" x14ac:dyDescent="0.3">
      <c r="A2625" s="8">
        <v>43338</v>
      </c>
      <c r="B2625" t="str">
        <f>TEXT(Raw_Data!$A2625, "MMM")</f>
        <v>Aug</v>
      </c>
      <c r="C2625">
        <f>YEAR(Raw_Data!$A2625)</f>
        <v>2018</v>
      </c>
      <c r="D2625" t="s">
        <v>1998</v>
      </c>
      <c r="E2625" t="s">
        <v>15</v>
      </c>
      <c r="F2625" t="s">
        <v>27</v>
      </c>
      <c r="G2625">
        <v>5</v>
      </c>
      <c r="H2625">
        <v>2668</v>
      </c>
      <c r="I2625" s="1">
        <v>596641</v>
      </c>
      <c r="J2625" s="1">
        <f>Raw_Data!$I2625/Raw_Data!$H2625</f>
        <v>223.62856071964018</v>
      </c>
    </row>
    <row r="2626" spans="1:10" x14ac:dyDescent="0.3">
      <c r="A2626" s="9">
        <v>41122</v>
      </c>
      <c r="B2626" s="2" t="str">
        <f>TEXT(Raw_Data!$A2626, "MMM")</f>
        <v>Aug</v>
      </c>
      <c r="C2626" s="2">
        <f>YEAR(Raw_Data!$A2626)</f>
        <v>2012</v>
      </c>
      <c r="D2626" s="2" t="s">
        <v>1211</v>
      </c>
      <c r="E2626" s="2" t="s">
        <v>23</v>
      </c>
      <c r="F2626" s="2" t="s">
        <v>27</v>
      </c>
      <c r="G2626" s="2"/>
      <c r="H2626" s="2">
        <v>2599</v>
      </c>
      <c r="I2626" s="10">
        <v>646337</v>
      </c>
      <c r="J2626" s="10">
        <f>Raw_Data!$I2626/Raw_Data!$H2626</f>
        <v>248.68680261639091</v>
      </c>
    </row>
    <row r="2627" spans="1:10" x14ac:dyDescent="0.3">
      <c r="A2627" s="8">
        <v>41161</v>
      </c>
      <c r="B2627" t="str">
        <f>TEXT(Raw_Data!$A2627, "MMM")</f>
        <v>Sep</v>
      </c>
      <c r="C2627">
        <f>YEAR(Raw_Data!$A2627)</f>
        <v>2012</v>
      </c>
      <c r="D2627" t="s">
        <v>717</v>
      </c>
      <c r="E2627" t="s">
        <v>32</v>
      </c>
      <c r="F2627" t="s">
        <v>16</v>
      </c>
      <c r="H2627">
        <v>1595</v>
      </c>
      <c r="I2627" s="1">
        <v>142052</v>
      </c>
      <c r="J2627" s="1">
        <f>Raw_Data!$I2627/Raw_Data!$H2627</f>
        <v>89.060815047021947</v>
      </c>
    </row>
    <row r="2628" spans="1:10" x14ac:dyDescent="0.3">
      <c r="A2628" s="9">
        <v>37793</v>
      </c>
      <c r="B2628" s="2" t="str">
        <f>TEXT(Raw_Data!$A2628, "MMM")</f>
        <v>Jun</v>
      </c>
      <c r="C2628" s="2">
        <f>YEAR(Raw_Data!$A2628)</f>
        <v>2003</v>
      </c>
      <c r="D2628" s="2" t="s">
        <v>429</v>
      </c>
      <c r="E2628" s="2" t="s">
        <v>13</v>
      </c>
      <c r="F2628" s="2" t="s">
        <v>11</v>
      </c>
      <c r="G2628" s="2">
        <v>4</v>
      </c>
      <c r="H2628" s="2">
        <v>3043</v>
      </c>
      <c r="I2628" s="10">
        <v>239832</v>
      </c>
      <c r="J2628" s="10">
        <f>Raw_Data!$I2628/Raw_Data!$H2628</f>
        <v>78.814327965823196</v>
      </c>
    </row>
    <row r="2629" spans="1:10" x14ac:dyDescent="0.3">
      <c r="A2629" s="8">
        <v>43636</v>
      </c>
      <c r="B2629" t="str">
        <f>TEXT(Raw_Data!$A2629, "MMM")</f>
        <v>Jun</v>
      </c>
      <c r="C2629">
        <f>YEAR(Raw_Data!$A2629)</f>
        <v>2019</v>
      </c>
      <c r="D2629" t="s">
        <v>1999</v>
      </c>
      <c r="E2629" t="s">
        <v>25</v>
      </c>
      <c r="F2629" t="s">
        <v>11</v>
      </c>
      <c r="G2629">
        <v>5</v>
      </c>
      <c r="H2629">
        <v>1054</v>
      </c>
      <c r="I2629" s="1">
        <v>286515</v>
      </c>
      <c r="J2629" s="1">
        <f>Raw_Data!$I2629/Raw_Data!$H2629</f>
        <v>271.83586337760909</v>
      </c>
    </row>
    <row r="2630" spans="1:10" x14ac:dyDescent="0.3">
      <c r="A2630" s="9">
        <v>37850</v>
      </c>
      <c r="B2630" s="2" t="str">
        <f>TEXT(Raw_Data!$A2630, "MMM")</f>
        <v>Aug</v>
      </c>
      <c r="C2630" s="2">
        <f>YEAR(Raw_Data!$A2630)</f>
        <v>2003</v>
      </c>
      <c r="D2630" s="2" t="s">
        <v>1490</v>
      </c>
      <c r="E2630" s="2" t="s">
        <v>29</v>
      </c>
      <c r="F2630" s="2" t="s">
        <v>16</v>
      </c>
      <c r="G2630" s="2"/>
      <c r="H2630" s="2">
        <v>1138</v>
      </c>
      <c r="I2630" s="10">
        <v>111894</v>
      </c>
      <c r="J2630" s="10">
        <f>Raw_Data!$I2630/Raw_Data!$H2630</f>
        <v>98.325131810193326</v>
      </c>
    </row>
    <row r="2631" spans="1:10" x14ac:dyDescent="0.3">
      <c r="A2631" s="8">
        <v>42963</v>
      </c>
      <c r="B2631" t="str">
        <f>TEXT(Raw_Data!$A2631, "MMM")</f>
        <v>Aug</v>
      </c>
      <c r="C2631">
        <f>YEAR(Raw_Data!$A2631)</f>
        <v>2017</v>
      </c>
      <c r="D2631" t="s">
        <v>2000</v>
      </c>
      <c r="E2631" t="s">
        <v>13</v>
      </c>
      <c r="F2631" t="s">
        <v>18</v>
      </c>
      <c r="G2631">
        <v>4</v>
      </c>
      <c r="H2631">
        <v>3359</v>
      </c>
      <c r="I2631" s="1">
        <v>199887</v>
      </c>
      <c r="J2631" s="1">
        <f>Raw_Data!$I2631/Raw_Data!$H2631</f>
        <v>59.507889252753799</v>
      </c>
    </row>
    <row r="2632" spans="1:10" x14ac:dyDescent="0.3">
      <c r="A2632" s="9">
        <v>39701</v>
      </c>
      <c r="B2632" s="2" t="str">
        <f>TEXT(Raw_Data!$A2632, "MMM")</f>
        <v>Sep</v>
      </c>
      <c r="C2632" s="2">
        <f>YEAR(Raw_Data!$A2632)</f>
        <v>2008</v>
      </c>
      <c r="D2632" s="2" t="s">
        <v>1858</v>
      </c>
      <c r="E2632" s="2" t="s">
        <v>23</v>
      </c>
      <c r="F2632" s="2" t="s">
        <v>16</v>
      </c>
      <c r="G2632" s="2">
        <v>4</v>
      </c>
      <c r="H2632" s="2">
        <v>1537</v>
      </c>
      <c r="I2632" s="10">
        <v>695731</v>
      </c>
      <c r="J2632" s="10">
        <f>Raw_Data!$I2632/Raw_Data!$H2632</f>
        <v>452.65517241379308</v>
      </c>
    </row>
    <row r="2633" spans="1:10" x14ac:dyDescent="0.3">
      <c r="A2633" s="8">
        <v>40639</v>
      </c>
      <c r="B2633" t="str">
        <f>TEXT(Raw_Data!$A2633, "MMM")</f>
        <v>Apr</v>
      </c>
      <c r="C2633">
        <f>YEAR(Raw_Data!$A2633)</f>
        <v>2011</v>
      </c>
      <c r="D2633" t="s">
        <v>2001</v>
      </c>
      <c r="E2633" t="s">
        <v>29</v>
      </c>
      <c r="F2633" t="s">
        <v>16</v>
      </c>
      <c r="G2633">
        <v>4</v>
      </c>
      <c r="H2633">
        <v>2432</v>
      </c>
      <c r="I2633" s="1">
        <v>812840</v>
      </c>
      <c r="J2633" s="1">
        <f>Raw_Data!$I2633/Raw_Data!$H2633</f>
        <v>334.22697368421052</v>
      </c>
    </row>
    <row r="2634" spans="1:10" x14ac:dyDescent="0.3">
      <c r="A2634" s="9">
        <v>39066</v>
      </c>
      <c r="B2634" s="2" t="str">
        <f>TEXT(Raw_Data!$A2634, "MMM")</f>
        <v>Dec</v>
      </c>
      <c r="C2634" s="2">
        <f>YEAR(Raw_Data!$A2634)</f>
        <v>2006</v>
      </c>
      <c r="D2634" s="2" t="s">
        <v>2002</v>
      </c>
      <c r="E2634" s="2" t="s">
        <v>13</v>
      </c>
      <c r="F2634" s="2" t="s">
        <v>11</v>
      </c>
      <c r="G2634" s="2">
        <v>4</v>
      </c>
      <c r="H2634" s="2">
        <v>2581</v>
      </c>
      <c r="I2634" s="10">
        <v>653836</v>
      </c>
      <c r="J2634" s="10">
        <f>Raw_Data!$I2634/Raw_Data!$H2634</f>
        <v>253.32661759008136</v>
      </c>
    </row>
    <row r="2635" spans="1:10" x14ac:dyDescent="0.3">
      <c r="A2635" s="8">
        <v>37796</v>
      </c>
      <c r="B2635" t="str">
        <f>TEXT(Raw_Data!$A2635, "MMM")</f>
        <v>Jun</v>
      </c>
      <c r="C2635">
        <f>YEAR(Raw_Data!$A2635)</f>
        <v>2003</v>
      </c>
      <c r="D2635" t="s">
        <v>62</v>
      </c>
      <c r="E2635" t="s">
        <v>25</v>
      </c>
      <c r="F2635" t="s">
        <v>16</v>
      </c>
      <c r="G2635">
        <v>2</v>
      </c>
      <c r="H2635">
        <v>2895</v>
      </c>
      <c r="I2635" s="1">
        <v>766864</v>
      </c>
      <c r="J2635" s="1">
        <f>Raw_Data!$I2635/Raw_Data!$H2635</f>
        <v>264.89257340241795</v>
      </c>
    </row>
    <row r="2636" spans="1:10" x14ac:dyDescent="0.3">
      <c r="A2636" s="9">
        <v>40485</v>
      </c>
      <c r="B2636" s="2" t="str">
        <f>TEXT(Raw_Data!$A2636, "MMM")</f>
        <v>Nov</v>
      </c>
      <c r="C2636" s="2">
        <f>YEAR(Raw_Data!$A2636)</f>
        <v>2010</v>
      </c>
      <c r="D2636" s="2" t="s">
        <v>1553</v>
      </c>
      <c r="E2636" s="2" t="s">
        <v>13</v>
      </c>
      <c r="F2636" s="2" t="s">
        <v>18</v>
      </c>
      <c r="G2636" s="2"/>
      <c r="H2636" s="2">
        <v>2178</v>
      </c>
      <c r="I2636" s="10">
        <v>122879</v>
      </c>
      <c r="J2636" s="10">
        <f>Raw_Data!$I2636/Raw_Data!$H2636</f>
        <v>56.418273645546371</v>
      </c>
    </row>
    <row r="2637" spans="1:10" x14ac:dyDescent="0.3">
      <c r="A2637" s="8">
        <v>39260</v>
      </c>
      <c r="B2637" t="str">
        <f>TEXT(Raw_Data!$A2637, "MMM")</f>
        <v>Jun</v>
      </c>
      <c r="C2637">
        <f>YEAR(Raw_Data!$A2637)</f>
        <v>2007</v>
      </c>
      <c r="D2637" t="s">
        <v>956</v>
      </c>
      <c r="E2637" t="s">
        <v>25</v>
      </c>
      <c r="F2637" t="s">
        <v>27</v>
      </c>
      <c r="G2637">
        <v>4</v>
      </c>
      <c r="H2637">
        <v>2464</v>
      </c>
      <c r="I2637" s="1">
        <v>355929</v>
      </c>
      <c r="J2637" s="1">
        <f>Raw_Data!$I2637/Raw_Data!$H2637</f>
        <v>144.45170454545453</v>
      </c>
    </row>
    <row r="2638" spans="1:10" x14ac:dyDescent="0.3">
      <c r="A2638" s="9">
        <v>39209</v>
      </c>
      <c r="B2638" s="2" t="str">
        <f>TEXT(Raw_Data!$A2638, "MMM")</f>
        <v>May</v>
      </c>
      <c r="C2638" s="2">
        <f>YEAR(Raw_Data!$A2638)</f>
        <v>2007</v>
      </c>
      <c r="D2638" s="2" t="s">
        <v>1963</v>
      </c>
      <c r="E2638" s="2" t="s">
        <v>15</v>
      </c>
      <c r="F2638" s="2" t="s">
        <v>27</v>
      </c>
      <c r="G2638" s="2">
        <v>3</v>
      </c>
      <c r="H2638" s="2">
        <v>1279</v>
      </c>
      <c r="I2638" s="10">
        <v>506273</v>
      </c>
      <c r="J2638" s="10">
        <f>Raw_Data!$I2638/Raw_Data!$H2638</f>
        <v>395.83502736512901</v>
      </c>
    </row>
    <row r="2639" spans="1:10" x14ac:dyDescent="0.3">
      <c r="A2639" s="8">
        <v>43607</v>
      </c>
      <c r="B2639" t="str">
        <f>TEXT(Raw_Data!$A2639, "MMM")</f>
        <v>May</v>
      </c>
      <c r="C2639">
        <f>YEAR(Raw_Data!$A2639)</f>
        <v>2019</v>
      </c>
      <c r="D2639" t="s">
        <v>439</v>
      </c>
      <c r="E2639" t="s">
        <v>25</v>
      </c>
      <c r="F2639" t="s">
        <v>18</v>
      </c>
      <c r="H2639">
        <v>2472</v>
      </c>
      <c r="I2639" s="1">
        <v>421976</v>
      </c>
      <c r="J2639" s="1">
        <f>Raw_Data!$I2639/Raw_Data!$H2639</f>
        <v>170.70226537216828</v>
      </c>
    </row>
    <row r="2640" spans="1:10" x14ac:dyDescent="0.3">
      <c r="A2640" s="9">
        <v>42746</v>
      </c>
      <c r="B2640" s="2" t="str">
        <f>TEXT(Raw_Data!$A2640, "MMM")</f>
        <v>Jan</v>
      </c>
      <c r="C2640" s="2">
        <f>YEAR(Raw_Data!$A2640)</f>
        <v>2017</v>
      </c>
      <c r="D2640" s="2" t="s">
        <v>1473</v>
      </c>
      <c r="E2640" s="2" t="s">
        <v>15</v>
      </c>
      <c r="F2640" s="2" t="s">
        <v>27</v>
      </c>
      <c r="G2640" s="2">
        <v>5</v>
      </c>
      <c r="H2640" s="2">
        <v>2005</v>
      </c>
      <c r="I2640" s="10">
        <v>578400</v>
      </c>
      <c r="J2640" s="10">
        <f>Raw_Data!$I2640/Raw_Data!$H2640</f>
        <v>288.47880299251869</v>
      </c>
    </row>
    <row r="2641" spans="1:10" x14ac:dyDescent="0.3">
      <c r="A2641" s="8">
        <v>38913</v>
      </c>
      <c r="B2641" t="str">
        <f>TEXT(Raw_Data!$A2641, "MMM")</f>
        <v>Jul</v>
      </c>
      <c r="C2641">
        <f>YEAR(Raw_Data!$A2641)</f>
        <v>2006</v>
      </c>
      <c r="D2641" t="s">
        <v>2003</v>
      </c>
      <c r="E2641" t="s">
        <v>15</v>
      </c>
      <c r="F2641" t="s">
        <v>11</v>
      </c>
      <c r="H2641">
        <v>1455</v>
      </c>
      <c r="I2641" s="1">
        <v>435029</v>
      </c>
      <c r="J2641" s="1">
        <f>Raw_Data!$I2641/Raw_Data!$H2641</f>
        <v>298.98900343642612</v>
      </c>
    </row>
    <row r="2642" spans="1:10" x14ac:dyDescent="0.3">
      <c r="A2642" s="9">
        <v>39349</v>
      </c>
      <c r="B2642" s="2" t="str">
        <f>TEXT(Raw_Data!$A2642, "MMM")</f>
        <v>Sep</v>
      </c>
      <c r="C2642" s="2">
        <f>YEAR(Raw_Data!$A2642)</f>
        <v>2007</v>
      </c>
      <c r="D2642" s="2" t="s">
        <v>2004</v>
      </c>
      <c r="E2642" s="2" t="s">
        <v>29</v>
      </c>
      <c r="F2642" s="2" t="s">
        <v>11</v>
      </c>
      <c r="G2642" s="2">
        <v>2</v>
      </c>
      <c r="H2642" s="2">
        <v>1100</v>
      </c>
      <c r="I2642" s="10">
        <v>361334</v>
      </c>
      <c r="J2642" s="10">
        <f>Raw_Data!$I2642/Raw_Data!$H2642</f>
        <v>328.48545454545456</v>
      </c>
    </row>
    <row r="2643" spans="1:10" x14ac:dyDescent="0.3">
      <c r="A2643" s="8">
        <v>40309</v>
      </c>
      <c r="B2643" t="str">
        <f>TEXT(Raw_Data!$A2643, "MMM")</f>
        <v>May</v>
      </c>
      <c r="C2643">
        <f>YEAR(Raw_Data!$A2643)</f>
        <v>2010</v>
      </c>
      <c r="D2643" t="s">
        <v>2005</v>
      </c>
      <c r="E2643" t="s">
        <v>13</v>
      </c>
      <c r="F2643" t="s">
        <v>11</v>
      </c>
      <c r="G2643">
        <v>2</v>
      </c>
      <c r="H2643">
        <v>2480</v>
      </c>
      <c r="I2643" s="1">
        <v>518914</v>
      </c>
      <c r="J2643" s="1">
        <f>Raw_Data!$I2643/Raw_Data!$H2643</f>
        <v>209.23951612903227</v>
      </c>
    </row>
    <row r="2644" spans="1:10" x14ac:dyDescent="0.3">
      <c r="A2644" s="9">
        <v>43131</v>
      </c>
      <c r="B2644" s="2" t="str">
        <f>TEXT(Raw_Data!$A2644, "MMM")</f>
        <v>Jan</v>
      </c>
      <c r="C2644" s="2">
        <f>YEAR(Raw_Data!$A2644)</f>
        <v>2018</v>
      </c>
      <c r="D2644" s="2" t="s">
        <v>2006</v>
      </c>
      <c r="E2644" s="2" t="s">
        <v>21</v>
      </c>
      <c r="F2644" s="2" t="s">
        <v>27</v>
      </c>
      <c r="G2644" s="2">
        <v>2</v>
      </c>
      <c r="H2644" s="2">
        <v>1225</v>
      </c>
      <c r="I2644" s="10">
        <v>887664</v>
      </c>
      <c r="J2644" s="10">
        <f>Raw_Data!$I2644/Raw_Data!$H2644</f>
        <v>724.62367346938777</v>
      </c>
    </row>
    <row r="2645" spans="1:10" x14ac:dyDescent="0.3">
      <c r="A2645" s="8">
        <v>37976</v>
      </c>
      <c r="B2645" t="str">
        <f>TEXT(Raw_Data!$A2645, "MMM")</f>
        <v>Dec</v>
      </c>
      <c r="C2645">
        <f>YEAR(Raw_Data!$A2645)</f>
        <v>2003</v>
      </c>
      <c r="D2645" t="s">
        <v>2007</v>
      </c>
      <c r="E2645" t="s">
        <v>15</v>
      </c>
      <c r="F2645" t="s">
        <v>27</v>
      </c>
      <c r="H2645">
        <v>2308</v>
      </c>
      <c r="I2645" s="1">
        <v>222956</v>
      </c>
      <c r="J2645" s="1">
        <f>Raw_Data!$I2645/Raw_Data!$H2645</f>
        <v>96.601386481802422</v>
      </c>
    </row>
    <row r="2646" spans="1:10" x14ac:dyDescent="0.3">
      <c r="A2646" s="9">
        <v>37612</v>
      </c>
      <c r="B2646" s="2" t="str">
        <f>TEXT(Raw_Data!$A2646, "MMM")</f>
        <v>Dec</v>
      </c>
      <c r="C2646" s="2">
        <f>YEAR(Raw_Data!$A2646)</f>
        <v>2002</v>
      </c>
      <c r="D2646" s="2" t="s">
        <v>1471</v>
      </c>
      <c r="E2646" s="2" t="s">
        <v>15</v>
      </c>
      <c r="F2646" s="2" t="s">
        <v>18</v>
      </c>
      <c r="G2646" s="2">
        <v>3</v>
      </c>
      <c r="H2646" s="2">
        <v>2195</v>
      </c>
      <c r="I2646" s="10">
        <v>495058</v>
      </c>
      <c r="J2646" s="10">
        <f>Raw_Data!$I2646/Raw_Data!$H2646</f>
        <v>225.53895216400912</v>
      </c>
    </row>
    <row r="2647" spans="1:10" x14ac:dyDescent="0.3">
      <c r="A2647" s="8">
        <v>39411</v>
      </c>
      <c r="B2647" t="str">
        <f>TEXT(Raw_Data!$A2647, "MMM")</f>
        <v>Nov</v>
      </c>
      <c r="C2647">
        <f>YEAR(Raw_Data!$A2647)</f>
        <v>2007</v>
      </c>
      <c r="D2647" t="s">
        <v>830</v>
      </c>
      <c r="E2647" t="s">
        <v>21</v>
      </c>
      <c r="F2647" t="s">
        <v>11</v>
      </c>
      <c r="G2647">
        <v>4</v>
      </c>
      <c r="H2647">
        <v>923</v>
      </c>
      <c r="I2647" s="1">
        <v>715070</v>
      </c>
      <c r="J2647" s="1">
        <f>Raw_Data!$I2647/Raw_Data!$H2647</f>
        <v>774.72372697724813</v>
      </c>
    </row>
    <row r="2648" spans="1:10" x14ac:dyDescent="0.3">
      <c r="A2648" s="9">
        <v>36996</v>
      </c>
      <c r="B2648" s="2" t="str">
        <f>TEXT(Raw_Data!$A2648, "MMM")</f>
        <v>Apr</v>
      </c>
      <c r="C2648" s="2">
        <f>YEAR(Raw_Data!$A2648)</f>
        <v>2001</v>
      </c>
      <c r="D2648" s="2" t="s">
        <v>1053</v>
      </c>
      <c r="E2648" s="2" t="s">
        <v>15</v>
      </c>
      <c r="F2648" s="2" t="s">
        <v>16</v>
      </c>
      <c r="G2648" s="2">
        <v>4</v>
      </c>
      <c r="H2648" s="2">
        <v>2597</v>
      </c>
      <c r="I2648" s="10">
        <v>834811</v>
      </c>
      <c r="J2648" s="10">
        <f>Raw_Data!$I2648/Raw_Data!$H2648</f>
        <v>321.45206006931073</v>
      </c>
    </row>
    <row r="2649" spans="1:10" x14ac:dyDescent="0.3">
      <c r="A2649" s="8">
        <v>42390</v>
      </c>
      <c r="B2649" t="str">
        <f>TEXT(Raw_Data!$A2649, "MMM")</f>
        <v>Jan</v>
      </c>
      <c r="C2649">
        <f>YEAR(Raw_Data!$A2649)</f>
        <v>2016</v>
      </c>
      <c r="D2649" t="s">
        <v>1419</v>
      </c>
      <c r="E2649" t="s">
        <v>29</v>
      </c>
      <c r="F2649" t="s">
        <v>27</v>
      </c>
      <c r="H2649">
        <v>2265</v>
      </c>
      <c r="I2649" s="1">
        <v>490453</v>
      </c>
      <c r="J2649" s="1">
        <f>Raw_Data!$I2649/Raw_Data!$H2649</f>
        <v>216.53554083885209</v>
      </c>
    </row>
    <row r="2650" spans="1:10" x14ac:dyDescent="0.3">
      <c r="A2650" s="9">
        <v>43504</v>
      </c>
      <c r="B2650" s="2" t="str">
        <f>TEXT(Raw_Data!$A2650, "MMM")</f>
        <v>Feb</v>
      </c>
      <c r="C2650" s="2">
        <f>YEAR(Raw_Data!$A2650)</f>
        <v>2019</v>
      </c>
      <c r="D2650" s="2" t="s">
        <v>2008</v>
      </c>
      <c r="E2650" s="2" t="s">
        <v>25</v>
      </c>
      <c r="F2650" s="2" t="s">
        <v>27</v>
      </c>
      <c r="G2650" s="2"/>
      <c r="H2650" s="2">
        <v>1171</v>
      </c>
      <c r="I2650" s="10">
        <v>706585</v>
      </c>
      <c r="J2650" s="10">
        <f>Raw_Data!$I2650/Raw_Data!$H2650</f>
        <v>603.40307429547397</v>
      </c>
    </row>
    <row r="2651" spans="1:10" x14ac:dyDescent="0.3">
      <c r="A2651" s="8">
        <v>42304</v>
      </c>
      <c r="B2651" t="str">
        <f>TEXT(Raw_Data!$A2651, "MMM")</f>
        <v>Oct</v>
      </c>
      <c r="C2651">
        <f>YEAR(Raw_Data!$A2651)</f>
        <v>2015</v>
      </c>
      <c r="D2651" t="s">
        <v>1080</v>
      </c>
      <c r="E2651" t="s">
        <v>25</v>
      </c>
      <c r="F2651" t="s">
        <v>18</v>
      </c>
      <c r="H2651">
        <v>3052</v>
      </c>
      <c r="I2651" s="1">
        <v>473720</v>
      </c>
      <c r="J2651" s="1">
        <f>Raw_Data!$I2651/Raw_Data!$H2651</f>
        <v>155.21625163826999</v>
      </c>
    </row>
    <row r="2652" spans="1:10" x14ac:dyDescent="0.3">
      <c r="A2652" s="9">
        <v>42197</v>
      </c>
      <c r="B2652" s="2" t="str">
        <f>TEXT(Raw_Data!$A2652, "MMM")</f>
        <v>Jul</v>
      </c>
      <c r="C2652" s="2">
        <f>YEAR(Raw_Data!$A2652)</f>
        <v>2015</v>
      </c>
      <c r="D2652" s="2" t="s">
        <v>2009</v>
      </c>
      <c r="E2652" s="2" t="s">
        <v>25</v>
      </c>
      <c r="F2652" s="2" t="s">
        <v>18</v>
      </c>
      <c r="G2652" s="2"/>
      <c r="H2652" s="2">
        <v>1407</v>
      </c>
      <c r="I2652" s="10">
        <v>433359</v>
      </c>
      <c r="J2652" s="10">
        <f>Raw_Data!$I2652/Raw_Data!$H2652</f>
        <v>308.00213219616205</v>
      </c>
    </row>
    <row r="2653" spans="1:10" x14ac:dyDescent="0.3">
      <c r="A2653" s="8">
        <v>42701</v>
      </c>
      <c r="B2653" t="str">
        <f>TEXT(Raw_Data!$A2653, "MMM")</f>
        <v>Nov</v>
      </c>
      <c r="C2653">
        <f>YEAR(Raw_Data!$A2653)</f>
        <v>2016</v>
      </c>
      <c r="D2653" t="s">
        <v>74</v>
      </c>
      <c r="E2653" t="s">
        <v>32</v>
      </c>
      <c r="F2653" t="s">
        <v>27</v>
      </c>
      <c r="G2653">
        <v>5</v>
      </c>
      <c r="H2653">
        <v>3454</v>
      </c>
      <c r="I2653" s="1">
        <v>669419</v>
      </c>
      <c r="J2653" s="1">
        <f>Raw_Data!$I2653/Raw_Data!$H2653</f>
        <v>193.80978575564563</v>
      </c>
    </row>
    <row r="2654" spans="1:10" x14ac:dyDescent="0.3">
      <c r="A2654" s="9">
        <v>41603</v>
      </c>
      <c r="B2654" s="2" t="str">
        <f>TEXT(Raw_Data!$A2654, "MMM")</f>
        <v>Nov</v>
      </c>
      <c r="C2654" s="2">
        <f>YEAR(Raw_Data!$A2654)</f>
        <v>2013</v>
      </c>
      <c r="D2654" s="2" t="s">
        <v>2010</v>
      </c>
      <c r="E2654" s="2" t="s">
        <v>15</v>
      </c>
      <c r="F2654" s="2" t="s">
        <v>27</v>
      </c>
      <c r="G2654" s="2">
        <v>5</v>
      </c>
      <c r="H2654" s="2">
        <v>2574</v>
      </c>
      <c r="I2654" s="10">
        <v>607499</v>
      </c>
      <c r="J2654" s="10">
        <f>Raw_Data!$I2654/Raw_Data!$H2654</f>
        <v>236.01359751359752</v>
      </c>
    </row>
    <row r="2655" spans="1:10" x14ac:dyDescent="0.3">
      <c r="A2655" s="8">
        <v>38941</v>
      </c>
      <c r="B2655" t="str">
        <f>TEXT(Raw_Data!$A2655, "MMM")</f>
        <v>Aug</v>
      </c>
      <c r="C2655">
        <f>YEAR(Raw_Data!$A2655)</f>
        <v>2006</v>
      </c>
      <c r="D2655" t="s">
        <v>2011</v>
      </c>
      <c r="E2655" t="s">
        <v>25</v>
      </c>
      <c r="F2655" t="s">
        <v>16</v>
      </c>
      <c r="G2655">
        <v>2</v>
      </c>
      <c r="H2655">
        <v>1611</v>
      </c>
      <c r="I2655" s="1">
        <v>468360</v>
      </c>
      <c r="J2655" s="1">
        <f>Raw_Data!$I2655/Raw_Data!$H2655</f>
        <v>290.72625698324021</v>
      </c>
    </row>
    <row r="2656" spans="1:10" x14ac:dyDescent="0.3">
      <c r="A2656" s="9">
        <v>40698</v>
      </c>
      <c r="B2656" s="2" t="str">
        <f>TEXT(Raw_Data!$A2656, "MMM")</f>
        <v>Jun</v>
      </c>
      <c r="C2656" s="2">
        <f>YEAR(Raw_Data!$A2656)</f>
        <v>2011</v>
      </c>
      <c r="D2656" s="2" t="s">
        <v>2012</v>
      </c>
      <c r="E2656" s="2" t="s">
        <v>29</v>
      </c>
      <c r="F2656" s="2" t="s">
        <v>27</v>
      </c>
      <c r="G2656" s="2">
        <v>3</v>
      </c>
      <c r="H2656" s="2">
        <v>2290</v>
      </c>
      <c r="I2656" s="10">
        <v>589162</v>
      </c>
      <c r="J2656" s="10">
        <f>Raw_Data!$I2656/Raw_Data!$H2656</f>
        <v>257.27598253275107</v>
      </c>
    </row>
    <row r="2657" spans="1:10" x14ac:dyDescent="0.3">
      <c r="A2657" s="8">
        <v>41707</v>
      </c>
      <c r="B2657" t="str">
        <f>TEXT(Raw_Data!$A2657, "MMM")</f>
        <v>Mar</v>
      </c>
      <c r="C2657">
        <f>YEAR(Raw_Data!$A2657)</f>
        <v>2014</v>
      </c>
      <c r="D2657" t="s">
        <v>268</v>
      </c>
      <c r="E2657" t="s">
        <v>13</v>
      </c>
      <c r="F2657" t="s">
        <v>18</v>
      </c>
      <c r="G2657">
        <v>2</v>
      </c>
      <c r="H2657">
        <v>3086</v>
      </c>
      <c r="I2657" s="1">
        <v>722778</v>
      </c>
      <c r="J2657" s="1">
        <f>Raw_Data!$I2657/Raw_Data!$H2657</f>
        <v>234.21192482177577</v>
      </c>
    </row>
    <row r="2658" spans="1:10" x14ac:dyDescent="0.3">
      <c r="A2658" s="9">
        <v>36906</v>
      </c>
      <c r="B2658" s="2" t="str">
        <f>TEXT(Raw_Data!$A2658, "MMM")</f>
        <v>Jan</v>
      </c>
      <c r="C2658" s="2">
        <f>YEAR(Raw_Data!$A2658)</f>
        <v>2001</v>
      </c>
      <c r="D2658" s="2" t="s">
        <v>2013</v>
      </c>
      <c r="E2658" s="2" t="s">
        <v>25</v>
      </c>
      <c r="F2658" s="2" t="s">
        <v>18</v>
      </c>
      <c r="G2658" s="2">
        <v>2</v>
      </c>
      <c r="H2658" s="2">
        <v>1928</v>
      </c>
      <c r="I2658" s="10">
        <v>453975</v>
      </c>
      <c r="J2658" s="10">
        <f>Raw_Data!$I2658/Raw_Data!$H2658</f>
        <v>235.46421161825725</v>
      </c>
    </row>
    <row r="2659" spans="1:10" x14ac:dyDescent="0.3">
      <c r="A2659" s="8">
        <v>39377</v>
      </c>
      <c r="B2659" t="str">
        <f>TEXT(Raw_Data!$A2659, "MMM")</f>
        <v>Oct</v>
      </c>
      <c r="C2659">
        <f>YEAR(Raw_Data!$A2659)</f>
        <v>2007</v>
      </c>
      <c r="D2659" t="s">
        <v>1967</v>
      </c>
      <c r="E2659" t="s">
        <v>32</v>
      </c>
      <c r="F2659" t="s">
        <v>27</v>
      </c>
      <c r="G2659">
        <v>4</v>
      </c>
      <c r="H2659">
        <v>1521</v>
      </c>
      <c r="I2659" s="1">
        <v>857934</v>
      </c>
      <c r="J2659" s="1">
        <f>Raw_Data!$I2659/Raw_Data!$H2659</f>
        <v>564.05917159763317</v>
      </c>
    </row>
    <row r="2660" spans="1:10" x14ac:dyDescent="0.3">
      <c r="A2660" s="9">
        <v>43263</v>
      </c>
      <c r="B2660" s="2" t="str">
        <f>TEXT(Raw_Data!$A2660, "MMM")</f>
        <v>Jun</v>
      </c>
      <c r="C2660" s="2">
        <f>YEAR(Raw_Data!$A2660)</f>
        <v>2018</v>
      </c>
      <c r="D2660" s="2" t="s">
        <v>2014</v>
      </c>
      <c r="E2660" s="2" t="s">
        <v>32</v>
      </c>
      <c r="F2660" s="2" t="s">
        <v>16</v>
      </c>
      <c r="G2660" s="2">
        <v>4</v>
      </c>
      <c r="H2660" s="2">
        <v>1298</v>
      </c>
      <c r="I2660" s="10">
        <v>284958</v>
      </c>
      <c r="J2660" s="10">
        <f>Raw_Data!$I2660/Raw_Data!$H2660</f>
        <v>219.5362095531587</v>
      </c>
    </row>
    <row r="2661" spans="1:10" x14ac:dyDescent="0.3">
      <c r="A2661" s="8">
        <v>43097</v>
      </c>
      <c r="B2661" t="str">
        <f>TEXT(Raw_Data!$A2661, "MMM")</f>
        <v>Dec</v>
      </c>
      <c r="C2661">
        <f>YEAR(Raw_Data!$A2661)</f>
        <v>2017</v>
      </c>
      <c r="D2661" t="s">
        <v>2015</v>
      </c>
      <c r="E2661" t="s">
        <v>13</v>
      </c>
      <c r="F2661" t="s">
        <v>27</v>
      </c>
      <c r="G2661">
        <v>3</v>
      </c>
      <c r="H2661">
        <v>2142</v>
      </c>
      <c r="I2661" s="1">
        <v>301942</v>
      </c>
      <c r="J2661" s="1">
        <f>Raw_Data!$I2661/Raw_Data!$H2661</f>
        <v>140.96265172735761</v>
      </c>
    </row>
    <row r="2662" spans="1:10" x14ac:dyDescent="0.3">
      <c r="A2662" s="9">
        <v>42468</v>
      </c>
      <c r="B2662" s="2" t="str">
        <f>TEXT(Raw_Data!$A2662, "MMM")</f>
        <v>Apr</v>
      </c>
      <c r="C2662" s="2">
        <f>YEAR(Raw_Data!$A2662)</f>
        <v>2016</v>
      </c>
      <c r="D2662" s="2" t="s">
        <v>2016</v>
      </c>
      <c r="E2662" s="2" t="s">
        <v>32</v>
      </c>
      <c r="F2662" s="2" t="s">
        <v>11</v>
      </c>
      <c r="G2662" s="2"/>
      <c r="H2662" s="2">
        <v>2857</v>
      </c>
      <c r="I2662" s="10">
        <v>857554</v>
      </c>
      <c r="J2662" s="10">
        <f>Raw_Data!$I2662/Raw_Data!$H2662</f>
        <v>300.15890794539729</v>
      </c>
    </row>
    <row r="2663" spans="1:10" x14ac:dyDescent="0.3">
      <c r="A2663" s="8">
        <v>37164</v>
      </c>
      <c r="B2663" t="str">
        <f>TEXT(Raw_Data!$A2663, "MMM")</f>
        <v>Sep</v>
      </c>
      <c r="C2663">
        <f>YEAR(Raw_Data!$A2663)</f>
        <v>2001</v>
      </c>
      <c r="D2663" t="s">
        <v>701</v>
      </c>
      <c r="E2663" t="s">
        <v>25</v>
      </c>
      <c r="F2663" t="s">
        <v>11</v>
      </c>
      <c r="G2663">
        <v>4</v>
      </c>
      <c r="H2663">
        <v>1370</v>
      </c>
      <c r="I2663" s="1">
        <v>286202</v>
      </c>
      <c r="J2663" s="1">
        <f>Raw_Data!$I2663/Raw_Data!$H2663</f>
        <v>208.90656934306568</v>
      </c>
    </row>
    <row r="2664" spans="1:10" x14ac:dyDescent="0.3">
      <c r="A2664" s="9">
        <v>39147</v>
      </c>
      <c r="B2664" s="2" t="str">
        <f>TEXT(Raw_Data!$A2664, "MMM")</f>
        <v>Mar</v>
      </c>
      <c r="C2664" s="2">
        <f>YEAR(Raw_Data!$A2664)</f>
        <v>2007</v>
      </c>
      <c r="D2664" s="2" t="s">
        <v>1087</v>
      </c>
      <c r="E2664" s="2" t="s">
        <v>32</v>
      </c>
      <c r="F2664" s="2" t="s">
        <v>27</v>
      </c>
      <c r="G2664" s="2"/>
      <c r="H2664" s="2">
        <v>2608</v>
      </c>
      <c r="I2664" s="10">
        <v>578131</v>
      </c>
      <c r="J2664" s="10">
        <f>Raw_Data!$I2664/Raw_Data!$H2664</f>
        <v>221.67599693251535</v>
      </c>
    </row>
    <row r="2665" spans="1:10" x14ac:dyDescent="0.3">
      <c r="A2665" s="8">
        <v>39416</v>
      </c>
      <c r="B2665" t="str">
        <f>TEXT(Raw_Data!$A2665, "MMM")</f>
        <v>Nov</v>
      </c>
      <c r="C2665">
        <f>YEAR(Raw_Data!$A2665)</f>
        <v>2007</v>
      </c>
      <c r="D2665" t="s">
        <v>327</v>
      </c>
      <c r="E2665" t="s">
        <v>29</v>
      </c>
      <c r="F2665" t="s">
        <v>16</v>
      </c>
      <c r="G2665">
        <v>3</v>
      </c>
      <c r="H2665">
        <v>1765</v>
      </c>
      <c r="I2665" s="1">
        <v>443664</v>
      </c>
      <c r="J2665" s="1">
        <f>Raw_Data!$I2665/Raw_Data!$H2665</f>
        <v>251.36770538243627</v>
      </c>
    </row>
    <row r="2666" spans="1:10" x14ac:dyDescent="0.3">
      <c r="A2666" s="9">
        <v>41060</v>
      </c>
      <c r="B2666" s="2" t="str">
        <f>TEXT(Raw_Data!$A2666, "MMM")</f>
        <v>May</v>
      </c>
      <c r="C2666" s="2">
        <f>YEAR(Raw_Data!$A2666)</f>
        <v>2012</v>
      </c>
      <c r="D2666" s="2" t="s">
        <v>2017</v>
      </c>
      <c r="E2666" s="2" t="s">
        <v>25</v>
      </c>
      <c r="F2666" s="2" t="s">
        <v>11</v>
      </c>
      <c r="G2666" s="2">
        <v>3</v>
      </c>
      <c r="H2666" s="2">
        <v>2937</v>
      </c>
      <c r="I2666" s="10">
        <v>123049</v>
      </c>
      <c r="J2666" s="10">
        <f>Raw_Data!$I2666/Raw_Data!$H2666</f>
        <v>41.896152536601974</v>
      </c>
    </row>
    <row r="2667" spans="1:10" x14ac:dyDescent="0.3">
      <c r="A2667" s="8">
        <v>39397</v>
      </c>
      <c r="B2667" t="str">
        <f>TEXT(Raw_Data!$A2667, "MMM")</f>
        <v>Nov</v>
      </c>
      <c r="C2667">
        <f>YEAR(Raw_Data!$A2667)</f>
        <v>2007</v>
      </c>
      <c r="D2667" t="s">
        <v>615</v>
      </c>
      <c r="E2667" t="s">
        <v>32</v>
      </c>
      <c r="F2667" t="s">
        <v>16</v>
      </c>
      <c r="H2667">
        <v>1375</v>
      </c>
      <c r="I2667" s="1">
        <v>770010</v>
      </c>
      <c r="J2667" s="1">
        <f>Raw_Data!$I2667/Raw_Data!$H2667</f>
        <v>560.00727272727272</v>
      </c>
    </row>
    <row r="2668" spans="1:10" x14ac:dyDescent="0.3">
      <c r="A2668" s="9">
        <v>40592</v>
      </c>
      <c r="B2668" s="2" t="str">
        <f>TEXT(Raw_Data!$A2668, "MMM")</f>
        <v>Feb</v>
      </c>
      <c r="C2668" s="2">
        <f>YEAR(Raw_Data!$A2668)</f>
        <v>2011</v>
      </c>
      <c r="D2668" s="2" t="s">
        <v>994</v>
      </c>
      <c r="E2668" s="2" t="s">
        <v>21</v>
      </c>
      <c r="F2668" s="2" t="s">
        <v>16</v>
      </c>
      <c r="G2668" s="2"/>
      <c r="H2668" s="2">
        <v>1127</v>
      </c>
      <c r="I2668" s="10">
        <v>342952</v>
      </c>
      <c r="J2668" s="10">
        <f>Raw_Data!$I2668/Raw_Data!$H2668</f>
        <v>304.30523513753326</v>
      </c>
    </row>
    <row r="2669" spans="1:10" x14ac:dyDescent="0.3">
      <c r="A2669" s="8">
        <v>38604</v>
      </c>
      <c r="B2669" t="str">
        <f>TEXT(Raw_Data!$A2669, "MMM")</f>
        <v>Sep</v>
      </c>
      <c r="C2669">
        <f>YEAR(Raw_Data!$A2669)</f>
        <v>2005</v>
      </c>
      <c r="D2669" t="s">
        <v>996</v>
      </c>
      <c r="E2669" t="s">
        <v>21</v>
      </c>
      <c r="F2669" t="s">
        <v>16</v>
      </c>
      <c r="H2669">
        <v>1055</v>
      </c>
      <c r="I2669" s="1">
        <v>253427</v>
      </c>
      <c r="J2669" s="1">
        <f>Raw_Data!$I2669/Raw_Data!$H2669</f>
        <v>240.21516587677726</v>
      </c>
    </row>
    <row r="2670" spans="1:10" x14ac:dyDescent="0.3">
      <c r="A2670" s="9">
        <v>40707</v>
      </c>
      <c r="B2670" s="2" t="str">
        <f>TEXT(Raw_Data!$A2670, "MMM")</f>
        <v>Jun</v>
      </c>
      <c r="C2670" s="2">
        <f>YEAR(Raw_Data!$A2670)</f>
        <v>2011</v>
      </c>
      <c r="D2670" s="2" t="s">
        <v>1937</v>
      </c>
      <c r="E2670" s="2" t="s">
        <v>15</v>
      </c>
      <c r="F2670" s="2" t="s">
        <v>18</v>
      </c>
      <c r="G2670" s="2">
        <v>4</v>
      </c>
      <c r="H2670" s="2">
        <v>1826</v>
      </c>
      <c r="I2670" s="10">
        <v>774932</v>
      </c>
      <c r="J2670" s="10">
        <f>Raw_Data!$I2670/Raw_Data!$H2670</f>
        <v>424.38773274917855</v>
      </c>
    </row>
    <row r="2671" spans="1:10" x14ac:dyDescent="0.3">
      <c r="A2671" s="8">
        <v>37210</v>
      </c>
      <c r="B2671" t="str">
        <f>TEXT(Raw_Data!$A2671, "MMM")</f>
        <v>Nov</v>
      </c>
      <c r="C2671">
        <f>YEAR(Raw_Data!$A2671)</f>
        <v>2001</v>
      </c>
      <c r="D2671" t="s">
        <v>2018</v>
      </c>
      <c r="E2671" t="s">
        <v>23</v>
      </c>
      <c r="F2671" t="s">
        <v>11</v>
      </c>
      <c r="G2671">
        <v>3</v>
      </c>
      <c r="H2671">
        <v>1056</v>
      </c>
      <c r="I2671" s="1">
        <v>648062</v>
      </c>
      <c r="J2671" s="1">
        <f>Raw_Data!$I2671/Raw_Data!$H2671</f>
        <v>613.69507575757575</v>
      </c>
    </row>
    <row r="2672" spans="1:10" x14ac:dyDescent="0.3">
      <c r="A2672" s="9">
        <v>38009</v>
      </c>
      <c r="B2672" s="2" t="str">
        <f>TEXT(Raw_Data!$A2672, "MMM")</f>
        <v>Jan</v>
      </c>
      <c r="C2672" s="2">
        <f>YEAR(Raw_Data!$A2672)</f>
        <v>2004</v>
      </c>
      <c r="D2672" s="2" t="s">
        <v>1121</v>
      </c>
      <c r="E2672" s="2" t="s">
        <v>21</v>
      </c>
      <c r="F2672" s="2" t="s">
        <v>11</v>
      </c>
      <c r="G2672" s="2">
        <v>5</v>
      </c>
      <c r="H2672" s="2">
        <v>1958</v>
      </c>
      <c r="I2672" s="10">
        <v>662923</v>
      </c>
      <c r="J2672" s="10">
        <f>Raw_Data!$I2672/Raw_Data!$H2672</f>
        <v>338.57150153217572</v>
      </c>
    </row>
    <row r="2673" spans="1:10" x14ac:dyDescent="0.3">
      <c r="A2673" s="8">
        <v>42354</v>
      </c>
      <c r="B2673" t="str">
        <f>TEXT(Raw_Data!$A2673, "MMM")</f>
        <v>Dec</v>
      </c>
      <c r="C2673">
        <f>YEAR(Raw_Data!$A2673)</f>
        <v>2015</v>
      </c>
      <c r="D2673" t="s">
        <v>2019</v>
      </c>
      <c r="E2673" t="s">
        <v>15</v>
      </c>
      <c r="F2673" t="s">
        <v>18</v>
      </c>
      <c r="H2673">
        <v>2959</v>
      </c>
      <c r="I2673" s="1">
        <v>497045</v>
      </c>
      <c r="J2673" s="1">
        <f>Raw_Data!$I2673/Raw_Data!$H2673</f>
        <v>167.97735721527542</v>
      </c>
    </row>
    <row r="2674" spans="1:10" x14ac:dyDescent="0.3">
      <c r="A2674" s="9">
        <v>42036</v>
      </c>
      <c r="B2674" s="2" t="str">
        <f>TEXT(Raw_Data!$A2674, "MMM")</f>
        <v>Feb</v>
      </c>
      <c r="C2674" s="2">
        <f>YEAR(Raw_Data!$A2674)</f>
        <v>2015</v>
      </c>
      <c r="D2674" s="2" t="s">
        <v>321</v>
      </c>
      <c r="E2674" s="2" t="s">
        <v>21</v>
      </c>
      <c r="F2674" s="2" t="s">
        <v>27</v>
      </c>
      <c r="G2674" s="2">
        <v>3</v>
      </c>
      <c r="H2674" s="2">
        <v>2042</v>
      </c>
      <c r="I2674" s="10">
        <v>128464</v>
      </c>
      <c r="J2674" s="10">
        <f>Raw_Data!$I2674/Raw_Data!$H2674</f>
        <v>62.910871694417239</v>
      </c>
    </row>
    <row r="2675" spans="1:10" x14ac:dyDescent="0.3">
      <c r="A2675" s="8">
        <v>41998</v>
      </c>
      <c r="B2675" t="str">
        <f>TEXT(Raw_Data!$A2675, "MMM")</f>
        <v>Dec</v>
      </c>
      <c r="C2675">
        <f>YEAR(Raw_Data!$A2675)</f>
        <v>2014</v>
      </c>
      <c r="D2675" t="s">
        <v>2020</v>
      </c>
      <c r="E2675" t="s">
        <v>23</v>
      </c>
      <c r="F2675" t="s">
        <v>16</v>
      </c>
      <c r="G2675">
        <v>3</v>
      </c>
      <c r="H2675">
        <v>2627</v>
      </c>
      <c r="I2675" s="1">
        <v>852249</v>
      </c>
      <c r="J2675" s="1">
        <f>Raw_Data!$I2675/Raw_Data!$H2675</f>
        <v>324.41910925009518</v>
      </c>
    </row>
    <row r="2676" spans="1:10" x14ac:dyDescent="0.3">
      <c r="A2676" s="9">
        <v>38288</v>
      </c>
      <c r="B2676" s="2" t="str">
        <f>TEXT(Raw_Data!$A2676, "MMM")</f>
        <v>Oct</v>
      </c>
      <c r="C2676" s="2">
        <f>YEAR(Raw_Data!$A2676)</f>
        <v>2004</v>
      </c>
      <c r="D2676" s="2" t="s">
        <v>556</v>
      </c>
      <c r="E2676" s="2" t="s">
        <v>32</v>
      </c>
      <c r="F2676" s="2" t="s">
        <v>11</v>
      </c>
      <c r="G2676" s="2">
        <v>5</v>
      </c>
      <c r="H2676" s="2">
        <v>2680</v>
      </c>
      <c r="I2676" s="10">
        <v>667681</v>
      </c>
      <c r="J2676" s="10">
        <f>Raw_Data!$I2676/Raw_Data!$H2676</f>
        <v>249.13470149253732</v>
      </c>
    </row>
    <row r="2677" spans="1:10" x14ac:dyDescent="0.3">
      <c r="A2677" s="8">
        <v>43534</v>
      </c>
      <c r="B2677" t="str">
        <f>TEXT(Raw_Data!$A2677, "MMM")</f>
        <v>Mar</v>
      </c>
      <c r="C2677">
        <f>YEAR(Raw_Data!$A2677)</f>
        <v>2019</v>
      </c>
      <c r="D2677" t="s">
        <v>2021</v>
      </c>
      <c r="E2677" t="s">
        <v>13</v>
      </c>
      <c r="F2677" t="s">
        <v>18</v>
      </c>
      <c r="G2677">
        <v>4</v>
      </c>
      <c r="H2677">
        <v>1588</v>
      </c>
      <c r="I2677" s="1">
        <v>827770</v>
      </c>
      <c r="J2677" s="1">
        <f>Raw_Data!$I2677/Raw_Data!$H2677</f>
        <v>521.26574307304782</v>
      </c>
    </row>
    <row r="2678" spans="1:10" x14ac:dyDescent="0.3">
      <c r="A2678" s="9">
        <v>41961</v>
      </c>
      <c r="B2678" s="2" t="str">
        <f>TEXT(Raw_Data!$A2678, "MMM")</f>
        <v>Nov</v>
      </c>
      <c r="C2678" s="2">
        <f>YEAR(Raw_Data!$A2678)</f>
        <v>2014</v>
      </c>
      <c r="D2678" s="2" t="s">
        <v>1950</v>
      </c>
      <c r="E2678" s="2" t="s">
        <v>21</v>
      </c>
      <c r="F2678" s="2" t="s">
        <v>11</v>
      </c>
      <c r="G2678" s="2">
        <v>3</v>
      </c>
      <c r="H2678" s="2">
        <v>1865</v>
      </c>
      <c r="I2678" s="10">
        <v>138551</v>
      </c>
      <c r="J2678" s="10">
        <f>Raw_Data!$I2678/Raw_Data!$H2678</f>
        <v>74.290080428954425</v>
      </c>
    </row>
    <row r="2679" spans="1:10" x14ac:dyDescent="0.3">
      <c r="A2679" s="8">
        <v>40457</v>
      </c>
      <c r="B2679" t="str">
        <f>TEXT(Raw_Data!$A2679, "MMM")</f>
        <v>Oct</v>
      </c>
      <c r="C2679">
        <f>YEAR(Raw_Data!$A2679)</f>
        <v>2010</v>
      </c>
      <c r="D2679" t="s">
        <v>2022</v>
      </c>
      <c r="E2679" t="s">
        <v>32</v>
      </c>
      <c r="F2679" t="s">
        <v>16</v>
      </c>
      <c r="G2679">
        <v>3</v>
      </c>
      <c r="H2679">
        <v>3095</v>
      </c>
      <c r="I2679" s="1">
        <v>371802</v>
      </c>
      <c r="J2679" s="1">
        <f>Raw_Data!$I2679/Raw_Data!$H2679</f>
        <v>120.12988691437803</v>
      </c>
    </row>
    <row r="2680" spans="1:10" x14ac:dyDescent="0.3">
      <c r="A2680" s="9">
        <v>38009</v>
      </c>
      <c r="B2680" s="2" t="str">
        <f>TEXT(Raw_Data!$A2680, "MMM")</f>
        <v>Jan</v>
      </c>
      <c r="C2680" s="2">
        <f>YEAR(Raw_Data!$A2680)</f>
        <v>2004</v>
      </c>
      <c r="D2680" s="2" t="s">
        <v>2023</v>
      </c>
      <c r="E2680" s="2" t="s">
        <v>32</v>
      </c>
      <c r="F2680" s="2" t="s">
        <v>27</v>
      </c>
      <c r="G2680" s="2"/>
      <c r="H2680" s="2">
        <v>1085</v>
      </c>
      <c r="I2680" s="10">
        <v>899630</v>
      </c>
      <c r="J2680" s="10">
        <f>Raw_Data!$I2680/Raw_Data!$H2680</f>
        <v>829.15207373271892</v>
      </c>
    </row>
    <row r="2681" spans="1:10" x14ac:dyDescent="0.3">
      <c r="A2681" s="8">
        <v>44018</v>
      </c>
      <c r="B2681" t="str">
        <f>TEXT(Raw_Data!$A2681, "MMM")</f>
        <v>Jul</v>
      </c>
      <c r="C2681">
        <f>YEAR(Raw_Data!$A2681)</f>
        <v>2020</v>
      </c>
      <c r="D2681" t="s">
        <v>2024</v>
      </c>
      <c r="E2681" t="s">
        <v>15</v>
      </c>
      <c r="F2681" t="s">
        <v>18</v>
      </c>
      <c r="G2681">
        <v>5</v>
      </c>
      <c r="H2681">
        <v>1923</v>
      </c>
      <c r="I2681" s="1">
        <v>200536</v>
      </c>
      <c r="J2681" s="1">
        <f>Raw_Data!$I2681/Raw_Data!$H2681</f>
        <v>104.28289131565262</v>
      </c>
    </row>
    <row r="2682" spans="1:10" x14ac:dyDescent="0.3">
      <c r="A2682" s="9">
        <v>41423</v>
      </c>
      <c r="B2682" s="2" t="str">
        <f>TEXT(Raw_Data!$A2682, "MMM")</f>
        <v>May</v>
      </c>
      <c r="C2682" s="2">
        <f>YEAR(Raw_Data!$A2682)</f>
        <v>2013</v>
      </c>
      <c r="D2682" s="2" t="s">
        <v>2025</v>
      </c>
      <c r="E2682" s="2" t="s">
        <v>21</v>
      </c>
      <c r="F2682" s="2" t="s">
        <v>16</v>
      </c>
      <c r="G2682" s="2"/>
      <c r="H2682" s="2">
        <v>3337</v>
      </c>
      <c r="I2682" s="10">
        <v>269792</v>
      </c>
      <c r="J2682" s="10">
        <f>Raw_Data!$I2682/Raw_Data!$H2682</f>
        <v>80.848666466886428</v>
      </c>
    </row>
    <row r="2683" spans="1:10" x14ac:dyDescent="0.3">
      <c r="A2683" s="8">
        <v>40478</v>
      </c>
      <c r="B2683" t="str">
        <f>TEXT(Raw_Data!$A2683, "MMM")</f>
        <v>Oct</v>
      </c>
      <c r="C2683">
        <f>YEAR(Raw_Data!$A2683)</f>
        <v>2010</v>
      </c>
      <c r="D2683" t="s">
        <v>2026</v>
      </c>
      <c r="E2683" t="s">
        <v>25</v>
      </c>
      <c r="F2683" t="s">
        <v>27</v>
      </c>
      <c r="G2683">
        <v>4</v>
      </c>
      <c r="H2683">
        <v>2687</v>
      </c>
      <c r="I2683" s="1">
        <v>713319</v>
      </c>
      <c r="J2683" s="1">
        <f>Raw_Data!$I2683/Raw_Data!$H2683</f>
        <v>265.47041310011167</v>
      </c>
    </row>
    <row r="2684" spans="1:10" x14ac:dyDescent="0.3">
      <c r="A2684" s="9">
        <v>42637</v>
      </c>
      <c r="B2684" s="2" t="str">
        <f>TEXT(Raw_Data!$A2684, "MMM")</f>
        <v>Sep</v>
      </c>
      <c r="C2684" s="2">
        <f>YEAR(Raw_Data!$A2684)</f>
        <v>2016</v>
      </c>
      <c r="D2684" s="2" t="s">
        <v>2027</v>
      </c>
      <c r="E2684" s="2" t="s">
        <v>13</v>
      </c>
      <c r="F2684" s="2" t="s">
        <v>16</v>
      </c>
      <c r="G2684" s="2"/>
      <c r="H2684" s="2">
        <v>2119</v>
      </c>
      <c r="I2684" s="10">
        <v>418782</v>
      </c>
      <c r="J2684" s="10">
        <f>Raw_Data!$I2684/Raw_Data!$H2684</f>
        <v>197.6319018404908</v>
      </c>
    </row>
    <row r="2685" spans="1:10" x14ac:dyDescent="0.3">
      <c r="A2685" s="8">
        <v>41217</v>
      </c>
      <c r="B2685" t="str">
        <f>TEXT(Raw_Data!$A2685, "MMM")</f>
        <v>Nov</v>
      </c>
      <c r="C2685">
        <f>YEAR(Raw_Data!$A2685)</f>
        <v>2012</v>
      </c>
      <c r="D2685" t="s">
        <v>2028</v>
      </c>
      <c r="E2685" t="s">
        <v>25</v>
      </c>
      <c r="F2685" t="s">
        <v>27</v>
      </c>
      <c r="G2685">
        <v>4</v>
      </c>
      <c r="H2685">
        <v>2333</v>
      </c>
      <c r="I2685" s="1">
        <v>886788</v>
      </c>
      <c r="J2685" s="1">
        <f>Raw_Data!$I2685/Raw_Data!$H2685</f>
        <v>380.10630090012859</v>
      </c>
    </row>
    <row r="2686" spans="1:10" x14ac:dyDescent="0.3">
      <c r="A2686" s="9">
        <v>41252</v>
      </c>
      <c r="B2686" s="2" t="str">
        <f>TEXT(Raw_Data!$A2686, "MMM")</f>
        <v>Dec</v>
      </c>
      <c r="C2686" s="2">
        <f>YEAR(Raw_Data!$A2686)</f>
        <v>2012</v>
      </c>
      <c r="D2686" s="2" t="s">
        <v>558</v>
      </c>
      <c r="E2686" s="2" t="s">
        <v>32</v>
      </c>
      <c r="F2686" s="2" t="s">
        <v>27</v>
      </c>
      <c r="G2686" s="2"/>
      <c r="H2686" s="2">
        <v>912</v>
      </c>
      <c r="I2686" s="10">
        <v>561359</v>
      </c>
      <c r="J2686" s="10">
        <f>Raw_Data!$I2686/Raw_Data!$H2686</f>
        <v>615.52521929824559</v>
      </c>
    </row>
    <row r="2687" spans="1:10" x14ac:dyDescent="0.3">
      <c r="A2687" s="8">
        <v>43300</v>
      </c>
      <c r="B2687" t="str">
        <f>TEXT(Raw_Data!$A2687, "MMM")</f>
        <v>Jul</v>
      </c>
      <c r="C2687">
        <f>YEAR(Raw_Data!$A2687)</f>
        <v>2018</v>
      </c>
      <c r="D2687" t="s">
        <v>623</v>
      </c>
      <c r="E2687" t="s">
        <v>13</v>
      </c>
      <c r="F2687" t="s">
        <v>11</v>
      </c>
      <c r="G2687">
        <v>2</v>
      </c>
      <c r="H2687">
        <v>2474</v>
      </c>
      <c r="I2687" s="1">
        <v>226083</v>
      </c>
      <c r="J2687" s="1">
        <f>Raw_Data!$I2687/Raw_Data!$H2687</f>
        <v>91.383589329021831</v>
      </c>
    </row>
    <row r="2688" spans="1:10" x14ac:dyDescent="0.3">
      <c r="A2688" s="9">
        <v>43933</v>
      </c>
      <c r="B2688" s="2" t="str">
        <f>TEXT(Raw_Data!$A2688, "MMM")</f>
        <v>Apr</v>
      </c>
      <c r="C2688" s="2">
        <f>YEAR(Raw_Data!$A2688)</f>
        <v>2020</v>
      </c>
      <c r="D2688" s="2" t="s">
        <v>2029</v>
      </c>
      <c r="E2688" s="2" t="s">
        <v>15</v>
      </c>
      <c r="F2688" s="2" t="s">
        <v>16</v>
      </c>
      <c r="G2688" s="2">
        <v>5</v>
      </c>
      <c r="H2688" s="2">
        <v>3251</v>
      </c>
      <c r="I2688" s="10">
        <v>113679</v>
      </c>
      <c r="J2688" s="10">
        <f>Raw_Data!$I2688/Raw_Data!$H2688</f>
        <v>34.967394647800674</v>
      </c>
    </row>
    <row r="2689" spans="1:10" x14ac:dyDescent="0.3">
      <c r="A2689" s="8">
        <v>41327</v>
      </c>
      <c r="B2689" t="str">
        <f>TEXT(Raw_Data!$A2689, "MMM")</f>
        <v>Feb</v>
      </c>
      <c r="C2689">
        <f>YEAR(Raw_Data!$A2689)</f>
        <v>2013</v>
      </c>
      <c r="D2689" t="s">
        <v>1440</v>
      </c>
      <c r="E2689" t="s">
        <v>13</v>
      </c>
      <c r="F2689" t="s">
        <v>11</v>
      </c>
      <c r="H2689">
        <v>2720</v>
      </c>
      <c r="I2689" s="1">
        <v>210223</v>
      </c>
      <c r="J2689" s="1">
        <f>Raw_Data!$I2689/Raw_Data!$H2689</f>
        <v>77.287867647058818</v>
      </c>
    </row>
    <row r="2690" spans="1:10" x14ac:dyDescent="0.3">
      <c r="A2690" s="9">
        <v>37324</v>
      </c>
      <c r="B2690" s="2" t="str">
        <f>TEXT(Raw_Data!$A2690, "MMM")</f>
        <v>Mar</v>
      </c>
      <c r="C2690" s="2">
        <f>YEAR(Raw_Data!$A2690)</f>
        <v>2002</v>
      </c>
      <c r="D2690" s="2" t="s">
        <v>1870</v>
      </c>
      <c r="E2690" s="2" t="s">
        <v>25</v>
      </c>
      <c r="F2690" s="2" t="s">
        <v>16</v>
      </c>
      <c r="G2690" s="2"/>
      <c r="H2690" s="2">
        <v>3092</v>
      </c>
      <c r="I2690" s="10">
        <v>230342</v>
      </c>
      <c r="J2690" s="10">
        <f>Raw_Data!$I2690/Raw_Data!$H2690</f>
        <v>74.496119016817588</v>
      </c>
    </row>
    <row r="2691" spans="1:10" x14ac:dyDescent="0.3">
      <c r="A2691" s="8">
        <v>43131</v>
      </c>
      <c r="B2691" t="str">
        <f>TEXT(Raw_Data!$A2691, "MMM")</f>
        <v>Jan</v>
      </c>
      <c r="C2691">
        <f>YEAR(Raw_Data!$A2691)</f>
        <v>2018</v>
      </c>
      <c r="D2691" t="s">
        <v>1219</v>
      </c>
      <c r="E2691" t="s">
        <v>13</v>
      </c>
      <c r="F2691" t="s">
        <v>27</v>
      </c>
      <c r="G2691">
        <v>5</v>
      </c>
      <c r="H2691">
        <v>2674</v>
      </c>
      <c r="I2691" s="1">
        <v>218099</v>
      </c>
      <c r="J2691" s="1">
        <f>Raw_Data!$I2691/Raw_Data!$H2691</f>
        <v>81.562827225130889</v>
      </c>
    </row>
    <row r="2692" spans="1:10" x14ac:dyDescent="0.3">
      <c r="A2692" s="9">
        <v>37915</v>
      </c>
      <c r="B2692" s="2" t="str">
        <f>TEXT(Raw_Data!$A2692, "MMM")</f>
        <v>Oct</v>
      </c>
      <c r="C2692" s="2">
        <f>YEAR(Raw_Data!$A2692)</f>
        <v>2003</v>
      </c>
      <c r="D2692" s="2" t="s">
        <v>2030</v>
      </c>
      <c r="E2692" s="2" t="s">
        <v>32</v>
      </c>
      <c r="F2692" s="2" t="s">
        <v>16</v>
      </c>
      <c r="G2692" s="2">
        <v>3</v>
      </c>
      <c r="H2692" s="2">
        <v>2404</v>
      </c>
      <c r="I2692" s="10">
        <v>822810</v>
      </c>
      <c r="J2692" s="10">
        <f>Raw_Data!$I2692/Raw_Data!$H2692</f>
        <v>342.26705490848587</v>
      </c>
    </row>
    <row r="2693" spans="1:10" x14ac:dyDescent="0.3">
      <c r="A2693" s="8">
        <v>37998</v>
      </c>
      <c r="B2693" t="str">
        <f>TEXT(Raw_Data!$A2693, "MMM")</f>
        <v>Jan</v>
      </c>
      <c r="C2693">
        <f>YEAR(Raw_Data!$A2693)</f>
        <v>2004</v>
      </c>
      <c r="D2693" t="s">
        <v>2018</v>
      </c>
      <c r="E2693" t="s">
        <v>32</v>
      </c>
      <c r="F2693" t="s">
        <v>18</v>
      </c>
      <c r="H2693">
        <v>1088</v>
      </c>
      <c r="I2693" s="1">
        <v>805365</v>
      </c>
      <c r="J2693" s="1">
        <f>Raw_Data!$I2693/Raw_Data!$H2693</f>
        <v>740.22518382352939</v>
      </c>
    </row>
    <row r="2694" spans="1:10" x14ac:dyDescent="0.3">
      <c r="A2694" s="9">
        <v>43579</v>
      </c>
      <c r="B2694" s="2" t="str">
        <f>TEXT(Raw_Data!$A2694, "MMM")</f>
        <v>Apr</v>
      </c>
      <c r="C2694" s="2">
        <f>YEAR(Raw_Data!$A2694)</f>
        <v>2019</v>
      </c>
      <c r="D2694" s="2" t="s">
        <v>161</v>
      </c>
      <c r="E2694" s="2" t="s">
        <v>25</v>
      </c>
      <c r="F2694" s="2" t="s">
        <v>16</v>
      </c>
      <c r="G2694" s="2">
        <v>2</v>
      </c>
      <c r="H2694" s="2">
        <v>1678</v>
      </c>
      <c r="I2694" s="10">
        <v>825623</v>
      </c>
      <c r="J2694" s="10">
        <f>Raw_Data!$I2694/Raw_Data!$H2694</f>
        <v>492.02800953516089</v>
      </c>
    </row>
    <row r="2695" spans="1:10" x14ac:dyDescent="0.3">
      <c r="A2695" s="8">
        <v>39967</v>
      </c>
      <c r="B2695" t="str">
        <f>TEXT(Raw_Data!$A2695, "MMM")</f>
        <v>Jun</v>
      </c>
      <c r="C2695">
        <f>YEAR(Raw_Data!$A2695)</f>
        <v>2009</v>
      </c>
      <c r="D2695" t="s">
        <v>360</v>
      </c>
      <c r="E2695" t="s">
        <v>32</v>
      </c>
      <c r="F2695" t="s">
        <v>18</v>
      </c>
      <c r="G2695">
        <v>3</v>
      </c>
      <c r="H2695">
        <v>2410</v>
      </c>
      <c r="I2695" s="1">
        <v>133525</v>
      </c>
      <c r="J2695" s="1">
        <f>Raw_Data!$I2695/Raw_Data!$H2695</f>
        <v>55.404564315352694</v>
      </c>
    </row>
    <row r="2696" spans="1:10" x14ac:dyDescent="0.3">
      <c r="A2696" s="9">
        <v>40985</v>
      </c>
      <c r="B2696" s="2" t="str">
        <f>TEXT(Raw_Data!$A2696, "MMM")</f>
        <v>Mar</v>
      </c>
      <c r="C2696" s="2">
        <f>YEAR(Raw_Data!$A2696)</f>
        <v>2012</v>
      </c>
      <c r="D2696" s="2" t="s">
        <v>133</v>
      </c>
      <c r="E2696" s="2" t="s">
        <v>13</v>
      </c>
      <c r="F2696" s="2" t="s">
        <v>27</v>
      </c>
      <c r="G2696" s="2">
        <v>2</v>
      </c>
      <c r="H2696" s="2">
        <v>946</v>
      </c>
      <c r="I2696" s="10">
        <v>558532</v>
      </c>
      <c r="J2696" s="10">
        <f>Raw_Data!$I2696/Raw_Data!$H2696</f>
        <v>590.41437632135307</v>
      </c>
    </row>
    <row r="2697" spans="1:10" x14ac:dyDescent="0.3">
      <c r="A2697" s="8">
        <v>37000</v>
      </c>
      <c r="B2697" t="str">
        <f>TEXT(Raw_Data!$A2697, "MMM")</f>
        <v>Apr</v>
      </c>
      <c r="C2697">
        <f>YEAR(Raw_Data!$A2697)</f>
        <v>2001</v>
      </c>
      <c r="D2697" t="s">
        <v>2031</v>
      </c>
      <c r="E2697" t="s">
        <v>15</v>
      </c>
      <c r="F2697" t="s">
        <v>16</v>
      </c>
      <c r="G2697">
        <v>2</v>
      </c>
      <c r="H2697">
        <v>1426</v>
      </c>
      <c r="I2697" s="1">
        <v>217794</v>
      </c>
      <c r="J2697" s="1">
        <f>Raw_Data!$I2697/Raw_Data!$H2697</f>
        <v>152.73071528751754</v>
      </c>
    </row>
    <row r="2698" spans="1:10" x14ac:dyDescent="0.3">
      <c r="A2698" s="9">
        <v>43290</v>
      </c>
      <c r="B2698" s="2" t="str">
        <f>TEXT(Raw_Data!$A2698, "MMM")</f>
        <v>Jul</v>
      </c>
      <c r="C2698" s="2">
        <f>YEAR(Raw_Data!$A2698)</f>
        <v>2018</v>
      </c>
      <c r="D2698" s="2" t="s">
        <v>1936</v>
      </c>
      <c r="E2698" s="2" t="s">
        <v>32</v>
      </c>
      <c r="F2698" s="2" t="s">
        <v>11</v>
      </c>
      <c r="G2698" s="2"/>
      <c r="H2698" s="2">
        <v>2602</v>
      </c>
      <c r="I2698" s="10">
        <v>150707</v>
      </c>
      <c r="J2698" s="10">
        <f>Raw_Data!$I2698/Raw_Data!$H2698</f>
        <v>57.919677171406612</v>
      </c>
    </row>
    <row r="2699" spans="1:10" x14ac:dyDescent="0.3">
      <c r="A2699" s="8">
        <v>43047</v>
      </c>
      <c r="B2699" t="str">
        <f>TEXT(Raw_Data!$A2699, "MMM")</f>
        <v>Nov</v>
      </c>
      <c r="C2699">
        <f>YEAR(Raw_Data!$A2699)</f>
        <v>2017</v>
      </c>
      <c r="D2699" t="s">
        <v>1875</v>
      </c>
      <c r="E2699" t="s">
        <v>21</v>
      </c>
      <c r="F2699" t="s">
        <v>11</v>
      </c>
      <c r="H2699">
        <v>2163</v>
      </c>
      <c r="I2699" s="1">
        <v>850919</v>
      </c>
      <c r="J2699" s="1">
        <f>Raw_Data!$I2699/Raw_Data!$H2699</f>
        <v>393.39759593157652</v>
      </c>
    </row>
    <row r="2700" spans="1:10" x14ac:dyDescent="0.3">
      <c r="A2700" s="9">
        <v>36892</v>
      </c>
      <c r="B2700" s="2" t="str">
        <f>TEXT(Raw_Data!$A2700, "MMM")</f>
        <v>Jan</v>
      </c>
      <c r="C2700" s="2">
        <f>YEAR(Raw_Data!$A2700)</f>
        <v>2001</v>
      </c>
      <c r="D2700" s="2" t="s">
        <v>2032</v>
      </c>
      <c r="E2700" s="2" t="s">
        <v>15</v>
      </c>
      <c r="F2700" s="2" t="s">
        <v>11</v>
      </c>
      <c r="G2700" s="2">
        <v>3</v>
      </c>
      <c r="H2700" s="2">
        <v>1012</v>
      </c>
      <c r="I2700" s="10">
        <v>625982</v>
      </c>
      <c r="J2700" s="10">
        <f>Raw_Data!$I2700/Raw_Data!$H2700</f>
        <v>618.55928853754938</v>
      </c>
    </row>
    <row r="2701" spans="1:10" x14ac:dyDescent="0.3">
      <c r="A2701" s="8">
        <v>43870</v>
      </c>
      <c r="B2701" t="str">
        <f>TEXT(Raw_Data!$A2701, "MMM")</f>
        <v>Feb</v>
      </c>
      <c r="C2701">
        <f>YEAR(Raw_Data!$A2701)</f>
        <v>2020</v>
      </c>
      <c r="D2701" t="s">
        <v>2033</v>
      </c>
      <c r="E2701" t="s">
        <v>15</v>
      </c>
      <c r="F2701" t="s">
        <v>11</v>
      </c>
      <c r="H2701">
        <v>3011</v>
      </c>
      <c r="I2701" s="1">
        <v>820061</v>
      </c>
      <c r="J2701" s="1">
        <f>Raw_Data!$I2701/Raw_Data!$H2701</f>
        <v>272.35503155097973</v>
      </c>
    </row>
    <row r="2702" spans="1:10" x14ac:dyDescent="0.3">
      <c r="A2702" s="9">
        <v>43766</v>
      </c>
      <c r="B2702" s="2" t="str">
        <f>TEXT(Raw_Data!$A2702, "MMM")</f>
        <v>Oct</v>
      </c>
      <c r="C2702" s="2">
        <f>YEAR(Raw_Data!$A2702)</f>
        <v>2019</v>
      </c>
      <c r="D2702" s="2" t="s">
        <v>2034</v>
      </c>
      <c r="E2702" s="2" t="s">
        <v>25</v>
      </c>
      <c r="F2702" s="2" t="s">
        <v>27</v>
      </c>
      <c r="G2702" s="2">
        <v>2</v>
      </c>
      <c r="H2702" s="2">
        <v>1633</v>
      </c>
      <c r="I2702" s="10">
        <v>529077</v>
      </c>
      <c r="J2702" s="10">
        <f>Raw_Data!$I2702/Raw_Data!$H2702</f>
        <v>323.99081445192894</v>
      </c>
    </row>
    <row r="2703" spans="1:10" x14ac:dyDescent="0.3">
      <c r="A2703" s="8">
        <v>38618</v>
      </c>
      <c r="B2703" t="str">
        <f>TEXT(Raw_Data!$A2703, "MMM")</f>
        <v>Sep</v>
      </c>
      <c r="C2703">
        <f>YEAR(Raw_Data!$A2703)</f>
        <v>2005</v>
      </c>
      <c r="D2703" t="s">
        <v>2035</v>
      </c>
      <c r="E2703" t="s">
        <v>29</v>
      </c>
      <c r="F2703" t="s">
        <v>11</v>
      </c>
      <c r="G2703">
        <v>2</v>
      </c>
      <c r="H2703">
        <v>1088</v>
      </c>
      <c r="I2703" s="1">
        <v>131183</v>
      </c>
      <c r="J2703" s="1">
        <f>Raw_Data!$I2703/Raw_Data!$H2703</f>
        <v>120.57261029411765</v>
      </c>
    </row>
    <row r="2704" spans="1:10" x14ac:dyDescent="0.3">
      <c r="A2704" s="9">
        <v>42162</v>
      </c>
      <c r="B2704" s="2" t="str">
        <f>TEXT(Raw_Data!$A2704, "MMM")</f>
        <v>Jun</v>
      </c>
      <c r="C2704" s="2">
        <f>YEAR(Raw_Data!$A2704)</f>
        <v>2015</v>
      </c>
      <c r="D2704" s="2" t="s">
        <v>257</v>
      </c>
      <c r="E2704" s="2" t="s">
        <v>23</v>
      </c>
      <c r="F2704" s="2" t="s">
        <v>11</v>
      </c>
      <c r="G2704" s="2">
        <v>2</v>
      </c>
      <c r="H2704" s="2">
        <v>2718</v>
      </c>
      <c r="I2704" s="10">
        <v>710012</v>
      </c>
      <c r="J2704" s="10">
        <f>Raw_Data!$I2704/Raw_Data!$H2704</f>
        <v>261.22590139808682</v>
      </c>
    </row>
    <row r="2705" spans="1:10" x14ac:dyDescent="0.3">
      <c r="A2705" s="8">
        <v>39818</v>
      </c>
      <c r="B2705" t="str">
        <f>TEXT(Raw_Data!$A2705, "MMM")</f>
        <v>Jan</v>
      </c>
      <c r="C2705">
        <f>YEAR(Raw_Data!$A2705)</f>
        <v>2009</v>
      </c>
      <c r="D2705" t="s">
        <v>1452</v>
      </c>
      <c r="E2705" t="s">
        <v>29</v>
      </c>
      <c r="F2705" t="s">
        <v>27</v>
      </c>
      <c r="H2705">
        <v>2679</v>
      </c>
      <c r="I2705" s="1">
        <v>248048</v>
      </c>
      <c r="J2705" s="1">
        <f>Raw_Data!$I2705/Raw_Data!$H2705</f>
        <v>92.589772303098172</v>
      </c>
    </row>
    <row r="2706" spans="1:10" x14ac:dyDescent="0.3">
      <c r="A2706" s="9">
        <v>38760</v>
      </c>
      <c r="B2706" s="2" t="str">
        <f>TEXT(Raw_Data!$A2706, "MMM")</f>
        <v>Feb</v>
      </c>
      <c r="C2706" s="2">
        <f>YEAR(Raw_Data!$A2706)</f>
        <v>2006</v>
      </c>
      <c r="D2706" s="2" t="s">
        <v>2036</v>
      </c>
      <c r="E2706" s="2" t="s">
        <v>15</v>
      </c>
      <c r="F2706" s="2" t="s">
        <v>27</v>
      </c>
      <c r="G2706" s="2">
        <v>3</v>
      </c>
      <c r="H2706" s="2">
        <v>2421</v>
      </c>
      <c r="I2706" s="10">
        <v>700290</v>
      </c>
      <c r="J2706" s="10">
        <f>Raw_Data!$I2706/Raw_Data!$H2706</f>
        <v>289.25650557620816</v>
      </c>
    </row>
    <row r="2707" spans="1:10" x14ac:dyDescent="0.3">
      <c r="A2707" s="8">
        <v>40077</v>
      </c>
      <c r="B2707" t="str">
        <f>TEXT(Raw_Data!$A2707, "MMM")</f>
        <v>Sep</v>
      </c>
      <c r="C2707">
        <f>YEAR(Raw_Data!$A2707)</f>
        <v>2009</v>
      </c>
      <c r="D2707" t="s">
        <v>2037</v>
      </c>
      <c r="E2707" t="s">
        <v>29</v>
      </c>
      <c r="F2707" t="s">
        <v>11</v>
      </c>
      <c r="G2707">
        <v>2</v>
      </c>
      <c r="H2707">
        <v>2047</v>
      </c>
      <c r="I2707" s="1">
        <v>173054</v>
      </c>
      <c r="J2707" s="1">
        <f>Raw_Data!$I2707/Raw_Data!$H2707</f>
        <v>84.54030288226673</v>
      </c>
    </row>
    <row r="2708" spans="1:10" x14ac:dyDescent="0.3">
      <c r="A2708" s="9">
        <v>41899</v>
      </c>
      <c r="B2708" s="2" t="str">
        <f>TEXT(Raw_Data!$A2708, "MMM")</f>
        <v>Sep</v>
      </c>
      <c r="C2708" s="2">
        <f>YEAR(Raw_Data!$A2708)</f>
        <v>2014</v>
      </c>
      <c r="D2708" s="2" t="s">
        <v>1921</v>
      </c>
      <c r="E2708" s="2" t="s">
        <v>29</v>
      </c>
      <c r="F2708" s="2" t="s">
        <v>27</v>
      </c>
      <c r="G2708" s="2"/>
      <c r="H2708" s="2">
        <v>1146</v>
      </c>
      <c r="I2708" s="10">
        <v>395493</v>
      </c>
      <c r="J2708" s="10">
        <f>Raw_Data!$I2708/Raw_Data!$H2708</f>
        <v>345.10732984293196</v>
      </c>
    </row>
    <row r="2709" spans="1:10" x14ac:dyDescent="0.3">
      <c r="A2709" s="8">
        <v>37531</v>
      </c>
      <c r="B2709" t="str">
        <f>TEXT(Raw_Data!$A2709, "MMM")</f>
        <v>Oct</v>
      </c>
      <c r="C2709">
        <f>YEAR(Raw_Data!$A2709)</f>
        <v>2002</v>
      </c>
      <c r="D2709" t="s">
        <v>2038</v>
      </c>
      <c r="E2709" t="s">
        <v>15</v>
      </c>
      <c r="F2709" t="s">
        <v>11</v>
      </c>
      <c r="G2709">
        <v>2</v>
      </c>
      <c r="H2709">
        <v>1872</v>
      </c>
      <c r="I2709" s="1">
        <v>650759</v>
      </c>
      <c r="J2709" s="1">
        <f>Raw_Data!$I2709/Raw_Data!$H2709</f>
        <v>347.62767094017096</v>
      </c>
    </row>
    <row r="2710" spans="1:10" x14ac:dyDescent="0.3">
      <c r="A2710" s="9">
        <v>41977</v>
      </c>
      <c r="B2710" s="2" t="str">
        <f>TEXT(Raw_Data!$A2710, "MMM")</f>
        <v>Dec</v>
      </c>
      <c r="C2710" s="2">
        <f>YEAR(Raw_Data!$A2710)</f>
        <v>2014</v>
      </c>
      <c r="D2710" s="2" t="s">
        <v>2039</v>
      </c>
      <c r="E2710" s="2" t="s">
        <v>21</v>
      </c>
      <c r="F2710" s="2" t="s">
        <v>16</v>
      </c>
      <c r="G2710" s="2">
        <v>5</v>
      </c>
      <c r="H2710" s="2">
        <v>2487</v>
      </c>
      <c r="I2710" s="10">
        <v>630239</v>
      </c>
      <c r="J2710" s="10">
        <f>Raw_Data!$I2710/Raw_Data!$H2710</f>
        <v>253.41334941696823</v>
      </c>
    </row>
    <row r="2711" spans="1:10" x14ac:dyDescent="0.3">
      <c r="A2711" s="8">
        <v>39874</v>
      </c>
      <c r="B2711" t="str">
        <f>TEXT(Raw_Data!$A2711, "MMM")</f>
        <v>Mar</v>
      </c>
      <c r="C2711">
        <f>YEAR(Raw_Data!$A2711)</f>
        <v>2009</v>
      </c>
      <c r="D2711" t="s">
        <v>2040</v>
      </c>
      <c r="E2711" t="s">
        <v>21</v>
      </c>
      <c r="F2711" t="s">
        <v>16</v>
      </c>
      <c r="H2711">
        <v>3085</v>
      </c>
      <c r="I2711" s="1">
        <v>148118</v>
      </c>
      <c r="J2711" s="1">
        <f>Raw_Data!$I2711/Raw_Data!$H2711</f>
        <v>48.012317666126421</v>
      </c>
    </row>
    <row r="2712" spans="1:10" x14ac:dyDescent="0.3">
      <c r="A2712" s="9">
        <v>39452</v>
      </c>
      <c r="B2712" s="2" t="str">
        <f>TEXT(Raw_Data!$A2712, "MMM")</f>
        <v>Jan</v>
      </c>
      <c r="C2712" s="2">
        <f>YEAR(Raw_Data!$A2712)</f>
        <v>2008</v>
      </c>
      <c r="D2712" s="2" t="s">
        <v>1548</v>
      </c>
      <c r="E2712" s="2" t="s">
        <v>15</v>
      </c>
      <c r="F2712" s="2" t="s">
        <v>11</v>
      </c>
      <c r="G2712" s="2"/>
      <c r="H2712" s="2">
        <v>1518</v>
      </c>
      <c r="I2712" s="10">
        <v>336697</v>
      </c>
      <c r="J2712" s="10">
        <f>Raw_Data!$I2712/Raw_Data!$H2712</f>
        <v>221.80303030303031</v>
      </c>
    </row>
    <row r="2713" spans="1:10" x14ac:dyDescent="0.3">
      <c r="A2713" s="8">
        <v>37747</v>
      </c>
      <c r="B2713" t="str">
        <f>TEXT(Raw_Data!$A2713, "MMM")</f>
        <v>May</v>
      </c>
      <c r="C2713">
        <f>YEAR(Raw_Data!$A2713)</f>
        <v>2003</v>
      </c>
      <c r="D2713" t="s">
        <v>2041</v>
      </c>
      <c r="E2713" t="s">
        <v>32</v>
      </c>
      <c r="F2713" t="s">
        <v>16</v>
      </c>
      <c r="H2713">
        <v>1029</v>
      </c>
      <c r="I2713" s="1">
        <v>268148</v>
      </c>
      <c r="J2713" s="1">
        <f>Raw_Data!$I2713/Raw_Data!$H2713</f>
        <v>260.59086491739555</v>
      </c>
    </row>
    <row r="2714" spans="1:10" x14ac:dyDescent="0.3">
      <c r="A2714" s="9">
        <v>37305</v>
      </c>
      <c r="B2714" s="2" t="str">
        <f>TEXT(Raw_Data!$A2714, "MMM")</f>
        <v>Feb</v>
      </c>
      <c r="C2714" s="2">
        <f>YEAR(Raw_Data!$A2714)</f>
        <v>2002</v>
      </c>
      <c r="D2714" s="2" t="s">
        <v>2042</v>
      </c>
      <c r="E2714" s="2" t="s">
        <v>15</v>
      </c>
      <c r="F2714" s="2" t="s">
        <v>18</v>
      </c>
      <c r="G2714" s="2">
        <v>2</v>
      </c>
      <c r="H2714" s="2">
        <v>808</v>
      </c>
      <c r="I2714" s="10">
        <v>653527</v>
      </c>
      <c r="J2714" s="10">
        <f>Raw_Data!$I2714/Raw_Data!$H2714</f>
        <v>808.82054455445541</v>
      </c>
    </row>
    <row r="2715" spans="1:10" x14ac:dyDescent="0.3">
      <c r="A2715" s="8">
        <v>41682</v>
      </c>
      <c r="B2715" t="str">
        <f>TEXT(Raw_Data!$A2715, "MMM")</f>
        <v>Feb</v>
      </c>
      <c r="C2715">
        <f>YEAR(Raw_Data!$A2715)</f>
        <v>2014</v>
      </c>
      <c r="D2715" t="s">
        <v>2043</v>
      </c>
      <c r="E2715" t="s">
        <v>29</v>
      </c>
      <c r="F2715" t="s">
        <v>11</v>
      </c>
      <c r="G2715">
        <v>2</v>
      </c>
      <c r="H2715">
        <v>1574</v>
      </c>
      <c r="I2715" s="1">
        <v>282747</v>
      </c>
      <c r="J2715" s="1">
        <f>Raw_Data!$I2715/Raw_Data!$H2715</f>
        <v>179.63595933926302</v>
      </c>
    </row>
    <row r="2716" spans="1:10" x14ac:dyDescent="0.3">
      <c r="A2716" s="9">
        <v>43631</v>
      </c>
      <c r="B2716" s="2" t="str">
        <f>TEXT(Raw_Data!$A2716, "MMM")</f>
        <v>Jun</v>
      </c>
      <c r="C2716" s="2">
        <f>YEAR(Raw_Data!$A2716)</f>
        <v>2019</v>
      </c>
      <c r="D2716" s="2" t="s">
        <v>2044</v>
      </c>
      <c r="E2716" s="2" t="s">
        <v>32</v>
      </c>
      <c r="F2716" s="2" t="s">
        <v>16</v>
      </c>
      <c r="G2716" s="2"/>
      <c r="H2716" s="2">
        <v>809</v>
      </c>
      <c r="I2716" s="10">
        <v>633846</v>
      </c>
      <c r="J2716" s="10">
        <f>Raw_Data!$I2716/Raw_Data!$H2716</f>
        <v>783.49320148331276</v>
      </c>
    </row>
    <row r="2717" spans="1:10" x14ac:dyDescent="0.3">
      <c r="A2717" s="8">
        <v>41979</v>
      </c>
      <c r="B2717" t="str">
        <f>TEXT(Raw_Data!$A2717, "MMM")</f>
        <v>Dec</v>
      </c>
      <c r="C2717">
        <f>YEAR(Raw_Data!$A2717)</f>
        <v>2014</v>
      </c>
      <c r="D2717" t="s">
        <v>1107</v>
      </c>
      <c r="E2717" t="s">
        <v>32</v>
      </c>
      <c r="F2717" t="s">
        <v>16</v>
      </c>
      <c r="G2717">
        <v>5</v>
      </c>
      <c r="H2717">
        <v>2671</v>
      </c>
      <c r="I2717" s="1">
        <v>247037</v>
      </c>
      <c r="J2717" s="1">
        <f>Raw_Data!$I2717/Raw_Data!$H2717</f>
        <v>92.488581055784351</v>
      </c>
    </row>
    <row r="2718" spans="1:10" x14ac:dyDescent="0.3">
      <c r="A2718" s="9">
        <v>39120</v>
      </c>
      <c r="B2718" s="2" t="str">
        <f>TEXT(Raw_Data!$A2718, "MMM")</f>
        <v>Feb</v>
      </c>
      <c r="C2718" s="2">
        <f>YEAR(Raw_Data!$A2718)</f>
        <v>2007</v>
      </c>
      <c r="D2718" s="2" t="s">
        <v>2045</v>
      </c>
      <c r="E2718" s="2" t="s">
        <v>15</v>
      </c>
      <c r="F2718" s="2" t="s">
        <v>16</v>
      </c>
      <c r="G2718" s="2"/>
      <c r="H2718" s="2">
        <v>1371</v>
      </c>
      <c r="I2718" s="10">
        <v>336607</v>
      </c>
      <c r="J2718" s="10">
        <f>Raw_Data!$I2718/Raw_Data!$H2718</f>
        <v>245.51932895696572</v>
      </c>
    </row>
    <row r="2719" spans="1:10" x14ac:dyDescent="0.3">
      <c r="A2719" s="8">
        <v>38675</v>
      </c>
      <c r="B2719" t="str">
        <f>TEXT(Raw_Data!$A2719, "MMM")</f>
        <v>Nov</v>
      </c>
      <c r="C2719">
        <f>YEAR(Raw_Data!$A2719)</f>
        <v>2005</v>
      </c>
      <c r="D2719" t="s">
        <v>765</v>
      </c>
      <c r="E2719" t="s">
        <v>32</v>
      </c>
      <c r="F2719" t="s">
        <v>11</v>
      </c>
      <c r="H2719">
        <v>1421</v>
      </c>
      <c r="I2719" s="1">
        <v>897038</v>
      </c>
      <c r="J2719" s="1">
        <f>Raw_Data!$I2719/Raw_Data!$H2719</f>
        <v>631.27234342012662</v>
      </c>
    </row>
    <row r="2720" spans="1:10" x14ac:dyDescent="0.3">
      <c r="A2720" s="9">
        <v>39776</v>
      </c>
      <c r="B2720" s="2" t="str">
        <f>TEXT(Raw_Data!$A2720, "MMM")</f>
        <v>Nov</v>
      </c>
      <c r="C2720" s="2">
        <f>YEAR(Raw_Data!$A2720)</f>
        <v>2008</v>
      </c>
      <c r="D2720" s="2" t="s">
        <v>2046</v>
      </c>
      <c r="E2720" s="2" t="s">
        <v>29</v>
      </c>
      <c r="F2720" s="2" t="s">
        <v>27</v>
      </c>
      <c r="G2720" s="2">
        <v>3</v>
      </c>
      <c r="H2720" s="2">
        <v>2894</v>
      </c>
      <c r="I2720" s="10">
        <v>364739</v>
      </c>
      <c r="J2720" s="10">
        <f>Raw_Data!$I2720/Raw_Data!$H2720</f>
        <v>126.03282653766414</v>
      </c>
    </row>
    <row r="2721" spans="1:10" x14ac:dyDescent="0.3">
      <c r="A2721" s="8">
        <v>38071</v>
      </c>
      <c r="B2721" t="str">
        <f>TEXT(Raw_Data!$A2721, "MMM")</f>
        <v>Mar</v>
      </c>
      <c r="C2721">
        <f>YEAR(Raw_Data!$A2721)</f>
        <v>2004</v>
      </c>
      <c r="D2721" t="s">
        <v>117</v>
      </c>
      <c r="E2721" t="s">
        <v>15</v>
      </c>
      <c r="F2721" t="s">
        <v>27</v>
      </c>
      <c r="G2721">
        <v>2</v>
      </c>
      <c r="H2721">
        <v>1788</v>
      </c>
      <c r="I2721" s="1">
        <v>170243</v>
      </c>
      <c r="J2721" s="1">
        <f>Raw_Data!$I2721/Raw_Data!$H2721</f>
        <v>95.214205816554809</v>
      </c>
    </row>
    <row r="2722" spans="1:10" x14ac:dyDescent="0.3">
      <c r="A2722" s="9">
        <v>39051</v>
      </c>
      <c r="B2722" s="2" t="str">
        <f>TEXT(Raw_Data!$A2722, "MMM")</f>
        <v>Nov</v>
      </c>
      <c r="C2722" s="2">
        <f>YEAR(Raw_Data!$A2722)</f>
        <v>2006</v>
      </c>
      <c r="D2722" s="2" t="s">
        <v>2047</v>
      </c>
      <c r="E2722" s="2" t="s">
        <v>15</v>
      </c>
      <c r="F2722" s="2" t="s">
        <v>18</v>
      </c>
      <c r="G2722" s="2"/>
      <c r="H2722" s="2">
        <v>869</v>
      </c>
      <c r="I2722" s="10">
        <v>174007</v>
      </c>
      <c r="J2722" s="10">
        <f>Raw_Data!$I2722/Raw_Data!$H2722</f>
        <v>200.23820483314154</v>
      </c>
    </row>
    <row r="2723" spans="1:10" x14ac:dyDescent="0.3">
      <c r="A2723" s="8">
        <v>43202</v>
      </c>
      <c r="B2723" t="str">
        <f>TEXT(Raw_Data!$A2723, "MMM")</f>
        <v>Apr</v>
      </c>
      <c r="C2723">
        <f>YEAR(Raw_Data!$A2723)</f>
        <v>2018</v>
      </c>
      <c r="D2723" t="s">
        <v>2048</v>
      </c>
      <c r="E2723" t="s">
        <v>25</v>
      </c>
      <c r="F2723" t="s">
        <v>18</v>
      </c>
      <c r="H2723">
        <v>1281</v>
      </c>
      <c r="I2723" s="1">
        <v>510683</v>
      </c>
      <c r="J2723" s="1">
        <f>Raw_Data!$I2723/Raw_Data!$H2723</f>
        <v>398.65964090554252</v>
      </c>
    </row>
    <row r="2724" spans="1:10" x14ac:dyDescent="0.3">
      <c r="A2724" s="9">
        <v>42212</v>
      </c>
      <c r="B2724" s="2" t="str">
        <f>TEXT(Raw_Data!$A2724, "MMM")</f>
        <v>Jul</v>
      </c>
      <c r="C2724" s="2">
        <f>YEAR(Raw_Data!$A2724)</f>
        <v>2015</v>
      </c>
      <c r="D2724" s="2" t="s">
        <v>421</v>
      </c>
      <c r="E2724" s="2" t="s">
        <v>15</v>
      </c>
      <c r="F2724" s="2" t="s">
        <v>11</v>
      </c>
      <c r="G2724" s="2"/>
      <c r="H2724" s="2">
        <v>1576</v>
      </c>
      <c r="I2724" s="10">
        <v>509289</v>
      </c>
      <c r="J2724" s="10">
        <f>Raw_Data!$I2724/Raw_Data!$H2724</f>
        <v>323.15291878172587</v>
      </c>
    </row>
    <row r="2725" spans="1:10" x14ac:dyDescent="0.3">
      <c r="A2725" s="8">
        <v>42295</v>
      </c>
      <c r="B2725" t="str">
        <f>TEXT(Raw_Data!$A2725, "MMM")</f>
        <v>Oct</v>
      </c>
      <c r="C2725">
        <f>YEAR(Raw_Data!$A2725)</f>
        <v>2015</v>
      </c>
      <c r="D2725" t="s">
        <v>2049</v>
      </c>
      <c r="E2725" t="s">
        <v>23</v>
      </c>
      <c r="F2725" t="s">
        <v>18</v>
      </c>
      <c r="G2725">
        <v>5</v>
      </c>
      <c r="H2725">
        <v>1727</v>
      </c>
      <c r="I2725" s="1">
        <v>177148</v>
      </c>
      <c r="J2725" s="1">
        <f>Raw_Data!$I2725/Raw_Data!$H2725</f>
        <v>102.5755645628257</v>
      </c>
    </row>
    <row r="2726" spans="1:10" x14ac:dyDescent="0.3">
      <c r="A2726" s="9">
        <v>43218</v>
      </c>
      <c r="B2726" s="2" t="str">
        <f>TEXT(Raw_Data!$A2726, "MMM")</f>
        <v>Apr</v>
      </c>
      <c r="C2726" s="2">
        <f>YEAR(Raw_Data!$A2726)</f>
        <v>2018</v>
      </c>
      <c r="D2726" s="2" t="s">
        <v>281</v>
      </c>
      <c r="E2726" s="2" t="s">
        <v>15</v>
      </c>
      <c r="F2726" s="2" t="s">
        <v>27</v>
      </c>
      <c r="G2726" s="2"/>
      <c r="H2726" s="2">
        <v>2775</v>
      </c>
      <c r="I2726" s="10">
        <v>648510</v>
      </c>
      <c r="J2726" s="10">
        <f>Raw_Data!$I2726/Raw_Data!$H2726</f>
        <v>233.6972972972973</v>
      </c>
    </row>
    <row r="2727" spans="1:10" x14ac:dyDescent="0.3">
      <c r="A2727" s="8">
        <v>40044</v>
      </c>
      <c r="B2727" t="str">
        <f>TEXT(Raw_Data!$A2727, "MMM")</f>
        <v>Aug</v>
      </c>
      <c r="C2727">
        <f>YEAR(Raw_Data!$A2727)</f>
        <v>2009</v>
      </c>
      <c r="D2727" t="s">
        <v>180</v>
      </c>
      <c r="E2727" t="s">
        <v>29</v>
      </c>
      <c r="F2727" t="s">
        <v>11</v>
      </c>
      <c r="G2727">
        <v>4</v>
      </c>
      <c r="H2727">
        <v>2012</v>
      </c>
      <c r="I2727" s="1">
        <v>223184</v>
      </c>
      <c r="J2727" s="1">
        <f>Raw_Data!$I2727/Raw_Data!$H2727</f>
        <v>110.92644135188867</v>
      </c>
    </row>
    <row r="2728" spans="1:10" x14ac:dyDescent="0.3">
      <c r="A2728" s="9">
        <v>39105</v>
      </c>
      <c r="B2728" s="2" t="str">
        <f>TEXT(Raw_Data!$A2728, "MMM")</f>
        <v>Jan</v>
      </c>
      <c r="C2728" s="2">
        <f>YEAR(Raw_Data!$A2728)</f>
        <v>2007</v>
      </c>
      <c r="D2728" s="2" t="s">
        <v>1303</v>
      </c>
      <c r="E2728" s="2" t="s">
        <v>25</v>
      </c>
      <c r="F2728" s="2" t="s">
        <v>16</v>
      </c>
      <c r="G2728" s="2">
        <v>5</v>
      </c>
      <c r="H2728" s="2">
        <v>998</v>
      </c>
      <c r="I2728" s="10">
        <v>319292</v>
      </c>
      <c r="J2728" s="10">
        <f>Raw_Data!$I2728/Raw_Data!$H2728</f>
        <v>319.93186372745492</v>
      </c>
    </row>
    <row r="2729" spans="1:10" x14ac:dyDescent="0.3">
      <c r="A2729" s="8">
        <v>43419</v>
      </c>
      <c r="B2729" t="str">
        <f>TEXT(Raw_Data!$A2729, "MMM")</f>
        <v>Nov</v>
      </c>
      <c r="C2729">
        <f>YEAR(Raw_Data!$A2729)</f>
        <v>2018</v>
      </c>
      <c r="D2729" t="s">
        <v>512</v>
      </c>
      <c r="E2729" t="s">
        <v>32</v>
      </c>
      <c r="F2729" t="s">
        <v>18</v>
      </c>
      <c r="G2729">
        <v>5</v>
      </c>
      <c r="H2729">
        <v>2544</v>
      </c>
      <c r="I2729" s="1">
        <v>539330</v>
      </c>
      <c r="J2729" s="1">
        <f>Raw_Data!$I2729/Raw_Data!$H2729</f>
        <v>212.00078616352201</v>
      </c>
    </row>
    <row r="2730" spans="1:10" x14ac:dyDescent="0.3">
      <c r="A2730" s="9">
        <v>38979</v>
      </c>
      <c r="B2730" s="2" t="str">
        <f>TEXT(Raw_Data!$A2730, "MMM")</f>
        <v>Sep</v>
      </c>
      <c r="C2730" s="2">
        <f>YEAR(Raw_Data!$A2730)</f>
        <v>2006</v>
      </c>
      <c r="D2730" s="2" t="s">
        <v>68</v>
      </c>
      <c r="E2730" s="2" t="s">
        <v>25</v>
      </c>
      <c r="F2730" s="2" t="s">
        <v>16</v>
      </c>
      <c r="G2730" s="2">
        <v>3</v>
      </c>
      <c r="H2730" s="2">
        <v>2741</v>
      </c>
      <c r="I2730" s="10">
        <v>716163</v>
      </c>
      <c r="J2730" s="10">
        <f>Raw_Data!$I2730/Raw_Data!$H2730</f>
        <v>261.27800072966073</v>
      </c>
    </row>
    <row r="2731" spans="1:10" x14ac:dyDescent="0.3">
      <c r="A2731" s="8">
        <v>41757</v>
      </c>
      <c r="B2731" t="str">
        <f>TEXT(Raw_Data!$A2731, "MMM")</f>
        <v>Apr</v>
      </c>
      <c r="C2731">
        <f>YEAR(Raw_Data!$A2731)</f>
        <v>2014</v>
      </c>
      <c r="D2731" t="s">
        <v>2050</v>
      </c>
      <c r="E2731" t="s">
        <v>15</v>
      </c>
      <c r="F2731" t="s">
        <v>27</v>
      </c>
      <c r="G2731">
        <v>3</v>
      </c>
      <c r="H2731">
        <v>1830</v>
      </c>
      <c r="I2731" s="1">
        <v>148785</v>
      </c>
      <c r="J2731" s="1">
        <f>Raw_Data!$I2731/Raw_Data!$H2731</f>
        <v>81.303278688524586</v>
      </c>
    </row>
    <row r="2732" spans="1:10" x14ac:dyDescent="0.3">
      <c r="A2732" s="9">
        <v>39777</v>
      </c>
      <c r="B2732" s="2" t="str">
        <f>TEXT(Raw_Data!$A2732, "MMM")</f>
        <v>Nov</v>
      </c>
      <c r="C2732" s="2">
        <f>YEAR(Raw_Data!$A2732)</f>
        <v>2008</v>
      </c>
      <c r="D2732" s="2" t="s">
        <v>219</v>
      </c>
      <c r="E2732" s="2" t="s">
        <v>15</v>
      </c>
      <c r="F2732" s="2" t="s">
        <v>11</v>
      </c>
      <c r="G2732" s="2"/>
      <c r="H2732" s="2">
        <v>847</v>
      </c>
      <c r="I2732" s="10">
        <v>219672</v>
      </c>
      <c r="J2732" s="10">
        <f>Raw_Data!$I2732/Raw_Data!$H2732</f>
        <v>259.35301062573791</v>
      </c>
    </row>
    <row r="2733" spans="1:10" x14ac:dyDescent="0.3">
      <c r="A2733" s="8">
        <v>39855</v>
      </c>
      <c r="B2733" t="str">
        <f>TEXT(Raw_Data!$A2733, "MMM")</f>
        <v>Feb</v>
      </c>
      <c r="C2733">
        <f>YEAR(Raw_Data!$A2733)</f>
        <v>2009</v>
      </c>
      <c r="D2733" t="s">
        <v>2051</v>
      </c>
      <c r="E2733" t="s">
        <v>32</v>
      </c>
      <c r="F2733" t="s">
        <v>16</v>
      </c>
      <c r="G2733">
        <v>2</v>
      </c>
      <c r="H2733">
        <v>971</v>
      </c>
      <c r="I2733" s="1">
        <v>485944</v>
      </c>
      <c r="J2733" s="1">
        <f>Raw_Data!$I2733/Raw_Data!$H2733</f>
        <v>500.45726055612772</v>
      </c>
    </row>
    <row r="2734" spans="1:10" x14ac:dyDescent="0.3">
      <c r="A2734" s="9">
        <v>41736</v>
      </c>
      <c r="B2734" s="2" t="str">
        <f>TEXT(Raw_Data!$A2734, "MMM")</f>
        <v>Apr</v>
      </c>
      <c r="C2734" s="2">
        <f>YEAR(Raw_Data!$A2734)</f>
        <v>2014</v>
      </c>
      <c r="D2734" s="2" t="s">
        <v>2052</v>
      </c>
      <c r="E2734" s="2" t="s">
        <v>25</v>
      </c>
      <c r="F2734" s="2" t="s">
        <v>27</v>
      </c>
      <c r="G2734" s="2"/>
      <c r="H2734" s="2">
        <v>3087</v>
      </c>
      <c r="I2734" s="10">
        <v>562922</v>
      </c>
      <c r="J2734" s="10">
        <f>Raw_Data!$I2734/Raw_Data!$H2734</f>
        <v>182.35244574020084</v>
      </c>
    </row>
    <row r="2735" spans="1:10" x14ac:dyDescent="0.3">
      <c r="A2735" s="8">
        <v>43996</v>
      </c>
      <c r="B2735" t="str">
        <f>TEXT(Raw_Data!$A2735, "MMM")</f>
        <v>Jun</v>
      </c>
      <c r="C2735">
        <f>YEAR(Raw_Data!$A2735)</f>
        <v>2020</v>
      </c>
      <c r="D2735" t="s">
        <v>2053</v>
      </c>
      <c r="E2735" t="s">
        <v>32</v>
      </c>
      <c r="F2735" t="s">
        <v>18</v>
      </c>
      <c r="G2735">
        <v>2</v>
      </c>
      <c r="H2735">
        <v>1231</v>
      </c>
      <c r="I2735" s="1">
        <v>403765</v>
      </c>
      <c r="J2735" s="1">
        <f>Raw_Data!$I2735/Raw_Data!$H2735</f>
        <v>327.99756295694556</v>
      </c>
    </row>
    <row r="2736" spans="1:10" x14ac:dyDescent="0.3">
      <c r="A2736" s="9">
        <v>41375</v>
      </c>
      <c r="B2736" s="2" t="str">
        <f>TEXT(Raw_Data!$A2736, "MMM")</f>
        <v>Apr</v>
      </c>
      <c r="C2736" s="2">
        <f>YEAR(Raw_Data!$A2736)</f>
        <v>2013</v>
      </c>
      <c r="D2736" s="2" t="s">
        <v>1692</v>
      </c>
      <c r="E2736" s="2" t="s">
        <v>13</v>
      </c>
      <c r="F2736" s="2" t="s">
        <v>18</v>
      </c>
      <c r="G2736" s="2"/>
      <c r="H2736" s="2">
        <v>855</v>
      </c>
      <c r="I2736" s="10">
        <v>651691</v>
      </c>
      <c r="J2736" s="10">
        <f>Raw_Data!$I2736/Raw_Data!$H2736</f>
        <v>762.21169590643274</v>
      </c>
    </row>
    <row r="2737" spans="1:10" x14ac:dyDescent="0.3">
      <c r="A2737" s="8">
        <v>38349</v>
      </c>
      <c r="B2737" t="str">
        <f>TEXT(Raw_Data!$A2737, "MMM")</f>
        <v>Dec</v>
      </c>
      <c r="C2737">
        <f>YEAR(Raw_Data!$A2737)</f>
        <v>2004</v>
      </c>
      <c r="D2737" t="s">
        <v>2054</v>
      </c>
      <c r="E2737" t="s">
        <v>21</v>
      </c>
      <c r="F2737" t="s">
        <v>27</v>
      </c>
      <c r="G2737">
        <v>2</v>
      </c>
      <c r="H2737">
        <v>3225</v>
      </c>
      <c r="I2737" s="1">
        <v>894486</v>
      </c>
      <c r="J2737" s="1">
        <f>Raw_Data!$I2737/Raw_Data!$H2737</f>
        <v>277.36</v>
      </c>
    </row>
    <row r="2738" spans="1:10" x14ac:dyDescent="0.3">
      <c r="A2738" s="9">
        <v>42090</v>
      </c>
      <c r="B2738" s="2" t="str">
        <f>TEXT(Raw_Data!$A2738, "MMM")</f>
        <v>Mar</v>
      </c>
      <c r="C2738" s="2">
        <f>YEAR(Raw_Data!$A2738)</f>
        <v>2015</v>
      </c>
      <c r="D2738" s="2" t="s">
        <v>2055</v>
      </c>
      <c r="E2738" s="2" t="s">
        <v>21</v>
      </c>
      <c r="F2738" s="2" t="s">
        <v>27</v>
      </c>
      <c r="G2738" s="2"/>
      <c r="H2738" s="2">
        <v>3061</v>
      </c>
      <c r="I2738" s="10">
        <v>453236</v>
      </c>
      <c r="J2738" s="10">
        <f>Raw_Data!$I2738/Raw_Data!$H2738</f>
        <v>148.06795164978766</v>
      </c>
    </row>
    <row r="2739" spans="1:10" x14ac:dyDescent="0.3">
      <c r="A2739" s="8">
        <v>38551</v>
      </c>
      <c r="B2739" t="str">
        <f>TEXT(Raw_Data!$A2739, "MMM")</f>
        <v>Jul</v>
      </c>
      <c r="C2739">
        <f>YEAR(Raw_Data!$A2739)</f>
        <v>2005</v>
      </c>
      <c r="D2739" t="s">
        <v>2056</v>
      </c>
      <c r="E2739" t="s">
        <v>25</v>
      </c>
      <c r="F2739" t="s">
        <v>11</v>
      </c>
      <c r="H2739">
        <v>2794</v>
      </c>
      <c r="I2739" s="1">
        <v>769681</v>
      </c>
      <c r="J2739" s="1">
        <f>Raw_Data!$I2739/Raw_Data!$H2739</f>
        <v>275.47637795275591</v>
      </c>
    </row>
    <row r="2740" spans="1:10" x14ac:dyDescent="0.3">
      <c r="A2740" s="9">
        <v>39767</v>
      </c>
      <c r="B2740" s="2" t="str">
        <f>TEXT(Raw_Data!$A2740, "MMM")</f>
        <v>Nov</v>
      </c>
      <c r="C2740" s="2">
        <f>YEAR(Raw_Data!$A2740)</f>
        <v>2008</v>
      </c>
      <c r="D2740" s="2" t="s">
        <v>2057</v>
      </c>
      <c r="E2740" s="2" t="s">
        <v>23</v>
      </c>
      <c r="F2740" s="2" t="s">
        <v>27</v>
      </c>
      <c r="G2740" s="2"/>
      <c r="H2740" s="2">
        <v>3053</v>
      </c>
      <c r="I2740" s="10">
        <v>344783</v>
      </c>
      <c r="J2740" s="10">
        <f>Raw_Data!$I2740/Raw_Data!$H2740</f>
        <v>112.93252538486735</v>
      </c>
    </row>
    <row r="2741" spans="1:10" x14ac:dyDescent="0.3">
      <c r="A2741" s="8">
        <v>42641</v>
      </c>
      <c r="B2741" t="str">
        <f>TEXT(Raw_Data!$A2741, "MMM")</f>
        <v>Sep</v>
      </c>
      <c r="C2741">
        <f>YEAR(Raw_Data!$A2741)</f>
        <v>2016</v>
      </c>
      <c r="D2741" t="s">
        <v>166</v>
      </c>
      <c r="E2741" t="s">
        <v>25</v>
      </c>
      <c r="F2741" t="s">
        <v>16</v>
      </c>
      <c r="H2741">
        <v>3083</v>
      </c>
      <c r="I2741" s="1">
        <v>577830</v>
      </c>
      <c r="J2741" s="1">
        <f>Raw_Data!$I2741/Raw_Data!$H2741</f>
        <v>187.42458644177748</v>
      </c>
    </row>
    <row r="2742" spans="1:10" x14ac:dyDescent="0.3">
      <c r="A2742" s="9">
        <v>39864</v>
      </c>
      <c r="B2742" s="2" t="str">
        <f>TEXT(Raw_Data!$A2742, "MMM")</f>
        <v>Feb</v>
      </c>
      <c r="C2742" s="2">
        <f>YEAR(Raw_Data!$A2742)</f>
        <v>2009</v>
      </c>
      <c r="D2742" s="2" t="s">
        <v>2058</v>
      </c>
      <c r="E2742" s="2" t="s">
        <v>21</v>
      </c>
      <c r="F2742" s="2" t="s">
        <v>11</v>
      </c>
      <c r="G2742" s="2"/>
      <c r="H2742" s="2">
        <v>1478</v>
      </c>
      <c r="I2742" s="10">
        <v>285176</v>
      </c>
      <c r="J2742" s="10">
        <f>Raw_Data!$I2742/Raw_Data!$H2742</f>
        <v>192.94722598105548</v>
      </c>
    </row>
    <row r="2743" spans="1:10" x14ac:dyDescent="0.3">
      <c r="A2743" s="8">
        <v>43221</v>
      </c>
      <c r="B2743" t="str">
        <f>TEXT(Raw_Data!$A2743, "MMM")</f>
        <v>May</v>
      </c>
      <c r="C2743">
        <f>YEAR(Raw_Data!$A2743)</f>
        <v>2018</v>
      </c>
      <c r="D2743" t="s">
        <v>1015</v>
      </c>
      <c r="E2743" t="s">
        <v>29</v>
      </c>
      <c r="F2743" t="s">
        <v>11</v>
      </c>
      <c r="G2743">
        <v>3</v>
      </c>
      <c r="H2743">
        <v>2122</v>
      </c>
      <c r="I2743" s="1">
        <v>739514</v>
      </c>
      <c r="J2743" s="1">
        <f>Raw_Data!$I2743/Raw_Data!$H2743</f>
        <v>348.49858623939679</v>
      </c>
    </row>
    <row r="2744" spans="1:10" x14ac:dyDescent="0.3">
      <c r="A2744" s="9">
        <v>43581</v>
      </c>
      <c r="B2744" s="2" t="str">
        <f>TEXT(Raw_Data!$A2744, "MMM")</f>
        <v>Apr</v>
      </c>
      <c r="C2744" s="2">
        <f>YEAR(Raw_Data!$A2744)</f>
        <v>2019</v>
      </c>
      <c r="D2744" s="2" t="s">
        <v>2028</v>
      </c>
      <c r="E2744" s="2" t="s">
        <v>13</v>
      </c>
      <c r="F2744" s="2" t="s">
        <v>11</v>
      </c>
      <c r="G2744" s="2">
        <v>2</v>
      </c>
      <c r="H2744" s="2">
        <v>2205</v>
      </c>
      <c r="I2744" s="10">
        <v>500361</v>
      </c>
      <c r="J2744" s="10">
        <f>Raw_Data!$I2744/Raw_Data!$H2744</f>
        <v>226.92108843537414</v>
      </c>
    </row>
    <row r="2745" spans="1:10" x14ac:dyDescent="0.3">
      <c r="A2745" s="8">
        <v>42170</v>
      </c>
      <c r="B2745" t="str">
        <f>TEXT(Raw_Data!$A2745, "MMM")</f>
        <v>Jun</v>
      </c>
      <c r="C2745">
        <f>YEAR(Raw_Data!$A2745)</f>
        <v>2015</v>
      </c>
      <c r="D2745" t="s">
        <v>2059</v>
      </c>
      <c r="E2745" t="s">
        <v>25</v>
      </c>
      <c r="F2745" t="s">
        <v>16</v>
      </c>
      <c r="H2745">
        <v>2087</v>
      </c>
      <c r="I2745" s="1">
        <v>747513</v>
      </c>
      <c r="J2745" s="1">
        <f>Raw_Data!$I2745/Raw_Data!$H2745</f>
        <v>358.17585050311453</v>
      </c>
    </row>
    <row r="2746" spans="1:10" x14ac:dyDescent="0.3">
      <c r="A2746" s="9">
        <v>39166</v>
      </c>
      <c r="B2746" s="2" t="str">
        <f>TEXT(Raw_Data!$A2746, "MMM")</f>
        <v>Mar</v>
      </c>
      <c r="C2746" s="2">
        <f>YEAR(Raw_Data!$A2746)</f>
        <v>2007</v>
      </c>
      <c r="D2746" s="2" t="s">
        <v>2060</v>
      </c>
      <c r="E2746" s="2" t="s">
        <v>15</v>
      </c>
      <c r="F2746" s="2" t="s">
        <v>27</v>
      </c>
      <c r="G2746" s="2">
        <v>4</v>
      </c>
      <c r="H2746" s="2">
        <v>3282</v>
      </c>
      <c r="I2746" s="10">
        <v>581665</v>
      </c>
      <c r="J2746" s="10">
        <f>Raw_Data!$I2746/Raw_Data!$H2746</f>
        <v>177.22882388787326</v>
      </c>
    </row>
    <row r="2747" spans="1:10" x14ac:dyDescent="0.3">
      <c r="A2747" s="8">
        <v>38160</v>
      </c>
      <c r="B2747" t="str">
        <f>TEXT(Raw_Data!$A2747, "MMM")</f>
        <v>Jun</v>
      </c>
      <c r="C2747">
        <f>YEAR(Raw_Data!$A2747)</f>
        <v>2004</v>
      </c>
      <c r="D2747" t="s">
        <v>1256</v>
      </c>
      <c r="E2747" t="s">
        <v>32</v>
      </c>
      <c r="F2747" t="s">
        <v>18</v>
      </c>
      <c r="G2747">
        <v>2</v>
      </c>
      <c r="H2747">
        <v>2446</v>
      </c>
      <c r="I2747" s="1">
        <v>551522</v>
      </c>
      <c r="J2747" s="1">
        <f>Raw_Data!$I2747/Raw_Data!$H2747</f>
        <v>225.47914963205233</v>
      </c>
    </row>
    <row r="2748" spans="1:10" x14ac:dyDescent="0.3">
      <c r="A2748" s="9">
        <v>40334</v>
      </c>
      <c r="B2748" s="2" t="str">
        <f>TEXT(Raw_Data!$A2748, "MMM")</f>
        <v>Jun</v>
      </c>
      <c r="C2748" s="2">
        <f>YEAR(Raw_Data!$A2748)</f>
        <v>2010</v>
      </c>
      <c r="D2748" s="2" t="s">
        <v>2058</v>
      </c>
      <c r="E2748" s="2" t="s">
        <v>32</v>
      </c>
      <c r="F2748" s="2" t="s">
        <v>27</v>
      </c>
      <c r="G2748" s="2"/>
      <c r="H2748" s="2">
        <v>2323</v>
      </c>
      <c r="I2748" s="10">
        <v>153310</v>
      </c>
      <c r="J2748" s="10">
        <f>Raw_Data!$I2748/Raw_Data!$H2748</f>
        <v>65.996556177356865</v>
      </c>
    </row>
    <row r="2749" spans="1:10" x14ac:dyDescent="0.3">
      <c r="A2749" s="8">
        <v>41902</v>
      </c>
      <c r="B2749" t="str">
        <f>TEXT(Raw_Data!$A2749, "MMM")</f>
        <v>Sep</v>
      </c>
      <c r="C2749">
        <f>YEAR(Raw_Data!$A2749)</f>
        <v>2014</v>
      </c>
      <c r="D2749" t="s">
        <v>244</v>
      </c>
      <c r="E2749" t="s">
        <v>32</v>
      </c>
      <c r="F2749" t="s">
        <v>16</v>
      </c>
      <c r="G2749">
        <v>4</v>
      </c>
      <c r="H2749">
        <v>3027</v>
      </c>
      <c r="I2749" s="1">
        <v>142919</v>
      </c>
      <c r="J2749" s="1">
        <f>Raw_Data!$I2749/Raw_Data!$H2749</f>
        <v>47.214734060125537</v>
      </c>
    </row>
    <row r="2750" spans="1:10" x14ac:dyDescent="0.3">
      <c r="A2750" s="9">
        <v>43147</v>
      </c>
      <c r="B2750" s="2" t="str">
        <f>TEXT(Raw_Data!$A2750, "MMM")</f>
        <v>Feb</v>
      </c>
      <c r="C2750" s="2">
        <f>YEAR(Raw_Data!$A2750)</f>
        <v>2018</v>
      </c>
      <c r="D2750" s="2" t="s">
        <v>2061</v>
      </c>
      <c r="E2750" s="2" t="s">
        <v>25</v>
      </c>
      <c r="F2750" s="2" t="s">
        <v>16</v>
      </c>
      <c r="G2750" s="2"/>
      <c r="H2750" s="2">
        <v>941</v>
      </c>
      <c r="I2750" s="10">
        <v>306707</v>
      </c>
      <c r="J2750" s="10">
        <f>Raw_Data!$I2750/Raw_Data!$H2750</f>
        <v>325.93730074388947</v>
      </c>
    </row>
    <row r="2751" spans="1:10" x14ac:dyDescent="0.3">
      <c r="A2751" s="8">
        <v>37490</v>
      </c>
      <c r="B2751" t="str">
        <f>TEXT(Raw_Data!$A2751, "MMM")</f>
        <v>Aug</v>
      </c>
      <c r="C2751">
        <f>YEAR(Raw_Data!$A2751)</f>
        <v>2002</v>
      </c>
      <c r="D2751" t="s">
        <v>2062</v>
      </c>
      <c r="E2751" t="s">
        <v>13</v>
      </c>
      <c r="F2751" t="s">
        <v>16</v>
      </c>
      <c r="H2751">
        <v>2348</v>
      </c>
      <c r="I2751" s="1">
        <v>796636</v>
      </c>
      <c r="J2751" s="1">
        <f>Raw_Data!$I2751/Raw_Data!$H2751</f>
        <v>339.28279386712097</v>
      </c>
    </row>
    <row r="2752" spans="1:10" x14ac:dyDescent="0.3">
      <c r="A2752" s="9">
        <v>41111</v>
      </c>
      <c r="B2752" s="2" t="str">
        <f>TEXT(Raw_Data!$A2752, "MMM")</f>
        <v>Jul</v>
      </c>
      <c r="C2752" s="2">
        <f>YEAR(Raw_Data!$A2752)</f>
        <v>2012</v>
      </c>
      <c r="D2752" s="2" t="s">
        <v>2063</v>
      </c>
      <c r="E2752" s="2" t="s">
        <v>29</v>
      </c>
      <c r="F2752" s="2" t="s">
        <v>16</v>
      </c>
      <c r="G2752" s="2">
        <v>5</v>
      </c>
      <c r="H2752" s="2">
        <v>1437</v>
      </c>
      <c r="I2752" s="10">
        <v>753161</v>
      </c>
      <c r="J2752" s="10">
        <f>Raw_Data!$I2752/Raw_Data!$H2752</f>
        <v>524.12038970076549</v>
      </c>
    </row>
    <row r="2753" spans="1:10" x14ac:dyDescent="0.3">
      <c r="A2753" s="8">
        <v>42069</v>
      </c>
      <c r="B2753" t="str">
        <f>TEXT(Raw_Data!$A2753, "MMM")</f>
        <v>Mar</v>
      </c>
      <c r="C2753">
        <f>YEAR(Raw_Data!$A2753)</f>
        <v>2015</v>
      </c>
      <c r="D2753" t="s">
        <v>893</v>
      </c>
      <c r="E2753" t="s">
        <v>15</v>
      </c>
      <c r="F2753" t="s">
        <v>18</v>
      </c>
      <c r="H2753">
        <v>944</v>
      </c>
      <c r="I2753" s="1">
        <v>165153</v>
      </c>
      <c r="J2753" s="1">
        <f>Raw_Data!$I2753/Raw_Data!$H2753</f>
        <v>174.95021186440678</v>
      </c>
    </row>
    <row r="2754" spans="1:10" x14ac:dyDescent="0.3">
      <c r="A2754" s="9">
        <v>38283</v>
      </c>
      <c r="B2754" s="2" t="str">
        <f>TEXT(Raw_Data!$A2754, "MMM")</f>
        <v>Oct</v>
      </c>
      <c r="C2754" s="2">
        <f>YEAR(Raw_Data!$A2754)</f>
        <v>2004</v>
      </c>
      <c r="D2754" s="2" t="s">
        <v>2064</v>
      </c>
      <c r="E2754" s="2" t="s">
        <v>32</v>
      </c>
      <c r="F2754" s="2" t="s">
        <v>27</v>
      </c>
      <c r="G2754" s="2">
        <v>4</v>
      </c>
      <c r="H2754" s="2">
        <v>1975</v>
      </c>
      <c r="I2754" s="10">
        <v>534203</v>
      </c>
      <c r="J2754" s="10">
        <f>Raw_Data!$I2754/Raw_Data!$H2754</f>
        <v>270.48253164556962</v>
      </c>
    </row>
    <row r="2755" spans="1:10" x14ac:dyDescent="0.3">
      <c r="A2755" s="8">
        <v>38680</v>
      </c>
      <c r="B2755" t="str">
        <f>TEXT(Raw_Data!$A2755, "MMM")</f>
        <v>Nov</v>
      </c>
      <c r="C2755">
        <f>YEAR(Raw_Data!$A2755)</f>
        <v>2005</v>
      </c>
      <c r="D2755" t="s">
        <v>2065</v>
      </c>
      <c r="E2755" t="s">
        <v>29</v>
      </c>
      <c r="F2755" t="s">
        <v>18</v>
      </c>
      <c r="H2755">
        <v>2466</v>
      </c>
      <c r="I2755" s="1">
        <v>204785</v>
      </c>
      <c r="J2755" s="1">
        <f>Raw_Data!$I2755/Raw_Data!$H2755</f>
        <v>83.0433901054339</v>
      </c>
    </row>
    <row r="2756" spans="1:10" x14ac:dyDescent="0.3">
      <c r="A2756" s="9">
        <v>39257</v>
      </c>
      <c r="B2756" s="2" t="str">
        <f>TEXT(Raw_Data!$A2756, "MMM")</f>
        <v>Jun</v>
      </c>
      <c r="C2756" s="2">
        <f>YEAR(Raw_Data!$A2756)</f>
        <v>2007</v>
      </c>
      <c r="D2756" s="2" t="s">
        <v>2066</v>
      </c>
      <c r="E2756" s="2" t="s">
        <v>15</v>
      </c>
      <c r="F2756" s="2" t="s">
        <v>11</v>
      </c>
      <c r="G2756" s="2"/>
      <c r="H2756" s="2">
        <v>2619</v>
      </c>
      <c r="I2756" s="10">
        <v>597429</v>
      </c>
      <c r="J2756" s="10">
        <f>Raw_Data!$I2756/Raw_Data!$H2756</f>
        <v>228.11340206185568</v>
      </c>
    </row>
    <row r="2757" spans="1:10" x14ac:dyDescent="0.3">
      <c r="A2757" s="8">
        <v>42002</v>
      </c>
      <c r="B2757" t="str">
        <f>TEXT(Raw_Data!$A2757, "MMM")</f>
        <v>Dec</v>
      </c>
      <c r="C2757">
        <f>YEAR(Raw_Data!$A2757)</f>
        <v>2014</v>
      </c>
      <c r="D2757" t="s">
        <v>298</v>
      </c>
      <c r="E2757" t="s">
        <v>25</v>
      </c>
      <c r="F2757" t="s">
        <v>11</v>
      </c>
      <c r="H2757">
        <v>1776</v>
      </c>
      <c r="I2757" s="1">
        <v>396843</v>
      </c>
      <c r="J2757" s="1">
        <f>Raw_Data!$I2757/Raw_Data!$H2757</f>
        <v>223.44763513513513</v>
      </c>
    </row>
    <row r="2758" spans="1:10" x14ac:dyDescent="0.3">
      <c r="A2758" s="9">
        <v>40214</v>
      </c>
      <c r="B2758" s="2" t="str">
        <f>TEXT(Raw_Data!$A2758, "MMM")</f>
        <v>Feb</v>
      </c>
      <c r="C2758" s="2">
        <f>YEAR(Raw_Data!$A2758)</f>
        <v>2010</v>
      </c>
      <c r="D2758" s="2" t="s">
        <v>2067</v>
      </c>
      <c r="E2758" s="2" t="s">
        <v>23</v>
      </c>
      <c r="F2758" s="2" t="s">
        <v>11</v>
      </c>
      <c r="G2758" s="2">
        <v>5</v>
      </c>
      <c r="H2758" s="2">
        <v>3120</v>
      </c>
      <c r="I2758" s="10">
        <v>870954</v>
      </c>
      <c r="J2758" s="10">
        <f>Raw_Data!$I2758/Raw_Data!$H2758</f>
        <v>279.15192307692308</v>
      </c>
    </row>
    <row r="2759" spans="1:10" x14ac:dyDescent="0.3">
      <c r="A2759" s="8">
        <v>39372</v>
      </c>
      <c r="B2759" t="str">
        <f>TEXT(Raw_Data!$A2759, "MMM")</f>
        <v>Oct</v>
      </c>
      <c r="C2759">
        <f>YEAR(Raw_Data!$A2759)</f>
        <v>2007</v>
      </c>
      <c r="D2759" t="s">
        <v>1873</v>
      </c>
      <c r="E2759" t="s">
        <v>25</v>
      </c>
      <c r="F2759" t="s">
        <v>11</v>
      </c>
      <c r="H2759">
        <v>2505</v>
      </c>
      <c r="I2759" s="1">
        <v>226717</v>
      </c>
      <c r="J2759" s="1">
        <f>Raw_Data!$I2759/Raw_Data!$H2759</f>
        <v>90.505788423153689</v>
      </c>
    </row>
    <row r="2760" spans="1:10" x14ac:dyDescent="0.3">
      <c r="A2760" s="9">
        <v>41445</v>
      </c>
      <c r="B2760" s="2" t="str">
        <f>TEXT(Raw_Data!$A2760, "MMM")</f>
        <v>Jun</v>
      </c>
      <c r="C2760" s="2">
        <f>YEAR(Raw_Data!$A2760)</f>
        <v>2013</v>
      </c>
      <c r="D2760" s="2" t="s">
        <v>2068</v>
      </c>
      <c r="E2760" s="2" t="s">
        <v>15</v>
      </c>
      <c r="F2760" s="2" t="s">
        <v>27</v>
      </c>
      <c r="G2760" s="2">
        <v>4</v>
      </c>
      <c r="H2760" s="2">
        <v>2948</v>
      </c>
      <c r="I2760" s="10">
        <v>155340</v>
      </c>
      <c r="J2760" s="10">
        <f>Raw_Data!$I2760/Raw_Data!$H2760</f>
        <v>52.693351424694711</v>
      </c>
    </row>
    <row r="2761" spans="1:10" x14ac:dyDescent="0.3">
      <c r="A2761" s="8">
        <v>36925</v>
      </c>
      <c r="B2761" t="str">
        <f>TEXT(Raw_Data!$A2761, "MMM")</f>
        <v>Feb</v>
      </c>
      <c r="C2761">
        <f>YEAR(Raw_Data!$A2761)</f>
        <v>2001</v>
      </c>
      <c r="D2761" t="s">
        <v>1172</v>
      </c>
      <c r="E2761" t="s">
        <v>25</v>
      </c>
      <c r="F2761" t="s">
        <v>27</v>
      </c>
      <c r="G2761">
        <v>2</v>
      </c>
      <c r="H2761">
        <v>2982</v>
      </c>
      <c r="I2761" s="1">
        <v>885246</v>
      </c>
      <c r="J2761" s="1">
        <f>Raw_Data!$I2761/Raw_Data!$H2761</f>
        <v>296.86317907444669</v>
      </c>
    </row>
    <row r="2762" spans="1:10" x14ac:dyDescent="0.3">
      <c r="A2762" s="9">
        <v>40398</v>
      </c>
      <c r="B2762" s="2" t="str">
        <f>TEXT(Raw_Data!$A2762, "MMM")</f>
        <v>Aug</v>
      </c>
      <c r="C2762" s="2">
        <f>YEAR(Raw_Data!$A2762)</f>
        <v>2010</v>
      </c>
      <c r="D2762" s="2" t="s">
        <v>2069</v>
      </c>
      <c r="E2762" s="2" t="s">
        <v>32</v>
      </c>
      <c r="F2762" s="2" t="s">
        <v>18</v>
      </c>
      <c r="G2762" s="2">
        <v>3</v>
      </c>
      <c r="H2762" s="2">
        <v>2903</v>
      </c>
      <c r="I2762" s="10">
        <v>473374</v>
      </c>
      <c r="J2762" s="10">
        <f>Raw_Data!$I2762/Raw_Data!$H2762</f>
        <v>163.06372717878057</v>
      </c>
    </row>
    <row r="2763" spans="1:10" x14ac:dyDescent="0.3">
      <c r="A2763" s="8">
        <v>43603</v>
      </c>
      <c r="B2763" t="str">
        <f>TEXT(Raw_Data!$A2763, "MMM")</f>
        <v>May</v>
      </c>
      <c r="C2763">
        <f>YEAR(Raw_Data!$A2763)</f>
        <v>2019</v>
      </c>
      <c r="D2763" t="s">
        <v>331</v>
      </c>
      <c r="E2763" t="s">
        <v>15</v>
      </c>
      <c r="F2763" t="s">
        <v>18</v>
      </c>
      <c r="G2763">
        <v>5</v>
      </c>
      <c r="H2763">
        <v>1870</v>
      </c>
      <c r="I2763" s="1">
        <v>157982</v>
      </c>
      <c r="J2763" s="1">
        <f>Raw_Data!$I2763/Raw_Data!$H2763</f>
        <v>84.482352941176472</v>
      </c>
    </row>
    <row r="2764" spans="1:10" x14ac:dyDescent="0.3">
      <c r="A2764" s="9">
        <v>39696</v>
      </c>
      <c r="B2764" s="2" t="str">
        <f>TEXT(Raw_Data!$A2764, "MMM")</f>
        <v>Sep</v>
      </c>
      <c r="C2764" s="2">
        <f>YEAR(Raw_Data!$A2764)</f>
        <v>2008</v>
      </c>
      <c r="D2764" s="2" t="s">
        <v>2070</v>
      </c>
      <c r="E2764" s="2" t="s">
        <v>23</v>
      </c>
      <c r="F2764" s="2" t="s">
        <v>11</v>
      </c>
      <c r="G2764" s="2">
        <v>4</v>
      </c>
      <c r="H2764" s="2">
        <v>2393</v>
      </c>
      <c r="I2764" s="10">
        <v>573748</v>
      </c>
      <c r="J2764" s="10">
        <f>Raw_Data!$I2764/Raw_Data!$H2764</f>
        <v>239.76096949435853</v>
      </c>
    </row>
    <row r="2765" spans="1:10" x14ac:dyDescent="0.3">
      <c r="A2765" s="8">
        <v>43156</v>
      </c>
      <c r="B2765" t="str">
        <f>TEXT(Raw_Data!$A2765, "MMM")</f>
        <v>Feb</v>
      </c>
      <c r="C2765">
        <f>YEAR(Raw_Data!$A2765)</f>
        <v>2018</v>
      </c>
      <c r="D2765" t="s">
        <v>2071</v>
      </c>
      <c r="E2765" t="s">
        <v>13</v>
      </c>
      <c r="F2765" t="s">
        <v>18</v>
      </c>
      <c r="G2765">
        <v>2</v>
      </c>
      <c r="H2765">
        <v>1978</v>
      </c>
      <c r="I2765" s="1">
        <v>873764</v>
      </c>
      <c r="J2765" s="1">
        <f>Raw_Data!$I2765/Raw_Data!$H2765</f>
        <v>441.74115267947423</v>
      </c>
    </row>
    <row r="2766" spans="1:10" x14ac:dyDescent="0.3">
      <c r="A2766" s="9">
        <v>39013</v>
      </c>
      <c r="B2766" s="2" t="str">
        <f>TEXT(Raw_Data!$A2766, "MMM")</f>
        <v>Oct</v>
      </c>
      <c r="C2766" s="2">
        <f>YEAR(Raw_Data!$A2766)</f>
        <v>2006</v>
      </c>
      <c r="D2766" s="2" t="s">
        <v>2072</v>
      </c>
      <c r="E2766" s="2" t="s">
        <v>25</v>
      </c>
      <c r="F2766" s="2" t="s">
        <v>18</v>
      </c>
      <c r="G2766" s="2"/>
      <c r="H2766" s="2">
        <v>1045</v>
      </c>
      <c r="I2766" s="10">
        <v>820483</v>
      </c>
      <c r="J2766" s="10">
        <f>Raw_Data!$I2766/Raw_Data!$H2766</f>
        <v>785.15119617224877</v>
      </c>
    </row>
    <row r="2767" spans="1:10" x14ac:dyDescent="0.3">
      <c r="A2767" s="8">
        <v>40045</v>
      </c>
      <c r="B2767" t="str">
        <f>TEXT(Raw_Data!$A2767, "MMM")</f>
        <v>Aug</v>
      </c>
      <c r="C2767">
        <f>YEAR(Raw_Data!$A2767)</f>
        <v>2009</v>
      </c>
      <c r="D2767" t="s">
        <v>2073</v>
      </c>
      <c r="E2767" t="s">
        <v>32</v>
      </c>
      <c r="F2767" t="s">
        <v>27</v>
      </c>
      <c r="G2767">
        <v>5</v>
      </c>
      <c r="H2767">
        <v>2272</v>
      </c>
      <c r="I2767" s="1">
        <v>567395</v>
      </c>
      <c r="J2767" s="1">
        <f>Raw_Data!$I2767/Raw_Data!$H2767</f>
        <v>249.73371478873239</v>
      </c>
    </row>
    <row r="2768" spans="1:10" x14ac:dyDescent="0.3">
      <c r="A2768" s="9">
        <v>42691</v>
      </c>
      <c r="B2768" s="2" t="str">
        <f>TEXT(Raw_Data!$A2768, "MMM")</f>
        <v>Nov</v>
      </c>
      <c r="C2768" s="2">
        <f>YEAR(Raw_Data!$A2768)</f>
        <v>2016</v>
      </c>
      <c r="D2768" s="2" t="s">
        <v>2074</v>
      </c>
      <c r="E2768" s="2" t="s">
        <v>25</v>
      </c>
      <c r="F2768" s="2" t="s">
        <v>27</v>
      </c>
      <c r="G2768" s="2">
        <v>4</v>
      </c>
      <c r="H2768" s="2">
        <v>1534</v>
      </c>
      <c r="I2768" s="10">
        <v>793027</v>
      </c>
      <c r="J2768" s="10">
        <f>Raw_Data!$I2768/Raw_Data!$H2768</f>
        <v>516.96675358539767</v>
      </c>
    </row>
    <row r="2769" spans="1:10" x14ac:dyDescent="0.3">
      <c r="A2769" s="8">
        <v>38876</v>
      </c>
      <c r="B2769" t="str">
        <f>TEXT(Raw_Data!$A2769, "MMM")</f>
        <v>Jun</v>
      </c>
      <c r="C2769">
        <f>YEAR(Raw_Data!$A2769)</f>
        <v>2006</v>
      </c>
      <c r="D2769" t="s">
        <v>2075</v>
      </c>
      <c r="E2769" t="s">
        <v>23</v>
      </c>
      <c r="F2769" t="s">
        <v>27</v>
      </c>
      <c r="G2769">
        <v>2</v>
      </c>
      <c r="H2769">
        <v>2034</v>
      </c>
      <c r="I2769" s="1">
        <v>317714</v>
      </c>
      <c r="J2769" s="1">
        <f>Raw_Data!$I2769/Raw_Data!$H2769</f>
        <v>156.20157325467059</v>
      </c>
    </row>
    <row r="2770" spans="1:10" x14ac:dyDescent="0.3">
      <c r="A2770" s="9">
        <v>43796</v>
      </c>
      <c r="B2770" s="2" t="str">
        <f>TEXT(Raw_Data!$A2770, "MMM")</f>
        <v>Nov</v>
      </c>
      <c r="C2770" s="2">
        <f>YEAR(Raw_Data!$A2770)</f>
        <v>2019</v>
      </c>
      <c r="D2770" s="2" t="s">
        <v>2076</v>
      </c>
      <c r="E2770" s="2" t="s">
        <v>32</v>
      </c>
      <c r="F2770" s="2" t="s">
        <v>27</v>
      </c>
      <c r="G2770" s="2"/>
      <c r="H2770" s="2">
        <v>2154</v>
      </c>
      <c r="I2770" s="10">
        <v>209177</v>
      </c>
      <c r="J2770" s="10">
        <f>Raw_Data!$I2770/Raw_Data!$H2770</f>
        <v>97.110956360259976</v>
      </c>
    </row>
    <row r="2771" spans="1:10" x14ac:dyDescent="0.3">
      <c r="A2771" s="8">
        <v>38891</v>
      </c>
      <c r="B2771" t="str">
        <f>TEXT(Raw_Data!$A2771, "MMM")</f>
        <v>Jun</v>
      </c>
      <c r="C2771">
        <f>YEAR(Raw_Data!$A2771)</f>
        <v>2006</v>
      </c>
      <c r="D2771" t="s">
        <v>2077</v>
      </c>
      <c r="E2771" t="s">
        <v>23</v>
      </c>
      <c r="F2771" t="s">
        <v>16</v>
      </c>
      <c r="G2771">
        <v>5</v>
      </c>
      <c r="H2771">
        <v>925</v>
      </c>
      <c r="I2771" s="1">
        <v>284069</v>
      </c>
      <c r="J2771" s="1">
        <f>Raw_Data!$I2771/Raw_Data!$H2771</f>
        <v>307.10162162162163</v>
      </c>
    </row>
    <row r="2772" spans="1:10" x14ac:dyDescent="0.3">
      <c r="A2772" s="9">
        <v>37087</v>
      </c>
      <c r="B2772" s="2" t="str">
        <f>TEXT(Raw_Data!$A2772, "MMM")</f>
        <v>Jul</v>
      </c>
      <c r="C2772" s="2">
        <f>YEAR(Raw_Data!$A2772)</f>
        <v>2001</v>
      </c>
      <c r="D2772" s="2" t="s">
        <v>889</v>
      </c>
      <c r="E2772" s="2" t="s">
        <v>29</v>
      </c>
      <c r="F2772" s="2" t="s">
        <v>18</v>
      </c>
      <c r="G2772" s="2"/>
      <c r="H2772" s="2">
        <v>2196</v>
      </c>
      <c r="I2772" s="10">
        <v>461114</v>
      </c>
      <c r="J2772" s="10">
        <f>Raw_Data!$I2772/Raw_Data!$H2772</f>
        <v>209.97905282331513</v>
      </c>
    </row>
    <row r="2773" spans="1:10" x14ac:dyDescent="0.3">
      <c r="A2773" s="8">
        <v>39762</v>
      </c>
      <c r="B2773" t="str">
        <f>TEXT(Raw_Data!$A2773, "MMM")</f>
        <v>Nov</v>
      </c>
      <c r="C2773">
        <f>YEAR(Raw_Data!$A2773)</f>
        <v>2008</v>
      </c>
      <c r="D2773" t="s">
        <v>831</v>
      </c>
      <c r="E2773" t="s">
        <v>32</v>
      </c>
      <c r="F2773" t="s">
        <v>27</v>
      </c>
      <c r="H2773">
        <v>878</v>
      </c>
      <c r="I2773" s="1">
        <v>803613</v>
      </c>
      <c r="J2773" s="1">
        <f>Raw_Data!$I2773/Raw_Data!$H2773</f>
        <v>915.27676537585421</v>
      </c>
    </row>
    <row r="2774" spans="1:10" x14ac:dyDescent="0.3">
      <c r="A2774" s="9">
        <v>39484</v>
      </c>
      <c r="B2774" s="2" t="str">
        <f>TEXT(Raw_Data!$A2774, "MMM")</f>
        <v>Feb</v>
      </c>
      <c r="C2774" s="2">
        <f>YEAR(Raw_Data!$A2774)</f>
        <v>2008</v>
      </c>
      <c r="D2774" s="2" t="s">
        <v>2078</v>
      </c>
      <c r="E2774" s="2" t="s">
        <v>15</v>
      </c>
      <c r="F2774" s="2" t="s">
        <v>18</v>
      </c>
      <c r="G2774" s="2">
        <v>3</v>
      </c>
      <c r="H2774" s="2">
        <v>1865</v>
      </c>
      <c r="I2774" s="10">
        <v>111460</v>
      </c>
      <c r="J2774" s="10">
        <f>Raw_Data!$I2774/Raw_Data!$H2774</f>
        <v>59.76407506702413</v>
      </c>
    </row>
    <row r="2775" spans="1:10" x14ac:dyDescent="0.3">
      <c r="A2775" s="8">
        <v>39180</v>
      </c>
      <c r="B2775" t="str">
        <f>TEXT(Raw_Data!$A2775, "MMM")</f>
        <v>Apr</v>
      </c>
      <c r="C2775">
        <f>YEAR(Raw_Data!$A2775)</f>
        <v>2007</v>
      </c>
      <c r="D2775" t="s">
        <v>538</v>
      </c>
      <c r="E2775" t="s">
        <v>15</v>
      </c>
      <c r="F2775" t="s">
        <v>18</v>
      </c>
      <c r="H2775">
        <v>3355</v>
      </c>
      <c r="I2775" s="1">
        <v>164752</v>
      </c>
      <c r="J2775" s="1">
        <f>Raw_Data!$I2775/Raw_Data!$H2775</f>
        <v>49.106408345752605</v>
      </c>
    </row>
    <row r="2776" spans="1:10" x14ac:dyDescent="0.3">
      <c r="A2776" s="9">
        <v>43908</v>
      </c>
      <c r="B2776" s="2" t="str">
        <f>TEXT(Raw_Data!$A2776, "MMM")</f>
        <v>Mar</v>
      </c>
      <c r="C2776" s="2">
        <f>YEAR(Raw_Data!$A2776)</f>
        <v>2020</v>
      </c>
      <c r="D2776" s="2" t="s">
        <v>195</v>
      </c>
      <c r="E2776" s="2" t="s">
        <v>15</v>
      </c>
      <c r="F2776" s="2" t="s">
        <v>18</v>
      </c>
      <c r="G2776" s="2">
        <v>5</v>
      </c>
      <c r="H2776" s="2">
        <v>3314</v>
      </c>
      <c r="I2776" s="10">
        <v>433797</v>
      </c>
      <c r="J2776" s="10">
        <f>Raw_Data!$I2776/Raw_Data!$H2776</f>
        <v>130.89831019915511</v>
      </c>
    </row>
    <row r="2777" spans="1:10" x14ac:dyDescent="0.3">
      <c r="A2777" s="8">
        <v>44033</v>
      </c>
      <c r="B2777" t="str">
        <f>TEXT(Raw_Data!$A2777, "MMM")</f>
        <v>Jul</v>
      </c>
      <c r="C2777">
        <f>YEAR(Raw_Data!$A2777)</f>
        <v>2020</v>
      </c>
      <c r="D2777" t="s">
        <v>396</v>
      </c>
      <c r="E2777" t="s">
        <v>32</v>
      </c>
      <c r="F2777" t="s">
        <v>11</v>
      </c>
      <c r="G2777">
        <v>4</v>
      </c>
      <c r="H2777">
        <v>1131</v>
      </c>
      <c r="I2777" s="1">
        <v>470890</v>
      </c>
      <c r="J2777" s="1">
        <f>Raw_Data!$I2777/Raw_Data!$H2777</f>
        <v>416.34836427939877</v>
      </c>
    </row>
    <row r="2778" spans="1:10" x14ac:dyDescent="0.3">
      <c r="A2778" s="9">
        <v>41158</v>
      </c>
      <c r="B2778" s="2" t="str">
        <f>TEXT(Raw_Data!$A2778, "MMM")</f>
        <v>Sep</v>
      </c>
      <c r="C2778" s="2">
        <f>YEAR(Raw_Data!$A2778)</f>
        <v>2012</v>
      </c>
      <c r="D2778" s="2" t="s">
        <v>1680</v>
      </c>
      <c r="E2778" s="2" t="s">
        <v>32</v>
      </c>
      <c r="F2778" s="2" t="s">
        <v>18</v>
      </c>
      <c r="G2778" s="2"/>
      <c r="H2778" s="2">
        <v>3266</v>
      </c>
      <c r="I2778" s="10">
        <v>271328</v>
      </c>
      <c r="J2778" s="10">
        <f>Raw_Data!$I2778/Raw_Data!$H2778</f>
        <v>83.076546233925285</v>
      </c>
    </row>
    <row r="2779" spans="1:10" x14ac:dyDescent="0.3">
      <c r="A2779" s="8">
        <v>41982</v>
      </c>
      <c r="B2779" t="str">
        <f>TEXT(Raw_Data!$A2779, "MMM")</f>
        <v>Dec</v>
      </c>
      <c r="C2779">
        <f>YEAR(Raw_Data!$A2779)</f>
        <v>2014</v>
      </c>
      <c r="D2779" t="s">
        <v>2079</v>
      </c>
      <c r="E2779" t="s">
        <v>32</v>
      </c>
      <c r="F2779" t="s">
        <v>27</v>
      </c>
      <c r="G2779">
        <v>3</v>
      </c>
      <c r="H2779">
        <v>1526</v>
      </c>
      <c r="I2779" s="1">
        <v>178343</v>
      </c>
      <c r="J2779" s="1">
        <f>Raw_Data!$I2779/Raw_Data!$H2779</f>
        <v>116.86959370904324</v>
      </c>
    </row>
    <row r="2780" spans="1:10" x14ac:dyDescent="0.3">
      <c r="A2780" s="9">
        <v>38215</v>
      </c>
      <c r="B2780" s="2" t="str">
        <f>TEXT(Raw_Data!$A2780, "MMM")</f>
        <v>Aug</v>
      </c>
      <c r="C2780" s="2">
        <f>YEAR(Raw_Data!$A2780)</f>
        <v>2004</v>
      </c>
      <c r="D2780" s="2" t="s">
        <v>2080</v>
      </c>
      <c r="E2780" s="2" t="s">
        <v>32</v>
      </c>
      <c r="F2780" s="2" t="s">
        <v>27</v>
      </c>
      <c r="G2780" s="2">
        <v>5</v>
      </c>
      <c r="H2780" s="2">
        <v>1519</v>
      </c>
      <c r="I2780" s="10">
        <v>626179</v>
      </c>
      <c r="J2780" s="10">
        <f>Raw_Data!$I2780/Raw_Data!$H2780</f>
        <v>412.23107307439102</v>
      </c>
    </row>
    <row r="2781" spans="1:10" x14ac:dyDescent="0.3">
      <c r="A2781" s="8">
        <v>42688</v>
      </c>
      <c r="B2781" t="str">
        <f>TEXT(Raw_Data!$A2781, "MMM")</f>
        <v>Nov</v>
      </c>
      <c r="C2781">
        <f>YEAR(Raw_Data!$A2781)</f>
        <v>2016</v>
      </c>
      <c r="D2781" t="s">
        <v>479</v>
      </c>
      <c r="E2781" t="s">
        <v>21</v>
      </c>
      <c r="F2781" t="s">
        <v>16</v>
      </c>
      <c r="G2781">
        <v>5</v>
      </c>
      <c r="H2781">
        <v>3074</v>
      </c>
      <c r="I2781" s="1">
        <v>297940</v>
      </c>
      <c r="J2781" s="1">
        <f>Raw_Data!$I2781/Raw_Data!$H2781</f>
        <v>96.922576447625246</v>
      </c>
    </row>
    <row r="2782" spans="1:10" x14ac:dyDescent="0.3">
      <c r="A2782" s="9">
        <v>44067</v>
      </c>
      <c r="B2782" s="2" t="str">
        <f>TEXT(Raw_Data!$A2782, "MMM")</f>
        <v>Aug</v>
      </c>
      <c r="C2782" s="2">
        <f>YEAR(Raw_Data!$A2782)</f>
        <v>2020</v>
      </c>
      <c r="D2782" s="2" t="s">
        <v>1280</v>
      </c>
      <c r="E2782" s="2" t="s">
        <v>25</v>
      </c>
      <c r="F2782" s="2" t="s">
        <v>27</v>
      </c>
      <c r="G2782" s="2"/>
      <c r="H2782" s="2">
        <v>2662</v>
      </c>
      <c r="I2782" s="10">
        <v>342066</v>
      </c>
      <c r="J2782" s="10">
        <f>Raw_Data!$I2782/Raw_Data!$H2782</f>
        <v>128.49962434259956</v>
      </c>
    </row>
    <row r="2783" spans="1:10" x14ac:dyDescent="0.3">
      <c r="A2783" s="8">
        <v>43974</v>
      </c>
      <c r="B2783" t="str">
        <f>TEXT(Raw_Data!$A2783, "MMM")</f>
        <v>May</v>
      </c>
      <c r="C2783">
        <f>YEAR(Raw_Data!$A2783)</f>
        <v>2020</v>
      </c>
      <c r="D2783" t="s">
        <v>562</v>
      </c>
      <c r="E2783" t="s">
        <v>29</v>
      </c>
      <c r="F2783" t="s">
        <v>27</v>
      </c>
      <c r="G2783">
        <v>5</v>
      </c>
      <c r="H2783">
        <v>3498</v>
      </c>
      <c r="I2783" s="1">
        <v>622851</v>
      </c>
      <c r="J2783" s="1">
        <f>Raw_Data!$I2783/Raw_Data!$H2783</f>
        <v>178.05917667238421</v>
      </c>
    </row>
    <row r="2784" spans="1:10" x14ac:dyDescent="0.3">
      <c r="A2784" s="9">
        <v>38539</v>
      </c>
      <c r="B2784" s="2" t="str">
        <f>TEXT(Raw_Data!$A2784, "MMM")</f>
        <v>Jul</v>
      </c>
      <c r="C2784" s="2">
        <f>YEAR(Raw_Data!$A2784)</f>
        <v>2005</v>
      </c>
      <c r="D2784" s="2" t="s">
        <v>142</v>
      </c>
      <c r="E2784" s="2" t="s">
        <v>13</v>
      </c>
      <c r="F2784" s="2" t="s">
        <v>27</v>
      </c>
      <c r="G2784" s="2"/>
      <c r="H2784" s="2">
        <v>3122</v>
      </c>
      <c r="I2784" s="10">
        <v>202191</v>
      </c>
      <c r="J2784" s="10">
        <f>Raw_Data!$I2784/Raw_Data!$H2784</f>
        <v>64.763292761050607</v>
      </c>
    </row>
    <row r="2785" spans="1:10" x14ac:dyDescent="0.3">
      <c r="A2785" s="8">
        <v>37913</v>
      </c>
      <c r="B2785" t="str">
        <f>TEXT(Raw_Data!$A2785, "MMM")</f>
        <v>Oct</v>
      </c>
      <c r="C2785">
        <f>YEAR(Raw_Data!$A2785)</f>
        <v>2003</v>
      </c>
      <c r="D2785" t="s">
        <v>2081</v>
      </c>
      <c r="E2785" t="s">
        <v>15</v>
      </c>
      <c r="F2785" t="s">
        <v>16</v>
      </c>
      <c r="G2785">
        <v>2</v>
      </c>
      <c r="H2785">
        <v>2106</v>
      </c>
      <c r="I2785" s="1">
        <v>634742</v>
      </c>
      <c r="J2785" s="1">
        <f>Raw_Data!$I2785/Raw_Data!$H2785</f>
        <v>301.39696106362771</v>
      </c>
    </row>
    <row r="2786" spans="1:10" x14ac:dyDescent="0.3">
      <c r="A2786" s="9">
        <v>43468</v>
      </c>
      <c r="B2786" s="2" t="str">
        <f>TEXT(Raw_Data!$A2786, "MMM")</f>
        <v>Jan</v>
      </c>
      <c r="C2786" s="2">
        <f>YEAR(Raw_Data!$A2786)</f>
        <v>2019</v>
      </c>
      <c r="D2786" s="2" t="s">
        <v>2082</v>
      </c>
      <c r="E2786" s="2" t="s">
        <v>25</v>
      </c>
      <c r="F2786" s="2" t="s">
        <v>16</v>
      </c>
      <c r="G2786" s="2">
        <v>4</v>
      </c>
      <c r="H2786" s="2">
        <v>2820</v>
      </c>
      <c r="I2786" s="10">
        <v>534748</v>
      </c>
      <c r="J2786" s="10">
        <f>Raw_Data!$I2786/Raw_Data!$H2786</f>
        <v>189.62695035460993</v>
      </c>
    </row>
    <row r="2787" spans="1:10" x14ac:dyDescent="0.3">
      <c r="A2787" s="8">
        <v>38616</v>
      </c>
      <c r="B2787" t="str">
        <f>TEXT(Raw_Data!$A2787, "MMM")</f>
        <v>Sep</v>
      </c>
      <c r="C2787">
        <f>YEAR(Raw_Data!$A2787)</f>
        <v>2005</v>
      </c>
      <c r="D2787" t="s">
        <v>964</v>
      </c>
      <c r="E2787" t="s">
        <v>32</v>
      </c>
      <c r="F2787" t="s">
        <v>11</v>
      </c>
      <c r="G2787">
        <v>5</v>
      </c>
      <c r="H2787">
        <v>1830</v>
      </c>
      <c r="I2787" s="1">
        <v>771072</v>
      </c>
      <c r="J2787" s="1">
        <f>Raw_Data!$I2787/Raw_Data!$H2787</f>
        <v>421.35081967213114</v>
      </c>
    </row>
    <row r="2788" spans="1:10" x14ac:dyDescent="0.3">
      <c r="A2788" s="9">
        <v>38986</v>
      </c>
      <c r="B2788" s="2" t="str">
        <f>TEXT(Raw_Data!$A2788, "MMM")</f>
        <v>Sep</v>
      </c>
      <c r="C2788" s="2">
        <f>YEAR(Raw_Data!$A2788)</f>
        <v>2006</v>
      </c>
      <c r="D2788" s="2" t="s">
        <v>496</v>
      </c>
      <c r="E2788" s="2" t="s">
        <v>21</v>
      </c>
      <c r="F2788" s="2" t="s">
        <v>18</v>
      </c>
      <c r="G2788" s="2">
        <v>2</v>
      </c>
      <c r="H2788" s="2">
        <v>1218</v>
      </c>
      <c r="I2788" s="10">
        <v>485722</v>
      </c>
      <c r="J2788" s="10">
        <f>Raw_Data!$I2788/Raw_Data!$H2788</f>
        <v>398.7865353037767</v>
      </c>
    </row>
    <row r="2789" spans="1:10" x14ac:dyDescent="0.3">
      <c r="A2789" s="8">
        <v>38019</v>
      </c>
      <c r="B2789" t="str">
        <f>TEXT(Raw_Data!$A2789, "MMM")</f>
        <v>Feb</v>
      </c>
      <c r="C2789">
        <f>YEAR(Raw_Data!$A2789)</f>
        <v>2004</v>
      </c>
      <c r="D2789" t="s">
        <v>2083</v>
      </c>
      <c r="E2789" t="s">
        <v>15</v>
      </c>
      <c r="F2789" t="s">
        <v>16</v>
      </c>
      <c r="G2789">
        <v>2</v>
      </c>
      <c r="H2789">
        <v>1927</v>
      </c>
      <c r="I2789" s="1">
        <v>488925</v>
      </c>
      <c r="J2789" s="1">
        <f>Raw_Data!$I2789/Raw_Data!$H2789</f>
        <v>253.72340425531914</v>
      </c>
    </row>
    <row r="2790" spans="1:10" x14ac:dyDescent="0.3">
      <c r="A2790" s="9">
        <v>40353</v>
      </c>
      <c r="B2790" s="2" t="str">
        <f>TEXT(Raw_Data!$A2790, "MMM")</f>
        <v>Jun</v>
      </c>
      <c r="C2790" s="2">
        <f>YEAR(Raw_Data!$A2790)</f>
        <v>2010</v>
      </c>
      <c r="D2790" s="2" t="s">
        <v>419</v>
      </c>
      <c r="E2790" s="2" t="s">
        <v>25</v>
      </c>
      <c r="F2790" s="2" t="s">
        <v>11</v>
      </c>
      <c r="G2790" s="2">
        <v>3</v>
      </c>
      <c r="H2790" s="2">
        <v>850</v>
      </c>
      <c r="I2790" s="10">
        <v>837506</v>
      </c>
      <c r="J2790" s="10">
        <f>Raw_Data!$I2790/Raw_Data!$H2790</f>
        <v>985.30117647058819</v>
      </c>
    </row>
    <row r="2791" spans="1:10" x14ac:dyDescent="0.3">
      <c r="A2791" s="8">
        <v>40046</v>
      </c>
      <c r="B2791" t="str">
        <f>TEXT(Raw_Data!$A2791, "MMM")</f>
        <v>Aug</v>
      </c>
      <c r="C2791">
        <f>YEAR(Raw_Data!$A2791)</f>
        <v>2009</v>
      </c>
      <c r="D2791" t="s">
        <v>2084</v>
      </c>
      <c r="E2791" t="s">
        <v>15</v>
      </c>
      <c r="F2791" t="s">
        <v>16</v>
      </c>
      <c r="H2791">
        <v>3182</v>
      </c>
      <c r="I2791" s="1">
        <v>145298</v>
      </c>
      <c r="J2791" s="1">
        <f>Raw_Data!$I2791/Raw_Data!$H2791</f>
        <v>45.662476429918293</v>
      </c>
    </row>
    <row r="2792" spans="1:10" x14ac:dyDescent="0.3">
      <c r="A2792" s="9">
        <v>39356</v>
      </c>
      <c r="B2792" s="2" t="str">
        <f>TEXT(Raw_Data!$A2792, "MMM")</f>
        <v>Oct</v>
      </c>
      <c r="C2792" s="2">
        <f>YEAR(Raw_Data!$A2792)</f>
        <v>2007</v>
      </c>
      <c r="D2792" s="2" t="s">
        <v>2085</v>
      </c>
      <c r="E2792" s="2" t="s">
        <v>32</v>
      </c>
      <c r="F2792" s="2" t="s">
        <v>18</v>
      </c>
      <c r="G2792" s="2">
        <v>4</v>
      </c>
      <c r="H2792" s="2">
        <v>2165</v>
      </c>
      <c r="I2792" s="10">
        <v>587902</v>
      </c>
      <c r="J2792" s="10">
        <f>Raw_Data!$I2792/Raw_Data!$H2792</f>
        <v>271.54826789838336</v>
      </c>
    </row>
    <row r="2793" spans="1:10" x14ac:dyDescent="0.3">
      <c r="A2793" s="8">
        <v>40049</v>
      </c>
      <c r="B2793" t="str">
        <f>TEXT(Raw_Data!$A2793, "MMM")</f>
        <v>Aug</v>
      </c>
      <c r="C2793">
        <f>YEAR(Raw_Data!$A2793)</f>
        <v>2009</v>
      </c>
      <c r="D2793" t="s">
        <v>1230</v>
      </c>
      <c r="E2793" t="s">
        <v>13</v>
      </c>
      <c r="F2793" t="s">
        <v>11</v>
      </c>
      <c r="G2793">
        <v>4</v>
      </c>
      <c r="H2793">
        <v>3278</v>
      </c>
      <c r="I2793" s="1">
        <v>525467</v>
      </c>
      <c r="J2793" s="1">
        <f>Raw_Data!$I2793/Raw_Data!$H2793</f>
        <v>160.30109823062844</v>
      </c>
    </row>
    <row r="2794" spans="1:10" x14ac:dyDescent="0.3">
      <c r="A2794" s="9">
        <v>41302</v>
      </c>
      <c r="B2794" s="2" t="str">
        <f>TEXT(Raw_Data!$A2794, "MMM")</f>
        <v>Jan</v>
      </c>
      <c r="C2794" s="2">
        <f>YEAR(Raw_Data!$A2794)</f>
        <v>2013</v>
      </c>
      <c r="D2794" s="2" t="s">
        <v>2086</v>
      </c>
      <c r="E2794" s="2" t="s">
        <v>32</v>
      </c>
      <c r="F2794" s="2" t="s">
        <v>27</v>
      </c>
      <c r="G2794" s="2">
        <v>4</v>
      </c>
      <c r="H2794" s="2">
        <v>1564</v>
      </c>
      <c r="I2794" s="10">
        <v>509217</v>
      </c>
      <c r="J2794" s="10">
        <f>Raw_Data!$I2794/Raw_Data!$H2794</f>
        <v>325.58631713554985</v>
      </c>
    </row>
    <row r="2795" spans="1:10" x14ac:dyDescent="0.3">
      <c r="A2795" s="8">
        <v>39935</v>
      </c>
      <c r="B2795" t="str">
        <f>TEXT(Raw_Data!$A2795, "MMM")</f>
        <v>May</v>
      </c>
      <c r="C2795">
        <f>YEAR(Raw_Data!$A2795)</f>
        <v>2009</v>
      </c>
      <c r="D2795" t="s">
        <v>2087</v>
      </c>
      <c r="E2795" t="s">
        <v>25</v>
      </c>
      <c r="F2795" t="s">
        <v>11</v>
      </c>
      <c r="H2795">
        <v>3008</v>
      </c>
      <c r="I2795" s="1">
        <v>562065</v>
      </c>
      <c r="J2795" s="1">
        <f>Raw_Data!$I2795/Raw_Data!$H2795</f>
        <v>186.85671542553192</v>
      </c>
    </row>
    <row r="2796" spans="1:10" x14ac:dyDescent="0.3">
      <c r="A2796" s="9">
        <v>42893</v>
      </c>
      <c r="B2796" s="2" t="str">
        <f>TEXT(Raw_Data!$A2796, "MMM")</f>
        <v>Jun</v>
      </c>
      <c r="C2796" s="2">
        <f>YEAR(Raw_Data!$A2796)</f>
        <v>2017</v>
      </c>
      <c r="D2796" s="2" t="s">
        <v>287</v>
      </c>
      <c r="E2796" s="2" t="s">
        <v>25</v>
      </c>
      <c r="F2796" s="2" t="s">
        <v>11</v>
      </c>
      <c r="G2796" s="2">
        <v>4</v>
      </c>
      <c r="H2796" s="2">
        <v>870</v>
      </c>
      <c r="I2796" s="10">
        <v>689890</v>
      </c>
      <c r="J2796" s="10">
        <f>Raw_Data!$I2796/Raw_Data!$H2796</f>
        <v>792.97701149425291</v>
      </c>
    </row>
    <row r="2797" spans="1:10" x14ac:dyDescent="0.3">
      <c r="A2797" s="8">
        <v>40018</v>
      </c>
      <c r="B2797" t="str">
        <f>TEXT(Raw_Data!$A2797, "MMM")</f>
        <v>Jul</v>
      </c>
      <c r="C2797">
        <f>YEAR(Raw_Data!$A2797)</f>
        <v>2009</v>
      </c>
      <c r="D2797" t="s">
        <v>2088</v>
      </c>
      <c r="E2797" t="s">
        <v>13</v>
      </c>
      <c r="F2797" t="s">
        <v>18</v>
      </c>
      <c r="G2797">
        <v>5</v>
      </c>
      <c r="H2797">
        <v>3207</v>
      </c>
      <c r="I2797" s="1">
        <v>663742</v>
      </c>
      <c r="J2797" s="1">
        <f>Raw_Data!$I2797/Raw_Data!$H2797</f>
        <v>206.96663548487683</v>
      </c>
    </row>
    <row r="2798" spans="1:10" x14ac:dyDescent="0.3">
      <c r="A2798" s="9">
        <v>42802</v>
      </c>
      <c r="B2798" s="2" t="str">
        <f>TEXT(Raw_Data!$A2798, "MMM")</f>
        <v>Mar</v>
      </c>
      <c r="C2798" s="2">
        <f>YEAR(Raw_Data!$A2798)</f>
        <v>2017</v>
      </c>
      <c r="D2798" s="2" t="s">
        <v>2089</v>
      </c>
      <c r="E2798" s="2" t="s">
        <v>32</v>
      </c>
      <c r="F2798" s="2" t="s">
        <v>11</v>
      </c>
      <c r="G2798" s="2"/>
      <c r="H2798" s="2">
        <v>3249</v>
      </c>
      <c r="I2798" s="10">
        <v>336614</v>
      </c>
      <c r="J2798" s="10">
        <f>Raw_Data!$I2798/Raw_Data!$H2798</f>
        <v>103.60541705140044</v>
      </c>
    </row>
    <row r="2799" spans="1:10" x14ac:dyDescent="0.3">
      <c r="A2799" s="8">
        <v>39017</v>
      </c>
      <c r="B2799" t="str">
        <f>TEXT(Raw_Data!$A2799, "MMM")</f>
        <v>Oct</v>
      </c>
      <c r="C2799">
        <f>YEAR(Raw_Data!$A2799)</f>
        <v>2006</v>
      </c>
      <c r="D2799" t="s">
        <v>2090</v>
      </c>
      <c r="E2799" t="s">
        <v>15</v>
      </c>
      <c r="F2799" t="s">
        <v>11</v>
      </c>
      <c r="G2799">
        <v>2</v>
      </c>
      <c r="H2799">
        <v>1672</v>
      </c>
      <c r="I2799" s="1">
        <v>735101</v>
      </c>
      <c r="J2799" s="1">
        <f>Raw_Data!$I2799/Raw_Data!$H2799</f>
        <v>439.65370813397129</v>
      </c>
    </row>
    <row r="2800" spans="1:10" x14ac:dyDescent="0.3">
      <c r="A2800" s="9">
        <v>43886</v>
      </c>
      <c r="B2800" s="2" t="str">
        <f>TEXT(Raw_Data!$A2800, "MMM")</f>
        <v>Feb</v>
      </c>
      <c r="C2800" s="2">
        <f>YEAR(Raw_Data!$A2800)</f>
        <v>2020</v>
      </c>
      <c r="D2800" s="2" t="s">
        <v>2091</v>
      </c>
      <c r="E2800" s="2" t="s">
        <v>25</v>
      </c>
      <c r="F2800" s="2" t="s">
        <v>18</v>
      </c>
      <c r="G2800" s="2">
        <v>5</v>
      </c>
      <c r="H2800" s="2">
        <v>3084</v>
      </c>
      <c r="I2800" s="10">
        <v>699613</v>
      </c>
      <c r="J2800" s="10">
        <f>Raw_Data!$I2800/Raw_Data!$H2800</f>
        <v>226.85246433203631</v>
      </c>
    </row>
    <row r="2801" spans="1:10" x14ac:dyDescent="0.3">
      <c r="A2801" s="8">
        <v>37828</v>
      </c>
      <c r="B2801" t="str">
        <f>TEXT(Raw_Data!$A2801, "MMM")</f>
        <v>Jul</v>
      </c>
      <c r="C2801">
        <f>YEAR(Raw_Data!$A2801)</f>
        <v>2003</v>
      </c>
      <c r="D2801" t="s">
        <v>2092</v>
      </c>
      <c r="E2801" t="s">
        <v>13</v>
      </c>
      <c r="F2801" t="s">
        <v>18</v>
      </c>
      <c r="G2801">
        <v>5</v>
      </c>
      <c r="H2801">
        <v>2963</v>
      </c>
      <c r="I2801" s="1">
        <v>690395</v>
      </c>
      <c r="J2801" s="1">
        <f>Raw_Data!$I2801/Raw_Data!$H2801</f>
        <v>233.00539993250084</v>
      </c>
    </row>
    <row r="2802" spans="1:10" x14ac:dyDescent="0.3">
      <c r="A2802" s="9">
        <v>41229</v>
      </c>
      <c r="B2802" s="2" t="str">
        <f>TEXT(Raw_Data!$A2802, "MMM")</f>
        <v>Nov</v>
      </c>
      <c r="C2802" s="2">
        <f>YEAR(Raw_Data!$A2802)</f>
        <v>2012</v>
      </c>
      <c r="D2802" s="2" t="s">
        <v>2093</v>
      </c>
      <c r="E2802" s="2" t="s">
        <v>13</v>
      </c>
      <c r="F2802" s="2" t="s">
        <v>11</v>
      </c>
      <c r="G2802" s="2">
        <v>4</v>
      </c>
      <c r="H2802" s="2">
        <v>2460</v>
      </c>
      <c r="I2802" s="10">
        <v>441848</v>
      </c>
      <c r="J2802" s="10">
        <f>Raw_Data!$I2802/Raw_Data!$H2802</f>
        <v>179.61300813008131</v>
      </c>
    </row>
    <row r="2803" spans="1:10" x14ac:dyDescent="0.3">
      <c r="A2803" s="8">
        <v>37728</v>
      </c>
      <c r="B2803" t="str">
        <f>TEXT(Raw_Data!$A2803, "MMM")</f>
        <v>Apr</v>
      </c>
      <c r="C2803">
        <f>YEAR(Raw_Data!$A2803)</f>
        <v>2003</v>
      </c>
      <c r="D2803" t="s">
        <v>2094</v>
      </c>
      <c r="E2803" t="s">
        <v>15</v>
      </c>
      <c r="F2803" t="s">
        <v>27</v>
      </c>
      <c r="G2803">
        <v>4</v>
      </c>
      <c r="H2803">
        <v>2463</v>
      </c>
      <c r="I2803" s="1">
        <v>551659</v>
      </c>
      <c r="J2803" s="1">
        <f>Raw_Data!$I2803/Raw_Data!$H2803</f>
        <v>223.97848152659358</v>
      </c>
    </row>
    <row r="2804" spans="1:10" x14ac:dyDescent="0.3">
      <c r="A2804" s="9">
        <v>39712</v>
      </c>
      <c r="B2804" s="2" t="str">
        <f>TEXT(Raw_Data!$A2804, "MMM")</f>
        <v>Sep</v>
      </c>
      <c r="C2804" s="2">
        <f>YEAR(Raw_Data!$A2804)</f>
        <v>2008</v>
      </c>
      <c r="D2804" s="2" t="s">
        <v>2095</v>
      </c>
      <c r="E2804" s="2" t="s">
        <v>25</v>
      </c>
      <c r="F2804" s="2" t="s">
        <v>16</v>
      </c>
      <c r="G2804" s="2">
        <v>3</v>
      </c>
      <c r="H2804" s="2">
        <v>2649</v>
      </c>
      <c r="I2804" s="10">
        <v>318495</v>
      </c>
      <c r="J2804" s="10">
        <f>Raw_Data!$I2804/Raw_Data!$H2804</f>
        <v>120.2321630804077</v>
      </c>
    </row>
    <row r="2805" spans="1:10" x14ac:dyDescent="0.3">
      <c r="A2805" s="8">
        <v>39360</v>
      </c>
      <c r="B2805" t="str">
        <f>TEXT(Raw_Data!$A2805, "MMM")</f>
        <v>Oct</v>
      </c>
      <c r="C2805">
        <f>YEAR(Raw_Data!$A2805)</f>
        <v>2007</v>
      </c>
      <c r="D2805" t="s">
        <v>2096</v>
      </c>
      <c r="E2805" t="s">
        <v>32</v>
      </c>
      <c r="F2805" t="s">
        <v>16</v>
      </c>
      <c r="G2805">
        <v>3</v>
      </c>
      <c r="H2805">
        <v>1110</v>
      </c>
      <c r="I2805" s="1">
        <v>131979</v>
      </c>
      <c r="J2805" s="1">
        <f>Raw_Data!$I2805/Raw_Data!$H2805</f>
        <v>118.9</v>
      </c>
    </row>
    <row r="2806" spans="1:10" x14ac:dyDescent="0.3">
      <c r="A2806" s="9">
        <v>41535</v>
      </c>
      <c r="B2806" s="2" t="str">
        <f>TEXT(Raw_Data!$A2806, "MMM")</f>
        <v>Sep</v>
      </c>
      <c r="C2806" s="2">
        <f>YEAR(Raw_Data!$A2806)</f>
        <v>2013</v>
      </c>
      <c r="D2806" s="2" t="s">
        <v>2097</v>
      </c>
      <c r="E2806" s="2" t="s">
        <v>15</v>
      </c>
      <c r="F2806" s="2" t="s">
        <v>18</v>
      </c>
      <c r="G2806" s="2">
        <v>2</v>
      </c>
      <c r="H2806" s="2">
        <v>3201</v>
      </c>
      <c r="I2806" s="10">
        <v>544585</v>
      </c>
      <c r="J2806" s="10">
        <f>Raw_Data!$I2806/Raw_Data!$H2806</f>
        <v>170.12964698531709</v>
      </c>
    </row>
    <row r="2807" spans="1:10" x14ac:dyDescent="0.3">
      <c r="A2807" s="8">
        <v>37005</v>
      </c>
      <c r="B2807" t="str">
        <f>TEXT(Raw_Data!$A2807, "MMM")</f>
        <v>Apr</v>
      </c>
      <c r="C2807">
        <f>YEAR(Raw_Data!$A2807)</f>
        <v>2001</v>
      </c>
      <c r="D2807" t="s">
        <v>2098</v>
      </c>
      <c r="E2807" t="s">
        <v>25</v>
      </c>
      <c r="F2807" t="s">
        <v>11</v>
      </c>
      <c r="G2807">
        <v>4</v>
      </c>
      <c r="H2807">
        <v>1149</v>
      </c>
      <c r="I2807" s="1">
        <v>617136</v>
      </c>
      <c r="J2807" s="1">
        <f>Raw_Data!$I2807/Raw_Data!$H2807</f>
        <v>537.10704960835506</v>
      </c>
    </row>
    <row r="2808" spans="1:10" x14ac:dyDescent="0.3">
      <c r="A2808" s="9">
        <v>41334</v>
      </c>
      <c r="B2808" s="2" t="str">
        <f>TEXT(Raw_Data!$A2808, "MMM")</f>
        <v>Mar</v>
      </c>
      <c r="C2808" s="2">
        <f>YEAR(Raw_Data!$A2808)</f>
        <v>2013</v>
      </c>
      <c r="D2808" s="2" t="s">
        <v>1573</v>
      </c>
      <c r="E2808" s="2" t="s">
        <v>25</v>
      </c>
      <c r="F2808" s="2" t="s">
        <v>11</v>
      </c>
      <c r="G2808" s="2">
        <v>5</v>
      </c>
      <c r="H2808" s="2">
        <v>1854</v>
      </c>
      <c r="I2808" s="10">
        <v>110990</v>
      </c>
      <c r="J2808" s="10">
        <f>Raw_Data!$I2808/Raw_Data!$H2808</f>
        <v>59.865156418554477</v>
      </c>
    </row>
    <row r="2809" spans="1:10" x14ac:dyDescent="0.3">
      <c r="A2809" s="8">
        <v>38706</v>
      </c>
      <c r="B2809" t="str">
        <f>TEXT(Raw_Data!$A2809, "MMM")</f>
        <v>Dec</v>
      </c>
      <c r="C2809">
        <f>YEAR(Raw_Data!$A2809)</f>
        <v>2005</v>
      </c>
      <c r="D2809" t="s">
        <v>2099</v>
      </c>
      <c r="E2809" t="s">
        <v>23</v>
      </c>
      <c r="F2809" t="s">
        <v>16</v>
      </c>
      <c r="H2809">
        <v>1479</v>
      </c>
      <c r="I2809" s="1">
        <v>301702</v>
      </c>
      <c r="J2809" s="1">
        <f>Raw_Data!$I2809/Raw_Data!$H2809</f>
        <v>203.99053414469236</v>
      </c>
    </row>
    <row r="2810" spans="1:10" x14ac:dyDescent="0.3">
      <c r="A2810" s="9">
        <v>42471</v>
      </c>
      <c r="B2810" s="2" t="str">
        <f>TEXT(Raw_Data!$A2810, "MMM")</f>
        <v>Apr</v>
      </c>
      <c r="C2810" s="2">
        <f>YEAR(Raw_Data!$A2810)</f>
        <v>2016</v>
      </c>
      <c r="D2810" s="2" t="s">
        <v>2100</v>
      </c>
      <c r="E2810" s="2" t="s">
        <v>25</v>
      </c>
      <c r="F2810" s="2" t="s">
        <v>16</v>
      </c>
      <c r="G2810" s="2">
        <v>5</v>
      </c>
      <c r="H2810" s="2">
        <v>983</v>
      </c>
      <c r="I2810" s="10">
        <v>776106</v>
      </c>
      <c r="J2810" s="10">
        <f>Raw_Data!$I2810/Raw_Data!$H2810</f>
        <v>789.5279755849441</v>
      </c>
    </row>
    <row r="2811" spans="1:10" x14ac:dyDescent="0.3">
      <c r="A2811" s="8">
        <v>37858</v>
      </c>
      <c r="B2811" t="str">
        <f>TEXT(Raw_Data!$A2811, "MMM")</f>
        <v>Aug</v>
      </c>
      <c r="C2811">
        <f>YEAR(Raw_Data!$A2811)</f>
        <v>2003</v>
      </c>
      <c r="D2811" t="s">
        <v>2101</v>
      </c>
      <c r="E2811" t="s">
        <v>15</v>
      </c>
      <c r="F2811" t="s">
        <v>27</v>
      </c>
      <c r="G2811">
        <v>4</v>
      </c>
      <c r="H2811">
        <v>1270</v>
      </c>
      <c r="I2811" s="1">
        <v>440422</v>
      </c>
      <c r="J2811" s="1">
        <f>Raw_Data!$I2811/Raw_Data!$H2811</f>
        <v>346.78897637795274</v>
      </c>
    </row>
    <row r="2812" spans="1:10" x14ac:dyDescent="0.3">
      <c r="A2812" s="9">
        <v>42591</v>
      </c>
      <c r="B2812" s="2" t="str">
        <f>TEXT(Raw_Data!$A2812, "MMM")</f>
        <v>Aug</v>
      </c>
      <c r="C2812" s="2">
        <f>YEAR(Raw_Data!$A2812)</f>
        <v>2016</v>
      </c>
      <c r="D2812" s="2" t="s">
        <v>362</v>
      </c>
      <c r="E2812" s="2" t="s">
        <v>15</v>
      </c>
      <c r="F2812" s="2" t="s">
        <v>18</v>
      </c>
      <c r="G2812" s="2">
        <v>4</v>
      </c>
      <c r="H2812" s="2">
        <v>2753</v>
      </c>
      <c r="I2812" s="10">
        <v>592540</v>
      </c>
      <c r="J2812" s="10">
        <f>Raw_Data!$I2812/Raw_Data!$H2812</f>
        <v>215.23428986560117</v>
      </c>
    </row>
    <row r="2813" spans="1:10" x14ac:dyDescent="0.3">
      <c r="A2813" s="8">
        <v>39104</v>
      </c>
      <c r="B2813" t="str">
        <f>TEXT(Raw_Data!$A2813, "MMM")</f>
        <v>Jan</v>
      </c>
      <c r="C2813">
        <f>YEAR(Raw_Data!$A2813)</f>
        <v>2007</v>
      </c>
      <c r="D2813" t="s">
        <v>2050</v>
      </c>
      <c r="E2813" t="s">
        <v>15</v>
      </c>
      <c r="F2813" t="s">
        <v>27</v>
      </c>
      <c r="G2813">
        <v>3</v>
      </c>
      <c r="H2813">
        <v>1001</v>
      </c>
      <c r="I2813" s="1">
        <v>393354</v>
      </c>
      <c r="J2813" s="1">
        <f>Raw_Data!$I2813/Raw_Data!$H2813</f>
        <v>392.96103896103898</v>
      </c>
    </row>
    <row r="2814" spans="1:10" x14ac:dyDescent="0.3">
      <c r="A2814" s="9">
        <v>38289</v>
      </c>
      <c r="B2814" s="2" t="str">
        <f>TEXT(Raw_Data!$A2814, "MMM")</f>
        <v>Oct</v>
      </c>
      <c r="C2814" s="2">
        <f>YEAR(Raw_Data!$A2814)</f>
        <v>2004</v>
      </c>
      <c r="D2814" s="2" t="s">
        <v>1233</v>
      </c>
      <c r="E2814" s="2" t="s">
        <v>32</v>
      </c>
      <c r="F2814" s="2" t="s">
        <v>16</v>
      </c>
      <c r="G2814" s="2"/>
      <c r="H2814" s="2">
        <v>825</v>
      </c>
      <c r="I2814" s="10">
        <v>299165</v>
      </c>
      <c r="J2814" s="10">
        <f>Raw_Data!$I2814/Raw_Data!$H2814</f>
        <v>362.62424242424242</v>
      </c>
    </row>
    <row r="2815" spans="1:10" x14ac:dyDescent="0.3">
      <c r="A2815" s="8">
        <v>36975</v>
      </c>
      <c r="B2815" t="str">
        <f>TEXT(Raw_Data!$A2815, "MMM")</f>
        <v>Mar</v>
      </c>
      <c r="C2815">
        <f>YEAR(Raw_Data!$A2815)</f>
        <v>2001</v>
      </c>
      <c r="D2815" t="s">
        <v>1937</v>
      </c>
      <c r="E2815" t="s">
        <v>29</v>
      </c>
      <c r="F2815" t="s">
        <v>11</v>
      </c>
      <c r="G2815">
        <v>5</v>
      </c>
      <c r="H2815">
        <v>1400</v>
      </c>
      <c r="I2815" s="1">
        <v>280643</v>
      </c>
      <c r="J2815" s="1">
        <f>Raw_Data!$I2815/Raw_Data!$H2815</f>
        <v>200.45928571428573</v>
      </c>
    </row>
    <row r="2816" spans="1:10" x14ac:dyDescent="0.3">
      <c r="A2816" s="9">
        <v>43650</v>
      </c>
      <c r="B2816" s="2" t="str">
        <f>TEXT(Raw_Data!$A2816, "MMM")</f>
        <v>Jul</v>
      </c>
      <c r="C2816" s="2">
        <f>YEAR(Raw_Data!$A2816)</f>
        <v>2019</v>
      </c>
      <c r="D2816" s="2" t="s">
        <v>2102</v>
      </c>
      <c r="E2816" s="2" t="s">
        <v>15</v>
      </c>
      <c r="F2816" s="2" t="s">
        <v>11</v>
      </c>
      <c r="G2816" s="2"/>
      <c r="H2816" s="2">
        <v>1658</v>
      </c>
      <c r="I2816" s="10">
        <v>314295</v>
      </c>
      <c r="J2816" s="10">
        <f>Raw_Data!$I2816/Raw_Data!$H2816</f>
        <v>189.5627261761158</v>
      </c>
    </row>
    <row r="2817" spans="1:10" x14ac:dyDescent="0.3">
      <c r="A2817" s="8">
        <v>43793</v>
      </c>
      <c r="B2817" t="str">
        <f>TEXT(Raw_Data!$A2817, "MMM")</f>
        <v>Nov</v>
      </c>
      <c r="C2817">
        <f>YEAR(Raw_Data!$A2817)</f>
        <v>2019</v>
      </c>
      <c r="D2817" t="s">
        <v>1045</v>
      </c>
      <c r="E2817" t="s">
        <v>25</v>
      </c>
      <c r="F2817" t="s">
        <v>16</v>
      </c>
      <c r="G2817">
        <v>5</v>
      </c>
      <c r="H2817">
        <v>831</v>
      </c>
      <c r="I2817" s="1">
        <v>503770</v>
      </c>
      <c r="J2817" s="1">
        <f>Raw_Data!$I2817/Raw_Data!$H2817</f>
        <v>606.22141997593258</v>
      </c>
    </row>
    <row r="2818" spans="1:10" x14ac:dyDescent="0.3">
      <c r="A2818" s="9">
        <v>37838</v>
      </c>
      <c r="B2818" s="2" t="str">
        <f>TEXT(Raw_Data!$A2818, "MMM")</f>
        <v>Aug</v>
      </c>
      <c r="C2818" s="2">
        <f>YEAR(Raw_Data!$A2818)</f>
        <v>2003</v>
      </c>
      <c r="D2818" s="2" t="s">
        <v>2103</v>
      </c>
      <c r="E2818" s="2" t="s">
        <v>21</v>
      </c>
      <c r="F2818" s="2" t="s">
        <v>18</v>
      </c>
      <c r="G2818" s="2"/>
      <c r="H2818" s="2">
        <v>1083</v>
      </c>
      <c r="I2818" s="10">
        <v>695003</v>
      </c>
      <c r="J2818" s="10">
        <f>Raw_Data!$I2818/Raw_Data!$H2818</f>
        <v>641.73868882733143</v>
      </c>
    </row>
    <row r="2819" spans="1:10" x14ac:dyDescent="0.3">
      <c r="A2819" s="8">
        <v>37188</v>
      </c>
      <c r="B2819" t="str">
        <f>TEXT(Raw_Data!$A2819, "MMM")</f>
        <v>Oct</v>
      </c>
      <c r="C2819">
        <f>YEAR(Raw_Data!$A2819)</f>
        <v>2001</v>
      </c>
      <c r="D2819" t="s">
        <v>548</v>
      </c>
      <c r="E2819" t="s">
        <v>15</v>
      </c>
      <c r="F2819" t="s">
        <v>11</v>
      </c>
      <c r="G2819">
        <v>5</v>
      </c>
      <c r="H2819">
        <v>3033</v>
      </c>
      <c r="I2819" s="1">
        <v>490840</v>
      </c>
      <c r="J2819" s="1">
        <f>Raw_Data!$I2819/Raw_Data!$H2819</f>
        <v>161.83316848005276</v>
      </c>
    </row>
    <row r="2820" spans="1:10" x14ac:dyDescent="0.3">
      <c r="A2820" s="9">
        <v>44135</v>
      </c>
      <c r="B2820" s="2" t="str">
        <f>TEXT(Raw_Data!$A2820, "MMM")</f>
        <v>Oct</v>
      </c>
      <c r="C2820" s="2">
        <f>YEAR(Raw_Data!$A2820)</f>
        <v>2020</v>
      </c>
      <c r="D2820" s="2" t="s">
        <v>2104</v>
      </c>
      <c r="E2820" s="2" t="s">
        <v>23</v>
      </c>
      <c r="F2820" s="2" t="s">
        <v>18</v>
      </c>
      <c r="G2820" s="2"/>
      <c r="H2820" s="2">
        <v>3446</v>
      </c>
      <c r="I2820" s="10">
        <v>566521</v>
      </c>
      <c r="J2820" s="10">
        <f>Raw_Data!$I2820/Raw_Data!$H2820</f>
        <v>164.39959373186304</v>
      </c>
    </row>
    <row r="2821" spans="1:10" x14ac:dyDescent="0.3">
      <c r="A2821" s="8">
        <v>38075</v>
      </c>
      <c r="B2821" t="str">
        <f>TEXT(Raw_Data!$A2821, "MMM")</f>
        <v>Mar</v>
      </c>
      <c r="C2821">
        <f>YEAR(Raw_Data!$A2821)</f>
        <v>2004</v>
      </c>
      <c r="D2821" t="s">
        <v>2105</v>
      </c>
      <c r="E2821" t="s">
        <v>23</v>
      </c>
      <c r="F2821" t="s">
        <v>18</v>
      </c>
      <c r="G2821">
        <v>3</v>
      </c>
      <c r="H2821">
        <v>1343</v>
      </c>
      <c r="I2821" s="1">
        <v>547780</v>
      </c>
      <c r="J2821" s="1">
        <f>Raw_Data!$I2821/Raw_Data!$H2821</f>
        <v>407.87788533134773</v>
      </c>
    </row>
    <row r="2822" spans="1:10" x14ac:dyDescent="0.3">
      <c r="A2822" s="9">
        <v>41300</v>
      </c>
      <c r="B2822" s="2" t="str">
        <f>TEXT(Raw_Data!$A2822, "MMM")</f>
        <v>Jan</v>
      </c>
      <c r="C2822" s="2">
        <f>YEAR(Raw_Data!$A2822)</f>
        <v>2013</v>
      </c>
      <c r="D2822" s="2" t="s">
        <v>2106</v>
      </c>
      <c r="E2822" s="2" t="s">
        <v>29</v>
      </c>
      <c r="F2822" s="2" t="s">
        <v>11</v>
      </c>
      <c r="G2822" s="2"/>
      <c r="H2822" s="2">
        <v>3470</v>
      </c>
      <c r="I2822" s="10">
        <v>180493</v>
      </c>
      <c r="J2822" s="10">
        <f>Raw_Data!$I2822/Raw_Data!$H2822</f>
        <v>52.015273775216137</v>
      </c>
    </row>
    <row r="2823" spans="1:10" x14ac:dyDescent="0.3">
      <c r="A2823" s="8">
        <v>43435</v>
      </c>
      <c r="B2823" t="str">
        <f>TEXT(Raw_Data!$A2823, "MMM")</f>
        <v>Dec</v>
      </c>
      <c r="C2823">
        <f>YEAR(Raw_Data!$A2823)</f>
        <v>2018</v>
      </c>
      <c r="D2823" t="s">
        <v>557</v>
      </c>
      <c r="E2823" t="s">
        <v>23</v>
      </c>
      <c r="F2823" t="s">
        <v>18</v>
      </c>
      <c r="H2823">
        <v>2280</v>
      </c>
      <c r="I2823" s="1">
        <v>443554</v>
      </c>
      <c r="J2823" s="1">
        <f>Raw_Data!$I2823/Raw_Data!$H2823</f>
        <v>194.54122807017544</v>
      </c>
    </row>
    <row r="2824" spans="1:10" x14ac:dyDescent="0.3">
      <c r="A2824" s="9">
        <v>39344</v>
      </c>
      <c r="B2824" s="2" t="str">
        <f>TEXT(Raw_Data!$A2824, "MMM")</f>
        <v>Sep</v>
      </c>
      <c r="C2824" s="2">
        <f>YEAR(Raw_Data!$A2824)</f>
        <v>2007</v>
      </c>
      <c r="D2824" s="2" t="s">
        <v>2107</v>
      </c>
      <c r="E2824" s="2" t="s">
        <v>32</v>
      </c>
      <c r="F2824" s="2" t="s">
        <v>27</v>
      </c>
      <c r="G2824" s="2">
        <v>3</v>
      </c>
      <c r="H2824" s="2">
        <v>3096</v>
      </c>
      <c r="I2824" s="10">
        <v>451378</v>
      </c>
      <c r="J2824" s="10">
        <f>Raw_Data!$I2824/Raw_Data!$H2824</f>
        <v>145.7939276485788</v>
      </c>
    </row>
    <row r="2825" spans="1:10" x14ac:dyDescent="0.3">
      <c r="A2825" s="8">
        <v>37027</v>
      </c>
      <c r="B2825" t="str">
        <f>TEXT(Raw_Data!$A2825, "MMM")</f>
        <v>May</v>
      </c>
      <c r="C2825">
        <f>YEAR(Raw_Data!$A2825)</f>
        <v>2001</v>
      </c>
      <c r="D2825" t="s">
        <v>14</v>
      </c>
      <c r="E2825" t="s">
        <v>32</v>
      </c>
      <c r="F2825" t="s">
        <v>18</v>
      </c>
      <c r="G2825">
        <v>2</v>
      </c>
      <c r="H2825">
        <v>1555</v>
      </c>
      <c r="I2825" s="1">
        <v>154046</v>
      </c>
      <c r="J2825" s="1">
        <f>Raw_Data!$I2825/Raw_Data!$H2825</f>
        <v>99.06495176848874</v>
      </c>
    </row>
    <row r="2826" spans="1:10" x14ac:dyDescent="0.3">
      <c r="A2826" s="9">
        <v>42872</v>
      </c>
      <c r="B2826" s="2" t="str">
        <f>TEXT(Raw_Data!$A2826, "MMM")</f>
        <v>May</v>
      </c>
      <c r="C2826" s="2">
        <f>YEAR(Raw_Data!$A2826)</f>
        <v>2017</v>
      </c>
      <c r="D2826" s="2" t="s">
        <v>2108</v>
      </c>
      <c r="E2826" s="2" t="s">
        <v>21</v>
      </c>
      <c r="F2826" s="2" t="s">
        <v>18</v>
      </c>
      <c r="G2826" s="2">
        <v>4</v>
      </c>
      <c r="H2826" s="2">
        <v>3181</v>
      </c>
      <c r="I2826" s="10">
        <v>376641</v>
      </c>
      <c r="J2826" s="10">
        <f>Raw_Data!$I2826/Raw_Data!$H2826</f>
        <v>118.40333228544483</v>
      </c>
    </row>
    <row r="2827" spans="1:10" x14ac:dyDescent="0.3">
      <c r="A2827" s="8">
        <v>37608</v>
      </c>
      <c r="B2827" t="str">
        <f>TEXT(Raw_Data!$A2827, "MMM")</f>
        <v>Dec</v>
      </c>
      <c r="C2827">
        <f>YEAR(Raw_Data!$A2827)</f>
        <v>2002</v>
      </c>
      <c r="D2827" t="s">
        <v>723</v>
      </c>
      <c r="E2827" t="s">
        <v>13</v>
      </c>
      <c r="F2827" t="s">
        <v>16</v>
      </c>
      <c r="H2827">
        <v>971</v>
      </c>
      <c r="I2827" s="1">
        <v>567721</v>
      </c>
      <c r="J2827" s="1">
        <f>Raw_Data!$I2827/Raw_Data!$H2827</f>
        <v>584.67662203913494</v>
      </c>
    </row>
    <row r="2828" spans="1:10" x14ac:dyDescent="0.3">
      <c r="A2828" s="9">
        <v>37293</v>
      </c>
      <c r="B2828" s="2" t="str">
        <f>TEXT(Raw_Data!$A2828, "MMM")</f>
        <v>Feb</v>
      </c>
      <c r="C2828" s="2">
        <f>YEAR(Raw_Data!$A2828)</f>
        <v>2002</v>
      </c>
      <c r="D2828" s="2" t="s">
        <v>2109</v>
      </c>
      <c r="E2828" s="2" t="s">
        <v>15</v>
      </c>
      <c r="F2828" s="2" t="s">
        <v>27</v>
      </c>
      <c r="G2828" s="2">
        <v>5</v>
      </c>
      <c r="H2828" s="2">
        <v>1711</v>
      </c>
      <c r="I2828" s="10">
        <v>765419</v>
      </c>
      <c r="J2828" s="10">
        <f>Raw_Data!$I2828/Raw_Data!$H2828</f>
        <v>447.3518410286382</v>
      </c>
    </row>
    <row r="2829" spans="1:10" x14ac:dyDescent="0.3">
      <c r="A2829" s="8">
        <v>37735</v>
      </c>
      <c r="B2829" t="str">
        <f>TEXT(Raw_Data!$A2829, "MMM")</f>
        <v>Apr</v>
      </c>
      <c r="C2829">
        <f>YEAR(Raw_Data!$A2829)</f>
        <v>2003</v>
      </c>
      <c r="D2829" t="s">
        <v>2110</v>
      </c>
      <c r="E2829" t="s">
        <v>15</v>
      </c>
      <c r="F2829" t="s">
        <v>18</v>
      </c>
      <c r="H2829">
        <v>1540</v>
      </c>
      <c r="I2829" s="1">
        <v>289427</v>
      </c>
      <c r="J2829" s="1">
        <f>Raw_Data!$I2829/Raw_Data!$H2829</f>
        <v>187.93961038961038</v>
      </c>
    </row>
    <row r="2830" spans="1:10" x14ac:dyDescent="0.3">
      <c r="A2830" s="9">
        <v>43030</v>
      </c>
      <c r="B2830" s="2" t="str">
        <f>TEXT(Raw_Data!$A2830, "MMM")</f>
        <v>Oct</v>
      </c>
      <c r="C2830" s="2">
        <f>YEAR(Raw_Data!$A2830)</f>
        <v>2017</v>
      </c>
      <c r="D2830" s="2" t="s">
        <v>774</v>
      </c>
      <c r="E2830" s="2" t="s">
        <v>13</v>
      </c>
      <c r="F2830" s="2" t="s">
        <v>11</v>
      </c>
      <c r="G2830" s="2">
        <v>4</v>
      </c>
      <c r="H2830" s="2">
        <v>2572</v>
      </c>
      <c r="I2830" s="10">
        <v>677143</v>
      </c>
      <c r="J2830" s="10">
        <f>Raw_Data!$I2830/Raw_Data!$H2830</f>
        <v>263.27488335925352</v>
      </c>
    </row>
    <row r="2831" spans="1:10" x14ac:dyDescent="0.3">
      <c r="A2831" s="8">
        <v>40161</v>
      </c>
      <c r="B2831" t="str">
        <f>TEXT(Raw_Data!$A2831, "MMM")</f>
        <v>Dec</v>
      </c>
      <c r="C2831">
        <f>YEAR(Raw_Data!$A2831)</f>
        <v>2009</v>
      </c>
      <c r="D2831" t="s">
        <v>1075</v>
      </c>
      <c r="E2831" t="s">
        <v>29</v>
      </c>
      <c r="F2831" t="s">
        <v>27</v>
      </c>
      <c r="H2831">
        <v>1735</v>
      </c>
      <c r="I2831" s="1">
        <v>180897</v>
      </c>
      <c r="J2831" s="1">
        <f>Raw_Data!$I2831/Raw_Data!$H2831</f>
        <v>104.26340057636888</v>
      </c>
    </row>
    <row r="2832" spans="1:10" x14ac:dyDescent="0.3">
      <c r="A2832" s="9">
        <v>41194</v>
      </c>
      <c r="B2832" s="2" t="str">
        <f>TEXT(Raw_Data!$A2832, "MMM")</f>
        <v>Oct</v>
      </c>
      <c r="C2832" s="2">
        <f>YEAR(Raw_Data!$A2832)</f>
        <v>2012</v>
      </c>
      <c r="D2832" s="2" t="s">
        <v>474</v>
      </c>
      <c r="E2832" s="2" t="s">
        <v>15</v>
      </c>
      <c r="F2832" s="2" t="s">
        <v>18</v>
      </c>
      <c r="G2832" s="2">
        <v>4</v>
      </c>
      <c r="H2832" s="2">
        <v>2232</v>
      </c>
      <c r="I2832" s="10">
        <v>699183</v>
      </c>
      <c r="J2832" s="10">
        <f>Raw_Data!$I2832/Raw_Data!$H2832</f>
        <v>313.25403225806451</v>
      </c>
    </row>
    <row r="2833" spans="1:10" x14ac:dyDescent="0.3">
      <c r="A2833" s="8">
        <v>38951</v>
      </c>
      <c r="B2833" t="str">
        <f>TEXT(Raw_Data!$A2833, "MMM")</f>
        <v>Aug</v>
      </c>
      <c r="C2833">
        <f>YEAR(Raw_Data!$A2833)</f>
        <v>2006</v>
      </c>
      <c r="D2833" t="s">
        <v>2111</v>
      </c>
      <c r="E2833" t="s">
        <v>29</v>
      </c>
      <c r="F2833" t="s">
        <v>18</v>
      </c>
      <c r="G2833">
        <v>5</v>
      </c>
      <c r="H2833">
        <v>3488</v>
      </c>
      <c r="I2833" s="1">
        <v>850646</v>
      </c>
      <c r="J2833" s="1">
        <f>Raw_Data!$I2833/Raw_Data!$H2833</f>
        <v>243.87786697247705</v>
      </c>
    </row>
    <row r="2834" spans="1:10" x14ac:dyDescent="0.3">
      <c r="A2834" s="9">
        <v>42403</v>
      </c>
      <c r="B2834" s="2" t="str">
        <f>TEXT(Raw_Data!$A2834, "MMM")</f>
        <v>Feb</v>
      </c>
      <c r="C2834" s="2">
        <f>YEAR(Raw_Data!$A2834)</f>
        <v>2016</v>
      </c>
      <c r="D2834" s="2" t="s">
        <v>83</v>
      </c>
      <c r="E2834" s="2" t="s">
        <v>25</v>
      </c>
      <c r="F2834" s="2" t="s">
        <v>18</v>
      </c>
      <c r="G2834" s="2"/>
      <c r="H2834" s="2">
        <v>3087</v>
      </c>
      <c r="I2834" s="10">
        <v>847806</v>
      </c>
      <c r="J2834" s="10">
        <f>Raw_Data!$I2834/Raw_Data!$H2834</f>
        <v>274.63751214771622</v>
      </c>
    </row>
    <row r="2835" spans="1:10" x14ac:dyDescent="0.3">
      <c r="A2835" s="8">
        <v>38399</v>
      </c>
      <c r="B2835" t="str">
        <f>TEXT(Raw_Data!$A2835, "MMM")</f>
        <v>Feb</v>
      </c>
      <c r="C2835">
        <f>YEAR(Raw_Data!$A2835)</f>
        <v>2005</v>
      </c>
      <c r="D2835" t="s">
        <v>2112</v>
      </c>
      <c r="E2835" t="s">
        <v>29</v>
      </c>
      <c r="F2835" t="s">
        <v>27</v>
      </c>
      <c r="G2835">
        <v>3</v>
      </c>
      <c r="H2835">
        <v>3344</v>
      </c>
      <c r="I2835" s="1">
        <v>710626</v>
      </c>
      <c r="J2835" s="1">
        <f>Raw_Data!$I2835/Raw_Data!$H2835</f>
        <v>212.50777511961724</v>
      </c>
    </row>
    <row r="2836" spans="1:10" x14ac:dyDescent="0.3">
      <c r="A2836" s="9">
        <v>39475</v>
      </c>
      <c r="B2836" s="2" t="str">
        <f>TEXT(Raw_Data!$A2836, "MMM")</f>
        <v>Jan</v>
      </c>
      <c r="C2836" s="2">
        <f>YEAR(Raw_Data!$A2836)</f>
        <v>2008</v>
      </c>
      <c r="D2836" s="2" t="s">
        <v>1208</v>
      </c>
      <c r="E2836" s="2" t="s">
        <v>32</v>
      </c>
      <c r="F2836" s="2" t="s">
        <v>16</v>
      </c>
      <c r="G2836" s="2"/>
      <c r="H2836" s="2">
        <v>1939</v>
      </c>
      <c r="I2836" s="10">
        <v>810180</v>
      </c>
      <c r="J2836" s="10">
        <f>Raw_Data!$I2836/Raw_Data!$H2836</f>
        <v>417.83393501805057</v>
      </c>
    </row>
    <row r="2837" spans="1:10" x14ac:dyDescent="0.3">
      <c r="A2837" s="8">
        <v>39054</v>
      </c>
      <c r="B2837" t="str">
        <f>TEXT(Raw_Data!$A2837, "MMM")</f>
        <v>Dec</v>
      </c>
      <c r="C2837">
        <f>YEAR(Raw_Data!$A2837)</f>
        <v>2006</v>
      </c>
      <c r="D2837" t="s">
        <v>1079</v>
      </c>
      <c r="E2837" t="s">
        <v>21</v>
      </c>
      <c r="F2837" t="s">
        <v>16</v>
      </c>
      <c r="H2837">
        <v>1522</v>
      </c>
      <c r="I2837" s="1">
        <v>672906</v>
      </c>
      <c r="J2837" s="1">
        <f>Raw_Data!$I2837/Raw_Data!$H2837</f>
        <v>442.11957950065704</v>
      </c>
    </row>
    <row r="2838" spans="1:10" x14ac:dyDescent="0.3">
      <c r="A2838" s="9">
        <v>39773</v>
      </c>
      <c r="B2838" s="2" t="str">
        <f>TEXT(Raw_Data!$A2838, "MMM")</f>
        <v>Nov</v>
      </c>
      <c r="C2838" s="2">
        <f>YEAR(Raw_Data!$A2838)</f>
        <v>2008</v>
      </c>
      <c r="D2838" s="2" t="s">
        <v>2113</v>
      </c>
      <c r="E2838" s="2" t="s">
        <v>13</v>
      </c>
      <c r="F2838" s="2" t="s">
        <v>16</v>
      </c>
      <c r="G2838" s="2">
        <v>2</v>
      </c>
      <c r="H2838" s="2">
        <v>2127</v>
      </c>
      <c r="I2838" s="10">
        <v>479781</v>
      </c>
      <c r="J2838" s="10">
        <f>Raw_Data!$I2838/Raw_Data!$H2838</f>
        <v>225.56699576868829</v>
      </c>
    </row>
    <row r="2839" spans="1:10" x14ac:dyDescent="0.3">
      <c r="A2839" s="8">
        <v>40585</v>
      </c>
      <c r="B2839" t="str">
        <f>TEXT(Raw_Data!$A2839, "MMM")</f>
        <v>Feb</v>
      </c>
      <c r="C2839">
        <f>YEAR(Raw_Data!$A2839)</f>
        <v>2011</v>
      </c>
      <c r="D2839" t="s">
        <v>1875</v>
      </c>
      <c r="E2839" t="s">
        <v>15</v>
      </c>
      <c r="F2839" t="s">
        <v>16</v>
      </c>
      <c r="G2839">
        <v>4</v>
      </c>
      <c r="H2839">
        <v>3464</v>
      </c>
      <c r="I2839" s="1">
        <v>114534</v>
      </c>
      <c r="J2839" s="1">
        <f>Raw_Data!$I2839/Raw_Data!$H2839</f>
        <v>33.064087759815244</v>
      </c>
    </row>
    <row r="2840" spans="1:10" x14ac:dyDescent="0.3">
      <c r="A2840" s="9">
        <v>43664</v>
      </c>
      <c r="B2840" s="2" t="str">
        <f>TEXT(Raw_Data!$A2840, "MMM")</f>
        <v>Jul</v>
      </c>
      <c r="C2840" s="2">
        <f>YEAR(Raw_Data!$A2840)</f>
        <v>2019</v>
      </c>
      <c r="D2840" s="2" t="s">
        <v>2114</v>
      </c>
      <c r="E2840" s="2" t="s">
        <v>32</v>
      </c>
      <c r="F2840" s="2" t="s">
        <v>11</v>
      </c>
      <c r="G2840" s="2"/>
      <c r="H2840" s="2">
        <v>2591</v>
      </c>
      <c r="I2840" s="10">
        <v>827337</v>
      </c>
      <c r="J2840" s="10">
        <f>Raw_Data!$I2840/Raw_Data!$H2840</f>
        <v>319.31184870706289</v>
      </c>
    </row>
    <row r="2841" spans="1:10" x14ac:dyDescent="0.3">
      <c r="A2841" s="8">
        <v>41334</v>
      </c>
      <c r="B2841" t="str">
        <f>TEXT(Raw_Data!$A2841, "MMM")</f>
        <v>Mar</v>
      </c>
      <c r="C2841">
        <f>YEAR(Raw_Data!$A2841)</f>
        <v>2013</v>
      </c>
      <c r="D2841" t="s">
        <v>2115</v>
      </c>
      <c r="E2841" t="s">
        <v>15</v>
      </c>
      <c r="F2841" t="s">
        <v>16</v>
      </c>
      <c r="G2841">
        <v>4</v>
      </c>
      <c r="H2841">
        <v>2025</v>
      </c>
      <c r="I2841" s="1">
        <v>332108</v>
      </c>
      <c r="J2841" s="1">
        <f>Raw_Data!$I2841/Raw_Data!$H2841</f>
        <v>164.00395061728395</v>
      </c>
    </row>
    <row r="2842" spans="1:10" x14ac:dyDescent="0.3">
      <c r="A2842" s="9">
        <v>39836</v>
      </c>
      <c r="B2842" s="2" t="str">
        <f>TEXT(Raw_Data!$A2842, "MMM")</f>
        <v>Jan</v>
      </c>
      <c r="C2842" s="2">
        <f>YEAR(Raw_Data!$A2842)</f>
        <v>2009</v>
      </c>
      <c r="D2842" s="2" t="s">
        <v>1469</v>
      </c>
      <c r="E2842" s="2" t="s">
        <v>32</v>
      </c>
      <c r="F2842" s="2" t="s">
        <v>16</v>
      </c>
      <c r="G2842" s="2"/>
      <c r="H2842" s="2">
        <v>1842</v>
      </c>
      <c r="I2842" s="10">
        <v>702657</v>
      </c>
      <c r="J2842" s="10">
        <f>Raw_Data!$I2842/Raw_Data!$H2842</f>
        <v>381.46416938110747</v>
      </c>
    </row>
    <row r="2843" spans="1:10" x14ac:dyDescent="0.3">
      <c r="A2843" s="8">
        <v>39697</v>
      </c>
      <c r="B2843" t="str">
        <f>TEXT(Raw_Data!$A2843, "MMM")</f>
        <v>Sep</v>
      </c>
      <c r="C2843">
        <f>YEAR(Raw_Data!$A2843)</f>
        <v>2008</v>
      </c>
      <c r="D2843" t="s">
        <v>2116</v>
      </c>
      <c r="E2843" t="s">
        <v>32</v>
      </c>
      <c r="F2843" t="s">
        <v>18</v>
      </c>
      <c r="G2843">
        <v>2</v>
      </c>
      <c r="H2843">
        <v>3094</v>
      </c>
      <c r="I2843" s="1">
        <v>802225</v>
      </c>
      <c r="J2843" s="1">
        <f>Raw_Data!$I2843/Raw_Data!$H2843</f>
        <v>259.28409825468651</v>
      </c>
    </row>
    <row r="2844" spans="1:10" x14ac:dyDescent="0.3">
      <c r="A2844" s="9">
        <v>40653</v>
      </c>
      <c r="B2844" s="2" t="str">
        <f>TEXT(Raw_Data!$A2844, "MMM")</f>
        <v>Apr</v>
      </c>
      <c r="C2844" s="2">
        <f>YEAR(Raw_Data!$A2844)</f>
        <v>2011</v>
      </c>
      <c r="D2844" s="2" t="s">
        <v>2117</v>
      </c>
      <c r="E2844" s="2" t="s">
        <v>13</v>
      </c>
      <c r="F2844" s="2" t="s">
        <v>16</v>
      </c>
      <c r="G2844" s="2">
        <v>5</v>
      </c>
      <c r="H2844" s="2">
        <v>816</v>
      </c>
      <c r="I2844" s="10">
        <v>388007</v>
      </c>
      <c r="J2844" s="10">
        <f>Raw_Data!$I2844/Raw_Data!$H2844</f>
        <v>475.49877450980392</v>
      </c>
    </row>
    <row r="2845" spans="1:10" x14ac:dyDescent="0.3">
      <c r="A2845" s="8">
        <v>41388</v>
      </c>
      <c r="B2845" t="str">
        <f>TEXT(Raw_Data!$A2845, "MMM")</f>
        <v>Apr</v>
      </c>
      <c r="C2845">
        <f>YEAR(Raw_Data!$A2845)</f>
        <v>2013</v>
      </c>
      <c r="D2845" t="s">
        <v>402</v>
      </c>
      <c r="E2845" t="s">
        <v>32</v>
      </c>
      <c r="F2845" t="s">
        <v>11</v>
      </c>
      <c r="H2845">
        <v>1306</v>
      </c>
      <c r="I2845" s="1">
        <v>446055</v>
      </c>
      <c r="J2845" s="1">
        <f>Raw_Data!$I2845/Raw_Data!$H2845</f>
        <v>341.54287901990813</v>
      </c>
    </row>
    <row r="2846" spans="1:10" x14ac:dyDescent="0.3">
      <c r="A2846" s="9">
        <v>39070</v>
      </c>
      <c r="B2846" s="2" t="str">
        <f>TEXT(Raw_Data!$A2846, "MMM")</f>
        <v>Dec</v>
      </c>
      <c r="C2846" s="2">
        <f>YEAR(Raw_Data!$A2846)</f>
        <v>2006</v>
      </c>
      <c r="D2846" s="2" t="s">
        <v>303</v>
      </c>
      <c r="E2846" s="2" t="s">
        <v>23</v>
      </c>
      <c r="F2846" s="2" t="s">
        <v>27</v>
      </c>
      <c r="G2846" s="2">
        <v>2</v>
      </c>
      <c r="H2846" s="2">
        <v>925</v>
      </c>
      <c r="I2846" s="10"/>
      <c r="J2846" s="10">
        <f>Raw_Data!$I2846/Raw_Data!$H2846</f>
        <v>0</v>
      </c>
    </row>
    <row r="2847" spans="1:10" x14ac:dyDescent="0.3">
      <c r="A2847" s="8">
        <v>43814</v>
      </c>
      <c r="B2847" t="str">
        <f>TEXT(Raw_Data!$A2847, "MMM")</f>
        <v>Dec</v>
      </c>
      <c r="C2847">
        <f>YEAR(Raw_Data!$A2847)</f>
        <v>2019</v>
      </c>
      <c r="D2847" t="s">
        <v>2118</v>
      </c>
      <c r="E2847" t="s">
        <v>29</v>
      </c>
      <c r="F2847" t="s">
        <v>27</v>
      </c>
      <c r="G2847">
        <v>2</v>
      </c>
      <c r="H2847">
        <v>2117</v>
      </c>
      <c r="I2847" s="1">
        <v>349878</v>
      </c>
      <c r="J2847" s="1">
        <f>Raw_Data!$I2847/Raw_Data!$H2847</f>
        <v>165.2706660368446</v>
      </c>
    </row>
    <row r="2848" spans="1:10" x14ac:dyDescent="0.3">
      <c r="A2848" s="9">
        <v>42737</v>
      </c>
      <c r="B2848" s="2" t="str">
        <f>TEXT(Raw_Data!$A2848, "MMM")</f>
        <v>Jan</v>
      </c>
      <c r="C2848" s="2">
        <f>YEAR(Raw_Data!$A2848)</f>
        <v>2017</v>
      </c>
      <c r="D2848" s="2" t="s">
        <v>626</v>
      </c>
      <c r="E2848" s="2" t="s">
        <v>25</v>
      </c>
      <c r="F2848" s="2" t="s">
        <v>18</v>
      </c>
      <c r="G2848" s="2">
        <v>2</v>
      </c>
      <c r="H2848" s="2">
        <v>2122</v>
      </c>
      <c r="I2848" s="10">
        <v>669561</v>
      </c>
      <c r="J2848" s="10">
        <f>Raw_Data!$I2848/Raw_Data!$H2848</f>
        <v>315.53298774740813</v>
      </c>
    </row>
    <row r="2849" spans="1:10" x14ac:dyDescent="0.3">
      <c r="A2849" s="8">
        <v>39080</v>
      </c>
      <c r="B2849" t="str">
        <f>TEXT(Raw_Data!$A2849, "MMM")</f>
        <v>Dec</v>
      </c>
      <c r="C2849">
        <f>YEAR(Raw_Data!$A2849)</f>
        <v>2006</v>
      </c>
      <c r="D2849" t="s">
        <v>76</v>
      </c>
      <c r="E2849" t="s">
        <v>21</v>
      </c>
      <c r="F2849" t="s">
        <v>16</v>
      </c>
      <c r="G2849">
        <v>2</v>
      </c>
      <c r="H2849">
        <v>1560</v>
      </c>
      <c r="I2849" s="1">
        <v>706006</v>
      </c>
      <c r="J2849" s="1">
        <f>Raw_Data!$I2849/Raw_Data!$H2849</f>
        <v>452.5679487179487</v>
      </c>
    </row>
    <row r="2850" spans="1:10" x14ac:dyDescent="0.3">
      <c r="A2850" s="9">
        <v>41595</v>
      </c>
      <c r="B2850" s="2" t="str">
        <f>TEXT(Raw_Data!$A2850, "MMM")</f>
        <v>Nov</v>
      </c>
      <c r="C2850" s="2">
        <f>YEAR(Raw_Data!$A2850)</f>
        <v>2013</v>
      </c>
      <c r="D2850" s="2" t="s">
        <v>2119</v>
      </c>
      <c r="E2850" s="2" t="s">
        <v>32</v>
      </c>
      <c r="F2850" s="2" t="s">
        <v>16</v>
      </c>
      <c r="G2850" s="2">
        <v>3</v>
      </c>
      <c r="H2850" s="2">
        <v>2384</v>
      </c>
      <c r="I2850" s="10">
        <v>189806</v>
      </c>
      <c r="J2850" s="10">
        <f>Raw_Data!$I2850/Raw_Data!$H2850</f>
        <v>79.616610738255034</v>
      </c>
    </row>
    <row r="2851" spans="1:10" x14ac:dyDescent="0.3">
      <c r="A2851" s="8">
        <v>42132</v>
      </c>
      <c r="B2851" t="str">
        <f>TEXT(Raw_Data!$A2851, "MMM")</f>
        <v>May</v>
      </c>
      <c r="C2851">
        <f>YEAR(Raw_Data!$A2851)</f>
        <v>2015</v>
      </c>
      <c r="D2851" t="s">
        <v>1488</v>
      </c>
      <c r="E2851" t="s">
        <v>15</v>
      </c>
      <c r="F2851" t="s">
        <v>16</v>
      </c>
      <c r="H2851">
        <v>3462</v>
      </c>
      <c r="I2851" s="1">
        <v>603509</v>
      </c>
      <c r="J2851" s="1">
        <f>Raw_Data!$I2851/Raw_Data!$H2851</f>
        <v>174.32380127094166</v>
      </c>
    </row>
    <row r="2852" spans="1:10" x14ac:dyDescent="0.3">
      <c r="A2852" s="9">
        <v>40030</v>
      </c>
      <c r="B2852" s="2" t="str">
        <f>TEXT(Raw_Data!$A2852, "MMM")</f>
        <v>Aug</v>
      </c>
      <c r="C2852" s="2">
        <f>YEAR(Raw_Data!$A2852)</f>
        <v>2009</v>
      </c>
      <c r="D2852" s="2" t="s">
        <v>1874</v>
      </c>
      <c r="E2852" s="2" t="s">
        <v>23</v>
      </c>
      <c r="F2852" s="2" t="s">
        <v>27</v>
      </c>
      <c r="G2852" s="2">
        <v>2</v>
      </c>
      <c r="H2852" s="2">
        <v>1336</v>
      </c>
      <c r="I2852" s="10">
        <v>608906</v>
      </c>
      <c r="J2852" s="10">
        <f>Raw_Data!$I2852/Raw_Data!$H2852</f>
        <v>455.76796407185628</v>
      </c>
    </row>
    <row r="2853" spans="1:10" x14ac:dyDescent="0.3">
      <c r="A2853" s="8">
        <v>40187</v>
      </c>
      <c r="B2853" t="str">
        <f>TEXT(Raw_Data!$A2853, "MMM")</f>
        <v>Jan</v>
      </c>
      <c r="C2853">
        <f>YEAR(Raw_Data!$A2853)</f>
        <v>2010</v>
      </c>
      <c r="D2853" t="s">
        <v>2120</v>
      </c>
      <c r="E2853" t="s">
        <v>23</v>
      </c>
      <c r="F2853" t="s">
        <v>18</v>
      </c>
      <c r="G2853">
        <v>2</v>
      </c>
      <c r="H2853">
        <v>1053</v>
      </c>
      <c r="I2853" s="1">
        <v>823702</v>
      </c>
      <c r="J2853" s="1">
        <f>Raw_Data!$I2853/Raw_Data!$H2853</f>
        <v>782.24311490978153</v>
      </c>
    </row>
    <row r="2854" spans="1:10" x14ac:dyDescent="0.3">
      <c r="A2854" s="9">
        <v>42535</v>
      </c>
      <c r="B2854" s="2" t="str">
        <f>TEXT(Raw_Data!$A2854, "MMM")</f>
        <v>Jun</v>
      </c>
      <c r="C2854" s="2">
        <f>YEAR(Raw_Data!$A2854)</f>
        <v>2016</v>
      </c>
      <c r="D2854" s="2" t="s">
        <v>1735</v>
      </c>
      <c r="E2854" s="2" t="s">
        <v>32</v>
      </c>
      <c r="F2854" s="2" t="s">
        <v>11</v>
      </c>
      <c r="G2854" s="2"/>
      <c r="H2854" s="2">
        <v>3047</v>
      </c>
      <c r="I2854" s="10">
        <v>518402</v>
      </c>
      <c r="J2854" s="10">
        <f>Raw_Data!$I2854/Raw_Data!$H2854</f>
        <v>170.13521496553989</v>
      </c>
    </row>
    <row r="2855" spans="1:10" x14ac:dyDescent="0.3">
      <c r="A2855" s="8">
        <v>39907</v>
      </c>
      <c r="B2855" t="str">
        <f>TEXT(Raw_Data!$A2855, "MMM")</f>
        <v>Apr</v>
      </c>
      <c r="C2855">
        <f>YEAR(Raw_Data!$A2855)</f>
        <v>2009</v>
      </c>
      <c r="D2855" t="s">
        <v>2121</v>
      </c>
      <c r="E2855" t="s">
        <v>21</v>
      </c>
      <c r="F2855" t="s">
        <v>16</v>
      </c>
      <c r="G2855">
        <v>2</v>
      </c>
      <c r="H2855">
        <v>1166</v>
      </c>
      <c r="I2855" s="1">
        <v>107810</v>
      </c>
      <c r="J2855" s="1">
        <f>Raw_Data!$I2855/Raw_Data!$H2855</f>
        <v>92.461406518010293</v>
      </c>
    </row>
    <row r="2856" spans="1:10" x14ac:dyDescent="0.3">
      <c r="A2856" s="9">
        <v>39353</v>
      </c>
      <c r="B2856" s="2" t="str">
        <f>TEXT(Raw_Data!$A2856, "MMM")</f>
        <v>Sep</v>
      </c>
      <c r="C2856" s="2">
        <f>YEAR(Raw_Data!$A2856)</f>
        <v>2007</v>
      </c>
      <c r="D2856" s="2" t="s">
        <v>2016</v>
      </c>
      <c r="E2856" s="2" t="s">
        <v>29</v>
      </c>
      <c r="F2856" s="2" t="s">
        <v>16</v>
      </c>
      <c r="G2856" s="2">
        <v>3</v>
      </c>
      <c r="H2856" s="2">
        <v>2072</v>
      </c>
      <c r="I2856" s="10">
        <v>701145</v>
      </c>
      <c r="J2856" s="10">
        <f>Raw_Data!$I2856/Raw_Data!$H2856</f>
        <v>338.39044401544402</v>
      </c>
    </row>
    <row r="2857" spans="1:10" x14ac:dyDescent="0.3">
      <c r="A2857" s="8">
        <v>38814</v>
      </c>
      <c r="B2857" t="str">
        <f>TEXT(Raw_Data!$A2857, "MMM")</f>
        <v>Apr</v>
      </c>
      <c r="C2857">
        <f>YEAR(Raw_Data!$A2857)</f>
        <v>2006</v>
      </c>
      <c r="D2857" t="s">
        <v>2122</v>
      </c>
      <c r="E2857" t="s">
        <v>32</v>
      </c>
      <c r="F2857" t="s">
        <v>27</v>
      </c>
      <c r="G2857">
        <v>4</v>
      </c>
      <c r="H2857">
        <v>3445</v>
      </c>
      <c r="I2857" s="1">
        <v>147411</v>
      </c>
      <c r="J2857" s="1">
        <f>Raw_Data!$I2857/Raw_Data!$H2857</f>
        <v>42.789840348330912</v>
      </c>
    </row>
    <row r="2858" spans="1:10" x14ac:dyDescent="0.3">
      <c r="A2858" s="9">
        <v>38319</v>
      </c>
      <c r="B2858" s="2" t="str">
        <f>TEXT(Raw_Data!$A2858, "MMM")</f>
        <v>Nov</v>
      </c>
      <c r="C2858" s="2">
        <f>YEAR(Raw_Data!$A2858)</f>
        <v>2004</v>
      </c>
      <c r="D2858" s="2" t="s">
        <v>961</v>
      </c>
      <c r="E2858" s="2" t="s">
        <v>32</v>
      </c>
      <c r="F2858" s="2" t="s">
        <v>27</v>
      </c>
      <c r="G2858" s="2">
        <v>5</v>
      </c>
      <c r="H2858" s="2">
        <v>2714</v>
      </c>
      <c r="I2858" s="10">
        <v>835929</v>
      </c>
      <c r="J2858" s="10">
        <f>Raw_Data!$I2858/Raw_Data!$H2858</f>
        <v>308.00626381724391</v>
      </c>
    </row>
    <row r="2859" spans="1:10" x14ac:dyDescent="0.3">
      <c r="A2859" s="8">
        <v>43076</v>
      </c>
      <c r="B2859" t="str">
        <f>TEXT(Raw_Data!$A2859, "MMM")</f>
        <v>Dec</v>
      </c>
      <c r="C2859">
        <f>YEAR(Raw_Data!$A2859)</f>
        <v>2017</v>
      </c>
      <c r="D2859" t="s">
        <v>1847</v>
      </c>
      <c r="E2859" t="s">
        <v>25</v>
      </c>
      <c r="F2859" t="s">
        <v>11</v>
      </c>
      <c r="H2859">
        <v>1546</v>
      </c>
      <c r="I2859" s="1">
        <v>818516</v>
      </c>
      <c r="J2859" s="1">
        <f>Raw_Data!$I2859/Raw_Data!$H2859</f>
        <v>529.44113842173351</v>
      </c>
    </row>
    <row r="2860" spans="1:10" x14ac:dyDescent="0.3">
      <c r="A2860" s="9">
        <v>41340</v>
      </c>
      <c r="B2860" s="2" t="str">
        <f>TEXT(Raw_Data!$A2860, "MMM")</f>
        <v>Mar</v>
      </c>
      <c r="C2860" s="2">
        <f>YEAR(Raw_Data!$A2860)</f>
        <v>2013</v>
      </c>
      <c r="D2860" s="2" t="s">
        <v>2123</v>
      </c>
      <c r="E2860" s="2" t="s">
        <v>25</v>
      </c>
      <c r="F2860" s="2" t="s">
        <v>16</v>
      </c>
      <c r="G2860" s="2">
        <v>5</v>
      </c>
      <c r="H2860" s="2">
        <v>1472</v>
      </c>
      <c r="I2860" s="10">
        <v>747387</v>
      </c>
      <c r="J2860" s="10">
        <f>Raw_Data!$I2860/Raw_Data!$H2860</f>
        <v>507.73573369565219</v>
      </c>
    </row>
    <row r="2861" spans="1:10" x14ac:dyDescent="0.3">
      <c r="A2861" s="8">
        <v>37443</v>
      </c>
      <c r="B2861" t="str">
        <f>TEXT(Raw_Data!$A2861, "MMM")</f>
        <v>Jul</v>
      </c>
      <c r="C2861">
        <f>YEAR(Raw_Data!$A2861)</f>
        <v>2002</v>
      </c>
      <c r="D2861" t="s">
        <v>2124</v>
      </c>
      <c r="E2861" t="s">
        <v>15</v>
      </c>
      <c r="F2861" t="s">
        <v>16</v>
      </c>
      <c r="H2861">
        <v>1672</v>
      </c>
      <c r="I2861" s="1">
        <v>805709</v>
      </c>
      <c r="J2861" s="1">
        <f>Raw_Data!$I2861/Raw_Data!$H2861</f>
        <v>481.88337320574163</v>
      </c>
    </row>
    <row r="2862" spans="1:10" x14ac:dyDescent="0.3">
      <c r="A2862" s="9">
        <v>40276</v>
      </c>
      <c r="B2862" s="2" t="str">
        <f>TEXT(Raw_Data!$A2862, "MMM")</f>
        <v>Apr</v>
      </c>
      <c r="C2862" s="2">
        <f>YEAR(Raw_Data!$A2862)</f>
        <v>2010</v>
      </c>
      <c r="D2862" s="2" t="s">
        <v>254</v>
      </c>
      <c r="E2862" s="2" t="s">
        <v>29</v>
      </c>
      <c r="F2862" s="2" t="s">
        <v>18</v>
      </c>
      <c r="G2862" s="2">
        <v>3</v>
      </c>
      <c r="H2862" s="2">
        <v>2828</v>
      </c>
      <c r="I2862" s="10">
        <v>365387</v>
      </c>
      <c r="J2862" s="10">
        <f>Raw_Data!$I2862/Raw_Data!$H2862</f>
        <v>129.20332390381895</v>
      </c>
    </row>
    <row r="2863" spans="1:10" x14ac:dyDescent="0.3">
      <c r="A2863" s="8">
        <v>41568</v>
      </c>
      <c r="B2863" t="str">
        <f>TEXT(Raw_Data!$A2863, "MMM")</f>
        <v>Oct</v>
      </c>
      <c r="C2863">
        <f>YEAR(Raw_Data!$A2863)</f>
        <v>2013</v>
      </c>
      <c r="D2863" t="s">
        <v>1411</v>
      </c>
      <c r="E2863" t="s">
        <v>29</v>
      </c>
      <c r="F2863" t="s">
        <v>11</v>
      </c>
      <c r="G2863">
        <v>5</v>
      </c>
      <c r="H2863">
        <v>1036</v>
      </c>
      <c r="I2863" s="1">
        <v>461461</v>
      </c>
      <c r="J2863" s="1">
        <f>Raw_Data!$I2863/Raw_Data!$H2863</f>
        <v>445.42567567567568</v>
      </c>
    </row>
    <row r="2864" spans="1:10" x14ac:dyDescent="0.3">
      <c r="A2864" s="9">
        <v>42592</v>
      </c>
      <c r="B2864" s="2" t="str">
        <f>TEXT(Raw_Data!$A2864, "MMM")</f>
        <v>Aug</v>
      </c>
      <c r="C2864" s="2">
        <f>YEAR(Raw_Data!$A2864)</f>
        <v>2016</v>
      </c>
      <c r="D2864" s="2" t="s">
        <v>203</v>
      </c>
      <c r="E2864" s="2" t="s">
        <v>32</v>
      </c>
      <c r="F2864" s="2" t="s">
        <v>16</v>
      </c>
      <c r="G2864" s="2">
        <v>4</v>
      </c>
      <c r="H2864" s="2">
        <v>887</v>
      </c>
      <c r="I2864" s="10">
        <v>780985</v>
      </c>
      <c r="J2864" s="10">
        <f>Raw_Data!$I2864/Raw_Data!$H2864</f>
        <v>880.47914317925597</v>
      </c>
    </row>
    <row r="2865" spans="1:10" x14ac:dyDescent="0.3">
      <c r="A2865" s="8">
        <v>42170</v>
      </c>
      <c r="B2865" t="str">
        <f>TEXT(Raw_Data!$A2865, "MMM")</f>
        <v>Jun</v>
      </c>
      <c r="C2865">
        <f>YEAR(Raw_Data!$A2865)</f>
        <v>2015</v>
      </c>
      <c r="D2865" t="s">
        <v>2125</v>
      </c>
      <c r="E2865" t="s">
        <v>25</v>
      </c>
      <c r="F2865" t="s">
        <v>11</v>
      </c>
      <c r="H2865">
        <v>2062</v>
      </c>
      <c r="I2865" s="1">
        <v>824743</v>
      </c>
      <c r="J2865" s="1">
        <f>Raw_Data!$I2865/Raw_Data!$H2865</f>
        <v>399.97235693501455</v>
      </c>
    </row>
    <row r="2866" spans="1:10" x14ac:dyDescent="0.3">
      <c r="A2866" s="9">
        <v>44143</v>
      </c>
      <c r="B2866" s="2" t="str">
        <f>TEXT(Raw_Data!$A2866, "MMM")</f>
        <v>Nov</v>
      </c>
      <c r="C2866" s="2">
        <f>YEAR(Raw_Data!$A2866)</f>
        <v>2020</v>
      </c>
      <c r="D2866" s="2" t="s">
        <v>2126</v>
      </c>
      <c r="E2866" s="2" t="s">
        <v>25</v>
      </c>
      <c r="F2866" s="2" t="s">
        <v>18</v>
      </c>
      <c r="G2866" s="2"/>
      <c r="H2866" s="2">
        <v>3276</v>
      </c>
      <c r="I2866" s="10">
        <v>751272</v>
      </c>
      <c r="J2866" s="10">
        <f>Raw_Data!$I2866/Raw_Data!$H2866</f>
        <v>229.32600732600733</v>
      </c>
    </row>
    <row r="2867" spans="1:10" x14ac:dyDescent="0.3">
      <c r="A2867" s="8">
        <v>43632</v>
      </c>
      <c r="B2867" t="str">
        <f>TEXT(Raw_Data!$A2867, "MMM")</f>
        <v>Jun</v>
      </c>
      <c r="C2867">
        <f>YEAR(Raw_Data!$A2867)</f>
        <v>2019</v>
      </c>
      <c r="D2867" t="s">
        <v>1342</v>
      </c>
      <c r="E2867" t="s">
        <v>32</v>
      </c>
      <c r="F2867" t="s">
        <v>18</v>
      </c>
      <c r="G2867">
        <v>3</v>
      </c>
      <c r="H2867">
        <v>3079</v>
      </c>
      <c r="I2867" s="1">
        <v>529140</v>
      </c>
      <c r="J2867" s="1">
        <f>Raw_Data!$I2867/Raw_Data!$H2867</f>
        <v>171.85449821370574</v>
      </c>
    </row>
    <row r="2868" spans="1:10" x14ac:dyDescent="0.3">
      <c r="A2868" s="9">
        <v>40163</v>
      </c>
      <c r="B2868" s="2" t="str">
        <f>TEXT(Raw_Data!$A2868, "MMM")</f>
        <v>Dec</v>
      </c>
      <c r="C2868" s="2">
        <f>YEAR(Raw_Data!$A2868)</f>
        <v>2009</v>
      </c>
      <c r="D2868" s="2" t="s">
        <v>1583</v>
      </c>
      <c r="E2868" s="2" t="s">
        <v>25</v>
      </c>
      <c r="F2868" s="2" t="s">
        <v>18</v>
      </c>
      <c r="G2868" s="2"/>
      <c r="H2868" s="2">
        <v>2416</v>
      </c>
      <c r="I2868" s="10">
        <v>471072</v>
      </c>
      <c r="J2868" s="10">
        <f>Raw_Data!$I2868/Raw_Data!$H2868</f>
        <v>194.98013245033113</v>
      </c>
    </row>
    <row r="2869" spans="1:10" x14ac:dyDescent="0.3">
      <c r="A2869" s="8">
        <v>41063</v>
      </c>
      <c r="B2869" t="str">
        <f>TEXT(Raw_Data!$A2869, "MMM")</f>
        <v>Jun</v>
      </c>
      <c r="C2869">
        <f>YEAR(Raw_Data!$A2869)</f>
        <v>2012</v>
      </c>
      <c r="D2869" t="s">
        <v>2127</v>
      </c>
      <c r="E2869" t="s">
        <v>32</v>
      </c>
      <c r="F2869" t="s">
        <v>11</v>
      </c>
      <c r="G2869">
        <v>2</v>
      </c>
      <c r="H2869">
        <v>2307</v>
      </c>
      <c r="I2869" s="1">
        <v>708635</v>
      </c>
      <c r="J2869" s="1">
        <f>Raw_Data!$I2869/Raw_Data!$H2869</f>
        <v>307.16731686172517</v>
      </c>
    </row>
    <row r="2870" spans="1:10" x14ac:dyDescent="0.3">
      <c r="A2870" s="9">
        <v>39083</v>
      </c>
      <c r="B2870" s="2" t="str">
        <f>TEXT(Raw_Data!$A2870, "MMM")</f>
        <v>Jan</v>
      </c>
      <c r="C2870" s="2">
        <f>YEAR(Raw_Data!$A2870)</f>
        <v>2007</v>
      </c>
      <c r="D2870" s="2" t="s">
        <v>171</v>
      </c>
      <c r="E2870" s="2" t="s">
        <v>15</v>
      </c>
      <c r="F2870" s="2" t="s">
        <v>18</v>
      </c>
      <c r="G2870" s="2">
        <v>5</v>
      </c>
      <c r="H2870" s="2">
        <v>2700</v>
      </c>
      <c r="I2870" s="10">
        <v>419638</v>
      </c>
      <c r="J2870" s="10">
        <f>Raw_Data!$I2870/Raw_Data!$H2870</f>
        <v>155.42148148148149</v>
      </c>
    </row>
    <row r="2871" spans="1:10" x14ac:dyDescent="0.3">
      <c r="A2871" s="8">
        <v>42382</v>
      </c>
      <c r="B2871" t="str">
        <f>TEXT(Raw_Data!$A2871, "MMM")</f>
        <v>Jan</v>
      </c>
      <c r="C2871">
        <f>YEAR(Raw_Data!$A2871)</f>
        <v>2016</v>
      </c>
      <c r="D2871" t="s">
        <v>2128</v>
      </c>
      <c r="E2871" t="s">
        <v>25</v>
      </c>
      <c r="F2871" t="s">
        <v>18</v>
      </c>
      <c r="H2871">
        <v>1792</v>
      </c>
      <c r="I2871" s="1">
        <v>636684</v>
      </c>
      <c r="J2871" s="1">
        <f>Raw_Data!$I2871/Raw_Data!$H2871</f>
        <v>355.29241071428572</v>
      </c>
    </row>
    <row r="2872" spans="1:10" x14ac:dyDescent="0.3">
      <c r="A2872" s="9">
        <v>43414</v>
      </c>
      <c r="B2872" s="2" t="str">
        <f>TEXT(Raw_Data!$A2872, "MMM")</f>
        <v>Nov</v>
      </c>
      <c r="C2872" s="2">
        <f>YEAR(Raw_Data!$A2872)</f>
        <v>2018</v>
      </c>
      <c r="D2872" s="2" t="s">
        <v>1027</v>
      </c>
      <c r="E2872" s="2" t="s">
        <v>25</v>
      </c>
      <c r="F2872" s="2" t="s">
        <v>11</v>
      </c>
      <c r="G2872" s="2">
        <v>5</v>
      </c>
      <c r="H2872" s="2">
        <v>1793</v>
      </c>
      <c r="I2872" s="10">
        <v>675342</v>
      </c>
      <c r="J2872" s="10">
        <f>Raw_Data!$I2872/Raw_Data!$H2872</f>
        <v>376.65476854433911</v>
      </c>
    </row>
    <row r="2873" spans="1:10" x14ac:dyDescent="0.3">
      <c r="A2873" s="8">
        <v>42874</v>
      </c>
      <c r="B2873" t="str">
        <f>TEXT(Raw_Data!$A2873, "MMM")</f>
        <v>May</v>
      </c>
      <c r="C2873">
        <f>YEAR(Raw_Data!$A2873)</f>
        <v>2017</v>
      </c>
      <c r="D2873" t="s">
        <v>2129</v>
      </c>
      <c r="E2873" t="s">
        <v>32</v>
      </c>
      <c r="F2873" t="s">
        <v>27</v>
      </c>
      <c r="G2873">
        <v>5</v>
      </c>
      <c r="H2873">
        <v>2895</v>
      </c>
      <c r="I2873" s="1"/>
      <c r="J2873" s="1">
        <f>Raw_Data!$I2873/Raw_Data!$H2873</f>
        <v>0</v>
      </c>
    </row>
    <row r="2874" spans="1:10" x14ac:dyDescent="0.3">
      <c r="A2874" s="9">
        <v>42069</v>
      </c>
      <c r="B2874" s="2" t="str">
        <f>TEXT(Raw_Data!$A2874, "MMM")</f>
        <v>Mar</v>
      </c>
      <c r="C2874" s="2">
        <f>YEAR(Raw_Data!$A2874)</f>
        <v>2015</v>
      </c>
      <c r="D2874" s="2" t="s">
        <v>2130</v>
      </c>
      <c r="E2874" s="2" t="s">
        <v>13</v>
      </c>
      <c r="F2874" s="2" t="s">
        <v>16</v>
      </c>
      <c r="G2874" s="2">
        <v>3</v>
      </c>
      <c r="H2874" s="2">
        <v>1162</v>
      </c>
      <c r="I2874" s="10">
        <v>853757</v>
      </c>
      <c r="J2874" s="10">
        <f>Raw_Data!$I2874/Raw_Data!$H2874</f>
        <v>734.73063683304645</v>
      </c>
    </row>
    <row r="2875" spans="1:10" x14ac:dyDescent="0.3">
      <c r="A2875" s="8">
        <v>38831</v>
      </c>
      <c r="B2875" t="str">
        <f>TEXT(Raw_Data!$A2875, "MMM")</f>
        <v>Apr</v>
      </c>
      <c r="C2875">
        <f>YEAR(Raw_Data!$A2875)</f>
        <v>2006</v>
      </c>
      <c r="D2875" t="s">
        <v>2131</v>
      </c>
      <c r="E2875" t="s">
        <v>15</v>
      </c>
      <c r="F2875" t="s">
        <v>18</v>
      </c>
      <c r="G2875">
        <v>2</v>
      </c>
      <c r="H2875">
        <v>3349</v>
      </c>
      <c r="I2875" s="1">
        <v>593530</v>
      </c>
      <c r="J2875" s="1">
        <f>Raw_Data!$I2875/Raw_Data!$H2875</f>
        <v>177.22603762317109</v>
      </c>
    </row>
    <row r="2876" spans="1:10" x14ac:dyDescent="0.3">
      <c r="A2876" s="9">
        <v>37374</v>
      </c>
      <c r="B2876" s="2" t="str">
        <f>TEXT(Raw_Data!$A2876, "MMM")</f>
        <v>Apr</v>
      </c>
      <c r="C2876" s="2">
        <f>YEAR(Raw_Data!$A2876)</f>
        <v>2002</v>
      </c>
      <c r="D2876" s="2" t="s">
        <v>2132</v>
      </c>
      <c r="E2876" s="2" t="s">
        <v>25</v>
      </c>
      <c r="F2876" s="2" t="s">
        <v>16</v>
      </c>
      <c r="G2876" s="2"/>
      <c r="H2876" s="2">
        <v>3460</v>
      </c>
      <c r="I2876" s="10">
        <v>186890</v>
      </c>
      <c r="J2876" s="10">
        <f>Raw_Data!$I2876/Raw_Data!$H2876</f>
        <v>54.01445086705202</v>
      </c>
    </row>
    <row r="2877" spans="1:10" x14ac:dyDescent="0.3">
      <c r="A2877" s="8">
        <v>43705</v>
      </c>
      <c r="B2877" t="str">
        <f>TEXT(Raw_Data!$A2877, "MMM")</f>
        <v>Aug</v>
      </c>
      <c r="C2877">
        <f>YEAR(Raw_Data!$A2877)</f>
        <v>2019</v>
      </c>
      <c r="D2877" t="s">
        <v>2133</v>
      </c>
      <c r="E2877" t="s">
        <v>15</v>
      </c>
      <c r="F2877" t="s">
        <v>11</v>
      </c>
      <c r="H2877">
        <v>3295</v>
      </c>
      <c r="I2877" s="1">
        <v>828304</v>
      </c>
      <c r="J2877" s="1">
        <f>Raw_Data!$I2877/Raw_Data!$H2877</f>
        <v>251.38209408194234</v>
      </c>
    </row>
    <row r="2878" spans="1:10" x14ac:dyDescent="0.3">
      <c r="A2878" s="9">
        <v>43542</v>
      </c>
      <c r="B2878" s="2" t="str">
        <f>TEXT(Raw_Data!$A2878, "MMM")</f>
        <v>Mar</v>
      </c>
      <c r="C2878" s="2">
        <f>YEAR(Raw_Data!$A2878)</f>
        <v>2019</v>
      </c>
      <c r="D2878" s="2" t="s">
        <v>562</v>
      </c>
      <c r="E2878" s="2" t="s">
        <v>32</v>
      </c>
      <c r="F2878" s="2" t="s">
        <v>11</v>
      </c>
      <c r="G2878" s="2">
        <v>3</v>
      </c>
      <c r="H2878" s="2">
        <v>1104</v>
      </c>
      <c r="I2878" s="10">
        <v>502998</v>
      </c>
      <c r="J2878" s="10">
        <f>Raw_Data!$I2878/Raw_Data!$H2878</f>
        <v>455.61413043478262</v>
      </c>
    </row>
    <row r="2879" spans="1:10" x14ac:dyDescent="0.3">
      <c r="A2879" s="8">
        <v>41379</v>
      </c>
      <c r="B2879" t="str">
        <f>TEXT(Raw_Data!$A2879, "MMM")</f>
        <v>Apr</v>
      </c>
      <c r="C2879">
        <f>YEAR(Raw_Data!$A2879)</f>
        <v>2013</v>
      </c>
      <c r="D2879" t="s">
        <v>2134</v>
      </c>
      <c r="E2879" t="s">
        <v>25</v>
      </c>
      <c r="F2879" t="s">
        <v>11</v>
      </c>
      <c r="G2879">
        <v>5</v>
      </c>
      <c r="H2879">
        <v>2593</v>
      </c>
      <c r="I2879" s="1">
        <v>555897</v>
      </c>
      <c r="J2879" s="1">
        <f>Raw_Data!$I2879/Raw_Data!$H2879</f>
        <v>214.3837254145777</v>
      </c>
    </row>
    <row r="2880" spans="1:10" x14ac:dyDescent="0.3">
      <c r="A2880" s="9">
        <v>37048</v>
      </c>
      <c r="B2880" s="2" t="str">
        <f>TEXT(Raw_Data!$A2880, "MMM")</f>
        <v>Jun</v>
      </c>
      <c r="C2880" s="2">
        <f>YEAR(Raw_Data!$A2880)</f>
        <v>2001</v>
      </c>
      <c r="D2880" s="2" t="s">
        <v>1570</v>
      </c>
      <c r="E2880" s="2" t="s">
        <v>21</v>
      </c>
      <c r="F2880" s="2" t="s">
        <v>18</v>
      </c>
      <c r="G2880" s="2"/>
      <c r="H2880" s="2">
        <v>1101</v>
      </c>
      <c r="I2880" s="10">
        <v>381742</v>
      </c>
      <c r="J2880" s="10">
        <f>Raw_Data!$I2880/Raw_Data!$H2880</f>
        <v>346.72297910990011</v>
      </c>
    </row>
    <row r="2881" spans="1:10" x14ac:dyDescent="0.3">
      <c r="A2881" s="8">
        <v>44106</v>
      </c>
      <c r="B2881" t="str">
        <f>TEXT(Raw_Data!$A2881, "MMM")</f>
        <v>Oct</v>
      </c>
      <c r="C2881">
        <f>YEAR(Raw_Data!$A2881)</f>
        <v>2020</v>
      </c>
      <c r="D2881" t="s">
        <v>424</v>
      </c>
      <c r="E2881" t="s">
        <v>32</v>
      </c>
      <c r="F2881" t="s">
        <v>18</v>
      </c>
      <c r="G2881">
        <v>3</v>
      </c>
      <c r="H2881">
        <v>1065</v>
      </c>
      <c r="I2881" s="1">
        <v>596383</v>
      </c>
      <c r="J2881" s="1">
        <f>Raw_Data!$I2881/Raw_Data!$H2881</f>
        <v>559.98403755868549</v>
      </c>
    </row>
    <row r="2882" spans="1:10" x14ac:dyDescent="0.3">
      <c r="A2882" s="9">
        <v>40775</v>
      </c>
      <c r="B2882" s="2" t="str">
        <f>TEXT(Raw_Data!$A2882, "MMM")</f>
        <v>Aug</v>
      </c>
      <c r="C2882" s="2">
        <f>YEAR(Raw_Data!$A2882)</f>
        <v>2011</v>
      </c>
      <c r="D2882" s="2" t="s">
        <v>2135</v>
      </c>
      <c r="E2882" s="2" t="s">
        <v>23</v>
      </c>
      <c r="F2882" s="2" t="s">
        <v>16</v>
      </c>
      <c r="G2882" s="2">
        <v>4</v>
      </c>
      <c r="H2882" s="2">
        <v>1024</v>
      </c>
      <c r="I2882" s="10">
        <v>720028</v>
      </c>
      <c r="J2882" s="10">
        <f>Raw_Data!$I2882/Raw_Data!$H2882</f>
        <v>703.15234375</v>
      </c>
    </row>
    <row r="2883" spans="1:10" x14ac:dyDescent="0.3">
      <c r="A2883" s="8">
        <v>41090</v>
      </c>
      <c r="B2883" t="str">
        <f>TEXT(Raw_Data!$A2883, "MMM")</f>
        <v>Jun</v>
      </c>
      <c r="C2883">
        <f>YEAR(Raw_Data!$A2883)</f>
        <v>2012</v>
      </c>
      <c r="D2883" t="s">
        <v>2136</v>
      </c>
      <c r="E2883" t="s">
        <v>15</v>
      </c>
      <c r="F2883" t="s">
        <v>27</v>
      </c>
      <c r="H2883">
        <v>981</v>
      </c>
      <c r="I2883" s="1">
        <v>119203</v>
      </c>
      <c r="J2883" s="1">
        <f>Raw_Data!$I2883/Raw_Data!$H2883</f>
        <v>121.51172273190622</v>
      </c>
    </row>
    <row r="2884" spans="1:10" x14ac:dyDescent="0.3">
      <c r="A2884" s="9">
        <v>37566</v>
      </c>
      <c r="B2884" s="2" t="str">
        <f>TEXT(Raw_Data!$A2884, "MMM")</f>
        <v>Nov</v>
      </c>
      <c r="C2884" s="2">
        <f>YEAR(Raw_Data!$A2884)</f>
        <v>2002</v>
      </c>
      <c r="D2884" s="2" t="s">
        <v>1529</v>
      </c>
      <c r="E2884" s="2" t="s">
        <v>21</v>
      </c>
      <c r="F2884" s="2" t="s">
        <v>27</v>
      </c>
      <c r="G2884" s="2">
        <v>3</v>
      </c>
      <c r="H2884" s="2">
        <v>906</v>
      </c>
      <c r="I2884" s="10">
        <v>241416</v>
      </c>
      <c r="J2884" s="10">
        <f>Raw_Data!$I2884/Raw_Data!$H2884</f>
        <v>266.46357615894038</v>
      </c>
    </row>
    <row r="2885" spans="1:10" x14ac:dyDescent="0.3">
      <c r="A2885" s="8">
        <v>42851</v>
      </c>
      <c r="B2885" t="str">
        <f>TEXT(Raw_Data!$A2885, "MMM")</f>
        <v>Apr</v>
      </c>
      <c r="C2885">
        <f>YEAR(Raw_Data!$A2885)</f>
        <v>2017</v>
      </c>
      <c r="D2885" t="s">
        <v>2137</v>
      </c>
      <c r="E2885" t="s">
        <v>25</v>
      </c>
      <c r="F2885" t="s">
        <v>16</v>
      </c>
      <c r="G2885">
        <v>5</v>
      </c>
      <c r="H2885">
        <v>2024</v>
      </c>
      <c r="I2885" s="1">
        <v>447923</v>
      </c>
      <c r="J2885" s="1">
        <f>Raw_Data!$I2885/Raw_Data!$H2885</f>
        <v>221.30583003952569</v>
      </c>
    </row>
    <row r="2886" spans="1:10" x14ac:dyDescent="0.3">
      <c r="A2886" s="9">
        <v>43037</v>
      </c>
      <c r="B2886" s="2" t="str">
        <f>TEXT(Raw_Data!$A2886, "MMM")</f>
        <v>Oct</v>
      </c>
      <c r="C2886" s="2">
        <f>YEAR(Raw_Data!$A2886)</f>
        <v>2017</v>
      </c>
      <c r="D2886" s="2" t="s">
        <v>2138</v>
      </c>
      <c r="E2886" s="2" t="s">
        <v>15</v>
      </c>
      <c r="F2886" s="2" t="s">
        <v>11</v>
      </c>
      <c r="G2886" s="2">
        <v>3</v>
      </c>
      <c r="H2886" s="2">
        <v>1498</v>
      </c>
      <c r="I2886" s="10">
        <v>429062</v>
      </c>
      <c r="J2886" s="10">
        <f>Raw_Data!$I2886/Raw_Data!$H2886</f>
        <v>286.42323097463282</v>
      </c>
    </row>
    <row r="2887" spans="1:10" x14ac:dyDescent="0.3">
      <c r="A2887" s="8">
        <v>43787</v>
      </c>
      <c r="B2887" t="str">
        <f>TEXT(Raw_Data!$A2887, "MMM")</f>
        <v>Nov</v>
      </c>
      <c r="C2887">
        <f>YEAR(Raw_Data!$A2887)</f>
        <v>2019</v>
      </c>
      <c r="D2887" t="s">
        <v>1637</v>
      </c>
      <c r="E2887" t="s">
        <v>15</v>
      </c>
      <c r="F2887" t="s">
        <v>11</v>
      </c>
      <c r="G2887">
        <v>3</v>
      </c>
      <c r="H2887">
        <v>1130</v>
      </c>
      <c r="I2887" s="1">
        <v>805088</v>
      </c>
      <c r="J2887" s="1">
        <f>Raw_Data!$I2887/Raw_Data!$H2887</f>
        <v>712.46725663716813</v>
      </c>
    </row>
    <row r="2888" spans="1:10" x14ac:dyDescent="0.3">
      <c r="A2888" s="9">
        <v>41497</v>
      </c>
      <c r="B2888" s="2" t="str">
        <f>TEXT(Raw_Data!$A2888, "MMM")</f>
        <v>Aug</v>
      </c>
      <c r="C2888" s="2">
        <f>YEAR(Raw_Data!$A2888)</f>
        <v>2013</v>
      </c>
      <c r="D2888" s="2" t="s">
        <v>2139</v>
      </c>
      <c r="E2888" s="2" t="s">
        <v>23</v>
      </c>
      <c r="F2888" s="2" t="s">
        <v>11</v>
      </c>
      <c r="G2888" s="2"/>
      <c r="H2888" s="2">
        <v>2313</v>
      </c>
      <c r="I2888" s="10">
        <v>833160</v>
      </c>
      <c r="J2888" s="10">
        <f>Raw_Data!$I2888/Raw_Data!$H2888</f>
        <v>360.20752269779507</v>
      </c>
    </row>
    <row r="2889" spans="1:10" x14ac:dyDescent="0.3">
      <c r="A2889" s="8">
        <v>42279</v>
      </c>
      <c r="B2889" t="str">
        <f>TEXT(Raw_Data!$A2889, "MMM")</f>
        <v>Oct</v>
      </c>
      <c r="C2889">
        <f>YEAR(Raw_Data!$A2889)</f>
        <v>2015</v>
      </c>
      <c r="D2889" t="s">
        <v>2140</v>
      </c>
      <c r="E2889" t="s">
        <v>32</v>
      </c>
      <c r="F2889" t="s">
        <v>11</v>
      </c>
      <c r="H2889">
        <v>3008</v>
      </c>
      <c r="I2889" s="1">
        <v>510328</v>
      </c>
      <c r="J2889" s="1">
        <f>Raw_Data!$I2889/Raw_Data!$H2889</f>
        <v>169.65691489361703</v>
      </c>
    </row>
    <row r="2890" spans="1:10" x14ac:dyDescent="0.3">
      <c r="A2890" s="9">
        <v>37436</v>
      </c>
      <c r="B2890" s="2" t="str">
        <f>TEXT(Raw_Data!$A2890, "MMM")</f>
        <v>Jun</v>
      </c>
      <c r="C2890" s="2">
        <f>YEAR(Raw_Data!$A2890)</f>
        <v>2002</v>
      </c>
      <c r="D2890" s="2" t="s">
        <v>2141</v>
      </c>
      <c r="E2890" s="2" t="s">
        <v>21</v>
      </c>
      <c r="F2890" s="2" t="s">
        <v>27</v>
      </c>
      <c r="G2890" s="2">
        <v>5</v>
      </c>
      <c r="H2890" s="2">
        <v>1153</v>
      </c>
      <c r="I2890" s="10">
        <v>857309</v>
      </c>
      <c r="J2890" s="10">
        <f>Raw_Data!$I2890/Raw_Data!$H2890</f>
        <v>743.5464006938422</v>
      </c>
    </row>
    <row r="2891" spans="1:10" x14ac:dyDescent="0.3">
      <c r="A2891" s="8">
        <v>42309</v>
      </c>
      <c r="B2891" t="str">
        <f>TEXT(Raw_Data!$A2891, "MMM")</f>
        <v>Nov</v>
      </c>
      <c r="C2891">
        <f>YEAR(Raw_Data!$A2891)</f>
        <v>2015</v>
      </c>
      <c r="D2891" t="s">
        <v>1194</v>
      </c>
      <c r="E2891" t="s">
        <v>21</v>
      </c>
      <c r="F2891" t="s">
        <v>11</v>
      </c>
      <c r="G2891">
        <v>3</v>
      </c>
      <c r="H2891">
        <v>1609</v>
      </c>
      <c r="I2891" s="1">
        <v>489390</v>
      </c>
      <c r="J2891" s="1">
        <f>Raw_Data!$I2891/Raw_Data!$H2891</f>
        <v>304.15786202610315</v>
      </c>
    </row>
    <row r="2892" spans="1:10" x14ac:dyDescent="0.3">
      <c r="A2892" s="9">
        <v>43352</v>
      </c>
      <c r="B2892" s="2" t="str">
        <f>TEXT(Raw_Data!$A2892, "MMM")</f>
        <v>Sep</v>
      </c>
      <c r="C2892" s="2">
        <f>YEAR(Raw_Data!$A2892)</f>
        <v>2018</v>
      </c>
      <c r="D2892" s="2" t="s">
        <v>1364</v>
      </c>
      <c r="E2892" s="2" t="s">
        <v>32</v>
      </c>
      <c r="F2892" s="2" t="s">
        <v>16</v>
      </c>
      <c r="G2892" s="2">
        <v>2</v>
      </c>
      <c r="H2892" s="2">
        <v>1469</v>
      </c>
      <c r="I2892" s="10">
        <v>195262</v>
      </c>
      <c r="J2892" s="10">
        <f>Raw_Data!$I2892/Raw_Data!$H2892</f>
        <v>132.92171545268891</v>
      </c>
    </row>
    <row r="2893" spans="1:10" x14ac:dyDescent="0.3">
      <c r="A2893" s="8">
        <v>38967</v>
      </c>
      <c r="B2893" t="str">
        <f>TEXT(Raw_Data!$A2893, "MMM")</f>
        <v>Sep</v>
      </c>
      <c r="C2893">
        <f>YEAR(Raw_Data!$A2893)</f>
        <v>2006</v>
      </c>
      <c r="D2893" t="s">
        <v>529</v>
      </c>
      <c r="E2893" t="s">
        <v>23</v>
      </c>
      <c r="F2893" t="s">
        <v>18</v>
      </c>
      <c r="G2893">
        <v>4</v>
      </c>
      <c r="H2893">
        <v>1101</v>
      </c>
      <c r="I2893" s="1">
        <v>155362</v>
      </c>
      <c r="J2893" s="1">
        <f>Raw_Data!$I2893/Raw_Data!$H2893</f>
        <v>141.10990009082653</v>
      </c>
    </row>
    <row r="2894" spans="1:10" x14ac:dyDescent="0.3">
      <c r="A2894" s="9">
        <v>37399</v>
      </c>
      <c r="B2894" s="2" t="str">
        <f>TEXT(Raw_Data!$A2894, "MMM")</f>
        <v>May</v>
      </c>
      <c r="C2894" s="2">
        <f>YEAR(Raw_Data!$A2894)</f>
        <v>2002</v>
      </c>
      <c r="D2894" s="2" t="s">
        <v>552</v>
      </c>
      <c r="E2894" s="2" t="s">
        <v>23</v>
      </c>
      <c r="F2894" s="2" t="s">
        <v>16</v>
      </c>
      <c r="G2894" s="2"/>
      <c r="H2894" s="2">
        <v>3229</v>
      </c>
      <c r="I2894" s="10">
        <v>515883</v>
      </c>
      <c r="J2894" s="10">
        <f>Raw_Data!$I2894/Raw_Data!$H2894</f>
        <v>159.76556209352742</v>
      </c>
    </row>
    <row r="2895" spans="1:10" x14ac:dyDescent="0.3">
      <c r="A2895" s="8">
        <v>42008</v>
      </c>
      <c r="B2895" t="str">
        <f>TEXT(Raw_Data!$A2895, "MMM")</f>
        <v>Jan</v>
      </c>
      <c r="C2895">
        <f>YEAR(Raw_Data!$A2895)</f>
        <v>2015</v>
      </c>
      <c r="D2895" t="s">
        <v>846</v>
      </c>
      <c r="E2895" t="s">
        <v>25</v>
      </c>
      <c r="F2895" t="s">
        <v>18</v>
      </c>
      <c r="G2895">
        <v>4</v>
      </c>
      <c r="H2895">
        <v>1896</v>
      </c>
      <c r="I2895" s="1">
        <v>792247</v>
      </c>
      <c r="J2895" s="1">
        <f>Raw_Data!$I2895/Raw_Data!$H2895</f>
        <v>417.85179324894517</v>
      </c>
    </row>
    <row r="2896" spans="1:10" x14ac:dyDescent="0.3">
      <c r="A2896" s="9">
        <v>41870</v>
      </c>
      <c r="B2896" s="2" t="str">
        <f>TEXT(Raw_Data!$A2896, "MMM")</f>
        <v>Aug</v>
      </c>
      <c r="C2896" s="2">
        <f>YEAR(Raw_Data!$A2896)</f>
        <v>2014</v>
      </c>
      <c r="D2896" s="2" t="s">
        <v>526</v>
      </c>
      <c r="E2896" s="2" t="s">
        <v>25</v>
      </c>
      <c r="F2896" s="2" t="s">
        <v>11</v>
      </c>
      <c r="G2896" s="2">
        <v>2</v>
      </c>
      <c r="H2896" s="2">
        <v>1872</v>
      </c>
      <c r="I2896" s="10">
        <v>109965</v>
      </c>
      <c r="J2896" s="10">
        <f>Raw_Data!$I2896/Raw_Data!$H2896</f>
        <v>58.741987179487182</v>
      </c>
    </row>
    <row r="2897" spans="1:10" x14ac:dyDescent="0.3">
      <c r="A2897" s="8">
        <v>39515</v>
      </c>
      <c r="B2897" t="str">
        <f>TEXT(Raw_Data!$A2897, "MMM")</f>
        <v>Mar</v>
      </c>
      <c r="C2897">
        <f>YEAR(Raw_Data!$A2897)</f>
        <v>2008</v>
      </c>
      <c r="D2897" t="s">
        <v>2142</v>
      </c>
      <c r="E2897" t="s">
        <v>15</v>
      </c>
      <c r="F2897" t="s">
        <v>16</v>
      </c>
      <c r="G2897">
        <v>5</v>
      </c>
      <c r="H2897">
        <v>1800</v>
      </c>
      <c r="I2897" s="1">
        <v>169145</v>
      </c>
      <c r="J2897" s="1">
        <f>Raw_Data!$I2897/Raw_Data!$H2897</f>
        <v>93.969444444444449</v>
      </c>
    </row>
    <row r="2898" spans="1:10" x14ac:dyDescent="0.3">
      <c r="A2898" s="9">
        <v>38494</v>
      </c>
      <c r="B2898" s="2" t="str">
        <f>TEXT(Raw_Data!$A2898, "MMM")</f>
        <v>May</v>
      </c>
      <c r="C2898" s="2">
        <f>YEAR(Raw_Data!$A2898)</f>
        <v>2005</v>
      </c>
      <c r="D2898" s="2" t="s">
        <v>1876</v>
      </c>
      <c r="E2898" s="2" t="s">
        <v>13</v>
      </c>
      <c r="F2898" s="2" t="s">
        <v>11</v>
      </c>
      <c r="G2898" s="2">
        <v>3</v>
      </c>
      <c r="H2898" s="2">
        <v>1932</v>
      </c>
      <c r="I2898" s="10">
        <v>697756</v>
      </c>
      <c r="J2898" s="10">
        <f>Raw_Data!$I2898/Raw_Data!$H2898</f>
        <v>361.15734989648035</v>
      </c>
    </row>
    <row r="2899" spans="1:10" x14ac:dyDescent="0.3">
      <c r="A2899" s="8">
        <v>40096</v>
      </c>
      <c r="B2899" t="str">
        <f>TEXT(Raw_Data!$A2899, "MMM")</f>
        <v>Oct</v>
      </c>
      <c r="C2899">
        <f>YEAR(Raw_Data!$A2899)</f>
        <v>2009</v>
      </c>
      <c r="D2899" t="s">
        <v>2143</v>
      </c>
      <c r="E2899" t="s">
        <v>25</v>
      </c>
      <c r="F2899" t="s">
        <v>16</v>
      </c>
      <c r="G2899">
        <v>4</v>
      </c>
      <c r="H2899">
        <v>3440</v>
      </c>
      <c r="I2899" s="1">
        <v>566389</v>
      </c>
      <c r="J2899" s="1">
        <f>Raw_Data!$I2899/Raw_Data!$H2899</f>
        <v>164.64796511627907</v>
      </c>
    </row>
    <row r="2900" spans="1:10" x14ac:dyDescent="0.3">
      <c r="A2900" s="9">
        <v>37341</v>
      </c>
      <c r="B2900" s="2" t="str">
        <f>TEXT(Raw_Data!$A2900, "MMM")</f>
        <v>Mar</v>
      </c>
      <c r="C2900" s="2">
        <f>YEAR(Raw_Data!$A2900)</f>
        <v>2002</v>
      </c>
      <c r="D2900" s="2" t="s">
        <v>383</v>
      </c>
      <c r="E2900" s="2" t="s">
        <v>32</v>
      </c>
      <c r="F2900" s="2" t="s">
        <v>18</v>
      </c>
      <c r="G2900" s="2">
        <v>4</v>
      </c>
      <c r="H2900" s="2">
        <v>2021</v>
      </c>
      <c r="I2900" s="10">
        <v>807672</v>
      </c>
      <c r="J2900" s="10">
        <f>Raw_Data!$I2900/Raw_Data!$H2900</f>
        <v>399.63978228599706</v>
      </c>
    </row>
    <row r="2901" spans="1:10" x14ac:dyDescent="0.3">
      <c r="A2901" s="8">
        <v>39092</v>
      </c>
      <c r="B2901" t="str">
        <f>TEXT(Raw_Data!$A2901, "MMM")</f>
        <v>Jan</v>
      </c>
      <c r="C2901">
        <f>YEAR(Raw_Data!$A2901)</f>
        <v>2007</v>
      </c>
      <c r="D2901" t="s">
        <v>2144</v>
      </c>
      <c r="E2901" t="s">
        <v>32</v>
      </c>
      <c r="F2901" t="s">
        <v>16</v>
      </c>
      <c r="H2901">
        <v>937</v>
      </c>
      <c r="I2901" s="1">
        <v>834882</v>
      </c>
      <c r="J2901" s="1">
        <f>Raw_Data!$I2901/Raw_Data!$H2901</f>
        <v>891.01600853788682</v>
      </c>
    </row>
    <row r="2902" spans="1:10" x14ac:dyDescent="0.3">
      <c r="A2902" s="9">
        <v>37762</v>
      </c>
      <c r="B2902" s="2" t="str">
        <f>TEXT(Raw_Data!$A2902, "MMM")</f>
        <v>May</v>
      </c>
      <c r="C2902" s="2">
        <f>YEAR(Raw_Data!$A2902)</f>
        <v>2003</v>
      </c>
      <c r="D2902" s="2" t="s">
        <v>1014</v>
      </c>
      <c r="E2902" s="2" t="s">
        <v>29</v>
      </c>
      <c r="F2902" s="2" t="s">
        <v>27</v>
      </c>
      <c r="G2902" s="2"/>
      <c r="H2902" s="2">
        <v>2665</v>
      </c>
      <c r="I2902" s="10">
        <v>723057</v>
      </c>
      <c r="J2902" s="10">
        <f>Raw_Data!$I2902/Raw_Data!$H2902</f>
        <v>271.31594746716701</v>
      </c>
    </row>
    <row r="2903" spans="1:10" x14ac:dyDescent="0.3">
      <c r="A2903" s="8">
        <v>37843</v>
      </c>
      <c r="B2903" t="str">
        <f>TEXT(Raw_Data!$A2903, "MMM")</f>
        <v>Aug</v>
      </c>
      <c r="C2903">
        <f>YEAR(Raw_Data!$A2903)</f>
        <v>2003</v>
      </c>
      <c r="D2903" t="s">
        <v>116</v>
      </c>
      <c r="E2903" t="s">
        <v>21</v>
      </c>
      <c r="F2903" t="s">
        <v>27</v>
      </c>
      <c r="G2903">
        <v>5</v>
      </c>
      <c r="H2903">
        <v>2506</v>
      </c>
      <c r="I2903" s="1"/>
      <c r="J2903" s="1">
        <f>Raw_Data!$I2903/Raw_Data!$H2903</f>
        <v>0</v>
      </c>
    </row>
    <row r="2904" spans="1:10" x14ac:dyDescent="0.3">
      <c r="A2904" s="9">
        <v>42400</v>
      </c>
      <c r="B2904" s="2" t="str">
        <f>TEXT(Raw_Data!$A2904, "MMM")</f>
        <v>Jan</v>
      </c>
      <c r="C2904" s="2">
        <f>YEAR(Raw_Data!$A2904)</f>
        <v>2016</v>
      </c>
      <c r="D2904" s="2" t="s">
        <v>1087</v>
      </c>
      <c r="E2904" s="2" t="s">
        <v>13</v>
      </c>
      <c r="F2904" s="2" t="s">
        <v>11</v>
      </c>
      <c r="G2904" s="2">
        <v>4</v>
      </c>
      <c r="H2904" s="2">
        <v>2262</v>
      </c>
      <c r="I2904" s="10">
        <v>211585</v>
      </c>
      <c r="J2904" s="10">
        <f>Raw_Data!$I2904/Raw_Data!$H2904</f>
        <v>93.538903625110521</v>
      </c>
    </row>
    <row r="2905" spans="1:10" x14ac:dyDescent="0.3">
      <c r="A2905" s="8">
        <v>38175</v>
      </c>
      <c r="B2905" t="str">
        <f>TEXT(Raw_Data!$A2905, "MMM")</f>
        <v>Jul</v>
      </c>
      <c r="C2905">
        <f>YEAR(Raw_Data!$A2905)</f>
        <v>2004</v>
      </c>
      <c r="D2905" t="s">
        <v>2145</v>
      </c>
      <c r="E2905" t="s">
        <v>29</v>
      </c>
      <c r="F2905" t="s">
        <v>27</v>
      </c>
      <c r="G2905">
        <v>5</v>
      </c>
      <c r="H2905">
        <v>2766</v>
      </c>
      <c r="I2905" s="1">
        <v>217458</v>
      </c>
      <c r="J2905" s="1">
        <f>Raw_Data!$I2905/Raw_Data!$H2905</f>
        <v>78.618221258134497</v>
      </c>
    </row>
    <row r="2906" spans="1:10" x14ac:dyDescent="0.3">
      <c r="A2906" s="9">
        <v>42231</v>
      </c>
      <c r="B2906" s="2" t="str">
        <f>TEXT(Raw_Data!$A2906, "MMM")</f>
        <v>Aug</v>
      </c>
      <c r="C2906" s="2">
        <f>YEAR(Raw_Data!$A2906)</f>
        <v>2015</v>
      </c>
      <c r="D2906" s="2" t="s">
        <v>2146</v>
      </c>
      <c r="E2906" s="2" t="s">
        <v>23</v>
      </c>
      <c r="F2906" s="2" t="s">
        <v>11</v>
      </c>
      <c r="G2906" s="2">
        <v>2</v>
      </c>
      <c r="H2906" s="2">
        <v>2301</v>
      </c>
      <c r="I2906" s="10">
        <v>654983</v>
      </c>
      <c r="J2906" s="10">
        <f>Raw_Data!$I2906/Raw_Data!$H2906</f>
        <v>284.65145588874401</v>
      </c>
    </row>
    <row r="2907" spans="1:10" x14ac:dyDescent="0.3">
      <c r="A2907" s="8">
        <v>40210</v>
      </c>
      <c r="B2907" t="str">
        <f>TEXT(Raw_Data!$A2907, "MMM")</f>
        <v>Feb</v>
      </c>
      <c r="C2907">
        <f>YEAR(Raw_Data!$A2907)</f>
        <v>2010</v>
      </c>
      <c r="D2907" t="s">
        <v>2147</v>
      </c>
      <c r="E2907" t="s">
        <v>23</v>
      </c>
      <c r="F2907" t="s">
        <v>16</v>
      </c>
      <c r="H2907">
        <v>3110</v>
      </c>
      <c r="I2907" s="1">
        <v>589023</v>
      </c>
      <c r="J2907" s="1">
        <f>Raw_Data!$I2907/Raw_Data!$H2907</f>
        <v>189.39646302250804</v>
      </c>
    </row>
    <row r="2908" spans="1:10" x14ac:dyDescent="0.3">
      <c r="A2908" s="9">
        <v>37121</v>
      </c>
      <c r="B2908" s="2" t="str">
        <f>TEXT(Raw_Data!$A2908, "MMM")</f>
        <v>Aug</v>
      </c>
      <c r="C2908" s="2">
        <f>YEAR(Raw_Data!$A2908)</f>
        <v>2001</v>
      </c>
      <c r="D2908" s="2" t="s">
        <v>2148</v>
      </c>
      <c r="E2908" s="2" t="s">
        <v>13</v>
      </c>
      <c r="F2908" s="2" t="s">
        <v>11</v>
      </c>
      <c r="G2908" s="2"/>
      <c r="H2908" s="2">
        <v>2982</v>
      </c>
      <c r="I2908" s="10">
        <v>148912</v>
      </c>
      <c r="J2908" s="10">
        <f>Raw_Data!$I2908/Raw_Data!$H2908</f>
        <v>49.936955063715629</v>
      </c>
    </row>
    <row r="2909" spans="1:10" x14ac:dyDescent="0.3">
      <c r="A2909" s="8">
        <v>41822</v>
      </c>
      <c r="B2909" t="str">
        <f>TEXT(Raw_Data!$A2909, "MMM")</f>
        <v>Jul</v>
      </c>
      <c r="C2909">
        <f>YEAR(Raw_Data!$A2909)</f>
        <v>2014</v>
      </c>
      <c r="D2909" t="s">
        <v>2149</v>
      </c>
      <c r="E2909" t="s">
        <v>32</v>
      </c>
      <c r="F2909" t="s">
        <v>18</v>
      </c>
      <c r="G2909">
        <v>4</v>
      </c>
      <c r="H2909">
        <v>2461</v>
      </c>
      <c r="I2909" s="1">
        <v>123556</v>
      </c>
      <c r="J2909" s="1">
        <f>Raw_Data!$I2909/Raw_Data!$H2909</f>
        <v>50.205607476635514</v>
      </c>
    </row>
    <row r="2910" spans="1:10" x14ac:dyDescent="0.3">
      <c r="A2910" s="9">
        <v>40501</v>
      </c>
      <c r="B2910" s="2" t="str">
        <f>TEXT(Raw_Data!$A2910, "MMM")</f>
        <v>Nov</v>
      </c>
      <c r="C2910" s="2">
        <f>YEAR(Raw_Data!$A2910)</f>
        <v>2010</v>
      </c>
      <c r="D2910" s="2" t="s">
        <v>2150</v>
      </c>
      <c r="E2910" s="2" t="s">
        <v>25</v>
      </c>
      <c r="F2910" s="2" t="s">
        <v>18</v>
      </c>
      <c r="G2910" s="2">
        <v>4</v>
      </c>
      <c r="H2910" s="2">
        <v>918</v>
      </c>
      <c r="I2910" s="10">
        <v>736207</v>
      </c>
      <c r="J2910" s="10">
        <f>Raw_Data!$I2910/Raw_Data!$H2910</f>
        <v>801.96840958605662</v>
      </c>
    </row>
    <row r="2911" spans="1:10" x14ac:dyDescent="0.3">
      <c r="A2911" s="8">
        <v>39770</v>
      </c>
      <c r="B2911" t="str">
        <f>TEXT(Raw_Data!$A2911, "MMM")</f>
        <v>Nov</v>
      </c>
      <c r="C2911">
        <f>YEAR(Raw_Data!$A2911)</f>
        <v>2008</v>
      </c>
      <c r="D2911" t="s">
        <v>2151</v>
      </c>
      <c r="E2911" t="s">
        <v>15</v>
      </c>
      <c r="F2911" t="s">
        <v>27</v>
      </c>
      <c r="G2911">
        <v>2</v>
      </c>
      <c r="H2911">
        <v>2541</v>
      </c>
      <c r="I2911" s="1">
        <v>520256</v>
      </c>
      <c r="J2911" s="1">
        <f>Raw_Data!$I2911/Raw_Data!$H2911</f>
        <v>204.74458874458875</v>
      </c>
    </row>
    <row r="2912" spans="1:10" x14ac:dyDescent="0.3">
      <c r="A2912" s="9">
        <v>43577</v>
      </c>
      <c r="B2912" s="2" t="str">
        <f>TEXT(Raw_Data!$A2912, "MMM")</f>
        <v>Apr</v>
      </c>
      <c r="C2912" s="2">
        <f>YEAR(Raw_Data!$A2912)</f>
        <v>2019</v>
      </c>
      <c r="D2912" s="2" t="s">
        <v>1406</v>
      </c>
      <c r="E2912" s="2" t="s">
        <v>32</v>
      </c>
      <c r="F2912" s="2" t="s">
        <v>16</v>
      </c>
      <c r="G2912" s="2">
        <v>3</v>
      </c>
      <c r="H2912" s="2">
        <v>2742</v>
      </c>
      <c r="I2912" s="10">
        <v>789811</v>
      </c>
      <c r="J2912" s="10">
        <f>Raw_Data!$I2912/Raw_Data!$H2912</f>
        <v>288.04194018964262</v>
      </c>
    </row>
    <row r="2913" spans="1:10" x14ac:dyDescent="0.3">
      <c r="A2913" s="8">
        <v>41027</v>
      </c>
      <c r="B2913" t="str">
        <f>TEXT(Raw_Data!$A2913, "MMM")</f>
        <v>Apr</v>
      </c>
      <c r="C2913">
        <f>YEAR(Raw_Data!$A2913)</f>
        <v>2012</v>
      </c>
      <c r="D2913" t="s">
        <v>2152</v>
      </c>
      <c r="E2913" t="s">
        <v>32</v>
      </c>
      <c r="F2913" t="s">
        <v>11</v>
      </c>
      <c r="G2913">
        <v>2</v>
      </c>
      <c r="H2913">
        <v>1438</v>
      </c>
      <c r="I2913" s="1">
        <v>832976</v>
      </c>
      <c r="J2913" s="1">
        <f>Raw_Data!$I2913/Raw_Data!$H2913</f>
        <v>579.26008344923503</v>
      </c>
    </row>
    <row r="2914" spans="1:10" x14ac:dyDescent="0.3">
      <c r="A2914" s="9">
        <v>42669</v>
      </c>
      <c r="B2914" s="2" t="str">
        <f>TEXT(Raw_Data!$A2914, "MMM")</f>
        <v>Oct</v>
      </c>
      <c r="C2914" s="2">
        <f>YEAR(Raw_Data!$A2914)</f>
        <v>2016</v>
      </c>
      <c r="D2914" s="2" t="s">
        <v>1719</v>
      </c>
      <c r="E2914" s="2" t="s">
        <v>21</v>
      </c>
      <c r="F2914" s="2" t="s">
        <v>11</v>
      </c>
      <c r="G2914" s="2"/>
      <c r="H2914" s="2">
        <v>2741</v>
      </c>
      <c r="I2914" s="10">
        <v>521800</v>
      </c>
      <c r="J2914" s="10">
        <f>Raw_Data!$I2914/Raw_Data!$H2914</f>
        <v>190.3684786574243</v>
      </c>
    </row>
    <row r="2915" spans="1:10" x14ac:dyDescent="0.3">
      <c r="A2915" s="8">
        <v>42005</v>
      </c>
      <c r="B2915" t="str">
        <f>TEXT(Raw_Data!$A2915, "MMM")</f>
        <v>Jan</v>
      </c>
      <c r="C2915">
        <f>YEAR(Raw_Data!$A2915)</f>
        <v>2015</v>
      </c>
      <c r="D2915" t="s">
        <v>2153</v>
      </c>
      <c r="E2915" t="s">
        <v>29</v>
      </c>
      <c r="F2915" t="s">
        <v>27</v>
      </c>
      <c r="G2915">
        <v>3</v>
      </c>
      <c r="H2915">
        <v>2785</v>
      </c>
      <c r="I2915" s="1"/>
      <c r="J2915" s="1">
        <f>Raw_Data!$I2915/Raw_Data!$H2915</f>
        <v>0</v>
      </c>
    </row>
    <row r="2916" spans="1:10" x14ac:dyDescent="0.3">
      <c r="A2916" s="9">
        <v>41940</v>
      </c>
      <c r="B2916" s="2" t="str">
        <f>TEXT(Raw_Data!$A2916, "MMM")</f>
        <v>Oct</v>
      </c>
      <c r="C2916" s="2">
        <f>YEAR(Raw_Data!$A2916)</f>
        <v>2014</v>
      </c>
      <c r="D2916" s="2" t="s">
        <v>2154</v>
      </c>
      <c r="E2916" s="2" t="s">
        <v>15</v>
      </c>
      <c r="F2916" s="2" t="s">
        <v>16</v>
      </c>
      <c r="G2916" s="2">
        <v>4</v>
      </c>
      <c r="H2916" s="2">
        <v>2127</v>
      </c>
      <c r="I2916" s="10">
        <v>821557</v>
      </c>
      <c r="J2916" s="10">
        <f>Raw_Data!$I2916/Raw_Data!$H2916</f>
        <v>386.25152797367184</v>
      </c>
    </row>
    <row r="2917" spans="1:10" x14ac:dyDescent="0.3">
      <c r="A2917" s="8">
        <v>37340</v>
      </c>
      <c r="B2917" t="str">
        <f>TEXT(Raw_Data!$A2917, "MMM")</f>
        <v>Mar</v>
      </c>
      <c r="C2917">
        <f>YEAR(Raw_Data!$A2917)</f>
        <v>2002</v>
      </c>
      <c r="D2917" t="s">
        <v>537</v>
      </c>
      <c r="E2917" t="s">
        <v>32</v>
      </c>
      <c r="F2917" t="s">
        <v>27</v>
      </c>
      <c r="G2917">
        <v>5</v>
      </c>
      <c r="H2917">
        <v>3495</v>
      </c>
      <c r="I2917" s="1">
        <v>784453</v>
      </c>
      <c r="J2917" s="1">
        <f>Raw_Data!$I2917/Raw_Data!$H2917</f>
        <v>224.45007153075824</v>
      </c>
    </row>
    <row r="2918" spans="1:10" x14ac:dyDescent="0.3">
      <c r="A2918" s="9">
        <v>39803</v>
      </c>
      <c r="B2918" s="2" t="str">
        <f>TEXT(Raw_Data!$A2918, "MMM")</f>
        <v>Dec</v>
      </c>
      <c r="C2918" s="2">
        <f>YEAR(Raw_Data!$A2918)</f>
        <v>2008</v>
      </c>
      <c r="D2918" s="2" t="s">
        <v>551</v>
      </c>
      <c r="E2918" s="2" t="s">
        <v>25</v>
      </c>
      <c r="F2918" s="2" t="s">
        <v>11</v>
      </c>
      <c r="G2918" s="2">
        <v>5</v>
      </c>
      <c r="H2918" s="2">
        <v>2901</v>
      </c>
      <c r="I2918" s="10">
        <v>814339</v>
      </c>
      <c r="J2918" s="10">
        <f>Raw_Data!$I2918/Raw_Data!$H2918</f>
        <v>280.70975525680802</v>
      </c>
    </row>
    <row r="2919" spans="1:10" x14ac:dyDescent="0.3">
      <c r="A2919" s="8">
        <v>40399</v>
      </c>
      <c r="B2919" t="str">
        <f>TEXT(Raw_Data!$A2919, "MMM")</f>
        <v>Aug</v>
      </c>
      <c r="C2919">
        <f>YEAR(Raw_Data!$A2919)</f>
        <v>2010</v>
      </c>
      <c r="D2919" t="s">
        <v>1118</v>
      </c>
      <c r="E2919" t="s">
        <v>29</v>
      </c>
      <c r="F2919" t="s">
        <v>27</v>
      </c>
      <c r="H2919">
        <v>1555</v>
      </c>
      <c r="I2919" s="1">
        <v>383430</v>
      </c>
      <c r="J2919" s="1">
        <f>Raw_Data!$I2919/Raw_Data!$H2919</f>
        <v>246.57877813504822</v>
      </c>
    </row>
    <row r="2920" spans="1:10" x14ac:dyDescent="0.3">
      <c r="A2920" s="9">
        <v>43533</v>
      </c>
      <c r="B2920" s="2" t="str">
        <f>TEXT(Raw_Data!$A2920, "MMM")</f>
        <v>Mar</v>
      </c>
      <c r="C2920" s="2">
        <f>YEAR(Raw_Data!$A2920)</f>
        <v>2019</v>
      </c>
      <c r="D2920" s="2" t="s">
        <v>2155</v>
      </c>
      <c r="E2920" s="2" t="s">
        <v>15</v>
      </c>
      <c r="F2920" s="2" t="s">
        <v>16</v>
      </c>
      <c r="G2920" s="2">
        <v>4</v>
      </c>
      <c r="H2920" s="2">
        <v>1262</v>
      </c>
      <c r="I2920" s="10">
        <v>694027</v>
      </c>
      <c r="J2920" s="10">
        <f>Raw_Data!$I2920/Raw_Data!$H2920</f>
        <v>549.9421553090333</v>
      </c>
    </row>
    <row r="2921" spans="1:10" x14ac:dyDescent="0.3">
      <c r="A2921" s="8">
        <v>39166</v>
      </c>
      <c r="B2921" t="str">
        <f>TEXT(Raw_Data!$A2921, "MMM")</f>
        <v>Mar</v>
      </c>
      <c r="C2921">
        <f>YEAR(Raw_Data!$A2921)</f>
        <v>2007</v>
      </c>
      <c r="D2921" t="s">
        <v>430</v>
      </c>
      <c r="E2921" t="s">
        <v>15</v>
      </c>
      <c r="F2921" t="s">
        <v>18</v>
      </c>
      <c r="H2921">
        <v>1289</v>
      </c>
      <c r="I2921" s="1">
        <v>189821</v>
      </c>
      <c r="J2921" s="1">
        <f>Raw_Data!$I2921/Raw_Data!$H2921</f>
        <v>147.26221877424359</v>
      </c>
    </row>
    <row r="2922" spans="1:10" x14ac:dyDescent="0.3">
      <c r="A2922" s="9">
        <v>44044</v>
      </c>
      <c r="B2922" s="2" t="str">
        <f>TEXT(Raw_Data!$A2922, "MMM")</f>
        <v>Aug</v>
      </c>
      <c r="C2922" s="2">
        <f>YEAR(Raw_Data!$A2922)</f>
        <v>2020</v>
      </c>
      <c r="D2922" s="2" t="s">
        <v>322</v>
      </c>
      <c r="E2922" s="2" t="s">
        <v>15</v>
      </c>
      <c r="F2922" s="2" t="s">
        <v>16</v>
      </c>
      <c r="G2922" s="2"/>
      <c r="H2922" s="2">
        <v>892</v>
      </c>
      <c r="I2922" s="10">
        <v>446599</v>
      </c>
      <c r="J2922" s="10">
        <f>Raw_Data!$I2922/Raw_Data!$H2922</f>
        <v>500.67152466367713</v>
      </c>
    </row>
    <row r="2923" spans="1:10" x14ac:dyDescent="0.3">
      <c r="A2923" s="8">
        <v>39740</v>
      </c>
      <c r="B2923" t="str">
        <f>TEXT(Raw_Data!$A2923, "MMM")</f>
        <v>Oct</v>
      </c>
      <c r="C2923">
        <f>YEAR(Raw_Data!$A2923)</f>
        <v>2008</v>
      </c>
      <c r="D2923" t="s">
        <v>2156</v>
      </c>
      <c r="E2923" t="s">
        <v>25</v>
      </c>
      <c r="F2923" t="s">
        <v>18</v>
      </c>
      <c r="H2923">
        <v>1302</v>
      </c>
      <c r="I2923" s="1">
        <v>362705</v>
      </c>
      <c r="J2923" s="1">
        <f>Raw_Data!$I2923/Raw_Data!$H2923</f>
        <v>278.57526881720429</v>
      </c>
    </row>
    <row r="2924" spans="1:10" x14ac:dyDescent="0.3">
      <c r="A2924" s="9">
        <v>42798</v>
      </c>
      <c r="B2924" s="2" t="str">
        <f>TEXT(Raw_Data!$A2924, "MMM")</f>
        <v>Mar</v>
      </c>
      <c r="C2924" s="2">
        <f>YEAR(Raw_Data!$A2924)</f>
        <v>2017</v>
      </c>
      <c r="D2924" s="2" t="s">
        <v>2157</v>
      </c>
      <c r="E2924" s="2" t="s">
        <v>29</v>
      </c>
      <c r="F2924" s="2" t="s">
        <v>11</v>
      </c>
      <c r="G2924" s="2"/>
      <c r="H2924" s="2">
        <v>2178</v>
      </c>
      <c r="I2924" s="10">
        <v>655873</v>
      </c>
      <c r="J2924" s="10">
        <f>Raw_Data!$I2924/Raw_Data!$H2924</f>
        <v>301.13544536271809</v>
      </c>
    </row>
    <row r="2925" spans="1:10" x14ac:dyDescent="0.3">
      <c r="A2925" s="8">
        <v>40828</v>
      </c>
      <c r="B2925" t="str">
        <f>TEXT(Raw_Data!$A2925, "MMM")</f>
        <v>Oct</v>
      </c>
      <c r="C2925">
        <f>YEAR(Raw_Data!$A2925)</f>
        <v>2011</v>
      </c>
      <c r="D2925" t="s">
        <v>2152</v>
      </c>
      <c r="E2925" t="s">
        <v>32</v>
      </c>
      <c r="F2925" t="s">
        <v>16</v>
      </c>
      <c r="H2925">
        <v>2432</v>
      </c>
      <c r="I2925" s="1">
        <v>147590</v>
      </c>
      <c r="J2925" s="1">
        <f>Raw_Data!$I2925/Raw_Data!$H2925</f>
        <v>60.686677631578945</v>
      </c>
    </row>
    <row r="2926" spans="1:10" x14ac:dyDescent="0.3">
      <c r="A2926" s="9">
        <v>38358</v>
      </c>
      <c r="B2926" s="2" t="str">
        <f>TEXT(Raw_Data!$A2926, "MMM")</f>
        <v>Jan</v>
      </c>
      <c r="C2926" s="2">
        <f>YEAR(Raw_Data!$A2926)</f>
        <v>2005</v>
      </c>
      <c r="D2926" s="2" t="s">
        <v>2158</v>
      </c>
      <c r="E2926" s="2" t="s">
        <v>32</v>
      </c>
      <c r="F2926" s="2" t="s">
        <v>18</v>
      </c>
      <c r="G2926" s="2">
        <v>4</v>
      </c>
      <c r="H2926" s="2">
        <v>3224</v>
      </c>
      <c r="I2926" s="10">
        <v>607340</v>
      </c>
      <c r="J2926" s="10">
        <f>Raw_Data!$I2926/Raw_Data!$H2926</f>
        <v>188.38089330024815</v>
      </c>
    </row>
    <row r="2927" spans="1:10" x14ac:dyDescent="0.3">
      <c r="A2927" s="8">
        <v>41163</v>
      </c>
      <c r="B2927" t="str">
        <f>TEXT(Raw_Data!$A2927, "MMM")</f>
        <v>Sep</v>
      </c>
      <c r="C2927">
        <f>YEAR(Raw_Data!$A2927)</f>
        <v>2012</v>
      </c>
      <c r="D2927" t="s">
        <v>1067</v>
      </c>
      <c r="E2927" t="s">
        <v>15</v>
      </c>
      <c r="F2927" t="s">
        <v>27</v>
      </c>
      <c r="G2927">
        <v>5</v>
      </c>
      <c r="H2927">
        <v>2918</v>
      </c>
      <c r="I2927" s="1">
        <v>514708</v>
      </c>
      <c r="J2927" s="1">
        <f>Raw_Data!$I2927/Raw_Data!$H2927</f>
        <v>176.39067854694997</v>
      </c>
    </row>
    <row r="2928" spans="1:10" x14ac:dyDescent="0.3">
      <c r="A2928" s="9">
        <v>39975</v>
      </c>
      <c r="B2928" s="2" t="str">
        <f>TEXT(Raw_Data!$A2928, "MMM")</f>
        <v>Jun</v>
      </c>
      <c r="C2928" s="2">
        <f>YEAR(Raw_Data!$A2928)</f>
        <v>2009</v>
      </c>
      <c r="D2928" s="2" t="s">
        <v>940</v>
      </c>
      <c r="E2928" s="2" t="s">
        <v>29</v>
      </c>
      <c r="F2928" s="2" t="s">
        <v>11</v>
      </c>
      <c r="G2928" s="2"/>
      <c r="H2928" s="2">
        <v>2788</v>
      </c>
      <c r="I2928" s="10">
        <v>331663</v>
      </c>
      <c r="J2928" s="10">
        <f>Raw_Data!$I2928/Raw_Data!$H2928</f>
        <v>118.96090387374461</v>
      </c>
    </row>
    <row r="2929" spans="1:10" x14ac:dyDescent="0.3">
      <c r="A2929" s="8">
        <v>42894</v>
      </c>
      <c r="B2929" t="str">
        <f>TEXT(Raw_Data!$A2929, "MMM")</f>
        <v>Jun</v>
      </c>
      <c r="C2929">
        <f>YEAR(Raw_Data!$A2929)</f>
        <v>2017</v>
      </c>
      <c r="D2929" t="s">
        <v>1457</v>
      </c>
      <c r="E2929" t="s">
        <v>23</v>
      </c>
      <c r="F2929" t="s">
        <v>11</v>
      </c>
      <c r="G2929">
        <v>3</v>
      </c>
      <c r="H2929">
        <v>2616</v>
      </c>
      <c r="I2929" s="1">
        <v>890611</v>
      </c>
      <c r="J2929" s="1">
        <f>Raw_Data!$I2929/Raw_Data!$H2929</f>
        <v>340.44762996941898</v>
      </c>
    </row>
    <row r="2930" spans="1:10" x14ac:dyDescent="0.3">
      <c r="A2930" s="9">
        <v>42227</v>
      </c>
      <c r="B2930" s="2" t="str">
        <f>TEXT(Raw_Data!$A2930, "MMM")</f>
        <v>Aug</v>
      </c>
      <c r="C2930" s="2">
        <f>YEAR(Raw_Data!$A2930)</f>
        <v>2015</v>
      </c>
      <c r="D2930" s="2" t="s">
        <v>499</v>
      </c>
      <c r="E2930" s="2" t="s">
        <v>29</v>
      </c>
      <c r="F2930" s="2" t="s">
        <v>18</v>
      </c>
      <c r="G2930" s="2">
        <v>4</v>
      </c>
      <c r="H2930" s="2">
        <v>2542</v>
      </c>
      <c r="I2930" s="10">
        <v>541909</v>
      </c>
      <c r="J2930" s="10">
        <f>Raw_Data!$I2930/Raw_Data!$H2930</f>
        <v>213.18214004720693</v>
      </c>
    </row>
    <row r="2931" spans="1:10" x14ac:dyDescent="0.3">
      <c r="A2931" s="8">
        <v>40828</v>
      </c>
      <c r="B2931" t="str">
        <f>TEXT(Raw_Data!$A2931, "MMM")</f>
        <v>Oct</v>
      </c>
      <c r="C2931">
        <f>YEAR(Raw_Data!$A2931)</f>
        <v>2011</v>
      </c>
      <c r="D2931" t="s">
        <v>1561</v>
      </c>
      <c r="E2931" t="s">
        <v>25</v>
      </c>
      <c r="F2931" t="s">
        <v>11</v>
      </c>
      <c r="G2931">
        <v>4</v>
      </c>
      <c r="H2931">
        <v>1083</v>
      </c>
      <c r="I2931" s="1"/>
      <c r="J2931" s="1">
        <f>Raw_Data!$I2931/Raw_Data!$H2931</f>
        <v>0</v>
      </c>
    </row>
    <row r="2932" spans="1:10" x14ac:dyDescent="0.3">
      <c r="A2932" s="9">
        <v>43612</v>
      </c>
      <c r="B2932" s="2" t="str">
        <f>TEXT(Raw_Data!$A2932, "MMM")</f>
        <v>May</v>
      </c>
      <c r="C2932" s="2">
        <f>YEAR(Raw_Data!$A2932)</f>
        <v>2019</v>
      </c>
      <c r="D2932" s="2" t="s">
        <v>1896</v>
      </c>
      <c r="E2932" s="2" t="s">
        <v>23</v>
      </c>
      <c r="F2932" s="2" t="s">
        <v>27</v>
      </c>
      <c r="G2932" s="2">
        <v>3</v>
      </c>
      <c r="H2932" s="2">
        <v>1104</v>
      </c>
      <c r="I2932" s="10">
        <v>876214</v>
      </c>
      <c r="J2932" s="10">
        <f>Raw_Data!$I2932/Raw_Data!$H2932</f>
        <v>793.67210144927537</v>
      </c>
    </row>
    <row r="2933" spans="1:10" x14ac:dyDescent="0.3">
      <c r="A2933" s="8">
        <v>41676</v>
      </c>
      <c r="B2933" t="str">
        <f>TEXT(Raw_Data!$A2933, "MMM")</f>
        <v>Feb</v>
      </c>
      <c r="C2933">
        <f>YEAR(Raw_Data!$A2933)</f>
        <v>2014</v>
      </c>
      <c r="D2933" t="s">
        <v>1472</v>
      </c>
      <c r="E2933" t="s">
        <v>15</v>
      </c>
      <c r="F2933" t="s">
        <v>11</v>
      </c>
      <c r="G2933">
        <v>4</v>
      </c>
      <c r="H2933">
        <v>2835</v>
      </c>
      <c r="I2933" s="1">
        <v>474230</v>
      </c>
      <c r="J2933" s="1">
        <f>Raw_Data!$I2933/Raw_Data!$H2933</f>
        <v>167.27689594356261</v>
      </c>
    </row>
    <row r="2934" spans="1:10" x14ac:dyDescent="0.3">
      <c r="A2934" s="9">
        <v>43785</v>
      </c>
      <c r="B2934" s="2" t="str">
        <f>TEXT(Raw_Data!$A2934, "MMM")</f>
        <v>Nov</v>
      </c>
      <c r="C2934" s="2">
        <f>YEAR(Raw_Data!$A2934)</f>
        <v>2019</v>
      </c>
      <c r="D2934" s="2" t="s">
        <v>540</v>
      </c>
      <c r="E2934" s="2" t="s">
        <v>15</v>
      </c>
      <c r="F2934" s="2" t="s">
        <v>27</v>
      </c>
      <c r="G2934" s="2"/>
      <c r="H2934" s="2">
        <v>1681</v>
      </c>
      <c r="I2934" s="10">
        <v>336283</v>
      </c>
      <c r="J2934" s="10">
        <f>Raw_Data!$I2934/Raw_Data!$H2934</f>
        <v>200.04937537180251</v>
      </c>
    </row>
    <row r="2935" spans="1:10" x14ac:dyDescent="0.3">
      <c r="A2935" s="8">
        <v>38614</v>
      </c>
      <c r="B2935" t="str">
        <f>TEXT(Raw_Data!$A2935, "MMM")</f>
        <v>Sep</v>
      </c>
      <c r="C2935">
        <f>YEAR(Raw_Data!$A2935)</f>
        <v>2005</v>
      </c>
      <c r="D2935" t="s">
        <v>2159</v>
      </c>
      <c r="E2935" t="s">
        <v>32</v>
      </c>
      <c r="F2935" t="s">
        <v>27</v>
      </c>
      <c r="H2935">
        <v>1455</v>
      </c>
      <c r="I2935" s="1">
        <v>887581</v>
      </c>
      <c r="J2935" s="1">
        <f>Raw_Data!$I2935/Raw_Data!$H2935</f>
        <v>610.02130584192435</v>
      </c>
    </row>
    <row r="2936" spans="1:10" x14ac:dyDescent="0.3">
      <c r="A2936" s="9">
        <v>40446</v>
      </c>
      <c r="B2936" s="2" t="str">
        <f>TEXT(Raw_Data!$A2936, "MMM")</f>
        <v>Sep</v>
      </c>
      <c r="C2936" s="2">
        <f>YEAR(Raw_Data!$A2936)</f>
        <v>2010</v>
      </c>
      <c r="D2936" s="2" t="s">
        <v>2160</v>
      </c>
      <c r="E2936" s="2" t="s">
        <v>21</v>
      </c>
      <c r="F2936" s="2" t="s">
        <v>11</v>
      </c>
      <c r="G2936" s="2">
        <v>3</v>
      </c>
      <c r="H2936" s="2">
        <v>3384</v>
      </c>
      <c r="I2936" s="10">
        <v>216014</v>
      </c>
      <c r="J2936" s="10">
        <f>Raw_Data!$I2936/Raw_Data!$H2936</f>
        <v>63.833924349881798</v>
      </c>
    </row>
    <row r="2937" spans="1:10" x14ac:dyDescent="0.3">
      <c r="A2937" s="8">
        <v>43977</v>
      </c>
      <c r="B2937" t="str">
        <f>TEXT(Raw_Data!$A2937, "MMM")</f>
        <v>May</v>
      </c>
      <c r="C2937">
        <f>YEAR(Raw_Data!$A2937)</f>
        <v>2020</v>
      </c>
      <c r="D2937" t="s">
        <v>594</v>
      </c>
      <c r="E2937" t="s">
        <v>32</v>
      </c>
      <c r="F2937" t="s">
        <v>11</v>
      </c>
      <c r="G2937">
        <v>2</v>
      </c>
      <c r="H2937">
        <v>1913</v>
      </c>
      <c r="I2937" s="1">
        <v>675664</v>
      </c>
      <c r="J2937" s="1">
        <f>Raw_Data!$I2937/Raw_Data!$H2937</f>
        <v>353.19602718243596</v>
      </c>
    </row>
    <row r="2938" spans="1:10" x14ac:dyDescent="0.3">
      <c r="A2938" s="9">
        <v>37068</v>
      </c>
      <c r="B2938" s="2" t="str">
        <f>TEXT(Raw_Data!$A2938, "MMM")</f>
        <v>Jun</v>
      </c>
      <c r="C2938" s="2">
        <f>YEAR(Raw_Data!$A2938)</f>
        <v>2001</v>
      </c>
      <c r="D2938" s="2" t="s">
        <v>2161</v>
      </c>
      <c r="E2938" s="2" t="s">
        <v>25</v>
      </c>
      <c r="F2938" s="2" t="s">
        <v>18</v>
      </c>
      <c r="G2938" s="2">
        <v>5</v>
      </c>
      <c r="H2938" s="2">
        <v>2588</v>
      </c>
      <c r="I2938" s="10">
        <v>786631</v>
      </c>
      <c r="J2938" s="10">
        <f>Raw_Data!$I2938/Raw_Data!$H2938</f>
        <v>303.95324574961359</v>
      </c>
    </row>
    <row r="2939" spans="1:10" x14ac:dyDescent="0.3">
      <c r="A2939" s="8">
        <v>38211</v>
      </c>
      <c r="B2939" t="str">
        <f>TEXT(Raw_Data!$A2939, "MMM")</f>
        <v>Aug</v>
      </c>
      <c r="C2939">
        <f>YEAR(Raw_Data!$A2939)</f>
        <v>2004</v>
      </c>
      <c r="D2939" t="s">
        <v>2162</v>
      </c>
      <c r="E2939" t="s">
        <v>15</v>
      </c>
      <c r="F2939" t="s">
        <v>27</v>
      </c>
      <c r="H2939">
        <v>1437</v>
      </c>
      <c r="I2939" s="1">
        <v>738547</v>
      </c>
      <c r="J2939" s="1">
        <f>Raw_Data!$I2939/Raw_Data!$H2939</f>
        <v>513.95059151009048</v>
      </c>
    </row>
    <row r="2940" spans="1:10" x14ac:dyDescent="0.3">
      <c r="A2940" s="9">
        <v>44066</v>
      </c>
      <c r="B2940" s="2" t="str">
        <f>TEXT(Raw_Data!$A2940, "MMM")</f>
        <v>Aug</v>
      </c>
      <c r="C2940" s="2">
        <f>YEAR(Raw_Data!$A2940)</f>
        <v>2020</v>
      </c>
      <c r="D2940" s="2" t="s">
        <v>847</v>
      </c>
      <c r="E2940" s="2" t="s">
        <v>15</v>
      </c>
      <c r="F2940" s="2" t="s">
        <v>27</v>
      </c>
      <c r="G2940" s="2">
        <v>5</v>
      </c>
      <c r="H2940" s="2">
        <v>2919</v>
      </c>
      <c r="I2940" s="10">
        <v>331787</v>
      </c>
      <c r="J2940" s="10">
        <f>Raw_Data!$I2940/Raw_Data!$H2940</f>
        <v>113.6646111682083</v>
      </c>
    </row>
    <row r="2941" spans="1:10" x14ac:dyDescent="0.3">
      <c r="A2941" s="8">
        <v>38918</v>
      </c>
      <c r="B2941" t="str">
        <f>TEXT(Raw_Data!$A2941, "MMM")</f>
        <v>Jul</v>
      </c>
      <c r="C2941">
        <f>YEAR(Raw_Data!$A2941)</f>
        <v>2006</v>
      </c>
      <c r="D2941" t="s">
        <v>340</v>
      </c>
      <c r="E2941" t="s">
        <v>23</v>
      </c>
      <c r="F2941" t="s">
        <v>11</v>
      </c>
      <c r="G2941">
        <v>4</v>
      </c>
      <c r="H2941">
        <v>1942</v>
      </c>
      <c r="I2941" s="1">
        <v>635943</v>
      </c>
      <c r="J2941" s="1">
        <f>Raw_Data!$I2941/Raw_Data!$H2941</f>
        <v>327.46807415036045</v>
      </c>
    </row>
    <row r="2942" spans="1:10" x14ac:dyDescent="0.3">
      <c r="A2942" s="9">
        <v>37322</v>
      </c>
      <c r="B2942" s="2" t="str">
        <f>TEXT(Raw_Data!$A2942, "MMM")</f>
        <v>Mar</v>
      </c>
      <c r="C2942" s="2">
        <f>YEAR(Raw_Data!$A2942)</f>
        <v>2002</v>
      </c>
      <c r="D2942" s="2" t="s">
        <v>2163</v>
      </c>
      <c r="E2942" s="2" t="s">
        <v>21</v>
      </c>
      <c r="F2942" s="2" t="s">
        <v>27</v>
      </c>
      <c r="G2942" s="2"/>
      <c r="H2942" s="2">
        <v>947</v>
      </c>
      <c r="I2942" s="10">
        <v>377389</v>
      </c>
      <c r="J2942" s="10">
        <f>Raw_Data!$I2942/Raw_Data!$H2942</f>
        <v>398.51003167898625</v>
      </c>
    </row>
    <row r="2943" spans="1:10" x14ac:dyDescent="0.3">
      <c r="A2943" s="8">
        <v>38717</v>
      </c>
      <c r="B2943" t="str">
        <f>TEXT(Raw_Data!$A2943, "MMM")</f>
        <v>Dec</v>
      </c>
      <c r="C2943">
        <f>YEAR(Raw_Data!$A2943)</f>
        <v>2005</v>
      </c>
      <c r="D2943" t="s">
        <v>794</v>
      </c>
      <c r="E2943" t="s">
        <v>25</v>
      </c>
      <c r="F2943" t="s">
        <v>11</v>
      </c>
      <c r="G2943">
        <v>3</v>
      </c>
      <c r="H2943">
        <v>3490</v>
      </c>
      <c r="I2943" s="1">
        <v>188049</v>
      </c>
      <c r="J2943" s="1">
        <f>Raw_Data!$I2943/Raw_Data!$H2943</f>
        <v>53.88223495702006</v>
      </c>
    </row>
    <row r="2944" spans="1:10" x14ac:dyDescent="0.3">
      <c r="A2944" s="9">
        <v>40934</v>
      </c>
      <c r="B2944" s="2" t="str">
        <f>TEXT(Raw_Data!$A2944, "MMM")</f>
        <v>Jan</v>
      </c>
      <c r="C2944" s="2">
        <f>YEAR(Raw_Data!$A2944)</f>
        <v>2012</v>
      </c>
      <c r="D2944" s="2" t="s">
        <v>1866</v>
      </c>
      <c r="E2944" s="2" t="s">
        <v>32</v>
      </c>
      <c r="F2944" s="2" t="s">
        <v>11</v>
      </c>
      <c r="G2944" s="2"/>
      <c r="H2944" s="2">
        <v>3358</v>
      </c>
      <c r="I2944" s="10">
        <v>765694</v>
      </c>
      <c r="J2944" s="10">
        <f>Raw_Data!$I2944/Raw_Data!$H2944</f>
        <v>228.0208457415128</v>
      </c>
    </row>
    <row r="2945" spans="1:10" x14ac:dyDescent="0.3">
      <c r="A2945" s="8">
        <v>39268</v>
      </c>
      <c r="B2945" t="str">
        <f>TEXT(Raw_Data!$A2945, "MMM")</f>
        <v>Jul</v>
      </c>
      <c r="C2945">
        <f>YEAR(Raw_Data!$A2945)</f>
        <v>2007</v>
      </c>
      <c r="D2945" t="s">
        <v>2164</v>
      </c>
      <c r="E2945" t="s">
        <v>21</v>
      </c>
      <c r="F2945" t="s">
        <v>16</v>
      </c>
      <c r="H2945">
        <v>2221</v>
      </c>
      <c r="I2945" s="1">
        <v>632778</v>
      </c>
      <c r="J2945" s="1">
        <f>Raw_Data!$I2945/Raw_Data!$H2945</f>
        <v>284.90679873930662</v>
      </c>
    </row>
    <row r="2946" spans="1:10" x14ac:dyDescent="0.3">
      <c r="A2946" s="9">
        <v>40684</v>
      </c>
      <c r="B2946" s="2" t="str">
        <f>TEXT(Raw_Data!$A2946, "MMM")</f>
        <v>May</v>
      </c>
      <c r="C2946" s="2">
        <f>YEAR(Raw_Data!$A2946)</f>
        <v>2011</v>
      </c>
      <c r="D2946" s="2" t="s">
        <v>1078</v>
      </c>
      <c r="E2946" s="2" t="s">
        <v>15</v>
      </c>
      <c r="F2946" s="2" t="s">
        <v>18</v>
      </c>
      <c r="G2946" s="2">
        <v>2</v>
      </c>
      <c r="H2946" s="2">
        <v>2971</v>
      </c>
      <c r="I2946" s="10">
        <v>562973</v>
      </c>
      <c r="J2946" s="10">
        <f>Raw_Data!$I2946/Raw_Data!$H2946</f>
        <v>189.48939750925615</v>
      </c>
    </row>
    <row r="2947" spans="1:10" x14ac:dyDescent="0.3">
      <c r="A2947" s="8">
        <v>38191</v>
      </c>
      <c r="B2947" t="str">
        <f>TEXT(Raw_Data!$A2947, "MMM")</f>
        <v>Jul</v>
      </c>
      <c r="C2947">
        <f>YEAR(Raw_Data!$A2947)</f>
        <v>2004</v>
      </c>
      <c r="D2947" t="s">
        <v>2165</v>
      </c>
      <c r="E2947" t="s">
        <v>15</v>
      </c>
      <c r="F2947" t="s">
        <v>18</v>
      </c>
      <c r="H2947">
        <v>2990</v>
      </c>
      <c r="I2947" s="1">
        <v>837459</v>
      </c>
      <c r="J2947" s="1">
        <f>Raw_Data!$I2947/Raw_Data!$H2947</f>
        <v>280.08662207357861</v>
      </c>
    </row>
    <row r="2948" spans="1:10" x14ac:dyDescent="0.3">
      <c r="A2948" s="9">
        <v>38084</v>
      </c>
      <c r="B2948" s="2" t="str">
        <f>TEXT(Raw_Data!$A2948, "MMM")</f>
        <v>Apr</v>
      </c>
      <c r="C2948" s="2">
        <f>YEAR(Raw_Data!$A2948)</f>
        <v>2004</v>
      </c>
      <c r="D2948" s="2" t="s">
        <v>2166</v>
      </c>
      <c r="E2948" s="2" t="s">
        <v>15</v>
      </c>
      <c r="F2948" s="2" t="s">
        <v>18</v>
      </c>
      <c r="G2948" s="2">
        <v>5</v>
      </c>
      <c r="H2948" s="2">
        <v>2123</v>
      </c>
      <c r="I2948" s="10">
        <v>567435</v>
      </c>
      <c r="J2948" s="10">
        <f>Raw_Data!$I2948/Raw_Data!$H2948</f>
        <v>267.27979274611397</v>
      </c>
    </row>
    <row r="2949" spans="1:10" x14ac:dyDescent="0.3">
      <c r="A2949" s="8">
        <v>39074</v>
      </c>
      <c r="B2949" t="str">
        <f>TEXT(Raw_Data!$A2949, "MMM")</f>
        <v>Dec</v>
      </c>
      <c r="C2949">
        <f>YEAR(Raw_Data!$A2949)</f>
        <v>2006</v>
      </c>
      <c r="D2949" t="s">
        <v>2167</v>
      </c>
      <c r="E2949" t="s">
        <v>15</v>
      </c>
      <c r="F2949" t="s">
        <v>27</v>
      </c>
      <c r="G2949">
        <v>2</v>
      </c>
      <c r="H2949">
        <v>3182</v>
      </c>
      <c r="I2949" s="1">
        <v>301934</v>
      </c>
      <c r="J2949" s="1">
        <f>Raw_Data!$I2949/Raw_Data!$H2949</f>
        <v>94.888120678818353</v>
      </c>
    </row>
    <row r="2950" spans="1:10" x14ac:dyDescent="0.3">
      <c r="A2950" s="9">
        <v>40533</v>
      </c>
      <c r="B2950" s="2" t="str">
        <f>TEXT(Raw_Data!$A2950, "MMM")</f>
        <v>Dec</v>
      </c>
      <c r="C2950" s="2">
        <f>YEAR(Raw_Data!$A2950)</f>
        <v>2010</v>
      </c>
      <c r="D2950" s="2" t="s">
        <v>2168</v>
      </c>
      <c r="E2950" s="2" t="s">
        <v>32</v>
      </c>
      <c r="F2950" s="2" t="s">
        <v>18</v>
      </c>
      <c r="G2950" s="2">
        <v>3</v>
      </c>
      <c r="H2950" s="2">
        <v>1368</v>
      </c>
      <c r="I2950" s="10">
        <v>543764</v>
      </c>
      <c r="J2950" s="10">
        <f>Raw_Data!$I2950/Raw_Data!$H2950</f>
        <v>397.48830409356725</v>
      </c>
    </row>
    <row r="2951" spans="1:10" x14ac:dyDescent="0.3">
      <c r="A2951" s="8">
        <v>40109</v>
      </c>
      <c r="B2951" t="str">
        <f>TEXT(Raw_Data!$A2951, "MMM")</f>
        <v>Oct</v>
      </c>
      <c r="C2951">
        <f>YEAR(Raw_Data!$A2951)</f>
        <v>2009</v>
      </c>
      <c r="D2951" t="s">
        <v>1049</v>
      </c>
      <c r="E2951" t="s">
        <v>13</v>
      </c>
      <c r="F2951" t="s">
        <v>11</v>
      </c>
      <c r="G2951">
        <v>5</v>
      </c>
      <c r="H2951">
        <v>1712</v>
      </c>
      <c r="I2951" s="1">
        <v>582225</v>
      </c>
      <c r="J2951" s="1">
        <f>Raw_Data!$I2951/Raw_Data!$H2951</f>
        <v>340.08469626168227</v>
      </c>
    </row>
    <row r="2952" spans="1:10" x14ac:dyDescent="0.3">
      <c r="A2952" s="9">
        <v>39279</v>
      </c>
      <c r="B2952" s="2" t="str">
        <f>TEXT(Raw_Data!$A2952, "MMM")</f>
        <v>Jul</v>
      </c>
      <c r="C2952" s="2">
        <f>YEAR(Raw_Data!$A2952)</f>
        <v>2007</v>
      </c>
      <c r="D2952" s="2" t="s">
        <v>1677</v>
      </c>
      <c r="E2952" s="2" t="s">
        <v>13</v>
      </c>
      <c r="F2952" s="2" t="s">
        <v>27</v>
      </c>
      <c r="G2952" s="2">
        <v>4</v>
      </c>
      <c r="H2952" s="2">
        <v>1928</v>
      </c>
      <c r="I2952" s="10">
        <v>598825</v>
      </c>
      <c r="J2952" s="10">
        <f>Raw_Data!$I2952/Raw_Data!$H2952</f>
        <v>310.59387966804979</v>
      </c>
    </row>
    <row r="2953" spans="1:10" x14ac:dyDescent="0.3">
      <c r="A2953" s="8">
        <v>40950</v>
      </c>
      <c r="B2953" t="str">
        <f>TEXT(Raw_Data!$A2953, "MMM")</f>
        <v>Feb</v>
      </c>
      <c r="C2953">
        <f>YEAR(Raw_Data!$A2953)</f>
        <v>2012</v>
      </c>
      <c r="D2953" t="s">
        <v>693</v>
      </c>
      <c r="E2953" t="s">
        <v>25</v>
      </c>
      <c r="F2953" t="s">
        <v>16</v>
      </c>
      <c r="G2953">
        <v>2</v>
      </c>
      <c r="H2953">
        <v>3142</v>
      </c>
      <c r="I2953" s="1">
        <v>204725</v>
      </c>
      <c r="J2953" s="1">
        <f>Raw_Data!$I2953/Raw_Data!$H2953</f>
        <v>65.15754296626352</v>
      </c>
    </row>
    <row r="2954" spans="1:10" x14ac:dyDescent="0.3">
      <c r="A2954" s="9">
        <v>42035</v>
      </c>
      <c r="B2954" s="2" t="str">
        <f>TEXT(Raw_Data!$A2954, "MMM")</f>
        <v>Jan</v>
      </c>
      <c r="C2954" s="2">
        <f>YEAR(Raw_Data!$A2954)</f>
        <v>2015</v>
      </c>
      <c r="D2954" s="2" t="s">
        <v>1484</v>
      </c>
      <c r="E2954" s="2" t="s">
        <v>15</v>
      </c>
      <c r="F2954" s="2" t="s">
        <v>27</v>
      </c>
      <c r="G2954" s="2"/>
      <c r="H2954" s="2">
        <v>2720</v>
      </c>
      <c r="I2954" s="10">
        <v>852877</v>
      </c>
      <c r="J2954" s="10">
        <f>Raw_Data!$I2954/Raw_Data!$H2954</f>
        <v>313.55772058823527</v>
      </c>
    </row>
    <row r="2955" spans="1:10" x14ac:dyDescent="0.3">
      <c r="A2955" s="8">
        <v>43231</v>
      </c>
      <c r="B2955" t="str">
        <f>TEXT(Raw_Data!$A2955, "MMM")</f>
        <v>May</v>
      </c>
      <c r="C2955">
        <f>YEAR(Raw_Data!$A2955)</f>
        <v>2018</v>
      </c>
      <c r="D2955" t="s">
        <v>2169</v>
      </c>
      <c r="E2955" t="s">
        <v>32</v>
      </c>
      <c r="F2955" t="s">
        <v>27</v>
      </c>
      <c r="H2955">
        <v>2757</v>
      </c>
      <c r="I2955" s="1">
        <v>703228</v>
      </c>
      <c r="J2955" s="1">
        <f>Raw_Data!$I2955/Raw_Data!$H2955</f>
        <v>255.07000362713094</v>
      </c>
    </row>
    <row r="2956" spans="1:10" x14ac:dyDescent="0.3">
      <c r="A2956" s="9">
        <v>41588</v>
      </c>
      <c r="B2956" s="2" t="str">
        <f>TEXT(Raw_Data!$A2956, "MMM")</f>
        <v>Nov</v>
      </c>
      <c r="C2956" s="2">
        <f>YEAR(Raw_Data!$A2956)</f>
        <v>2013</v>
      </c>
      <c r="D2956" s="2" t="s">
        <v>829</v>
      </c>
      <c r="E2956" s="2" t="s">
        <v>15</v>
      </c>
      <c r="F2956" s="2" t="s">
        <v>18</v>
      </c>
      <c r="G2956" s="2"/>
      <c r="H2956" s="2">
        <v>3439</v>
      </c>
      <c r="I2956" s="10">
        <v>856940</v>
      </c>
      <c r="J2956" s="10">
        <f>Raw_Data!$I2956/Raw_Data!$H2956</f>
        <v>249.1829020063972</v>
      </c>
    </row>
    <row r="2957" spans="1:10" x14ac:dyDescent="0.3">
      <c r="A2957" s="8">
        <v>41320</v>
      </c>
      <c r="B2957" t="str">
        <f>TEXT(Raw_Data!$A2957, "MMM")</f>
        <v>Feb</v>
      </c>
      <c r="C2957">
        <f>YEAR(Raw_Data!$A2957)</f>
        <v>2013</v>
      </c>
      <c r="D2957" t="s">
        <v>1399</v>
      </c>
      <c r="E2957" t="s">
        <v>15</v>
      </c>
      <c r="F2957" t="s">
        <v>27</v>
      </c>
      <c r="G2957">
        <v>5</v>
      </c>
      <c r="H2957">
        <v>3167</v>
      </c>
      <c r="I2957" s="1">
        <v>385594</v>
      </c>
      <c r="J2957" s="1">
        <f>Raw_Data!$I2957/Raw_Data!$H2957</f>
        <v>121.75371013577518</v>
      </c>
    </row>
    <row r="2958" spans="1:10" x14ac:dyDescent="0.3">
      <c r="A2958" s="9">
        <v>42654</v>
      </c>
      <c r="B2958" s="2" t="str">
        <f>TEXT(Raw_Data!$A2958, "MMM")</f>
        <v>Oct</v>
      </c>
      <c r="C2958" s="2">
        <f>YEAR(Raw_Data!$A2958)</f>
        <v>2016</v>
      </c>
      <c r="D2958" s="2" t="s">
        <v>549</v>
      </c>
      <c r="E2958" s="2" t="s">
        <v>25</v>
      </c>
      <c r="F2958" s="2" t="s">
        <v>16</v>
      </c>
      <c r="G2958" s="2"/>
      <c r="H2958" s="2">
        <v>3150</v>
      </c>
      <c r="I2958" s="10">
        <v>416690</v>
      </c>
      <c r="J2958" s="10">
        <f>Raw_Data!$I2958/Raw_Data!$H2958</f>
        <v>132.28253968253969</v>
      </c>
    </row>
    <row r="2959" spans="1:10" x14ac:dyDescent="0.3">
      <c r="A2959" s="8">
        <v>40407</v>
      </c>
      <c r="B2959" t="str">
        <f>TEXT(Raw_Data!$A2959, "MMM")</f>
        <v>Aug</v>
      </c>
      <c r="C2959">
        <f>YEAR(Raw_Data!$A2959)</f>
        <v>2010</v>
      </c>
      <c r="D2959" t="s">
        <v>2170</v>
      </c>
      <c r="E2959" t="s">
        <v>32</v>
      </c>
      <c r="F2959" t="s">
        <v>11</v>
      </c>
      <c r="H2959">
        <v>3256</v>
      </c>
      <c r="I2959" s="1">
        <v>427204</v>
      </c>
      <c r="J2959" s="1">
        <f>Raw_Data!$I2959/Raw_Data!$H2959</f>
        <v>131.2051597051597</v>
      </c>
    </row>
    <row r="2960" spans="1:10" x14ac:dyDescent="0.3">
      <c r="A2960" s="9">
        <v>42423</v>
      </c>
      <c r="B2960" s="2" t="str">
        <f>TEXT(Raw_Data!$A2960, "MMM")</f>
        <v>Feb</v>
      </c>
      <c r="C2960" s="2">
        <f>YEAR(Raw_Data!$A2960)</f>
        <v>2016</v>
      </c>
      <c r="D2960" s="2" t="s">
        <v>199</v>
      </c>
      <c r="E2960" s="2" t="s">
        <v>32</v>
      </c>
      <c r="F2960" s="2" t="s">
        <v>16</v>
      </c>
      <c r="G2960" s="2">
        <v>5</v>
      </c>
      <c r="H2960" s="2">
        <v>1011</v>
      </c>
      <c r="I2960" s="10">
        <v>696089</v>
      </c>
      <c r="J2960" s="10">
        <f>Raw_Data!$I2960/Raw_Data!$H2960</f>
        <v>688.51533135509396</v>
      </c>
    </row>
    <row r="2961" spans="1:10" x14ac:dyDescent="0.3">
      <c r="A2961" s="8">
        <v>41205</v>
      </c>
      <c r="B2961" t="str">
        <f>TEXT(Raw_Data!$A2961, "MMM")</f>
        <v>Oct</v>
      </c>
      <c r="C2961">
        <f>YEAR(Raw_Data!$A2961)</f>
        <v>2012</v>
      </c>
      <c r="D2961" t="s">
        <v>2171</v>
      </c>
      <c r="E2961" t="s">
        <v>25</v>
      </c>
      <c r="F2961" t="s">
        <v>18</v>
      </c>
      <c r="G2961">
        <v>5</v>
      </c>
      <c r="H2961">
        <v>3184</v>
      </c>
      <c r="I2961" s="1">
        <v>367834</v>
      </c>
      <c r="J2961" s="1">
        <f>Raw_Data!$I2961/Raw_Data!$H2961</f>
        <v>115.52575376884423</v>
      </c>
    </row>
    <row r="2962" spans="1:10" x14ac:dyDescent="0.3">
      <c r="A2962" s="9">
        <v>38746</v>
      </c>
      <c r="B2962" s="2" t="str">
        <f>TEXT(Raw_Data!$A2962, "MMM")</f>
        <v>Jan</v>
      </c>
      <c r="C2962" s="2">
        <f>YEAR(Raw_Data!$A2962)</f>
        <v>2006</v>
      </c>
      <c r="D2962" s="2" t="s">
        <v>583</v>
      </c>
      <c r="E2962" s="2" t="s">
        <v>15</v>
      </c>
      <c r="F2962" s="2" t="s">
        <v>16</v>
      </c>
      <c r="G2962" s="2"/>
      <c r="H2962" s="2">
        <v>2688</v>
      </c>
      <c r="I2962" s="10">
        <v>825521</v>
      </c>
      <c r="J2962" s="10">
        <f>Raw_Data!$I2962/Raw_Data!$H2962</f>
        <v>307.11346726190476</v>
      </c>
    </row>
    <row r="2963" spans="1:10" x14ac:dyDescent="0.3">
      <c r="A2963" s="8">
        <v>39362</v>
      </c>
      <c r="B2963" t="str">
        <f>TEXT(Raw_Data!$A2963, "MMM")</f>
        <v>Oct</v>
      </c>
      <c r="C2963">
        <f>YEAR(Raw_Data!$A2963)</f>
        <v>2007</v>
      </c>
      <c r="D2963" t="s">
        <v>768</v>
      </c>
      <c r="E2963" t="s">
        <v>32</v>
      </c>
      <c r="F2963" t="s">
        <v>11</v>
      </c>
      <c r="G2963">
        <v>5</v>
      </c>
      <c r="H2963">
        <v>1833</v>
      </c>
      <c r="I2963" s="1">
        <v>440096</v>
      </c>
      <c r="J2963" s="1">
        <f>Raw_Data!$I2963/Raw_Data!$H2963</f>
        <v>240.0960174577196</v>
      </c>
    </row>
    <row r="2964" spans="1:10" x14ac:dyDescent="0.3">
      <c r="A2964" s="9">
        <v>41697</v>
      </c>
      <c r="B2964" s="2" t="str">
        <f>TEXT(Raw_Data!$A2964, "MMM")</f>
        <v>Feb</v>
      </c>
      <c r="C2964" s="2">
        <f>YEAR(Raw_Data!$A2964)</f>
        <v>2014</v>
      </c>
      <c r="D2964" s="2" t="s">
        <v>1688</v>
      </c>
      <c r="E2964" s="2" t="s">
        <v>21</v>
      </c>
      <c r="F2964" s="2" t="s">
        <v>11</v>
      </c>
      <c r="G2964" s="2"/>
      <c r="H2964" s="2">
        <v>2888</v>
      </c>
      <c r="I2964" s="10">
        <v>253481</v>
      </c>
      <c r="J2964" s="10">
        <f>Raw_Data!$I2964/Raw_Data!$H2964</f>
        <v>87.77042936288089</v>
      </c>
    </row>
    <row r="2965" spans="1:10" x14ac:dyDescent="0.3">
      <c r="A2965" s="8">
        <v>43448</v>
      </c>
      <c r="B2965" t="str">
        <f>TEXT(Raw_Data!$A2965, "MMM")</f>
        <v>Dec</v>
      </c>
      <c r="C2965">
        <f>YEAR(Raw_Data!$A2965)</f>
        <v>2018</v>
      </c>
      <c r="D2965" t="s">
        <v>1799</v>
      </c>
      <c r="E2965" t="s">
        <v>13</v>
      </c>
      <c r="F2965" t="s">
        <v>11</v>
      </c>
      <c r="G2965">
        <v>5</v>
      </c>
      <c r="H2965">
        <v>2298</v>
      </c>
      <c r="I2965" s="1">
        <v>700819</v>
      </c>
      <c r="J2965" s="1">
        <f>Raw_Data!$I2965/Raw_Data!$H2965</f>
        <v>304.96910356832029</v>
      </c>
    </row>
    <row r="2966" spans="1:10" x14ac:dyDescent="0.3">
      <c r="A2966" s="9">
        <v>38336</v>
      </c>
      <c r="B2966" s="2" t="str">
        <f>TEXT(Raw_Data!$A2966, "MMM")</f>
        <v>Dec</v>
      </c>
      <c r="C2966" s="2">
        <f>YEAR(Raw_Data!$A2966)</f>
        <v>2004</v>
      </c>
      <c r="D2966" s="2" t="s">
        <v>2172</v>
      </c>
      <c r="E2966" s="2" t="s">
        <v>15</v>
      </c>
      <c r="F2966" s="2" t="s">
        <v>11</v>
      </c>
      <c r="G2966" s="2">
        <v>2</v>
      </c>
      <c r="H2966" s="2">
        <v>1580</v>
      </c>
      <c r="I2966" s="10">
        <v>221568</v>
      </c>
      <c r="J2966" s="10">
        <f>Raw_Data!$I2966/Raw_Data!$H2966</f>
        <v>140.23291139240507</v>
      </c>
    </row>
    <row r="2967" spans="1:10" x14ac:dyDescent="0.3">
      <c r="A2967" s="8">
        <v>39841</v>
      </c>
      <c r="B2967" t="str">
        <f>TEXT(Raw_Data!$A2967, "MMM")</f>
        <v>Jan</v>
      </c>
      <c r="C2967">
        <f>YEAR(Raw_Data!$A2967)</f>
        <v>2009</v>
      </c>
      <c r="D2967" t="s">
        <v>2173</v>
      </c>
      <c r="E2967" t="s">
        <v>23</v>
      </c>
      <c r="F2967" t="s">
        <v>18</v>
      </c>
      <c r="H2967">
        <v>1653</v>
      </c>
      <c r="I2967" s="1">
        <v>469472</v>
      </c>
      <c r="J2967" s="1">
        <f>Raw_Data!$I2967/Raw_Data!$H2967</f>
        <v>284.0120992135511</v>
      </c>
    </row>
    <row r="2968" spans="1:10" x14ac:dyDescent="0.3">
      <c r="A2968" s="9">
        <v>38733</v>
      </c>
      <c r="B2968" s="2" t="str">
        <f>TEXT(Raw_Data!$A2968, "MMM")</f>
        <v>Jan</v>
      </c>
      <c r="C2968" s="2">
        <f>YEAR(Raw_Data!$A2968)</f>
        <v>2006</v>
      </c>
      <c r="D2968" s="2" t="s">
        <v>2174</v>
      </c>
      <c r="E2968" s="2" t="s">
        <v>13</v>
      </c>
      <c r="F2968" s="2" t="s">
        <v>16</v>
      </c>
      <c r="G2968" s="2">
        <v>5</v>
      </c>
      <c r="H2968" s="2">
        <v>1674</v>
      </c>
      <c r="I2968" s="10">
        <v>169459</v>
      </c>
      <c r="J2968" s="10">
        <f>Raw_Data!$I2968/Raw_Data!$H2968</f>
        <v>101.2299880525687</v>
      </c>
    </row>
    <row r="2969" spans="1:10" x14ac:dyDescent="0.3">
      <c r="A2969" s="8">
        <v>41243</v>
      </c>
      <c r="B2969" t="str">
        <f>TEXT(Raw_Data!$A2969, "MMM")</f>
        <v>Nov</v>
      </c>
      <c r="C2969">
        <f>YEAR(Raw_Data!$A2969)</f>
        <v>2012</v>
      </c>
      <c r="D2969" t="s">
        <v>1020</v>
      </c>
      <c r="E2969" t="s">
        <v>29</v>
      </c>
      <c r="F2969" t="s">
        <v>16</v>
      </c>
      <c r="H2969">
        <v>1948</v>
      </c>
      <c r="I2969" s="1">
        <v>631280</v>
      </c>
      <c r="J2969" s="1">
        <f>Raw_Data!$I2969/Raw_Data!$H2969</f>
        <v>324.06570841889118</v>
      </c>
    </row>
    <row r="2970" spans="1:10" x14ac:dyDescent="0.3">
      <c r="A2970" s="9">
        <v>37897</v>
      </c>
      <c r="B2970" s="2" t="str">
        <f>TEXT(Raw_Data!$A2970, "MMM")</f>
        <v>Oct</v>
      </c>
      <c r="C2970" s="2">
        <f>YEAR(Raw_Data!$A2970)</f>
        <v>2003</v>
      </c>
      <c r="D2970" s="2" t="s">
        <v>904</v>
      </c>
      <c r="E2970" s="2" t="s">
        <v>15</v>
      </c>
      <c r="F2970" s="2" t="s">
        <v>27</v>
      </c>
      <c r="G2970" s="2">
        <v>2</v>
      </c>
      <c r="H2970" s="2">
        <v>3224</v>
      </c>
      <c r="I2970" s="10">
        <v>873341</v>
      </c>
      <c r="J2970" s="10">
        <f>Raw_Data!$I2970/Raw_Data!$H2970</f>
        <v>270.88740694789084</v>
      </c>
    </row>
    <row r="2971" spans="1:10" x14ac:dyDescent="0.3">
      <c r="A2971" s="8">
        <v>37346</v>
      </c>
      <c r="B2971" t="str">
        <f>TEXT(Raw_Data!$A2971, "MMM")</f>
        <v>Mar</v>
      </c>
      <c r="C2971">
        <f>YEAR(Raw_Data!$A2971)</f>
        <v>2002</v>
      </c>
      <c r="D2971" t="s">
        <v>1060</v>
      </c>
      <c r="E2971" t="s">
        <v>25</v>
      </c>
      <c r="F2971" t="s">
        <v>11</v>
      </c>
      <c r="G2971">
        <v>5</v>
      </c>
      <c r="H2971">
        <v>2765</v>
      </c>
      <c r="I2971" s="1">
        <v>751768</v>
      </c>
      <c r="J2971" s="1">
        <f>Raw_Data!$I2971/Raw_Data!$H2971</f>
        <v>271.88716094032549</v>
      </c>
    </row>
    <row r="2972" spans="1:10" x14ac:dyDescent="0.3">
      <c r="A2972" s="9">
        <v>38929</v>
      </c>
      <c r="B2972" s="2" t="str">
        <f>TEXT(Raw_Data!$A2972, "MMM")</f>
        <v>Jul</v>
      </c>
      <c r="C2972" s="2">
        <f>YEAR(Raw_Data!$A2972)</f>
        <v>2006</v>
      </c>
      <c r="D2972" s="2" t="s">
        <v>2175</v>
      </c>
      <c r="E2972" s="2" t="s">
        <v>32</v>
      </c>
      <c r="F2972" s="2" t="s">
        <v>27</v>
      </c>
      <c r="G2972" s="2">
        <v>3</v>
      </c>
      <c r="H2972" s="2">
        <v>1258</v>
      </c>
      <c r="I2972" s="10">
        <v>401755</v>
      </c>
      <c r="J2972" s="10">
        <f>Raw_Data!$I2972/Raw_Data!$H2972</f>
        <v>319.36009538950714</v>
      </c>
    </row>
    <row r="2973" spans="1:10" x14ac:dyDescent="0.3">
      <c r="A2973" s="8">
        <v>42231</v>
      </c>
      <c r="B2973" t="str">
        <f>TEXT(Raw_Data!$A2973, "MMM")</f>
        <v>Aug</v>
      </c>
      <c r="C2973">
        <f>YEAR(Raw_Data!$A2973)</f>
        <v>2015</v>
      </c>
      <c r="D2973" t="s">
        <v>2176</v>
      </c>
      <c r="E2973" t="s">
        <v>25</v>
      </c>
      <c r="F2973" t="s">
        <v>18</v>
      </c>
      <c r="G2973">
        <v>5</v>
      </c>
      <c r="H2973">
        <v>3435</v>
      </c>
      <c r="I2973" s="1">
        <v>820739</v>
      </c>
      <c r="J2973" s="1">
        <f>Raw_Data!$I2973/Raw_Data!$H2973</f>
        <v>238.93420669577876</v>
      </c>
    </row>
    <row r="2974" spans="1:10" x14ac:dyDescent="0.3">
      <c r="A2974" s="9">
        <v>37992</v>
      </c>
      <c r="B2974" s="2" t="str">
        <f>TEXT(Raw_Data!$A2974, "MMM")</f>
        <v>Jan</v>
      </c>
      <c r="C2974" s="2">
        <f>YEAR(Raw_Data!$A2974)</f>
        <v>2004</v>
      </c>
      <c r="D2974" s="2" t="s">
        <v>2177</v>
      </c>
      <c r="E2974" s="2" t="s">
        <v>29</v>
      </c>
      <c r="F2974" s="2" t="s">
        <v>11</v>
      </c>
      <c r="G2974" s="2">
        <v>2</v>
      </c>
      <c r="H2974" s="2">
        <v>2248</v>
      </c>
      <c r="I2974" s="10">
        <v>249569</v>
      </c>
      <c r="J2974" s="10">
        <f>Raw_Data!$I2974/Raw_Data!$H2974</f>
        <v>111.01823843416371</v>
      </c>
    </row>
    <row r="2975" spans="1:10" x14ac:dyDescent="0.3">
      <c r="A2975" s="8">
        <v>39564</v>
      </c>
      <c r="B2975" t="str">
        <f>TEXT(Raw_Data!$A2975, "MMM")</f>
        <v>Apr</v>
      </c>
      <c r="C2975">
        <f>YEAR(Raw_Data!$A2975)</f>
        <v>2008</v>
      </c>
      <c r="D2975" t="s">
        <v>2178</v>
      </c>
      <c r="E2975" t="s">
        <v>32</v>
      </c>
      <c r="F2975" t="s">
        <v>16</v>
      </c>
      <c r="G2975">
        <v>5</v>
      </c>
      <c r="H2975">
        <v>1093</v>
      </c>
      <c r="I2975" s="1">
        <v>617105</v>
      </c>
      <c r="J2975" s="1">
        <f>Raw_Data!$I2975/Raw_Data!$H2975</f>
        <v>564.59743824336692</v>
      </c>
    </row>
    <row r="2976" spans="1:10" x14ac:dyDescent="0.3">
      <c r="A2976" s="9">
        <v>41179</v>
      </c>
      <c r="B2976" s="2" t="str">
        <f>TEXT(Raw_Data!$A2976, "MMM")</f>
        <v>Sep</v>
      </c>
      <c r="C2976" s="2">
        <f>YEAR(Raw_Data!$A2976)</f>
        <v>2012</v>
      </c>
      <c r="D2976" s="2" t="s">
        <v>1000</v>
      </c>
      <c r="E2976" s="2" t="s">
        <v>29</v>
      </c>
      <c r="F2976" s="2" t="s">
        <v>18</v>
      </c>
      <c r="G2976" s="2"/>
      <c r="H2976" s="2">
        <v>1814</v>
      </c>
      <c r="I2976" s="10">
        <v>396076</v>
      </c>
      <c r="J2976" s="10">
        <f>Raw_Data!$I2976/Raw_Data!$H2976</f>
        <v>218.34399117971333</v>
      </c>
    </row>
    <row r="2977" spans="1:10" x14ac:dyDescent="0.3">
      <c r="A2977" s="8">
        <v>38709</v>
      </c>
      <c r="B2977" t="str">
        <f>TEXT(Raw_Data!$A2977, "MMM")</f>
        <v>Dec</v>
      </c>
      <c r="C2977">
        <f>YEAR(Raw_Data!$A2977)</f>
        <v>2005</v>
      </c>
      <c r="D2977" t="s">
        <v>900</v>
      </c>
      <c r="E2977" t="s">
        <v>13</v>
      </c>
      <c r="F2977" t="s">
        <v>11</v>
      </c>
      <c r="G2977">
        <v>5</v>
      </c>
      <c r="H2977">
        <v>3115</v>
      </c>
      <c r="I2977" s="1">
        <v>145216</v>
      </c>
      <c r="J2977" s="1">
        <f>Raw_Data!$I2977/Raw_Data!$H2977</f>
        <v>46.618298555377208</v>
      </c>
    </row>
    <row r="2978" spans="1:10" x14ac:dyDescent="0.3">
      <c r="A2978" s="9">
        <v>42210</v>
      </c>
      <c r="B2978" s="2" t="str">
        <f>TEXT(Raw_Data!$A2978, "MMM")</f>
        <v>Jul</v>
      </c>
      <c r="C2978" s="2">
        <f>YEAR(Raw_Data!$A2978)</f>
        <v>2015</v>
      </c>
      <c r="D2978" s="2" t="s">
        <v>2179</v>
      </c>
      <c r="E2978" s="2" t="s">
        <v>15</v>
      </c>
      <c r="F2978" s="2" t="s">
        <v>18</v>
      </c>
      <c r="G2978" s="2">
        <v>2</v>
      </c>
      <c r="H2978" s="2">
        <v>2870</v>
      </c>
      <c r="I2978" s="10">
        <v>343592</v>
      </c>
      <c r="J2978" s="10">
        <f>Raw_Data!$I2978/Raw_Data!$H2978</f>
        <v>119.7184668989547</v>
      </c>
    </row>
    <row r="2979" spans="1:10" x14ac:dyDescent="0.3">
      <c r="A2979" s="8">
        <v>39880</v>
      </c>
      <c r="B2979" t="str">
        <f>TEXT(Raw_Data!$A2979, "MMM")</f>
        <v>Mar</v>
      </c>
      <c r="C2979">
        <f>YEAR(Raw_Data!$A2979)</f>
        <v>2009</v>
      </c>
      <c r="D2979" t="s">
        <v>2180</v>
      </c>
      <c r="E2979" t="s">
        <v>32</v>
      </c>
      <c r="F2979" t="s">
        <v>16</v>
      </c>
      <c r="G2979">
        <v>5</v>
      </c>
      <c r="H2979">
        <v>3280</v>
      </c>
      <c r="I2979" s="1">
        <v>351351</v>
      </c>
      <c r="J2979" s="1">
        <f>Raw_Data!$I2979/Raw_Data!$H2979</f>
        <v>107.11920731707318</v>
      </c>
    </row>
    <row r="2980" spans="1:10" x14ac:dyDescent="0.3">
      <c r="A2980" s="9">
        <v>40447</v>
      </c>
      <c r="B2980" s="2" t="str">
        <f>TEXT(Raw_Data!$A2980, "MMM")</f>
        <v>Sep</v>
      </c>
      <c r="C2980" s="2">
        <f>YEAR(Raw_Data!$A2980)</f>
        <v>2010</v>
      </c>
      <c r="D2980" s="2" t="s">
        <v>617</v>
      </c>
      <c r="E2980" s="2" t="s">
        <v>32</v>
      </c>
      <c r="F2980" s="2" t="s">
        <v>27</v>
      </c>
      <c r="G2980" s="2"/>
      <c r="H2980" s="2">
        <v>1122</v>
      </c>
      <c r="I2980" s="10">
        <v>787080</v>
      </c>
      <c r="J2980" s="10">
        <f>Raw_Data!$I2980/Raw_Data!$H2980</f>
        <v>701.49732620320856</v>
      </c>
    </row>
    <row r="2981" spans="1:10" x14ac:dyDescent="0.3">
      <c r="A2981" s="8">
        <v>40667</v>
      </c>
      <c r="B2981" t="str">
        <f>TEXT(Raw_Data!$A2981, "MMM")</f>
        <v>May</v>
      </c>
      <c r="C2981">
        <f>YEAR(Raw_Data!$A2981)</f>
        <v>2011</v>
      </c>
      <c r="D2981" t="s">
        <v>2181</v>
      </c>
      <c r="E2981" t="s">
        <v>15</v>
      </c>
      <c r="F2981" t="s">
        <v>16</v>
      </c>
      <c r="G2981">
        <v>5</v>
      </c>
      <c r="H2981">
        <v>1781</v>
      </c>
      <c r="I2981" s="1">
        <v>155528</v>
      </c>
      <c r="J2981" s="1">
        <f>Raw_Data!$I2981/Raw_Data!$H2981</f>
        <v>87.326221224031443</v>
      </c>
    </row>
    <row r="2982" spans="1:10" x14ac:dyDescent="0.3">
      <c r="A2982" s="9">
        <v>37543</v>
      </c>
      <c r="B2982" s="2" t="str">
        <f>TEXT(Raw_Data!$A2982, "MMM")</f>
        <v>Oct</v>
      </c>
      <c r="C2982" s="2">
        <f>YEAR(Raw_Data!$A2982)</f>
        <v>2002</v>
      </c>
      <c r="D2982" s="2" t="s">
        <v>2182</v>
      </c>
      <c r="E2982" s="2" t="s">
        <v>29</v>
      </c>
      <c r="F2982" s="2" t="s">
        <v>16</v>
      </c>
      <c r="G2982" s="2"/>
      <c r="H2982" s="2">
        <v>3223</v>
      </c>
      <c r="I2982" s="10">
        <v>379252</v>
      </c>
      <c r="J2982" s="10">
        <f>Raw_Data!$I2982/Raw_Data!$H2982</f>
        <v>117.6704933291964</v>
      </c>
    </row>
    <row r="2983" spans="1:10" x14ac:dyDescent="0.3">
      <c r="A2983" s="8">
        <v>38097</v>
      </c>
      <c r="B2983" t="str">
        <f>TEXT(Raw_Data!$A2983, "MMM")</f>
        <v>Apr</v>
      </c>
      <c r="C2983">
        <f>YEAR(Raw_Data!$A2983)</f>
        <v>2004</v>
      </c>
      <c r="D2983" t="s">
        <v>338</v>
      </c>
      <c r="E2983" t="s">
        <v>13</v>
      </c>
      <c r="F2983" t="s">
        <v>18</v>
      </c>
      <c r="G2983">
        <v>5</v>
      </c>
      <c r="H2983">
        <v>2894</v>
      </c>
      <c r="I2983" s="1">
        <v>196385</v>
      </c>
      <c r="J2983" s="1">
        <f>Raw_Data!$I2983/Raw_Data!$H2983</f>
        <v>67.859364201796822</v>
      </c>
    </row>
    <row r="2984" spans="1:10" x14ac:dyDescent="0.3">
      <c r="A2984" s="9">
        <v>37026</v>
      </c>
      <c r="B2984" s="2" t="str">
        <f>TEXT(Raw_Data!$A2984, "MMM")</f>
        <v>May</v>
      </c>
      <c r="C2984" s="2">
        <f>YEAR(Raw_Data!$A2984)</f>
        <v>2001</v>
      </c>
      <c r="D2984" s="2" t="s">
        <v>2183</v>
      </c>
      <c r="E2984" s="2" t="s">
        <v>15</v>
      </c>
      <c r="F2984" s="2" t="s">
        <v>27</v>
      </c>
      <c r="G2984" s="2">
        <v>3</v>
      </c>
      <c r="H2984" s="2">
        <v>879</v>
      </c>
      <c r="I2984" s="10"/>
      <c r="J2984" s="10">
        <f>Raw_Data!$I2984/Raw_Data!$H2984</f>
        <v>0</v>
      </c>
    </row>
    <row r="2985" spans="1:10" x14ac:dyDescent="0.3">
      <c r="A2985" s="8">
        <v>40070</v>
      </c>
      <c r="B2985" t="str">
        <f>TEXT(Raw_Data!$A2985, "MMM")</f>
        <v>Sep</v>
      </c>
      <c r="C2985">
        <f>YEAR(Raw_Data!$A2985)</f>
        <v>2009</v>
      </c>
      <c r="D2985" t="s">
        <v>1419</v>
      </c>
      <c r="E2985" t="s">
        <v>29</v>
      </c>
      <c r="F2985" t="s">
        <v>11</v>
      </c>
      <c r="G2985">
        <v>3</v>
      </c>
      <c r="H2985">
        <v>3367</v>
      </c>
      <c r="I2985" s="1">
        <v>152949</v>
      </c>
      <c r="J2985" s="1">
        <f>Raw_Data!$I2985/Raw_Data!$H2985</f>
        <v>45.425898425898424</v>
      </c>
    </row>
    <row r="2986" spans="1:10" x14ac:dyDescent="0.3">
      <c r="A2986" s="9">
        <v>38993</v>
      </c>
      <c r="B2986" s="2" t="str">
        <f>TEXT(Raw_Data!$A2986, "MMM")</f>
        <v>Oct</v>
      </c>
      <c r="C2986" s="2">
        <f>YEAR(Raw_Data!$A2986)</f>
        <v>2006</v>
      </c>
      <c r="D2986" s="2" t="s">
        <v>2130</v>
      </c>
      <c r="E2986" s="2" t="s">
        <v>23</v>
      </c>
      <c r="F2986" s="2" t="s">
        <v>18</v>
      </c>
      <c r="G2986" s="2">
        <v>3</v>
      </c>
      <c r="H2986" s="2">
        <v>807</v>
      </c>
      <c r="I2986" s="10">
        <v>486409</v>
      </c>
      <c r="J2986" s="10">
        <f>Raw_Data!$I2986/Raw_Data!$H2986</f>
        <v>602.73729863692688</v>
      </c>
    </row>
    <row r="2987" spans="1:10" x14ac:dyDescent="0.3">
      <c r="A2987" s="8">
        <v>39693</v>
      </c>
      <c r="B2987" t="str">
        <f>TEXT(Raw_Data!$A2987, "MMM")</f>
        <v>Sep</v>
      </c>
      <c r="C2987">
        <f>YEAR(Raw_Data!$A2987)</f>
        <v>2008</v>
      </c>
      <c r="D2987" t="s">
        <v>837</v>
      </c>
      <c r="E2987" t="s">
        <v>15</v>
      </c>
      <c r="F2987" t="s">
        <v>27</v>
      </c>
      <c r="H2987">
        <v>1992</v>
      </c>
      <c r="I2987" s="1">
        <v>708611</v>
      </c>
      <c r="J2987" s="1">
        <f>Raw_Data!$I2987/Raw_Data!$H2987</f>
        <v>355.72841365461846</v>
      </c>
    </row>
    <row r="2988" spans="1:10" x14ac:dyDescent="0.3">
      <c r="A2988" s="9">
        <v>42121</v>
      </c>
      <c r="B2988" s="2" t="str">
        <f>TEXT(Raw_Data!$A2988, "MMM")</f>
        <v>Apr</v>
      </c>
      <c r="C2988" s="2">
        <f>YEAR(Raw_Data!$A2988)</f>
        <v>2015</v>
      </c>
      <c r="D2988" s="2" t="s">
        <v>2184</v>
      </c>
      <c r="E2988" s="2" t="s">
        <v>25</v>
      </c>
      <c r="F2988" s="2" t="s">
        <v>18</v>
      </c>
      <c r="G2988" s="2">
        <v>2</v>
      </c>
      <c r="H2988" s="2">
        <v>1433</v>
      </c>
      <c r="I2988" s="10">
        <v>630088</v>
      </c>
      <c r="J2988" s="10">
        <f>Raw_Data!$I2988/Raw_Data!$H2988</f>
        <v>439.69853454291695</v>
      </c>
    </row>
    <row r="2989" spans="1:10" x14ac:dyDescent="0.3">
      <c r="A2989" s="8">
        <v>43846</v>
      </c>
      <c r="B2989" t="str">
        <f>TEXT(Raw_Data!$A2989, "MMM")</f>
        <v>Jan</v>
      </c>
      <c r="C2989">
        <f>YEAR(Raw_Data!$A2989)</f>
        <v>2020</v>
      </c>
      <c r="D2989" t="s">
        <v>2185</v>
      </c>
      <c r="E2989" t="s">
        <v>13</v>
      </c>
      <c r="F2989" t="s">
        <v>18</v>
      </c>
      <c r="H2989">
        <v>2371</v>
      </c>
      <c r="I2989" s="1">
        <v>519347</v>
      </c>
      <c r="J2989" s="1">
        <f>Raw_Data!$I2989/Raw_Data!$H2989</f>
        <v>219.04133277098271</v>
      </c>
    </row>
    <row r="2990" spans="1:10" x14ac:dyDescent="0.3">
      <c r="A2990" s="9">
        <v>43918</v>
      </c>
      <c r="B2990" s="2" t="str">
        <f>TEXT(Raw_Data!$A2990, "MMM")</f>
        <v>Mar</v>
      </c>
      <c r="C2990" s="2">
        <f>YEAR(Raw_Data!$A2990)</f>
        <v>2020</v>
      </c>
      <c r="D2990" s="2" t="s">
        <v>2186</v>
      </c>
      <c r="E2990" s="2" t="s">
        <v>23</v>
      </c>
      <c r="F2990" s="2" t="s">
        <v>18</v>
      </c>
      <c r="G2990" s="2">
        <v>5</v>
      </c>
      <c r="H2990" s="2">
        <v>1364</v>
      </c>
      <c r="I2990" s="10"/>
      <c r="J2990" s="10">
        <f>Raw_Data!$I2990/Raw_Data!$H2990</f>
        <v>0</v>
      </c>
    </row>
    <row r="2991" spans="1:10" x14ac:dyDescent="0.3">
      <c r="A2991" s="8">
        <v>40108</v>
      </c>
      <c r="B2991" t="str">
        <f>TEXT(Raw_Data!$A2991, "MMM")</f>
        <v>Oct</v>
      </c>
      <c r="C2991">
        <f>YEAR(Raw_Data!$A2991)</f>
        <v>2009</v>
      </c>
      <c r="D2991" t="s">
        <v>410</v>
      </c>
      <c r="E2991" t="s">
        <v>25</v>
      </c>
      <c r="F2991" t="s">
        <v>18</v>
      </c>
      <c r="H2991">
        <v>2987</v>
      </c>
      <c r="I2991" s="1">
        <v>347809</v>
      </c>
      <c r="J2991" s="1">
        <f>Raw_Data!$I2991/Raw_Data!$H2991</f>
        <v>116.44091061265483</v>
      </c>
    </row>
    <row r="2992" spans="1:10" x14ac:dyDescent="0.3">
      <c r="A2992" s="9">
        <v>42884</v>
      </c>
      <c r="B2992" s="2" t="str">
        <f>TEXT(Raw_Data!$A2992, "MMM")</f>
        <v>May</v>
      </c>
      <c r="C2992" s="2">
        <f>YEAR(Raw_Data!$A2992)</f>
        <v>2017</v>
      </c>
      <c r="D2992" s="2" t="s">
        <v>740</v>
      </c>
      <c r="E2992" s="2" t="s">
        <v>15</v>
      </c>
      <c r="F2992" s="2" t="s">
        <v>18</v>
      </c>
      <c r="G2992" s="2">
        <v>5</v>
      </c>
      <c r="H2992" s="2">
        <v>2318</v>
      </c>
      <c r="I2992" s="10">
        <v>636500</v>
      </c>
      <c r="J2992" s="10">
        <f>Raw_Data!$I2992/Raw_Data!$H2992</f>
        <v>274.59016393442624</v>
      </c>
    </row>
    <row r="2993" spans="1:10" x14ac:dyDescent="0.3">
      <c r="A2993" s="8">
        <v>39988</v>
      </c>
      <c r="B2993" t="str">
        <f>TEXT(Raw_Data!$A2993, "MMM")</f>
        <v>Jun</v>
      </c>
      <c r="C2993">
        <f>YEAR(Raw_Data!$A2993)</f>
        <v>2009</v>
      </c>
      <c r="D2993" t="s">
        <v>437</v>
      </c>
      <c r="E2993" t="s">
        <v>25</v>
      </c>
      <c r="F2993" t="s">
        <v>11</v>
      </c>
      <c r="G2993">
        <v>3</v>
      </c>
      <c r="H2993">
        <v>1218</v>
      </c>
      <c r="I2993" s="1">
        <v>839725</v>
      </c>
      <c r="J2993" s="1">
        <f>Raw_Data!$I2993/Raw_Data!$H2993</f>
        <v>689.42939244663387</v>
      </c>
    </row>
    <row r="2994" spans="1:10" x14ac:dyDescent="0.3">
      <c r="A2994" s="9">
        <v>42942</v>
      </c>
      <c r="B2994" s="2" t="str">
        <f>TEXT(Raw_Data!$A2994, "MMM")</f>
        <v>Jul</v>
      </c>
      <c r="C2994" s="2">
        <f>YEAR(Raw_Data!$A2994)</f>
        <v>2017</v>
      </c>
      <c r="D2994" s="2" t="s">
        <v>841</v>
      </c>
      <c r="E2994" s="2" t="s">
        <v>15</v>
      </c>
      <c r="F2994" s="2" t="s">
        <v>11</v>
      </c>
      <c r="G2994" s="2">
        <v>4</v>
      </c>
      <c r="H2994" s="2">
        <v>1438</v>
      </c>
      <c r="I2994" s="10">
        <v>629182</v>
      </c>
      <c r="J2994" s="10">
        <f>Raw_Data!$I2994/Raw_Data!$H2994</f>
        <v>437.53963838664811</v>
      </c>
    </row>
    <row r="2995" spans="1:10" x14ac:dyDescent="0.3">
      <c r="A2995" s="8">
        <v>43443</v>
      </c>
      <c r="B2995" t="str">
        <f>TEXT(Raw_Data!$A2995, "MMM")</f>
        <v>Dec</v>
      </c>
      <c r="C2995">
        <f>YEAR(Raw_Data!$A2995)</f>
        <v>2018</v>
      </c>
      <c r="D2995" t="s">
        <v>1285</v>
      </c>
      <c r="E2995" t="s">
        <v>25</v>
      </c>
      <c r="F2995" t="s">
        <v>11</v>
      </c>
      <c r="H2995">
        <v>827</v>
      </c>
      <c r="I2995" s="1">
        <v>584210</v>
      </c>
      <c r="J2995" s="1">
        <f>Raw_Data!$I2995/Raw_Data!$H2995</f>
        <v>706.42079806529625</v>
      </c>
    </row>
    <row r="2996" spans="1:10" x14ac:dyDescent="0.3">
      <c r="A2996" s="9">
        <v>42767</v>
      </c>
      <c r="B2996" s="2" t="str">
        <f>TEXT(Raw_Data!$A2996, "MMM")</f>
        <v>Feb</v>
      </c>
      <c r="C2996" s="2">
        <f>YEAR(Raw_Data!$A2996)</f>
        <v>2017</v>
      </c>
      <c r="D2996" s="2" t="s">
        <v>2187</v>
      </c>
      <c r="E2996" s="2" t="s">
        <v>15</v>
      </c>
      <c r="F2996" s="2" t="s">
        <v>18</v>
      </c>
      <c r="G2996" s="2">
        <v>2</v>
      </c>
      <c r="H2996" s="2">
        <v>3358</v>
      </c>
      <c r="I2996" s="10">
        <v>466107</v>
      </c>
      <c r="J2996" s="10">
        <f>Raw_Data!$I2996/Raw_Data!$H2996</f>
        <v>138.80494341870161</v>
      </c>
    </row>
    <row r="2997" spans="1:10" x14ac:dyDescent="0.3">
      <c r="A2997" s="8">
        <v>39343</v>
      </c>
      <c r="B2997" t="str">
        <f>TEXT(Raw_Data!$A2997, "MMM")</f>
        <v>Sep</v>
      </c>
      <c r="C2997">
        <f>YEAR(Raw_Data!$A2997)</f>
        <v>2007</v>
      </c>
      <c r="D2997" t="s">
        <v>2188</v>
      </c>
      <c r="E2997" t="s">
        <v>29</v>
      </c>
      <c r="F2997" t="s">
        <v>11</v>
      </c>
      <c r="G2997">
        <v>2</v>
      </c>
      <c r="H2997">
        <v>811</v>
      </c>
      <c r="I2997" s="1">
        <v>236981</v>
      </c>
      <c r="J2997" s="1">
        <f>Raw_Data!$I2997/Raw_Data!$H2997</f>
        <v>292.20838471023427</v>
      </c>
    </row>
    <row r="2998" spans="1:10" x14ac:dyDescent="0.3">
      <c r="A2998" s="9">
        <v>39932</v>
      </c>
      <c r="B2998" s="2" t="str">
        <f>TEXT(Raw_Data!$A2998, "MMM")</f>
        <v>Apr</v>
      </c>
      <c r="C2998" s="2">
        <f>YEAR(Raw_Data!$A2998)</f>
        <v>2009</v>
      </c>
      <c r="D2998" s="2" t="s">
        <v>635</v>
      </c>
      <c r="E2998" s="2" t="s">
        <v>13</v>
      </c>
      <c r="F2998" s="2" t="s">
        <v>18</v>
      </c>
      <c r="G2998" s="2">
        <v>4</v>
      </c>
      <c r="H2998" s="2">
        <v>2299</v>
      </c>
      <c r="I2998" s="10">
        <v>823562</v>
      </c>
      <c r="J2998" s="10">
        <f>Raw_Data!$I2998/Raw_Data!$H2998</f>
        <v>358.22618529795562</v>
      </c>
    </row>
    <row r="2999" spans="1:10" x14ac:dyDescent="0.3">
      <c r="A2999" s="8">
        <v>40483</v>
      </c>
      <c r="B2999" t="str">
        <f>TEXT(Raw_Data!$A2999, "MMM")</f>
        <v>Nov</v>
      </c>
      <c r="C2999">
        <f>YEAR(Raw_Data!$A2999)</f>
        <v>2010</v>
      </c>
      <c r="D2999" t="s">
        <v>1114</v>
      </c>
      <c r="E2999" t="s">
        <v>29</v>
      </c>
      <c r="F2999" t="s">
        <v>27</v>
      </c>
      <c r="G2999">
        <v>3</v>
      </c>
      <c r="H2999">
        <v>1589</v>
      </c>
      <c r="I2999" s="1">
        <v>379655</v>
      </c>
      <c r="J2999" s="1">
        <f>Raw_Data!$I2999/Raw_Data!$H2999</f>
        <v>238.92699811202013</v>
      </c>
    </row>
    <row r="3000" spans="1:10" x14ac:dyDescent="0.3">
      <c r="A3000" s="9">
        <v>40902</v>
      </c>
      <c r="B3000" s="2" t="str">
        <f>TEXT(Raw_Data!$A3000, "MMM")</f>
        <v>Dec</v>
      </c>
      <c r="C3000" s="2">
        <f>YEAR(Raw_Data!$A3000)</f>
        <v>2011</v>
      </c>
      <c r="D3000" s="2" t="s">
        <v>263</v>
      </c>
      <c r="E3000" s="2" t="s">
        <v>32</v>
      </c>
      <c r="F3000" s="2" t="s">
        <v>11</v>
      </c>
      <c r="G3000" s="2"/>
      <c r="H3000" s="2">
        <v>1493</v>
      </c>
      <c r="I3000" s="10">
        <v>114801</v>
      </c>
      <c r="J3000" s="10">
        <f>Raw_Data!$I3000/Raw_Data!$H3000</f>
        <v>76.892833221701267</v>
      </c>
    </row>
    <row r="3001" spans="1:10" x14ac:dyDescent="0.3">
      <c r="A3001" s="8">
        <v>43794</v>
      </c>
      <c r="B3001" t="str">
        <f>TEXT(Raw_Data!$A3001, "MMM")</f>
        <v>Nov</v>
      </c>
      <c r="C3001">
        <f>YEAR(Raw_Data!$A3001)</f>
        <v>2019</v>
      </c>
      <c r="D3001" t="s">
        <v>1054</v>
      </c>
      <c r="E3001" t="s">
        <v>15</v>
      </c>
      <c r="F3001" t="s">
        <v>11</v>
      </c>
      <c r="G3001">
        <v>3</v>
      </c>
      <c r="H3001">
        <v>3257</v>
      </c>
      <c r="I3001" s="1">
        <v>647344</v>
      </c>
      <c r="J3001" s="1">
        <f>Raw_Data!$I3001/Raw_Data!$H3001</f>
        <v>198.75468222290451</v>
      </c>
    </row>
    <row r="3002" spans="1:10" x14ac:dyDescent="0.3">
      <c r="A3002" s="9">
        <v>43388</v>
      </c>
      <c r="B3002" s="2" t="str">
        <f>TEXT(Raw_Data!$A3002, "MMM")</f>
        <v>Oct</v>
      </c>
      <c r="C3002" s="2">
        <f>YEAR(Raw_Data!$A3002)</f>
        <v>2018</v>
      </c>
      <c r="D3002" s="2" t="s">
        <v>2189</v>
      </c>
      <c r="E3002" s="2" t="s">
        <v>32</v>
      </c>
      <c r="F3002" s="2" t="s">
        <v>27</v>
      </c>
      <c r="G3002" s="2">
        <v>5</v>
      </c>
      <c r="H3002" s="2">
        <v>1468</v>
      </c>
      <c r="I3002" s="10">
        <v>482680</v>
      </c>
      <c r="J3002" s="10">
        <f>Raw_Data!$I3002/Raw_Data!$H3002</f>
        <v>328.80108991825614</v>
      </c>
    </row>
    <row r="3003" spans="1:10" x14ac:dyDescent="0.3">
      <c r="A3003" s="8">
        <v>39657</v>
      </c>
      <c r="B3003" t="str">
        <f>TEXT(Raw_Data!$A3003, "MMM")</f>
        <v>Jul</v>
      </c>
      <c r="C3003">
        <f>YEAR(Raw_Data!$A3003)</f>
        <v>2008</v>
      </c>
      <c r="D3003" t="s">
        <v>1235</v>
      </c>
      <c r="E3003" t="s">
        <v>23</v>
      </c>
      <c r="F3003" t="s">
        <v>16</v>
      </c>
      <c r="G3003">
        <v>2</v>
      </c>
      <c r="H3003">
        <v>1465</v>
      </c>
      <c r="I3003" s="1">
        <v>783093</v>
      </c>
      <c r="J3003" s="1">
        <f>Raw_Data!$I3003/Raw_Data!$H3003</f>
        <v>534.53447098976108</v>
      </c>
    </row>
    <row r="3004" spans="1:10" x14ac:dyDescent="0.3">
      <c r="A3004" s="9">
        <v>43877</v>
      </c>
      <c r="B3004" s="2" t="str">
        <f>TEXT(Raw_Data!$A3004, "MMM")</f>
        <v>Feb</v>
      </c>
      <c r="C3004" s="2">
        <f>YEAR(Raw_Data!$A3004)</f>
        <v>2020</v>
      </c>
      <c r="D3004" s="2" t="s">
        <v>490</v>
      </c>
      <c r="E3004" s="2" t="s">
        <v>32</v>
      </c>
      <c r="F3004" s="2" t="s">
        <v>27</v>
      </c>
      <c r="G3004" s="2"/>
      <c r="H3004" s="2">
        <v>2444</v>
      </c>
      <c r="I3004" s="10">
        <v>870642</v>
      </c>
      <c r="J3004" s="10">
        <f>Raw_Data!$I3004/Raw_Data!$H3004</f>
        <v>356.23649754500821</v>
      </c>
    </row>
    <row r="3005" spans="1:10" x14ac:dyDescent="0.3">
      <c r="A3005" s="8">
        <v>38762</v>
      </c>
      <c r="B3005" t="str">
        <f>TEXT(Raw_Data!$A3005, "MMM")</f>
        <v>Feb</v>
      </c>
      <c r="C3005">
        <f>YEAR(Raw_Data!$A3005)</f>
        <v>2006</v>
      </c>
      <c r="D3005" t="s">
        <v>390</v>
      </c>
      <c r="E3005" t="s">
        <v>15</v>
      </c>
      <c r="F3005" t="s">
        <v>11</v>
      </c>
      <c r="G3005">
        <v>3</v>
      </c>
      <c r="H3005">
        <v>1538</v>
      </c>
      <c r="I3005" s="1">
        <v>192914</v>
      </c>
      <c r="J3005" s="1">
        <f>Raw_Data!$I3005/Raw_Data!$H3005</f>
        <v>125.43172951885566</v>
      </c>
    </row>
    <row r="3006" spans="1:10" x14ac:dyDescent="0.3">
      <c r="A3006" s="9">
        <v>41386</v>
      </c>
      <c r="B3006" s="2" t="str">
        <f>TEXT(Raw_Data!$A3006, "MMM")</f>
        <v>Apr</v>
      </c>
      <c r="C3006" s="2">
        <f>YEAR(Raw_Data!$A3006)</f>
        <v>2013</v>
      </c>
      <c r="D3006" s="2" t="s">
        <v>2190</v>
      </c>
      <c r="E3006" s="2" t="s">
        <v>13</v>
      </c>
      <c r="F3006" s="2" t="s">
        <v>16</v>
      </c>
      <c r="G3006" s="2"/>
      <c r="H3006" s="2">
        <v>1830</v>
      </c>
      <c r="I3006" s="10">
        <v>804914</v>
      </c>
      <c r="J3006" s="10">
        <f>Raw_Data!$I3006/Raw_Data!$H3006</f>
        <v>439.84371584699454</v>
      </c>
    </row>
    <row r="3007" spans="1:10" x14ac:dyDescent="0.3">
      <c r="A3007" s="8">
        <v>39145</v>
      </c>
      <c r="B3007" t="str">
        <f>TEXT(Raw_Data!$A3007, "MMM")</f>
        <v>Mar</v>
      </c>
      <c r="C3007">
        <f>YEAR(Raw_Data!$A3007)</f>
        <v>2007</v>
      </c>
      <c r="D3007" t="s">
        <v>2191</v>
      </c>
      <c r="E3007" t="s">
        <v>23</v>
      </c>
      <c r="F3007" t="s">
        <v>27</v>
      </c>
      <c r="G3007">
        <v>3</v>
      </c>
      <c r="H3007">
        <v>3241</v>
      </c>
      <c r="I3007" s="1">
        <v>711215</v>
      </c>
      <c r="J3007" s="1">
        <f>Raw_Data!$I3007/Raw_Data!$H3007</f>
        <v>219.44307312557854</v>
      </c>
    </row>
    <row r="3008" spans="1:10" x14ac:dyDescent="0.3">
      <c r="A3008" s="9">
        <v>42820</v>
      </c>
      <c r="B3008" s="2" t="str">
        <f>TEXT(Raw_Data!$A3008, "MMM")</f>
        <v>Mar</v>
      </c>
      <c r="C3008" s="2">
        <f>YEAR(Raw_Data!$A3008)</f>
        <v>2017</v>
      </c>
      <c r="D3008" s="2" t="s">
        <v>2192</v>
      </c>
      <c r="E3008" s="2" t="s">
        <v>15</v>
      </c>
      <c r="F3008" s="2" t="s">
        <v>18</v>
      </c>
      <c r="G3008" s="2">
        <v>2</v>
      </c>
      <c r="H3008" s="2">
        <v>1664</v>
      </c>
      <c r="I3008" s="10">
        <v>680460</v>
      </c>
      <c r="J3008" s="10">
        <f>Raw_Data!$I3008/Raw_Data!$H3008</f>
        <v>408.93028846153845</v>
      </c>
    </row>
    <row r="3009" spans="1:10" x14ac:dyDescent="0.3">
      <c r="A3009" s="8">
        <v>43582</v>
      </c>
      <c r="B3009" t="str">
        <f>TEXT(Raw_Data!$A3009, "MMM")</f>
        <v>Apr</v>
      </c>
      <c r="C3009">
        <f>YEAR(Raw_Data!$A3009)</f>
        <v>2019</v>
      </c>
      <c r="D3009" t="s">
        <v>2193</v>
      </c>
      <c r="E3009" t="s">
        <v>13</v>
      </c>
      <c r="F3009" t="s">
        <v>18</v>
      </c>
      <c r="G3009">
        <v>2</v>
      </c>
      <c r="H3009">
        <v>1970</v>
      </c>
      <c r="I3009" s="1">
        <v>196489</v>
      </c>
      <c r="J3009" s="1">
        <f>Raw_Data!$I3009/Raw_Data!$H3009</f>
        <v>99.740609137055841</v>
      </c>
    </row>
    <row r="3010" spans="1:10" x14ac:dyDescent="0.3">
      <c r="A3010" s="9">
        <v>41484</v>
      </c>
      <c r="B3010" s="2" t="str">
        <f>TEXT(Raw_Data!$A3010, "MMM")</f>
        <v>Jul</v>
      </c>
      <c r="C3010" s="2">
        <f>YEAR(Raw_Data!$A3010)</f>
        <v>2013</v>
      </c>
      <c r="D3010" s="2" t="s">
        <v>2194</v>
      </c>
      <c r="E3010" s="2" t="s">
        <v>29</v>
      </c>
      <c r="F3010" s="2" t="s">
        <v>11</v>
      </c>
      <c r="G3010" s="2">
        <v>5</v>
      </c>
      <c r="H3010" s="2">
        <v>2532</v>
      </c>
      <c r="I3010" s="10">
        <v>871373</v>
      </c>
      <c r="J3010" s="10">
        <f>Raw_Data!$I3010/Raw_Data!$H3010</f>
        <v>344.14415481832543</v>
      </c>
    </row>
    <row r="3011" spans="1:10" x14ac:dyDescent="0.3">
      <c r="A3011" s="8">
        <v>42742</v>
      </c>
      <c r="B3011" t="str">
        <f>TEXT(Raw_Data!$A3011, "MMM")</f>
        <v>Jan</v>
      </c>
      <c r="C3011">
        <f>YEAR(Raw_Data!$A3011)</f>
        <v>2017</v>
      </c>
      <c r="D3011" t="s">
        <v>2195</v>
      </c>
      <c r="E3011" t="s">
        <v>25</v>
      </c>
      <c r="F3011" t="s">
        <v>11</v>
      </c>
      <c r="G3011">
        <v>3</v>
      </c>
      <c r="H3011">
        <v>1811</v>
      </c>
      <c r="I3011" s="1">
        <v>679654</v>
      </c>
      <c r="J3011" s="1">
        <f>Raw_Data!$I3011/Raw_Data!$H3011</f>
        <v>375.2921038100497</v>
      </c>
    </row>
    <row r="3012" spans="1:10" x14ac:dyDescent="0.3">
      <c r="A3012" s="9">
        <v>38946</v>
      </c>
      <c r="B3012" s="2" t="str">
        <f>TEXT(Raw_Data!$A3012, "MMM")</f>
        <v>Aug</v>
      </c>
      <c r="C3012" s="2">
        <f>YEAR(Raw_Data!$A3012)</f>
        <v>2006</v>
      </c>
      <c r="D3012" s="2" t="s">
        <v>761</v>
      </c>
      <c r="E3012" s="2" t="s">
        <v>23</v>
      </c>
      <c r="F3012" s="2" t="s">
        <v>27</v>
      </c>
      <c r="G3012" s="2">
        <v>2</v>
      </c>
      <c r="H3012" s="2">
        <v>3314</v>
      </c>
      <c r="I3012" s="10">
        <v>647299</v>
      </c>
      <c r="J3012" s="10">
        <f>Raw_Data!$I3012/Raw_Data!$H3012</f>
        <v>195.32257091128545</v>
      </c>
    </row>
    <row r="3013" spans="1:10" x14ac:dyDescent="0.3">
      <c r="A3013" s="8">
        <v>42525</v>
      </c>
      <c r="B3013" t="str">
        <f>TEXT(Raw_Data!$A3013, "MMM")</f>
        <v>Jun</v>
      </c>
      <c r="C3013">
        <f>YEAR(Raw_Data!$A3013)</f>
        <v>2016</v>
      </c>
      <c r="D3013" t="s">
        <v>370</v>
      </c>
      <c r="E3013" t="s">
        <v>13</v>
      </c>
      <c r="F3013" t="s">
        <v>27</v>
      </c>
      <c r="G3013">
        <v>2</v>
      </c>
      <c r="H3013">
        <v>998</v>
      </c>
      <c r="I3013" s="1">
        <v>476372</v>
      </c>
      <c r="J3013" s="1">
        <f>Raw_Data!$I3013/Raw_Data!$H3013</f>
        <v>477.32665330661325</v>
      </c>
    </row>
    <row r="3014" spans="1:10" x14ac:dyDescent="0.3">
      <c r="A3014" s="9">
        <v>38942</v>
      </c>
      <c r="B3014" s="2" t="str">
        <f>TEXT(Raw_Data!$A3014, "MMM")</f>
        <v>Aug</v>
      </c>
      <c r="C3014" s="2">
        <f>YEAR(Raw_Data!$A3014)</f>
        <v>2006</v>
      </c>
      <c r="D3014" s="2" t="s">
        <v>827</v>
      </c>
      <c r="E3014" s="2" t="s">
        <v>29</v>
      </c>
      <c r="F3014" s="2" t="s">
        <v>16</v>
      </c>
      <c r="G3014" s="2">
        <v>4</v>
      </c>
      <c r="H3014" s="2">
        <v>1256</v>
      </c>
      <c r="I3014" s="10">
        <v>628525</v>
      </c>
      <c r="J3014" s="10">
        <f>Raw_Data!$I3014/Raw_Data!$H3014</f>
        <v>500.41799363057322</v>
      </c>
    </row>
    <row r="3015" spans="1:10" x14ac:dyDescent="0.3">
      <c r="A3015" s="8">
        <v>42270</v>
      </c>
      <c r="B3015" t="str">
        <f>TEXT(Raw_Data!$A3015, "MMM")</f>
        <v>Sep</v>
      </c>
      <c r="C3015">
        <f>YEAR(Raw_Data!$A3015)</f>
        <v>2015</v>
      </c>
      <c r="D3015" t="s">
        <v>1201</v>
      </c>
      <c r="E3015" t="s">
        <v>21</v>
      </c>
      <c r="F3015" t="s">
        <v>16</v>
      </c>
      <c r="H3015">
        <v>3086</v>
      </c>
      <c r="I3015" s="1">
        <v>174843</v>
      </c>
      <c r="J3015" s="1">
        <f>Raw_Data!$I3015/Raw_Data!$H3015</f>
        <v>56.656837329876865</v>
      </c>
    </row>
    <row r="3016" spans="1:10" x14ac:dyDescent="0.3">
      <c r="A3016" s="9">
        <v>40512</v>
      </c>
      <c r="B3016" s="2" t="str">
        <f>TEXT(Raw_Data!$A3016, "MMM")</f>
        <v>Nov</v>
      </c>
      <c r="C3016" s="2">
        <f>YEAR(Raw_Data!$A3016)</f>
        <v>2010</v>
      </c>
      <c r="D3016" s="2" t="s">
        <v>2196</v>
      </c>
      <c r="E3016" s="2" t="s">
        <v>29</v>
      </c>
      <c r="F3016" s="2" t="s">
        <v>27</v>
      </c>
      <c r="G3016" s="2">
        <v>2</v>
      </c>
      <c r="H3016" s="2">
        <v>2866</v>
      </c>
      <c r="I3016" s="10">
        <v>378757</v>
      </c>
      <c r="J3016" s="10">
        <f>Raw_Data!$I3016/Raw_Data!$H3016</f>
        <v>132.15526866713188</v>
      </c>
    </row>
    <row r="3017" spans="1:10" x14ac:dyDescent="0.3">
      <c r="A3017" s="8">
        <v>38064</v>
      </c>
      <c r="B3017" t="str">
        <f>TEXT(Raw_Data!$A3017, "MMM")</f>
        <v>Mar</v>
      </c>
      <c r="C3017">
        <f>YEAR(Raw_Data!$A3017)</f>
        <v>2004</v>
      </c>
      <c r="D3017" t="s">
        <v>2197</v>
      </c>
      <c r="E3017" t="s">
        <v>32</v>
      </c>
      <c r="F3017" t="s">
        <v>11</v>
      </c>
      <c r="G3017">
        <v>4</v>
      </c>
      <c r="H3017">
        <v>3269</v>
      </c>
      <c r="I3017" s="1">
        <v>614419</v>
      </c>
      <c r="J3017" s="1">
        <f>Raw_Data!$I3017/Raw_Data!$H3017</f>
        <v>187.95319669623737</v>
      </c>
    </row>
    <row r="3018" spans="1:10" x14ac:dyDescent="0.3">
      <c r="A3018" s="9">
        <v>39903</v>
      </c>
      <c r="B3018" s="2" t="str">
        <f>TEXT(Raw_Data!$A3018, "MMM")</f>
        <v>Mar</v>
      </c>
      <c r="C3018" s="2">
        <f>YEAR(Raw_Data!$A3018)</f>
        <v>2009</v>
      </c>
      <c r="D3018" s="2" t="s">
        <v>1539</v>
      </c>
      <c r="E3018" s="2" t="s">
        <v>23</v>
      </c>
      <c r="F3018" s="2" t="s">
        <v>16</v>
      </c>
      <c r="G3018" s="2">
        <v>3</v>
      </c>
      <c r="H3018" s="2">
        <v>2632</v>
      </c>
      <c r="I3018" s="10">
        <v>102220</v>
      </c>
      <c r="J3018" s="10">
        <f>Raw_Data!$I3018/Raw_Data!$H3018</f>
        <v>38.837386018237083</v>
      </c>
    </row>
    <row r="3019" spans="1:10" x14ac:dyDescent="0.3">
      <c r="A3019" s="8">
        <v>43825</v>
      </c>
      <c r="B3019" t="str">
        <f>TEXT(Raw_Data!$A3019, "MMM")</f>
        <v>Dec</v>
      </c>
      <c r="C3019">
        <f>YEAR(Raw_Data!$A3019)</f>
        <v>2019</v>
      </c>
      <c r="D3019" t="s">
        <v>2198</v>
      </c>
      <c r="E3019" t="s">
        <v>13</v>
      </c>
      <c r="F3019" t="s">
        <v>27</v>
      </c>
      <c r="G3019">
        <v>5</v>
      </c>
      <c r="H3019">
        <v>2698</v>
      </c>
      <c r="I3019" s="1">
        <v>375018</v>
      </c>
      <c r="J3019" s="1">
        <f>Raw_Data!$I3019/Raw_Data!$H3019</f>
        <v>138.99851742031134</v>
      </c>
    </row>
    <row r="3020" spans="1:10" x14ac:dyDescent="0.3">
      <c r="A3020" s="9">
        <v>43532</v>
      </c>
      <c r="B3020" s="2" t="str">
        <f>TEXT(Raw_Data!$A3020, "MMM")</f>
        <v>Mar</v>
      </c>
      <c r="C3020" s="2">
        <f>YEAR(Raw_Data!$A3020)</f>
        <v>2019</v>
      </c>
      <c r="D3020" s="2" t="s">
        <v>2199</v>
      </c>
      <c r="E3020" s="2" t="s">
        <v>32</v>
      </c>
      <c r="F3020" s="2" t="s">
        <v>11</v>
      </c>
      <c r="G3020" s="2">
        <v>2</v>
      </c>
      <c r="H3020" s="2">
        <v>1438</v>
      </c>
      <c r="I3020" s="10">
        <v>857886</v>
      </c>
      <c r="J3020" s="10">
        <f>Raw_Data!$I3020/Raw_Data!$H3020</f>
        <v>596.58275382475665</v>
      </c>
    </row>
    <row r="3021" spans="1:10" x14ac:dyDescent="0.3">
      <c r="A3021" s="8">
        <v>39896</v>
      </c>
      <c r="B3021" t="str">
        <f>TEXT(Raw_Data!$A3021, "MMM")</f>
        <v>Mar</v>
      </c>
      <c r="C3021">
        <f>YEAR(Raw_Data!$A3021)</f>
        <v>2009</v>
      </c>
      <c r="D3021" t="s">
        <v>2200</v>
      </c>
      <c r="E3021" t="s">
        <v>32</v>
      </c>
      <c r="F3021" t="s">
        <v>16</v>
      </c>
      <c r="G3021">
        <v>3</v>
      </c>
      <c r="H3021">
        <v>1766</v>
      </c>
      <c r="I3021" s="1">
        <v>202797</v>
      </c>
      <c r="J3021" s="1">
        <f>Raw_Data!$I3021/Raw_Data!$H3021</f>
        <v>114.83408833522084</v>
      </c>
    </row>
    <row r="3022" spans="1:10" x14ac:dyDescent="0.3">
      <c r="A3022" s="9">
        <v>43351</v>
      </c>
      <c r="B3022" s="2" t="str">
        <f>TEXT(Raw_Data!$A3022, "MMM")</f>
        <v>Sep</v>
      </c>
      <c r="C3022" s="2">
        <f>YEAR(Raw_Data!$A3022)</f>
        <v>2018</v>
      </c>
      <c r="D3022" s="2" t="s">
        <v>2201</v>
      </c>
      <c r="E3022" s="2" t="s">
        <v>15</v>
      </c>
      <c r="F3022" s="2" t="s">
        <v>27</v>
      </c>
      <c r="G3022" s="2">
        <v>3</v>
      </c>
      <c r="H3022" s="2">
        <v>2219</v>
      </c>
      <c r="I3022" s="10">
        <v>102527</v>
      </c>
      <c r="J3022" s="10">
        <f>Raw_Data!$I3022/Raw_Data!$H3022</f>
        <v>46.204146011716986</v>
      </c>
    </row>
    <row r="3023" spans="1:10" x14ac:dyDescent="0.3">
      <c r="A3023" s="8">
        <v>43688</v>
      </c>
      <c r="B3023" t="str">
        <f>TEXT(Raw_Data!$A3023, "MMM")</f>
        <v>Aug</v>
      </c>
      <c r="C3023">
        <f>YEAR(Raw_Data!$A3023)</f>
        <v>2019</v>
      </c>
      <c r="D3023" t="s">
        <v>2202</v>
      </c>
      <c r="E3023" t="s">
        <v>15</v>
      </c>
      <c r="F3023" t="s">
        <v>16</v>
      </c>
      <c r="H3023">
        <v>2729</v>
      </c>
      <c r="I3023" s="1">
        <v>550901</v>
      </c>
      <c r="J3023" s="1">
        <f>Raw_Data!$I3023/Raw_Data!$H3023</f>
        <v>201.86918285086111</v>
      </c>
    </row>
    <row r="3024" spans="1:10" x14ac:dyDescent="0.3">
      <c r="A3024" s="9">
        <v>39027</v>
      </c>
      <c r="B3024" s="2" t="str">
        <f>TEXT(Raw_Data!$A3024, "MMM")</f>
        <v>Nov</v>
      </c>
      <c r="C3024" s="2">
        <f>YEAR(Raw_Data!$A3024)</f>
        <v>2006</v>
      </c>
      <c r="D3024" s="2" t="s">
        <v>2203</v>
      </c>
      <c r="E3024" s="2" t="s">
        <v>25</v>
      </c>
      <c r="F3024" s="2" t="s">
        <v>11</v>
      </c>
      <c r="G3024" s="2">
        <v>4</v>
      </c>
      <c r="H3024" s="2">
        <v>1161</v>
      </c>
      <c r="I3024" s="10">
        <v>704287</v>
      </c>
      <c r="J3024" s="10">
        <f>Raw_Data!$I3024/Raw_Data!$H3024</f>
        <v>606.62101636520242</v>
      </c>
    </row>
    <row r="3025" spans="1:10" x14ac:dyDescent="0.3">
      <c r="A3025" s="8">
        <v>38343</v>
      </c>
      <c r="B3025" t="str">
        <f>TEXT(Raw_Data!$A3025, "MMM")</f>
        <v>Dec</v>
      </c>
      <c r="C3025">
        <f>YEAR(Raw_Data!$A3025)</f>
        <v>2004</v>
      </c>
      <c r="D3025" t="s">
        <v>1685</v>
      </c>
      <c r="E3025" t="s">
        <v>15</v>
      </c>
      <c r="F3025" t="s">
        <v>18</v>
      </c>
      <c r="H3025">
        <v>2951</v>
      </c>
      <c r="I3025" s="1">
        <v>112991</v>
      </c>
      <c r="J3025" s="1">
        <f>Raw_Data!$I3025/Raw_Data!$H3025</f>
        <v>38.289054557777028</v>
      </c>
    </row>
    <row r="3026" spans="1:10" x14ac:dyDescent="0.3">
      <c r="A3026" s="9">
        <v>41574</v>
      </c>
      <c r="B3026" s="2" t="str">
        <f>TEXT(Raw_Data!$A3026, "MMM")</f>
        <v>Oct</v>
      </c>
      <c r="C3026" s="2">
        <f>YEAR(Raw_Data!$A3026)</f>
        <v>2013</v>
      </c>
      <c r="D3026" s="2" t="s">
        <v>873</v>
      </c>
      <c r="E3026" s="2" t="s">
        <v>32</v>
      </c>
      <c r="F3026" s="2" t="s">
        <v>11</v>
      </c>
      <c r="G3026" s="2">
        <v>5</v>
      </c>
      <c r="H3026" s="2">
        <v>2284</v>
      </c>
      <c r="I3026" s="10">
        <v>487814</v>
      </c>
      <c r="J3026" s="10">
        <f>Raw_Data!$I3026/Raw_Data!$H3026</f>
        <v>213.57880910683014</v>
      </c>
    </row>
    <row r="3027" spans="1:10" x14ac:dyDescent="0.3">
      <c r="A3027" s="8">
        <v>37400</v>
      </c>
      <c r="B3027" t="str">
        <f>TEXT(Raw_Data!$A3027, "MMM")</f>
        <v>May</v>
      </c>
      <c r="C3027">
        <f>YEAR(Raw_Data!$A3027)</f>
        <v>2002</v>
      </c>
      <c r="D3027" t="s">
        <v>2204</v>
      </c>
      <c r="E3027" t="s">
        <v>25</v>
      </c>
      <c r="F3027" t="s">
        <v>27</v>
      </c>
      <c r="G3027">
        <v>2</v>
      </c>
      <c r="H3027">
        <v>2009</v>
      </c>
      <c r="I3027" s="1">
        <v>245099</v>
      </c>
      <c r="J3027" s="1">
        <f>Raw_Data!$I3027/Raw_Data!$H3027</f>
        <v>122.00049776007964</v>
      </c>
    </row>
    <row r="3028" spans="1:10" x14ac:dyDescent="0.3">
      <c r="A3028" s="9">
        <v>40797</v>
      </c>
      <c r="B3028" s="2" t="str">
        <f>TEXT(Raw_Data!$A3028, "MMM")</f>
        <v>Sep</v>
      </c>
      <c r="C3028" s="2">
        <f>YEAR(Raw_Data!$A3028)</f>
        <v>2011</v>
      </c>
      <c r="D3028" s="2" t="s">
        <v>2205</v>
      </c>
      <c r="E3028" s="2" t="s">
        <v>13</v>
      </c>
      <c r="F3028" s="2" t="s">
        <v>11</v>
      </c>
      <c r="G3028" s="2">
        <v>2</v>
      </c>
      <c r="H3028" s="2">
        <v>3169</v>
      </c>
      <c r="I3028" s="10">
        <v>384887</v>
      </c>
      <c r="J3028" s="10">
        <f>Raw_Data!$I3028/Raw_Data!$H3028</f>
        <v>121.45377090564847</v>
      </c>
    </row>
    <row r="3029" spans="1:10" x14ac:dyDescent="0.3">
      <c r="A3029" s="8">
        <v>40871</v>
      </c>
      <c r="B3029" t="str">
        <f>TEXT(Raw_Data!$A3029, "MMM")</f>
        <v>Nov</v>
      </c>
      <c r="C3029">
        <f>YEAR(Raw_Data!$A3029)</f>
        <v>2011</v>
      </c>
      <c r="D3029" t="s">
        <v>2185</v>
      </c>
      <c r="E3029" t="s">
        <v>25</v>
      </c>
      <c r="F3029" t="s">
        <v>16</v>
      </c>
      <c r="G3029">
        <v>5</v>
      </c>
      <c r="H3029">
        <v>2954</v>
      </c>
      <c r="I3029" s="1">
        <v>181419</v>
      </c>
      <c r="J3029" s="1">
        <f>Raw_Data!$I3029/Raw_Data!$H3029</f>
        <v>61.414691943127963</v>
      </c>
    </row>
    <row r="3030" spans="1:10" x14ac:dyDescent="0.3">
      <c r="A3030" s="9">
        <v>39389</v>
      </c>
      <c r="B3030" s="2" t="str">
        <f>TEXT(Raw_Data!$A3030, "MMM")</f>
        <v>Nov</v>
      </c>
      <c r="C3030" s="2">
        <f>YEAR(Raw_Data!$A3030)</f>
        <v>2007</v>
      </c>
      <c r="D3030" s="2" t="s">
        <v>2177</v>
      </c>
      <c r="E3030" s="2" t="s">
        <v>23</v>
      </c>
      <c r="F3030" s="2" t="s">
        <v>16</v>
      </c>
      <c r="G3030" s="2">
        <v>2</v>
      </c>
      <c r="H3030" s="2">
        <v>1519</v>
      </c>
      <c r="I3030" s="10">
        <v>169225</v>
      </c>
      <c r="J3030" s="10">
        <f>Raw_Data!$I3030/Raw_Data!$H3030</f>
        <v>111.40552995391705</v>
      </c>
    </row>
    <row r="3031" spans="1:10" x14ac:dyDescent="0.3">
      <c r="A3031" s="8">
        <v>41657</v>
      </c>
      <c r="B3031" t="str">
        <f>TEXT(Raw_Data!$A3031, "MMM")</f>
        <v>Jan</v>
      </c>
      <c r="C3031">
        <f>YEAR(Raw_Data!$A3031)</f>
        <v>2014</v>
      </c>
      <c r="D3031" t="s">
        <v>2206</v>
      </c>
      <c r="E3031" t="s">
        <v>29</v>
      </c>
      <c r="F3031" t="s">
        <v>27</v>
      </c>
      <c r="H3031">
        <v>3359</v>
      </c>
      <c r="I3031" s="1">
        <v>700738</v>
      </c>
      <c r="J3031" s="1">
        <f>Raw_Data!$I3031/Raw_Data!$H3031</f>
        <v>208.61506400714498</v>
      </c>
    </row>
    <row r="3032" spans="1:10" x14ac:dyDescent="0.3">
      <c r="A3032" s="9">
        <v>38238</v>
      </c>
      <c r="B3032" s="2" t="str">
        <f>TEXT(Raw_Data!$A3032, "MMM")</f>
        <v>Sep</v>
      </c>
      <c r="C3032" s="2">
        <f>YEAR(Raw_Data!$A3032)</f>
        <v>2004</v>
      </c>
      <c r="D3032" s="2" t="s">
        <v>2207</v>
      </c>
      <c r="E3032" s="2" t="s">
        <v>25</v>
      </c>
      <c r="F3032" s="2" t="s">
        <v>18</v>
      </c>
      <c r="G3032" s="2">
        <v>3</v>
      </c>
      <c r="H3032" s="2">
        <v>1508</v>
      </c>
      <c r="I3032" s="10">
        <v>435931</v>
      </c>
      <c r="J3032" s="10">
        <f>Raw_Data!$I3032/Raw_Data!$H3032</f>
        <v>289.07891246684352</v>
      </c>
    </row>
    <row r="3033" spans="1:10" x14ac:dyDescent="0.3">
      <c r="A3033" s="8">
        <v>38373</v>
      </c>
      <c r="B3033" t="str">
        <f>TEXT(Raw_Data!$A3033, "MMM")</f>
        <v>Jan</v>
      </c>
      <c r="C3033">
        <f>YEAR(Raw_Data!$A3033)</f>
        <v>2005</v>
      </c>
      <c r="D3033" t="s">
        <v>24</v>
      </c>
      <c r="E3033" t="s">
        <v>32</v>
      </c>
      <c r="F3033" t="s">
        <v>16</v>
      </c>
      <c r="G3033">
        <v>4</v>
      </c>
      <c r="H3033">
        <v>989</v>
      </c>
      <c r="I3033" s="1">
        <v>108450</v>
      </c>
      <c r="J3033" s="1">
        <f>Raw_Data!$I3033/Raw_Data!$H3033</f>
        <v>109.65621840242669</v>
      </c>
    </row>
    <row r="3034" spans="1:10" x14ac:dyDescent="0.3">
      <c r="A3034" s="9">
        <v>38852</v>
      </c>
      <c r="B3034" s="2" t="str">
        <f>TEXT(Raw_Data!$A3034, "MMM")</f>
        <v>May</v>
      </c>
      <c r="C3034" s="2">
        <f>YEAR(Raw_Data!$A3034)</f>
        <v>2006</v>
      </c>
      <c r="D3034" s="2" t="s">
        <v>2208</v>
      </c>
      <c r="E3034" s="2" t="s">
        <v>25</v>
      </c>
      <c r="F3034" s="2" t="s">
        <v>11</v>
      </c>
      <c r="G3034" s="2"/>
      <c r="H3034" s="2">
        <v>1651</v>
      </c>
      <c r="I3034" s="10">
        <v>499840</v>
      </c>
      <c r="J3034" s="10">
        <f>Raw_Data!$I3034/Raw_Data!$H3034</f>
        <v>302.74984857662025</v>
      </c>
    </row>
    <row r="3035" spans="1:10" x14ac:dyDescent="0.3">
      <c r="A3035" s="8">
        <v>42525</v>
      </c>
      <c r="B3035" t="str">
        <f>TEXT(Raw_Data!$A3035, "MMM")</f>
        <v>Jun</v>
      </c>
      <c r="C3035">
        <f>YEAR(Raw_Data!$A3035)</f>
        <v>2016</v>
      </c>
      <c r="D3035" t="s">
        <v>575</v>
      </c>
      <c r="E3035" t="s">
        <v>25</v>
      </c>
      <c r="F3035" t="s">
        <v>16</v>
      </c>
      <c r="G3035">
        <v>2</v>
      </c>
      <c r="H3035">
        <v>1583</v>
      </c>
      <c r="I3035" s="1">
        <v>567006</v>
      </c>
      <c r="J3035" s="1">
        <f>Raw_Data!$I3035/Raw_Data!$H3035</f>
        <v>358.18445988629185</v>
      </c>
    </row>
    <row r="3036" spans="1:10" x14ac:dyDescent="0.3">
      <c r="A3036" s="9">
        <v>40466</v>
      </c>
      <c r="B3036" s="2" t="str">
        <f>TEXT(Raw_Data!$A3036, "MMM")</f>
        <v>Oct</v>
      </c>
      <c r="C3036" s="2">
        <f>YEAR(Raw_Data!$A3036)</f>
        <v>2010</v>
      </c>
      <c r="D3036" s="2" t="s">
        <v>890</v>
      </c>
      <c r="E3036" s="2" t="s">
        <v>15</v>
      </c>
      <c r="F3036" s="2" t="s">
        <v>11</v>
      </c>
      <c r="G3036" s="2">
        <v>3</v>
      </c>
      <c r="H3036" s="2">
        <v>2425</v>
      </c>
      <c r="I3036" s="10">
        <v>885212</v>
      </c>
      <c r="J3036" s="10">
        <f>Raw_Data!$I3036/Raw_Data!$H3036</f>
        <v>365.03587628865978</v>
      </c>
    </row>
    <row r="3037" spans="1:10" x14ac:dyDescent="0.3">
      <c r="A3037" s="8">
        <v>37641</v>
      </c>
      <c r="B3037" t="str">
        <f>TEXT(Raw_Data!$A3037, "MMM")</f>
        <v>Jan</v>
      </c>
      <c r="C3037">
        <f>YEAR(Raw_Data!$A3037)</f>
        <v>2003</v>
      </c>
      <c r="D3037" t="s">
        <v>1277</v>
      </c>
      <c r="E3037" t="s">
        <v>25</v>
      </c>
      <c r="F3037" t="s">
        <v>11</v>
      </c>
      <c r="G3037">
        <v>5</v>
      </c>
      <c r="H3037">
        <v>2193</v>
      </c>
      <c r="I3037" s="1">
        <v>585321</v>
      </c>
      <c r="J3037" s="1">
        <f>Raw_Data!$I3037/Raw_Data!$H3037</f>
        <v>266.90424076607388</v>
      </c>
    </row>
    <row r="3038" spans="1:10" x14ac:dyDescent="0.3">
      <c r="A3038" s="9">
        <v>39988</v>
      </c>
      <c r="B3038" s="2" t="str">
        <f>TEXT(Raw_Data!$A3038, "MMM")</f>
        <v>Jun</v>
      </c>
      <c r="C3038" s="2">
        <f>YEAR(Raw_Data!$A3038)</f>
        <v>2009</v>
      </c>
      <c r="D3038" s="2" t="s">
        <v>2209</v>
      </c>
      <c r="E3038" s="2" t="s">
        <v>25</v>
      </c>
      <c r="F3038" s="2" t="s">
        <v>11</v>
      </c>
      <c r="G3038" s="2"/>
      <c r="H3038" s="2">
        <v>2764</v>
      </c>
      <c r="I3038" s="10">
        <v>858244</v>
      </c>
      <c r="J3038" s="10">
        <f>Raw_Data!$I3038/Raw_Data!$H3038</f>
        <v>310.50795947901594</v>
      </c>
    </row>
    <row r="3039" spans="1:10" x14ac:dyDescent="0.3">
      <c r="A3039" s="8">
        <v>42384</v>
      </c>
      <c r="B3039" t="str">
        <f>TEXT(Raw_Data!$A3039, "MMM")</f>
        <v>Jan</v>
      </c>
      <c r="C3039">
        <f>YEAR(Raw_Data!$A3039)</f>
        <v>2016</v>
      </c>
      <c r="D3039" t="s">
        <v>226</v>
      </c>
      <c r="E3039" t="s">
        <v>32</v>
      </c>
      <c r="F3039" t="s">
        <v>18</v>
      </c>
      <c r="G3039">
        <v>4</v>
      </c>
      <c r="H3039">
        <v>3353</v>
      </c>
      <c r="I3039" s="1"/>
      <c r="J3039" s="1">
        <f>Raw_Data!$I3039/Raw_Data!$H3039</f>
        <v>0</v>
      </c>
    </row>
    <row r="3040" spans="1:10" x14ac:dyDescent="0.3">
      <c r="A3040" s="9">
        <v>37349</v>
      </c>
      <c r="B3040" s="2" t="str">
        <f>TEXT(Raw_Data!$A3040, "MMM")</f>
        <v>Apr</v>
      </c>
      <c r="C3040" s="2">
        <f>YEAR(Raw_Data!$A3040)</f>
        <v>2002</v>
      </c>
      <c r="D3040" s="2" t="s">
        <v>2184</v>
      </c>
      <c r="E3040" s="2" t="s">
        <v>15</v>
      </c>
      <c r="F3040" s="2" t="s">
        <v>27</v>
      </c>
      <c r="G3040" s="2">
        <v>4</v>
      </c>
      <c r="H3040" s="2">
        <v>2322</v>
      </c>
      <c r="I3040" s="10">
        <v>735836</v>
      </c>
      <c r="J3040" s="10">
        <f>Raw_Data!$I3040/Raw_Data!$H3040</f>
        <v>316.89750215331611</v>
      </c>
    </row>
    <row r="3041" spans="1:10" x14ac:dyDescent="0.3">
      <c r="A3041" s="8">
        <v>43845</v>
      </c>
      <c r="B3041" t="str">
        <f>TEXT(Raw_Data!$A3041, "MMM")</f>
        <v>Jan</v>
      </c>
      <c r="C3041">
        <f>YEAR(Raw_Data!$A3041)</f>
        <v>2020</v>
      </c>
      <c r="D3041" t="s">
        <v>2210</v>
      </c>
      <c r="E3041" t="s">
        <v>32</v>
      </c>
      <c r="F3041" t="s">
        <v>27</v>
      </c>
      <c r="G3041">
        <v>2</v>
      </c>
      <c r="H3041">
        <v>940</v>
      </c>
      <c r="I3041" s="1">
        <v>249783</v>
      </c>
      <c r="J3041" s="1">
        <f>Raw_Data!$I3041/Raw_Data!$H3041</f>
        <v>265.72659574468088</v>
      </c>
    </row>
    <row r="3042" spans="1:10" x14ac:dyDescent="0.3">
      <c r="A3042" s="9">
        <v>37814</v>
      </c>
      <c r="B3042" s="2" t="str">
        <f>TEXT(Raw_Data!$A3042, "MMM")</f>
        <v>Jul</v>
      </c>
      <c r="C3042" s="2">
        <f>YEAR(Raw_Data!$A3042)</f>
        <v>2003</v>
      </c>
      <c r="D3042" s="2" t="s">
        <v>2211</v>
      </c>
      <c r="E3042" s="2" t="s">
        <v>15</v>
      </c>
      <c r="F3042" s="2" t="s">
        <v>11</v>
      </c>
      <c r="G3042" s="2"/>
      <c r="H3042" s="2">
        <v>1093</v>
      </c>
      <c r="I3042" s="10">
        <v>637137</v>
      </c>
      <c r="J3042" s="10">
        <f>Raw_Data!$I3042/Raw_Data!$H3042</f>
        <v>582.92497712717295</v>
      </c>
    </row>
    <row r="3043" spans="1:10" x14ac:dyDescent="0.3">
      <c r="A3043" s="8">
        <v>39744</v>
      </c>
      <c r="B3043" t="str">
        <f>TEXT(Raw_Data!$A3043, "MMM")</f>
        <v>Oct</v>
      </c>
      <c r="C3043">
        <f>YEAR(Raw_Data!$A3043)</f>
        <v>2008</v>
      </c>
      <c r="D3043" t="s">
        <v>2212</v>
      </c>
      <c r="E3043" t="s">
        <v>15</v>
      </c>
      <c r="F3043" t="s">
        <v>11</v>
      </c>
      <c r="H3043">
        <v>2556</v>
      </c>
      <c r="I3043" s="1">
        <v>818118</v>
      </c>
      <c r="J3043" s="1">
        <f>Raw_Data!$I3043/Raw_Data!$H3043</f>
        <v>320.07746478873241</v>
      </c>
    </row>
    <row r="3044" spans="1:10" x14ac:dyDescent="0.3">
      <c r="A3044" s="9">
        <v>44045</v>
      </c>
      <c r="B3044" s="2" t="str">
        <f>TEXT(Raw_Data!$A3044, "MMM")</f>
        <v>Aug</v>
      </c>
      <c r="C3044" s="2">
        <f>YEAR(Raw_Data!$A3044)</f>
        <v>2020</v>
      </c>
      <c r="D3044" s="2" t="s">
        <v>529</v>
      </c>
      <c r="E3044" s="2" t="s">
        <v>25</v>
      </c>
      <c r="F3044" s="2" t="s">
        <v>27</v>
      </c>
      <c r="G3044" s="2">
        <v>2</v>
      </c>
      <c r="H3044" s="2">
        <v>2307</v>
      </c>
      <c r="I3044" s="10">
        <v>170868</v>
      </c>
      <c r="J3044" s="10">
        <f>Raw_Data!$I3044/Raw_Data!$H3044</f>
        <v>74.065019505851751</v>
      </c>
    </row>
    <row r="3045" spans="1:10" x14ac:dyDescent="0.3">
      <c r="A3045" s="8">
        <v>42307</v>
      </c>
      <c r="B3045" t="str">
        <f>TEXT(Raw_Data!$A3045, "MMM")</f>
        <v>Oct</v>
      </c>
      <c r="C3045">
        <f>YEAR(Raw_Data!$A3045)</f>
        <v>2015</v>
      </c>
      <c r="D3045" t="s">
        <v>521</v>
      </c>
      <c r="E3045" t="s">
        <v>13</v>
      </c>
      <c r="F3045" t="s">
        <v>11</v>
      </c>
      <c r="G3045">
        <v>4</v>
      </c>
      <c r="H3045">
        <v>3499</v>
      </c>
      <c r="I3045" s="1">
        <v>381677</v>
      </c>
      <c r="J3045" s="1">
        <f>Raw_Data!$I3045/Raw_Data!$H3045</f>
        <v>109.08173763932552</v>
      </c>
    </row>
    <row r="3046" spans="1:10" x14ac:dyDescent="0.3">
      <c r="A3046" s="9">
        <v>38928</v>
      </c>
      <c r="B3046" s="2" t="str">
        <f>TEXT(Raw_Data!$A3046, "MMM")</f>
        <v>Jul</v>
      </c>
      <c r="C3046" s="2">
        <f>YEAR(Raw_Data!$A3046)</f>
        <v>2006</v>
      </c>
      <c r="D3046" s="2" t="s">
        <v>2213</v>
      </c>
      <c r="E3046" s="2" t="s">
        <v>15</v>
      </c>
      <c r="F3046" s="2" t="s">
        <v>18</v>
      </c>
      <c r="G3046" s="2">
        <v>5</v>
      </c>
      <c r="H3046" s="2">
        <v>1009</v>
      </c>
      <c r="I3046" s="10">
        <v>868140</v>
      </c>
      <c r="J3046" s="10">
        <f>Raw_Data!$I3046/Raw_Data!$H3046</f>
        <v>860.39643211100099</v>
      </c>
    </row>
    <row r="3047" spans="1:10" x14ac:dyDescent="0.3">
      <c r="A3047" s="8">
        <v>42868</v>
      </c>
      <c r="B3047" t="str">
        <f>TEXT(Raw_Data!$A3047, "MMM")</f>
        <v>May</v>
      </c>
      <c r="C3047">
        <f>YEAR(Raw_Data!$A3047)</f>
        <v>2017</v>
      </c>
      <c r="D3047" t="s">
        <v>963</v>
      </c>
      <c r="E3047" t="s">
        <v>32</v>
      </c>
      <c r="F3047" t="s">
        <v>18</v>
      </c>
      <c r="G3047">
        <v>3</v>
      </c>
      <c r="H3047">
        <v>2695</v>
      </c>
      <c r="I3047" s="1">
        <v>783686</v>
      </c>
      <c r="J3047" s="1">
        <f>Raw_Data!$I3047/Raw_Data!$H3047</f>
        <v>290.79257884972168</v>
      </c>
    </row>
    <row r="3048" spans="1:10" x14ac:dyDescent="0.3">
      <c r="A3048" s="9">
        <v>41348</v>
      </c>
      <c r="B3048" s="2" t="str">
        <f>TEXT(Raw_Data!$A3048, "MMM")</f>
        <v>Mar</v>
      </c>
      <c r="C3048" s="2">
        <f>YEAR(Raw_Data!$A3048)</f>
        <v>2013</v>
      </c>
      <c r="D3048" s="2" t="s">
        <v>2214</v>
      </c>
      <c r="E3048" s="2" t="s">
        <v>32</v>
      </c>
      <c r="F3048" s="2" t="s">
        <v>16</v>
      </c>
      <c r="G3048" s="2"/>
      <c r="H3048" s="2">
        <v>1415</v>
      </c>
      <c r="I3048" s="10">
        <v>436073</v>
      </c>
      <c r="J3048" s="10">
        <f>Raw_Data!$I3048/Raw_Data!$H3048</f>
        <v>308.17879858657244</v>
      </c>
    </row>
    <row r="3049" spans="1:10" x14ac:dyDescent="0.3">
      <c r="A3049" s="8">
        <v>43610</v>
      </c>
      <c r="B3049" t="str">
        <f>TEXT(Raw_Data!$A3049, "MMM")</f>
        <v>May</v>
      </c>
      <c r="C3049">
        <f>YEAR(Raw_Data!$A3049)</f>
        <v>2019</v>
      </c>
      <c r="D3049" t="s">
        <v>2215</v>
      </c>
      <c r="E3049" t="s">
        <v>15</v>
      </c>
      <c r="F3049" t="s">
        <v>27</v>
      </c>
      <c r="G3049">
        <v>5</v>
      </c>
      <c r="H3049">
        <v>3441</v>
      </c>
      <c r="I3049" s="1">
        <v>515795</v>
      </c>
      <c r="J3049" s="1">
        <f>Raw_Data!$I3049/Raw_Data!$H3049</f>
        <v>149.89683231618716</v>
      </c>
    </row>
    <row r="3050" spans="1:10" x14ac:dyDescent="0.3">
      <c r="A3050" s="9">
        <v>41748</v>
      </c>
      <c r="B3050" s="2" t="str">
        <f>TEXT(Raw_Data!$A3050, "MMM")</f>
        <v>Apr</v>
      </c>
      <c r="C3050" s="2">
        <f>YEAR(Raw_Data!$A3050)</f>
        <v>2014</v>
      </c>
      <c r="D3050" s="2" t="s">
        <v>1438</v>
      </c>
      <c r="E3050" s="2" t="s">
        <v>25</v>
      </c>
      <c r="F3050" s="2" t="s">
        <v>11</v>
      </c>
      <c r="G3050" s="2"/>
      <c r="H3050" s="2">
        <v>3311</v>
      </c>
      <c r="I3050" s="10">
        <v>310703</v>
      </c>
      <c r="J3050" s="10">
        <f>Raw_Data!$I3050/Raw_Data!$H3050</f>
        <v>93.839625490788279</v>
      </c>
    </row>
    <row r="3051" spans="1:10" x14ac:dyDescent="0.3">
      <c r="A3051" s="8">
        <v>39830</v>
      </c>
      <c r="B3051" t="str">
        <f>TEXT(Raw_Data!$A3051, "MMM")</f>
        <v>Jan</v>
      </c>
      <c r="C3051">
        <f>YEAR(Raw_Data!$A3051)</f>
        <v>2009</v>
      </c>
      <c r="D3051" t="s">
        <v>1536</v>
      </c>
      <c r="E3051" t="s">
        <v>25</v>
      </c>
      <c r="F3051" t="s">
        <v>27</v>
      </c>
      <c r="G3051">
        <v>4</v>
      </c>
      <c r="H3051">
        <v>3277</v>
      </c>
      <c r="I3051" s="1">
        <v>458979</v>
      </c>
      <c r="J3051" s="1">
        <f>Raw_Data!$I3051/Raw_Data!$H3051</f>
        <v>140.06072627403114</v>
      </c>
    </row>
    <row r="3052" spans="1:10" x14ac:dyDescent="0.3">
      <c r="A3052" s="9">
        <v>42672</v>
      </c>
      <c r="B3052" s="2" t="str">
        <f>TEXT(Raw_Data!$A3052, "MMM")</f>
        <v>Oct</v>
      </c>
      <c r="C3052" s="2">
        <f>YEAR(Raw_Data!$A3052)</f>
        <v>2016</v>
      </c>
      <c r="D3052" s="2" t="s">
        <v>1596</v>
      </c>
      <c r="E3052" s="2" t="s">
        <v>32</v>
      </c>
      <c r="F3052" s="2" t="s">
        <v>18</v>
      </c>
      <c r="G3052" s="2"/>
      <c r="H3052" s="2">
        <v>1216</v>
      </c>
      <c r="I3052" s="10">
        <v>647538</v>
      </c>
      <c r="J3052" s="10">
        <f>Raw_Data!$I3052/Raw_Data!$H3052</f>
        <v>532.51480263157896</v>
      </c>
    </row>
    <row r="3053" spans="1:10" x14ac:dyDescent="0.3">
      <c r="A3053" s="8">
        <v>39315</v>
      </c>
      <c r="B3053" t="str">
        <f>TEXT(Raw_Data!$A3053, "MMM")</f>
        <v>Aug</v>
      </c>
      <c r="C3053">
        <f>YEAR(Raw_Data!$A3053)</f>
        <v>2007</v>
      </c>
      <c r="D3053" t="s">
        <v>2216</v>
      </c>
      <c r="E3053" t="s">
        <v>15</v>
      </c>
      <c r="F3053" t="s">
        <v>11</v>
      </c>
      <c r="G3053">
        <v>5</v>
      </c>
      <c r="H3053">
        <v>1404</v>
      </c>
      <c r="I3053" s="1">
        <v>876364</v>
      </c>
      <c r="J3053" s="1">
        <f>Raw_Data!$I3053/Raw_Data!$H3053</f>
        <v>624.19088319088314</v>
      </c>
    </row>
    <row r="3054" spans="1:10" x14ac:dyDescent="0.3">
      <c r="A3054" s="9">
        <v>43568</v>
      </c>
      <c r="B3054" s="2" t="str">
        <f>TEXT(Raw_Data!$A3054, "MMM")</f>
        <v>Apr</v>
      </c>
      <c r="C3054" s="2">
        <f>YEAR(Raw_Data!$A3054)</f>
        <v>2019</v>
      </c>
      <c r="D3054" s="2" t="s">
        <v>2217</v>
      </c>
      <c r="E3054" s="2" t="s">
        <v>21</v>
      </c>
      <c r="F3054" s="2" t="s">
        <v>16</v>
      </c>
      <c r="G3054" s="2">
        <v>5</v>
      </c>
      <c r="H3054" s="2">
        <v>3043</v>
      </c>
      <c r="I3054" s="10">
        <v>331101</v>
      </c>
      <c r="J3054" s="10">
        <f>Raw_Data!$I3054/Raw_Data!$H3054</f>
        <v>108.80742688136708</v>
      </c>
    </row>
    <row r="3055" spans="1:10" x14ac:dyDescent="0.3">
      <c r="A3055" s="8">
        <v>37265</v>
      </c>
      <c r="B3055" t="str">
        <f>TEXT(Raw_Data!$A3055, "MMM")</f>
        <v>Jan</v>
      </c>
      <c r="C3055">
        <f>YEAR(Raw_Data!$A3055)</f>
        <v>2002</v>
      </c>
      <c r="D3055" t="s">
        <v>393</v>
      </c>
      <c r="E3055" t="s">
        <v>32</v>
      </c>
      <c r="F3055" t="s">
        <v>11</v>
      </c>
      <c r="G3055">
        <v>4</v>
      </c>
      <c r="H3055">
        <v>2164</v>
      </c>
      <c r="I3055" s="1">
        <v>687569</v>
      </c>
      <c r="J3055" s="1">
        <f>Raw_Data!$I3055/Raw_Data!$H3055</f>
        <v>317.73059149722735</v>
      </c>
    </row>
    <row r="3056" spans="1:10" x14ac:dyDescent="0.3">
      <c r="A3056" s="9">
        <v>39441</v>
      </c>
      <c r="B3056" s="2" t="str">
        <f>TEXT(Raw_Data!$A3056, "MMM")</f>
        <v>Dec</v>
      </c>
      <c r="C3056" s="2">
        <f>YEAR(Raw_Data!$A3056)</f>
        <v>2007</v>
      </c>
      <c r="D3056" s="2" t="s">
        <v>1243</v>
      </c>
      <c r="E3056" s="2" t="s">
        <v>21</v>
      </c>
      <c r="F3056" s="2" t="s">
        <v>27</v>
      </c>
      <c r="G3056" s="2">
        <v>3</v>
      </c>
      <c r="H3056" s="2">
        <v>982</v>
      </c>
      <c r="I3056" s="10">
        <v>202345</v>
      </c>
      <c r="J3056" s="10">
        <f>Raw_Data!$I3056/Raw_Data!$H3056</f>
        <v>206.05397148676172</v>
      </c>
    </row>
    <row r="3057" spans="1:10" x14ac:dyDescent="0.3">
      <c r="A3057" s="8">
        <v>38244</v>
      </c>
      <c r="B3057" t="str">
        <f>TEXT(Raw_Data!$A3057, "MMM")</f>
        <v>Sep</v>
      </c>
      <c r="C3057">
        <f>YEAR(Raw_Data!$A3057)</f>
        <v>2004</v>
      </c>
      <c r="D3057" t="s">
        <v>2218</v>
      </c>
      <c r="E3057" t="s">
        <v>23</v>
      </c>
      <c r="F3057" t="s">
        <v>16</v>
      </c>
      <c r="H3057">
        <v>2118</v>
      </c>
      <c r="I3057" s="1">
        <v>527718</v>
      </c>
      <c r="J3057" s="1">
        <f>Raw_Data!$I3057/Raw_Data!$H3057</f>
        <v>249.1586402266289</v>
      </c>
    </row>
    <row r="3058" spans="1:10" x14ac:dyDescent="0.3">
      <c r="A3058" s="9">
        <v>43585</v>
      </c>
      <c r="B3058" s="2" t="str">
        <f>TEXT(Raw_Data!$A3058, "MMM")</f>
        <v>Apr</v>
      </c>
      <c r="C3058" s="2">
        <f>YEAR(Raw_Data!$A3058)</f>
        <v>2019</v>
      </c>
      <c r="D3058" s="2" t="s">
        <v>938</v>
      </c>
      <c r="E3058" s="2" t="s">
        <v>15</v>
      </c>
      <c r="F3058" s="2" t="s">
        <v>11</v>
      </c>
      <c r="G3058" s="2">
        <v>3</v>
      </c>
      <c r="H3058" s="2">
        <v>2724</v>
      </c>
      <c r="I3058" s="10">
        <v>152374</v>
      </c>
      <c r="J3058" s="10">
        <f>Raw_Data!$I3058/Raw_Data!$H3058</f>
        <v>55.937591776798826</v>
      </c>
    </row>
    <row r="3059" spans="1:10" x14ac:dyDescent="0.3">
      <c r="A3059" s="8">
        <v>40685</v>
      </c>
      <c r="B3059" t="str">
        <f>TEXT(Raw_Data!$A3059, "MMM")</f>
        <v>May</v>
      </c>
      <c r="C3059">
        <f>YEAR(Raw_Data!$A3059)</f>
        <v>2011</v>
      </c>
      <c r="D3059" t="s">
        <v>1562</v>
      </c>
      <c r="E3059" t="s">
        <v>32</v>
      </c>
      <c r="F3059" t="s">
        <v>11</v>
      </c>
      <c r="G3059">
        <v>4</v>
      </c>
      <c r="H3059">
        <v>2696</v>
      </c>
      <c r="I3059" s="1">
        <v>606290</v>
      </c>
      <c r="J3059" s="1">
        <f>Raw_Data!$I3059/Raw_Data!$H3059</f>
        <v>224.88501483679525</v>
      </c>
    </row>
    <row r="3060" spans="1:10" x14ac:dyDescent="0.3">
      <c r="A3060" s="9">
        <v>43374</v>
      </c>
      <c r="B3060" s="2" t="str">
        <f>TEXT(Raw_Data!$A3060, "MMM")</f>
        <v>Oct</v>
      </c>
      <c r="C3060" s="2">
        <f>YEAR(Raw_Data!$A3060)</f>
        <v>2018</v>
      </c>
      <c r="D3060" s="2" t="s">
        <v>1033</v>
      </c>
      <c r="E3060" s="2" t="s">
        <v>29</v>
      </c>
      <c r="F3060" s="2" t="s">
        <v>27</v>
      </c>
      <c r="G3060" s="2"/>
      <c r="H3060" s="2">
        <v>817</v>
      </c>
      <c r="I3060" s="10">
        <v>848983</v>
      </c>
      <c r="J3060" s="10">
        <f>Raw_Data!$I3060/Raw_Data!$H3060</f>
        <v>1039.1468788249695</v>
      </c>
    </row>
    <row r="3061" spans="1:10" x14ac:dyDescent="0.3">
      <c r="A3061" s="8">
        <v>37901</v>
      </c>
      <c r="B3061" t="str">
        <f>TEXT(Raw_Data!$A3061, "MMM")</f>
        <v>Oct</v>
      </c>
      <c r="C3061">
        <f>YEAR(Raw_Data!$A3061)</f>
        <v>2003</v>
      </c>
      <c r="D3061" t="s">
        <v>2219</v>
      </c>
      <c r="E3061" t="s">
        <v>32</v>
      </c>
      <c r="F3061" t="s">
        <v>27</v>
      </c>
      <c r="H3061">
        <v>1524</v>
      </c>
      <c r="I3061" s="1">
        <v>526745</v>
      </c>
      <c r="J3061" s="1">
        <f>Raw_Data!$I3061/Raw_Data!$H3061</f>
        <v>345.63320209973756</v>
      </c>
    </row>
    <row r="3062" spans="1:10" x14ac:dyDescent="0.3">
      <c r="A3062" s="9">
        <v>39461</v>
      </c>
      <c r="B3062" s="2" t="str">
        <f>TEXT(Raw_Data!$A3062, "MMM")</f>
        <v>Jan</v>
      </c>
      <c r="C3062" s="2">
        <f>YEAR(Raw_Data!$A3062)</f>
        <v>2008</v>
      </c>
      <c r="D3062" s="2" t="s">
        <v>2220</v>
      </c>
      <c r="E3062" s="2" t="s">
        <v>32</v>
      </c>
      <c r="F3062" s="2" t="s">
        <v>16</v>
      </c>
      <c r="G3062" s="2">
        <v>5</v>
      </c>
      <c r="H3062" s="2">
        <v>926</v>
      </c>
      <c r="I3062" s="10">
        <v>650084</v>
      </c>
      <c r="J3062" s="10">
        <f>Raw_Data!$I3062/Raw_Data!$H3062</f>
        <v>702.03455723542118</v>
      </c>
    </row>
    <row r="3063" spans="1:10" x14ac:dyDescent="0.3">
      <c r="A3063" s="8">
        <v>38237</v>
      </c>
      <c r="B3063" t="str">
        <f>TEXT(Raw_Data!$A3063, "MMM")</f>
        <v>Sep</v>
      </c>
      <c r="C3063">
        <f>YEAR(Raw_Data!$A3063)</f>
        <v>2004</v>
      </c>
      <c r="D3063" t="s">
        <v>1297</v>
      </c>
      <c r="E3063" t="s">
        <v>32</v>
      </c>
      <c r="F3063" t="s">
        <v>18</v>
      </c>
      <c r="H3063">
        <v>2335</v>
      </c>
      <c r="I3063" s="1">
        <v>829182</v>
      </c>
      <c r="J3063" s="1">
        <f>Raw_Data!$I3063/Raw_Data!$H3063</f>
        <v>355.11006423982872</v>
      </c>
    </row>
    <row r="3064" spans="1:10" x14ac:dyDescent="0.3">
      <c r="A3064" s="9">
        <v>37922</v>
      </c>
      <c r="B3064" s="2" t="str">
        <f>TEXT(Raw_Data!$A3064, "MMM")</f>
        <v>Oct</v>
      </c>
      <c r="C3064" s="2">
        <f>YEAR(Raw_Data!$A3064)</f>
        <v>2003</v>
      </c>
      <c r="D3064" s="2" t="s">
        <v>1114</v>
      </c>
      <c r="E3064" s="2" t="s">
        <v>13</v>
      </c>
      <c r="F3064" s="2" t="s">
        <v>16</v>
      </c>
      <c r="G3064" s="2"/>
      <c r="H3064" s="2">
        <v>953</v>
      </c>
      <c r="I3064" s="10">
        <v>192298</v>
      </c>
      <c r="J3064" s="10">
        <f>Raw_Data!$I3064/Raw_Data!$H3064</f>
        <v>201.78174186778594</v>
      </c>
    </row>
    <row r="3065" spans="1:10" x14ac:dyDescent="0.3">
      <c r="A3065" s="8">
        <v>42045</v>
      </c>
      <c r="B3065" t="str">
        <f>TEXT(Raw_Data!$A3065, "MMM")</f>
        <v>Feb</v>
      </c>
      <c r="C3065">
        <f>YEAR(Raw_Data!$A3065)</f>
        <v>2015</v>
      </c>
      <c r="D3065" t="s">
        <v>1621</v>
      </c>
      <c r="E3065" t="s">
        <v>15</v>
      </c>
      <c r="F3065" t="s">
        <v>11</v>
      </c>
      <c r="H3065">
        <v>2869</v>
      </c>
      <c r="I3065" s="1">
        <v>614873</v>
      </c>
      <c r="J3065" s="1">
        <f>Raw_Data!$I3065/Raw_Data!$H3065</f>
        <v>214.31613802718718</v>
      </c>
    </row>
    <row r="3066" spans="1:10" x14ac:dyDescent="0.3">
      <c r="A3066" s="9">
        <v>39501</v>
      </c>
      <c r="B3066" s="2" t="str">
        <f>TEXT(Raw_Data!$A3066, "MMM")</f>
        <v>Feb</v>
      </c>
      <c r="C3066" s="2">
        <f>YEAR(Raw_Data!$A3066)</f>
        <v>2008</v>
      </c>
      <c r="D3066" s="2" t="s">
        <v>2221</v>
      </c>
      <c r="E3066" s="2" t="s">
        <v>15</v>
      </c>
      <c r="F3066" s="2" t="s">
        <v>27</v>
      </c>
      <c r="G3066" s="2"/>
      <c r="H3066" s="2">
        <v>3245</v>
      </c>
      <c r="I3066" s="10">
        <v>239803</v>
      </c>
      <c r="J3066" s="10">
        <f>Raw_Data!$I3066/Raw_Data!$H3066</f>
        <v>73.899229583975341</v>
      </c>
    </row>
    <row r="3067" spans="1:10" x14ac:dyDescent="0.3">
      <c r="A3067" s="8">
        <v>38211</v>
      </c>
      <c r="B3067" t="str">
        <f>TEXT(Raw_Data!$A3067, "MMM")</f>
        <v>Aug</v>
      </c>
      <c r="C3067">
        <f>YEAR(Raw_Data!$A3067)</f>
        <v>2004</v>
      </c>
      <c r="D3067" t="s">
        <v>2222</v>
      </c>
      <c r="E3067" t="s">
        <v>15</v>
      </c>
      <c r="F3067" t="s">
        <v>27</v>
      </c>
      <c r="G3067">
        <v>4</v>
      </c>
      <c r="H3067">
        <v>2096</v>
      </c>
      <c r="I3067" s="1">
        <v>676476</v>
      </c>
      <c r="J3067" s="1">
        <f>Raw_Data!$I3067/Raw_Data!$H3067</f>
        <v>322.74618320610688</v>
      </c>
    </row>
    <row r="3068" spans="1:10" x14ac:dyDescent="0.3">
      <c r="A3068" s="9">
        <v>38024</v>
      </c>
      <c r="B3068" s="2" t="str">
        <f>TEXT(Raw_Data!$A3068, "MMM")</f>
        <v>Feb</v>
      </c>
      <c r="C3068" s="2">
        <f>YEAR(Raw_Data!$A3068)</f>
        <v>2004</v>
      </c>
      <c r="D3068" s="2" t="s">
        <v>1571</v>
      </c>
      <c r="E3068" s="2" t="s">
        <v>15</v>
      </c>
      <c r="F3068" s="2" t="s">
        <v>18</v>
      </c>
      <c r="G3068" s="2">
        <v>2</v>
      </c>
      <c r="H3068" s="2">
        <v>1226</v>
      </c>
      <c r="I3068" s="10">
        <v>242900</v>
      </c>
      <c r="J3068" s="10">
        <f>Raw_Data!$I3068/Raw_Data!$H3068</f>
        <v>198.12398042414355</v>
      </c>
    </row>
    <row r="3069" spans="1:10" x14ac:dyDescent="0.3">
      <c r="A3069" s="8">
        <v>42238</v>
      </c>
      <c r="B3069" t="str">
        <f>TEXT(Raw_Data!$A3069, "MMM")</f>
        <v>Aug</v>
      </c>
      <c r="C3069">
        <f>YEAR(Raw_Data!$A3069)</f>
        <v>2015</v>
      </c>
      <c r="D3069" t="s">
        <v>328</v>
      </c>
      <c r="E3069" t="s">
        <v>25</v>
      </c>
      <c r="F3069" t="s">
        <v>11</v>
      </c>
      <c r="G3069">
        <v>5</v>
      </c>
      <c r="H3069">
        <v>1153</v>
      </c>
      <c r="I3069" s="1">
        <v>626321</v>
      </c>
      <c r="J3069" s="1">
        <f>Raw_Data!$I3069/Raw_Data!$H3069</f>
        <v>543.20988725065047</v>
      </c>
    </row>
    <row r="3070" spans="1:10" x14ac:dyDescent="0.3">
      <c r="A3070" s="9">
        <v>41043</v>
      </c>
      <c r="B3070" s="2" t="str">
        <f>TEXT(Raw_Data!$A3070, "MMM")</f>
        <v>May</v>
      </c>
      <c r="C3070" s="2">
        <f>YEAR(Raw_Data!$A3070)</f>
        <v>2012</v>
      </c>
      <c r="D3070" s="2" t="s">
        <v>2223</v>
      </c>
      <c r="E3070" s="2" t="s">
        <v>13</v>
      </c>
      <c r="F3070" s="2" t="s">
        <v>11</v>
      </c>
      <c r="G3070" s="2">
        <v>3</v>
      </c>
      <c r="H3070" s="2">
        <v>1168</v>
      </c>
      <c r="I3070" s="10">
        <v>306790</v>
      </c>
      <c r="J3070" s="10">
        <f>Raw_Data!$I3070/Raw_Data!$H3070</f>
        <v>262.66267123287673</v>
      </c>
    </row>
    <row r="3071" spans="1:10" x14ac:dyDescent="0.3">
      <c r="A3071" s="8">
        <v>39225</v>
      </c>
      <c r="B3071" t="str">
        <f>TEXT(Raw_Data!$A3071, "MMM")</f>
        <v>May</v>
      </c>
      <c r="C3071">
        <f>YEAR(Raw_Data!$A3071)</f>
        <v>2007</v>
      </c>
      <c r="D3071" t="s">
        <v>2224</v>
      </c>
      <c r="E3071" t="s">
        <v>25</v>
      </c>
      <c r="F3071" t="s">
        <v>11</v>
      </c>
      <c r="G3071">
        <v>3</v>
      </c>
      <c r="H3071">
        <v>2491</v>
      </c>
      <c r="I3071" s="1">
        <v>749290</v>
      </c>
      <c r="J3071" s="1">
        <f>Raw_Data!$I3071/Raw_Data!$H3071</f>
        <v>300.79887595343234</v>
      </c>
    </row>
    <row r="3072" spans="1:10" x14ac:dyDescent="0.3">
      <c r="A3072" s="9">
        <v>39968</v>
      </c>
      <c r="B3072" s="2" t="str">
        <f>TEXT(Raw_Data!$A3072, "MMM")</f>
        <v>Jun</v>
      </c>
      <c r="C3072" s="2">
        <f>YEAR(Raw_Data!$A3072)</f>
        <v>2009</v>
      </c>
      <c r="D3072" s="2" t="s">
        <v>2225</v>
      </c>
      <c r="E3072" s="2" t="s">
        <v>29</v>
      </c>
      <c r="F3072" s="2" t="s">
        <v>27</v>
      </c>
      <c r="G3072" s="2">
        <v>3</v>
      </c>
      <c r="H3072" s="2">
        <v>3460</v>
      </c>
      <c r="I3072" s="10">
        <v>479882</v>
      </c>
      <c r="J3072" s="10">
        <f>Raw_Data!$I3072/Raw_Data!$H3072</f>
        <v>138.6942196531792</v>
      </c>
    </row>
    <row r="3073" spans="1:10" x14ac:dyDescent="0.3">
      <c r="A3073" s="8">
        <v>38183</v>
      </c>
      <c r="B3073" t="str">
        <f>TEXT(Raw_Data!$A3073, "MMM")</f>
        <v>Jul</v>
      </c>
      <c r="C3073">
        <f>YEAR(Raw_Data!$A3073)</f>
        <v>2004</v>
      </c>
      <c r="D3073" t="s">
        <v>2226</v>
      </c>
      <c r="E3073" t="s">
        <v>15</v>
      </c>
      <c r="F3073" t="s">
        <v>27</v>
      </c>
      <c r="G3073">
        <v>3</v>
      </c>
      <c r="H3073">
        <v>1090</v>
      </c>
      <c r="I3073" s="1">
        <v>638563</v>
      </c>
      <c r="J3073" s="1">
        <f>Raw_Data!$I3073/Raw_Data!$H3073</f>
        <v>585.83761467889906</v>
      </c>
    </row>
    <row r="3074" spans="1:10" x14ac:dyDescent="0.3">
      <c r="A3074" s="9">
        <v>39521</v>
      </c>
      <c r="B3074" s="2" t="str">
        <f>TEXT(Raw_Data!$A3074, "MMM")</f>
        <v>Mar</v>
      </c>
      <c r="C3074" s="2">
        <f>YEAR(Raw_Data!$A3074)</f>
        <v>2008</v>
      </c>
      <c r="D3074" s="2" t="s">
        <v>616</v>
      </c>
      <c r="E3074" s="2" t="s">
        <v>15</v>
      </c>
      <c r="F3074" s="2" t="s">
        <v>16</v>
      </c>
      <c r="G3074" s="2">
        <v>3</v>
      </c>
      <c r="H3074" s="2">
        <v>939</v>
      </c>
      <c r="I3074" s="10">
        <v>251919</v>
      </c>
      <c r="J3074" s="10">
        <f>Raw_Data!$I3074/Raw_Data!$H3074</f>
        <v>268.2843450479233</v>
      </c>
    </row>
    <row r="3075" spans="1:10" x14ac:dyDescent="0.3">
      <c r="A3075" s="8">
        <v>38146</v>
      </c>
      <c r="B3075" t="str">
        <f>TEXT(Raw_Data!$A3075, "MMM")</f>
        <v>Jun</v>
      </c>
      <c r="C3075">
        <f>YEAR(Raw_Data!$A3075)</f>
        <v>2004</v>
      </c>
      <c r="D3075" t="s">
        <v>1491</v>
      </c>
      <c r="E3075" t="s">
        <v>23</v>
      </c>
      <c r="F3075" t="s">
        <v>18</v>
      </c>
      <c r="G3075">
        <v>5</v>
      </c>
      <c r="H3075">
        <v>1422</v>
      </c>
      <c r="I3075" s="1">
        <v>368519</v>
      </c>
      <c r="J3075" s="1">
        <f>Raw_Data!$I3075/Raw_Data!$H3075</f>
        <v>259.15541490857947</v>
      </c>
    </row>
    <row r="3076" spans="1:10" x14ac:dyDescent="0.3">
      <c r="A3076" s="9">
        <v>42515</v>
      </c>
      <c r="B3076" s="2" t="str">
        <f>TEXT(Raw_Data!$A3076, "MMM")</f>
        <v>May</v>
      </c>
      <c r="C3076" s="2">
        <f>YEAR(Raw_Data!$A3076)</f>
        <v>2016</v>
      </c>
      <c r="D3076" s="2" t="s">
        <v>2227</v>
      </c>
      <c r="E3076" s="2" t="s">
        <v>25</v>
      </c>
      <c r="F3076" s="2" t="s">
        <v>27</v>
      </c>
      <c r="G3076" s="2">
        <v>3</v>
      </c>
      <c r="H3076" s="2">
        <v>3123</v>
      </c>
      <c r="I3076" s="10">
        <v>357704</v>
      </c>
      <c r="J3076" s="10">
        <f>Raw_Data!$I3076/Raw_Data!$H3076</f>
        <v>114.53858469420429</v>
      </c>
    </row>
    <row r="3077" spans="1:10" x14ac:dyDescent="0.3">
      <c r="A3077" s="8">
        <v>42269</v>
      </c>
      <c r="B3077" t="str">
        <f>TEXT(Raw_Data!$A3077, "MMM")</f>
        <v>Sep</v>
      </c>
      <c r="C3077">
        <f>YEAR(Raw_Data!$A3077)</f>
        <v>2015</v>
      </c>
      <c r="D3077" t="s">
        <v>189</v>
      </c>
      <c r="E3077" t="s">
        <v>32</v>
      </c>
      <c r="F3077" t="s">
        <v>16</v>
      </c>
      <c r="G3077">
        <v>2</v>
      </c>
      <c r="H3077">
        <v>3364</v>
      </c>
      <c r="I3077" s="1">
        <v>282592</v>
      </c>
      <c r="J3077" s="1">
        <f>Raw_Data!$I3077/Raw_Data!$H3077</f>
        <v>84.004756242568376</v>
      </c>
    </row>
    <row r="3078" spans="1:10" x14ac:dyDescent="0.3">
      <c r="A3078" s="9">
        <v>37734</v>
      </c>
      <c r="B3078" s="2" t="str">
        <f>TEXT(Raw_Data!$A3078, "MMM")</f>
        <v>Apr</v>
      </c>
      <c r="C3078" s="2">
        <f>YEAR(Raw_Data!$A3078)</f>
        <v>2003</v>
      </c>
      <c r="D3078" s="2" t="s">
        <v>2228</v>
      </c>
      <c r="E3078" s="2" t="s">
        <v>25</v>
      </c>
      <c r="F3078" s="2" t="s">
        <v>11</v>
      </c>
      <c r="G3078" s="2"/>
      <c r="H3078" s="2">
        <v>1571</v>
      </c>
      <c r="I3078" s="10">
        <v>548765</v>
      </c>
      <c r="J3078" s="10">
        <f>Raw_Data!$I3078/Raw_Data!$H3078</f>
        <v>349.3093570973902</v>
      </c>
    </row>
    <row r="3079" spans="1:10" x14ac:dyDescent="0.3">
      <c r="A3079" s="8">
        <v>41246</v>
      </c>
      <c r="B3079" t="str">
        <f>TEXT(Raw_Data!$A3079, "MMM")</f>
        <v>Dec</v>
      </c>
      <c r="C3079">
        <f>YEAR(Raw_Data!$A3079)</f>
        <v>2012</v>
      </c>
      <c r="D3079" t="s">
        <v>2229</v>
      </c>
      <c r="E3079" t="s">
        <v>13</v>
      </c>
      <c r="F3079" t="s">
        <v>27</v>
      </c>
      <c r="G3079">
        <v>3</v>
      </c>
      <c r="H3079">
        <v>1409</v>
      </c>
      <c r="I3079" s="1">
        <v>301626</v>
      </c>
      <c r="J3079" s="1">
        <f>Raw_Data!$I3079/Raw_Data!$H3079</f>
        <v>214.07097232079488</v>
      </c>
    </row>
    <row r="3080" spans="1:10" x14ac:dyDescent="0.3">
      <c r="A3080" s="9">
        <v>42262</v>
      </c>
      <c r="B3080" s="2" t="str">
        <f>TEXT(Raw_Data!$A3080, "MMM")</f>
        <v>Sep</v>
      </c>
      <c r="C3080" s="2">
        <f>YEAR(Raw_Data!$A3080)</f>
        <v>2015</v>
      </c>
      <c r="D3080" s="2" t="s">
        <v>2230</v>
      </c>
      <c r="E3080" s="2" t="s">
        <v>32</v>
      </c>
      <c r="F3080" s="2" t="s">
        <v>27</v>
      </c>
      <c r="G3080" s="2"/>
      <c r="H3080" s="2">
        <v>1924</v>
      </c>
      <c r="I3080" s="10">
        <v>303989</v>
      </c>
      <c r="J3080" s="10">
        <f>Raw_Data!$I3080/Raw_Data!$H3080</f>
        <v>157.99844074844074</v>
      </c>
    </row>
    <row r="3081" spans="1:10" x14ac:dyDescent="0.3">
      <c r="A3081" s="8">
        <v>37698</v>
      </c>
      <c r="B3081" t="str">
        <f>TEXT(Raw_Data!$A3081, "MMM")</f>
        <v>Mar</v>
      </c>
      <c r="C3081">
        <f>YEAR(Raw_Data!$A3081)</f>
        <v>2003</v>
      </c>
      <c r="D3081" t="s">
        <v>1365</v>
      </c>
      <c r="E3081" t="s">
        <v>29</v>
      </c>
      <c r="F3081" t="s">
        <v>18</v>
      </c>
      <c r="G3081">
        <v>2</v>
      </c>
      <c r="H3081">
        <v>2120</v>
      </c>
      <c r="I3081" s="1">
        <v>267937</v>
      </c>
      <c r="J3081" s="1">
        <f>Raw_Data!$I3081/Raw_Data!$H3081</f>
        <v>126.38537735849057</v>
      </c>
    </row>
    <row r="3082" spans="1:10" x14ac:dyDescent="0.3">
      <c r="A3082" s="9">
        <v>39618</v>
      </c>
      <c r="B3082" s="2" t="str">
        <f>TEXT(Raw_Data!$A3082, "MMM")</f>
        <v>Jun</v>
      </c>
      <c r="C3082" s="2">
        <f>YEAR(Raw_Data!$A3082)</f>
        <v>2008</v>
      </c>
      <c r="D3082" s="2" t="s">
        <v>2231</v>
      </c>
      <c r="E3082" s="2" t="s">
        <v>32</v>
      </c>
      <c r="F3082" s="2" t="s">
        <v>16</v>
      </c>
      <c r="G3082" s="2">
        <v>4</v>
      </c>
      <c r="H3082" s="2">
        <v>2544</v>
      </c>
      <c r="I3082" s="10"/>
      <c r="J3082" s="10">
        <f>Raw_Data!$I3082/Raw_Data!$H3082</f>
        <v>0</v>
      </c>
    </row>
    <row r="3083" spans="1:10" x14ac:dyDescent="0.3">
      <c r="A3083" s="8">
        <v>40810</v>
      </c>
      <c r="B3083" t="str">
        <f>TEXT(Raw_Data!$A3083, "MMM")</f>
        <v>Sep</v>
      </c>
      <c r="C3083">
        <f>YEAR(Raw_Data!$A3083)</f>
        <v>2011</v>
      </c>
      <c r="D3083" t="s">
        <v>2232</v>
      </c>
      <c r="E3083" t="s">
        <v>21</v>
      </c>
      <c r="F3083" t="s">
        <v>27</v>
      </c>
      <c r="G3083">
        <v>4</v>
      </c>
      <c r="H3083">
        <v>3285</v>
      </c>
      <c r="I3083" s="1">
        <v>282000</v>
      </c>
      <c r="J3083" s="1">
        <f>Raw_Data!$I3083/Raw_Data!$H3083</f>
        <v>85.844748858447488</v>
      </c>
    </row>
    <row r="3084" spans="1:10" x14ac:dyDescent="0.3">
      <c r="A3084" s="9">
        <v>40583</v>
      </c>
      <c r="B3084" s="2" t="str">
        <f>TEXT(Raw_Data!$A3084, "MMM")</f>
        <v>Feb</v>
      </c>
      <c r="C3084" s="2">
        <f>YEAR(Raw_Data!$A3084)</f>
        <v>2011</v>
      </c>
      <c r="D3084" s="2" t="s">
        <v>1530</v>
      </c>
      <c r="E3084" s="2" t="s">
        <v>23</v>
      </c>
      <c r="F3084" s="2" t="s">
        <v>27</v>
      </c>
      <c r="G3084" s="2">
        <v>3</v>
      </c>
      <c r="H3084" s="2">
        <v>3304</v>
      </c>
      <c r="I3084" s="10">
        <v>435516</v>
      </c>
      <c r="J3084" s="10">
        <f>Raw_Data!$I3084/Raw_Data!$H3084</f>
        <v>131.81476997578693</v>
      </c>
    </row>
    <row r="3085" spans="1:10" x14ac:dyDescent="0.3">
      <c r="A3085" s="8">
        <v>37948</v>
      </c>
      <c r="B3085" t="str">
        <f>TEXT(Raw_Data!$A3085, "MMM")</f>
        <v>Nov</v>
      </c>
      <c r="C3085">
        <f>YEAR(Raw_Data!$A3085)</f>
        <v>2003</v>
      </c>
      <c r="D3085" t="s">
        <v>2233</v>
      </c>
      <c r="E3085" t="s">
        <v>29</v>
      </c>
      <c r="F3085" t="s">
        <v>18</v>
      </c>
      <c r="G3085">
        <v>3</v>
      </c>
      <c r="H3085">
        <v>2675</v>
      </c>
      <c r="I3085" s="1">
        <v>349527</v>
      </c>
      <c r="J3085" s="1">
        <f>Raw_Data!$I3085/Raw_Data!$H3085</f>
        <v>130.66429906542055</v>
      </c>
    </row>
    <row r="3086" spans="1:10" x14ac:dyDescent="0.3">
      <c r="A3086" s="9">
        <v>40141</v>
      </c>
      <c r="B3086" s="2" t="str">
        <f>TEXT(Raw_Data!$A3086, "MMM")</f>
        <v>Nov</v>
      </c>
      <c r="C3086" s="2">
        <f>YEAR(Raw_Data!$A3086)</f>
        <v>2009</v>
      </c>
      <c r="D3086" s="2" t="s">
        <v>188</v>
      </c>
      <c r="E3086" s="2" t="s">
        <v>15</v>
      </c>
      <c r="F3086" s="2" t="s">
        <v>11</v>
      </c>
      <c r="G3086" s="2">
        <v>2</v>
      </c>
      <c r="H3086" s="2">
        <v>3230</v>
      </c>
      <c r="I3086" s="10">
        <v>185948</v>
      </c>
      <c r="J3086" s="10">
        <f>Raw_Data!$I3086/Raw_Data!$H3086</f>
        <v>57.569040247678018</v>
      </c>
    </row>
    <row r="3087" spans="1:10" x14ac:dyDescent="0.3">
      <c r="A3087" s="8">
        <v>37774</v>
      </c>
      <c r="B3087" t="str">
        <f>TEXT(Raw_Data!$A3087, "MMM")</f>
        <v>Jun</v>
      </c>
      <c r="C3087">
        <f>YEAR(Raw_Data!$A3087)</f>
        <v>2003</v>
      </c>
      <c r="D3087" t="s">
        <v>1765</v>
      </c>
      <c r="E3087" t="s">
        <v>29</v>
      </c>
      <c r="F3087" t="s">
        <v>18</v>
      </c>
      <c r="G3087">
        <v>2</v>
      </c>
      <c r="H3087">
        <v>3088</v>
      </c>
      <c r="I3087" s="1">
        <v>621302</v>
      </c>
      <c r="J3087" s="1">
        <f>Raw_Data!$I3087/Raw_Data!$H3087</f>
        <v>201.1988341968912</v>
      </c>
    </row>
    <row r="3088" spans="1:10" x14ac:dyDescent="0.3">
      <c r="A3088" s="9">
        <v>43785</v>
      </c>
      <c r="B3088" s="2" t="str">
        <f>TEXT(Raw_Data!$A3088, "MMM")</f>
        <v>Nov</v>
      </c>
      <c r="C3088" s="2">
        <f>YEAR(Raw_Data!$A3088)</f>
        <v>2019</v>
      </c>
      <c r="D3088" s="2" t="s">
        <v>2234</v>
      </c>
      <c r="E3088" s="2" t="s">
        <v>23</v>
      </c>
      <c r="F3088" s="2" t="s">
        <v>27</v>
      </c>
      <c r="G3088" s="2">
        <v>2</v>
      </c>
      <c r="H3088" s="2">
        <v>2410</v>
      </c>
      <c r="I3088" s="10">
        <v>775347</v>
      </c>
      <c r="J3088" s="10">
        <f>Raw_Data!$I3088/Raw_Data!$H3088</f>
        <v>321.72074688796681</v>
      </c>
    </row>
    <row r="3089" spans="1:10" x14ac:dyDescent="0.3">
      <c r="A3089" s="8">
        <v>40710</v>
      </c>
      <c r="B3089" t="str">
        <f>TEXT(Raw_Data!$A3089, "MMM")</f>
        <v>Jun</v>
      </c>
      <c r="C3089">
        <f>YEAR(Raw_Data!$A3089)</f>
        <v>2011</v>
      </c>
      <c r="D3089" t="s">
        <v>1488</v>
      </c>
      <c r="E3089" t="s">
        <v>13</v>
      </c>
      <c r="F3089" t="s">
        <v>11</v>
      </c>
      <c r="H3089">
        <v>2862</v>
      </c>
      <c r="I3089" s="1">
        <v>377704</v>
      </c>
      <c r="J3089" s="1">
        <f>Raw_Data!$I3089/Raw_Data!$H3089</f>
        <v>131.97204751921734</v>
      </c>
    </row>
    <row r="3090" spans="1:10" x14ac:dyDescent="0.3">
      <c r="A3090" s="9">
        <v>39566</v>
      </c>
      <c r="B3090" s="2" t="str">
        <f>TEXT(Raw_Data!$A3090, "MMM")</f>
        <v>Apr</v>
      </c>
      <c r="C3090" s="2">
        <f>YEAR(Raw_Data!$A3090)</f>
        <v>2008</v>
      </c>
      <c r="D3090" s="2" t="s">
        <v>2235</v>
      </c>
      <c r="E3090" s="2" t="s">
        <v>15</v>
      </c>
      <c r="F3090" s="2" t="s">
        <v>16</v>
      </c>
      <c r="G3090" s="2"/>
      <c r="H3090" s="2">
        <v>1679</v>
      </c>
      <c r="I3090" s="10">
        <v>678924</v>
      </c>
      <c r="J3090" s="10">
        <f>Raw_Data!$I3090/Raw_Data!$H3090</f>
        <v>404.36212030970813</v>
      </c>
    </row>
    <row r="3091" spans="1:10" x14ac:dyDescent="0.3">
      <c r="A3091" s="8">
        <v>40686</v>
      </c>
      <c r="B3091" t="str">
        <f>TEXT(Raw_Data!$A3091, "MMM")</f>
        <v>May</v>
      </c>
      <c r="C3091">
        <f>YEAR(Raw_Data!$A3091)</f>
        <v>2011</v>
      </c>
      <c r="D3091" t="s">
        <v>1897</v>
      </c>
      <c r="E3091" t="s">
        <v>15</v>
      </c>
      <c r="F3091" t="s">
        <v>16</v>
      </c>
      <c r="G3091">
        <v>3</v>
      </c>
      <c r="H3091">
        <v>1737</v>
      </c>
      <c r="I3091" s="1">
        <v>845598</v>
      </c>
      <c r="J3091" s="1">
        <f>Raw_Data!$I3091/Raw_Data!$H3091</f>
        <v>486.81519861830742</v>
      </c>
    </row>
    <row r="3092" spans="1:10" x14ac:dyDescent="0.3">
      <c r="A3092" s="9">
        <v>38462</v>
      </c>
      <c r="B3092" s="2" t="str">
        <f>TEXT(Raw_Data!$A3092, "MMM")</f>
        <v>Apr</v>
      </c>
      <c r="C3092" s="2">
        <f>YEAR(Raw_Data!$A3092)</f>
        <v>2005</v>
      </c>
      <c r="D3092" s="2" t="s">
        <v>2236</v>
      </c>
      <c r="E3092" s="2" t="s">
        <v>29</v>
      </c>
      <c r="F3092" s="2" t="s">
        <v>18</v>
      </c>
      <c r="G3092" s="2">
        <v>3</v>
      </c>
      <c r="H3092" s="2">
        <v>1474</v>
      </c>
      <c r="I3092" s="10">
        <v>871496</v>
      </c>
      <c r="J3092" s="10">
        <f>Raw_Data!$I3092/Raw_Data!$H3092</f>
        <v>591.2455902306649</v>
      </c>
    </row>
    <row r="3093" spans="1:10" x14ac:dyDescent="0.3">
      <c r="A3093" s="8">
        <v>38713</v>
      </c>
      <c r="B3093" t="str">
        <f>TEXT(Raw_Data!$A3093, "MMM")</f>
        <v>Dec</v>
      </c>
      <c r="C3093">
        <f>YEAR(Raw_Data!$A3093)</f>
        <v>2005</v>
      </c>
      <c r="D3093" t="s">
        <v>2237</v>
      </c>
      <c r="E3093" t="s">
        <v>15</v>
      </c>
      <c r="F3093" t="s">
        <v>18</v>
      </c>
      <c r="G3093">
        <v>2</v>
      </c>
      <c r="H3093">
        <v>975</v>
      </c>
      <c r="I3093" s="1">
        <v>134403</v>
      </c>
      <c r="J3093" s="1">
        <f>Raw_Data!$I3093/Raw_Data!$H3093</f>
        <v>137.84923076923076</v>
      </c>
    </row>
    <row r="3094" spans="1:10" x14ac:dyDescent="0.3">
      <c r="A3094" s="9">
        <v>40007</v>
      </c>
      <c r="B3094" s="2" t="str">
        <f>TEXT(Raw_Data!$A3094, "MMM")</f>
        <v>Jul</v>
      </c>
      <c r="C3094" s="2">
        <f>YEAR(Raw_Data!$A3094)</f>
        <v>2009</v>
      </c>
      <c r="D3094" s="2" t="s">
        <v>212</v>
      </c>
      <c r="E3094" s="2" t="s">
        <v>15</v>
      </c>
      <c r="F3094" s="2" t="s">
        <v>27</v>
      </c>
      <c r="G3094" s="2"/>
      <c r="H3094" s="2">
        <v>1227</v>
      </c>
      <c r="I3094" s="10">
        <v>166261</v>
      </c>
      <c r="J3094" s="10">
        <f>Raw_Data!$I3094/Raw_Data!$H3094</f>
        <v>135.50203748981255</v>
      </c>
    </row>
    <row r="3095" spans="1:10" x14ac:dyDescent="0.3">
      <c r="A3095" s="8">
        <v>43562</v>
      </c>
      <c r="B3095" t="str">
        <f>TEXT(Raw_Data!$A3095, "MMM")</f>
        <v>Apr</v>
      </c>
      <c r="C3095">
        <f>YEAR(Raw_Data!$A3095)</f>
        <v>2019</v>
      </c>
      <c r="D3095" t="s">
        <v>2238</v>
      </c>
      <c r="E3095" t="s">
        <v>25</v>
      </c>
      <c r="F3095" t="s">
        <v>27</v>
      </c>
      <c r="G3095">
        <v>4</v>
      </c>
      <c r="H3095">
        <v>3005</v>
      </c>
      <c r="I3095" s="1">
        <v>634564</v>
      </c>
      <c r="J3095" s="1">
        <f>Raw_Data!$I3095/Raw_Data!$H3095</f>
        <v>211.16938435940099</v>
      </c>
    </row>
    <row r="3096" spans="1:10" x14ac:dyDescent="0.3">
      <c r="A3096" s="9">
        <v>40176</v>
      </c>
      <c r="B3096" s="2" t="str">
        <f>TEXT(Raw_Data!$A3096, "MMM")</f>
        <v>Dec</v>
      </c>
      <c r="C3096" s="2">
        <f>YEAR(Raw_Data!$A3096)</f>
        <v>2009</v>
      </c>
      <c r="D3096" s="2" t="s">
        <v>1670</v>
      </c>
      <c r="E3096" s="2" t="s">
        <v>15</v>
      </c>
      <c r="F3096" s="2" t="s">
        <v>18</v>
      </c>
      <c r="G3096" s="2"/>
      <c r="H3096" s="2">
        <v>2923</v>
      </c>
      <c r="I3096" s="10">
        <v>166514</v>
      </c>
      <c r="J3096" s="10">
        <f>Raw_Data!$I3096/Raw_Data!$H3096</f>
        <v>56.966814916182003</v>
      </c>
    </row>
    <row r="3097" spans="1:10" x14ac:dyDescent="0.3">
      <c r="A3097" s="8">
        <v>38784</v>
      </c>
      <c r="B3097" t="str">
        <f>TEXT(Raw_Data!$A3097, "MMM")</f>
        <v>Mar</v>
      </c>
      <c r="C3097">
        <f>YEAR(Raw_Data!$A3097)</f>
        <v>2006</v>
      </c>
      <c r="D3097" t="s">
        <v>750</v>
      </c>
      <c r="E3097" t="s">
        <v>32</v>
      </c>
      <c r="F3097" t="s">
        <v>18</v>
      </c>
      <c r="H3097">
        <v>1181</v>
      </c>
      <c r="I3097" s="1">
        <v>491291</v>
      </c>
      <c r="J3097" s="1">
        <f>Raw_Data!$I3097/Raw_Data!$H3097</f>
        <v>415.99576629974598</v>
      </c>
    </row>
    <row r="3098" spans="1:10" x14ac:dyDescent="0.3">
      <c r="A3098" s="9">
        <v>41286</v>
      </c>
      <c r="B3098" s="2" t="str">
        <f>TEXT(Raw_Data!$A3098, "MMM")</f>
        <v>Jan</v>
      </c>
      <c r="C3098" s="2">
        <f>YEAR(Raw_Data!$A3098)</f>
        <v>2013</v>
      </c>
      <c r="D3098" s="2" t="s">
        <v>2239</v>
      </c>
      <c r="E3098" s="2" t="s">
        <v>32</v>
      </c>
      <c r="F3098" s="2" t="s">
        <v>18</v>
      </c>
      <c r="G3098" s="2">
        <v>5</v>
      </c>
      <c r="H3098" s="2">
        <v>2349</v>
      </c>
      <c r="I3098" s="10">
        <v>866377</v>
      </c>
      <c r="J3098" s="10">
        <f>Raw_Data!$I3098/Raw_Data!$H3098</f>
        <v>368.82801191996595</v>
      </c>
    </row>
    <row r="3099" spans="1:10" x14ac:dyDescent="0.3">
      <c r="A3099" s="8">
        <v>37986</v>
      </c>
      <c r="B3099" t="str">
        <f>TEXT(Raw_Data!$A3099, "MMM")</f>
        <v>Dec</v>
      </c>
      <c r="C3099">
        <f>YEAR(Raw_Data!$A3099)</f>
        <v>2003</v>
      </c>
      <c r="D3099" t="s">
        <v>240</v>
      </c>
      <c r="E3099" t="s">
        <v>25</v>
      </c>
      <c r="F3099" t="s">
        <v>27</v>
      </c>
      <c r="G3099">
        <v>3</v>
      </c>
      <c r="H3099">
        <v>2503</v>
      </c>
      <c r="I3099" s="1">
        <v>167904</v>
      </c>
      <c r="J3099" s="1">
        <f>Raw_Data!$I3099/Raw_Data!$H3099</f>
        <v>67.08110267678785</v>
      </c>
    </row>
    <row r="3100" spans="1:10" x14ac:dyDescent="0.3">
      <c r="A3100" s="9">
        <v>39319</v>
      </c>
      <c r="B3100" s="2" t="str">
        <f>TEXT(Raw_Data!$A3100, "MMM")</f>
        <v>Aug</v>
      </c>
      <c r="C3100" s="2">
        <f>YEAR(Raw_Data!$A3100)</f>
        <v>2007</v>
      </c>
      <c r="D3100" s="2" t="s">
        <v>941</v>
      </c>
      <c r="E3100" s="2" t="s">
        <v>15</v>
      </c>
      <c r="F3100" s="2" t="s">
        <v>18</v>
      </c>
      <c r="G3100" s="2">
        <v>2</v>
      </c>
      <c r="H3100" s="2">
        <v>2637</v>
      </c>
      <c r="I3100" s="10"/>
      <c r="J3100" s="10">
        <f>Raw_Data!$I3100/Raw_Data!$H3100</f>
        <v>0</v>
      </c>
    </row>
    <row r="3101" spans="1:10" x14ac:dyDescent="0.3">
      <c r="A3101" s="8">
        <v>42667</v>
      </c>
      <c r="B3101" t="str">
        <f>TEXT(Raw_Data!$A3101, "MMM")</f>
        <v>Oct</v>
      </c>
      <c r="C3101">
        <f>YEAR(Raw_Data!$A3101)</f>
        <v>2016</v>
      </c>
      <c r="D3101" t="s">
        <v>2240</v>
      </c>
      <c r="E3101" t="s">
        <v>13</v>
      </c>
      <c r="F3101" t="s">
        <v>11</v>
      </c>
      <c r="G3101">
        <v>2</v>
      </c>
      <c r="H3101">
        <v>1429</v>
      </c>
      <c r="I3101" s="1">
        <v>553896</v>
      </c>
      <c r="J3101" s="1">
        <f>Raw_Data!$I3101/Raw_Data!$H3101</f>
        <v>387.61091672498253</v>
      </c>
    </row>
    <row r="3102" spans="1:10" x14ac:dyDescent="0.3">
      <c r="A3102" s="9">
        <v>40858</v>
      </c>
      <c r="B3102" s="2" t="str">
        <f>TEXT(Raw_Data!$A3102, "MMM")</f>
        <v>Nov</v>
      </c>
      <c r="C3102" s="2">
        <f>YEAR(Raw_Data!$A3102)</f>
        <v>2011</v>
      </c>
      <c r="D3102" s="2" t="s">
        <v>2241</v>
      </c>
      <c r="E3102" s="2" t="s">
        <v>15</v>
      </c>
      <c r="F3102" s="2" t="s">
        <v>18</v>
      </c>
      <c r="G3102" s="2">
        <v>2</v>
      </c>
      <c r="H3102" s="2">
        <v>2885</v>
      </c>
      <c r="I3102" s="10">
        <v>728870</v>
      </c>
      <c r="J3102" s="10">
        <f>Raw_Data!$I3102/Raw_Data!$H3102</f>
        <v>252.64124783362217</v>
      </c>
    </row>
    <row r="3103" spans="1:10" x14ac:dyDescent="0.3">
      <c r="A3103" s="8">
        <v>41758</v>
      </c>
      <c r="B3103" t="str">
        <f>TEXT(Raw_Data!$A3103, "MMM")</f>
        <v>Apr</v>
      </c>
      <c r="C3103">
        <f>YEAR(Raw_Data!$A3103)</f>
        <v>2014</v>
      </c>
      <c r="D3103" t="s">
        <v>1559</v>
      </c>
      <c r="E3103" t="s">
        <v>21</v>
      </c>
      <c r="F3103" t="s">
        <v>16</v>
      </c>
      <c r="G3103">
        <v>5</v>
      </c>
      <c r="H3103">
        <v>2231</v>
      </c>
      <c r="I3103" s="1">
        <v>182597</v>
      </c>
      <c r="J3103" s="1">
        <f>Raw_Data!$I3103/Raw_Data!$H3103</f>
        <v>81.845360824742272</v>
      </c>
    </row>
    <row r="3104" spans="1:10" x14ac:dyDescent="0.3">
      <c r="A3104" s="9">
        <v>40636</v>
      </c>
      <c r="B3104" s="2" t="str">
        <f>TEXT(Raw_Data!$A3104, "MMM")</f>
        <v>Apr</v>
      </c>
      <c r="C3104" s="2">
        <f>YEAR(Raw_Data!$A3104)</f>
        <v>2011</v>
      </c>
      <c r="D3104" s="2" t="s">
        <v>2242</v>
      </c>
      <c r="E3104" s="2" t="s">
        <v>23</v>
      </c>
      <c r="F3104" s="2" t="s">
        <v>18</v>
      </c>
      <c r="G3104" s="2">
        <v>2</v>
      </c>
      <c r="H3104" s="2">
        <v>3375</v>
      </c>
      <c r="I3104" s="10">
        <v>526104</v>
      </c>
      <c r="J3104" s="10">
        <f>Raw_Data!$I3104/Raw_Data!$H3104</f>
        <v>155.88266666666667</v>
      </c>
    </row>
    <row r="3105" spans="1:10" x14ac:dyDescent="0.3">
      <c r="A3105" s="8">
        <v>37036</v>
      </c>
      <c r="B3105" t="str">
        <f>TEXT(Raw_Data!$A3105, "MMM")</f>
        <v>May</v>
      </c>
      <c r="C3105">
        <f>YEAR(Raw_Data!$A3105)</f>
        <v>2001</v>
      </c>
      <c r="D3105" t="s">
        <v>2243</v>
      </c>
      <c r="E3105" t="s">
        <v>32</v>
      </c>
      <c r="F3105" t="s">
        <v>18</v>
      </c>
      <c r="G3105">
        <v>5</v>
      </c>
      <c r="H3105">
        <v>2496</v>
      </c>
      <c r="I3105" s="1">
        <v>727416</v>
      </c>
      <c r="J3105" s="1">
        <f>Raw_Data!$I3105/Raw_Data!$H3105</f>
        <v>291.43269230769232</v>
      </c>
    </row>
    <row r="3106" spans="1:10" x14ac:dyDescent="0.3">
      <c r="A3106" s="9">
        <v>43942</v>
      </c>
      <c r="B3106" s="2" t="str">
        <f>TEXT(Raw_Data!$A3106, "MMM")</f>
        <v>Apr</v>
      </c>
      <c r="C3106" s="2">
        <f>YEAR(Raw_Data!$A3106)</f>
        <v>2020</v>
      </c>
      <c r="D3106" s="2" t="s">
        <v>793</v>
      </c>
      <c r="E3106" s="2" t="s">
        <v>25</v>
      </c>
      <c r="F3106" s="2" t="s">
        <v>18</v>
      </c>
      <c r="G3106" s="2">
        <v>5</v>
      </c>
      <c r="H3106" s="2">
        <v>3036</v>
      </c>
      <c r="I3106" s="10">
        <v>335874</v>
      </c>
      <c r="J3106" s="10">
        <f>Raw_Data!$I3106/Raw_Data!$H3106</f>
        <v>110.6304347826087</v>
      </c>
    </row>
    <row r="3107" spans="1:10" x14ac:dyDescent="0.3">
      <c r="A3107" s="8">
        <v>38400</v>
      </c>
      <c r="B3107" t="str">
        <f>TEXT(Raw_Data!$A3107, "MMM")</f>
        <v>Feb</v>
      </c>
      <c r="C3107">
        <f>YEAR(Raw_Data!$A3107)</f>
        <v>2005</v>
      </c>
      <c r="D3107" t="s">
        <v>2219</v>
      </c>
      <c r="E3107" t="s">
        <v>13</v>
      </c>
      <c r="F3107" t="s">
        <v>18</v>
      </c>
      <c r="H3107">
        <v>1776</v>
      </c>
      <c r="I3107" s="1">
        <v>440918</v>
      </c>
      <c r="J3107" s="1">
        <f>Raw_Data!$I3107/Raw_Data!$H3107</f>
        <v>248.26463963963963</v>
      </c>
    </row>
    <row r="3108" spans="1:10" x14ac:dyDescent="0.3">
      <c r="A3108" s="9">
        <v>41304</v>
      </c>
      <c r="B3108" s="2" t="str">
        <f>TEXT(Raw_Data!$A3108, "MMM")</f>
        <v>Jan</v>
      </c>
      <c r="C3108" s="2">
        <f>YEAR(Raw_Data!$A3108)</f>
        <v>2013</v>
      </c>
      <c r="D3108" s="2" t="s">
        <v>581</v>
      </c>
      <c r="E3108" s="2" t="s">
        <v>15</v>
      </c>
      <c r="F3108" s="2" t="s">
        <v>11</v>
      </c>
      <c r="G3108" s="2">
        <v>4</v>
      </c>
      <c r="H3108" s="2">
        <v>2436</v>
      </c>
      <c r="I3108" s="10">
        <v>755785</v>
      </c>
      <c r="J3108" s="10">
        <f>Raw_Data!$I3108/Raw_Data!$H3108</f>
        <v>310.25656814449917</v>
      </c>
    </row>
    <row r="3109" spans="1:10" x14ac:dyDescent="0.3">
      <c r="A3109" s="8">
        <v>38840</v>
      </c>
      <c r="B3109" t="str">
        <f>TEXT(Raw_Data!$A3109, "MMM")</f>
        <v>May</v>
      </c>
      <c r="C3109">
        <f>YEAR(Raw_Data!$A3109)</f>
        <v>2006</v>
      </c>
      <c r="D3109" t="s">
        <v>2244</v>
      </c>
      <c r="E3109" t="s">
        <v>15</v>
      </c>
      <c r="F3109" t="s">
        <v>18</v>
      </c>
      <c r="H3109">
        <v>3427</v>
      </c>
      <c r="I3109" s="1">
        <v>747405</v>
      </c>
      <c r="J3109" s="1">
        <f>Raw_Data!$I3109/Raw_Data!$H3109</f>
        <v>218.09308433031805</v>
      </c>
    </row>
    <row r="3110" spans="1:10" x14ac:dyDescent="0.3">
      <c r="A3110" s="9">
        <v>38605</v>
      </c>
      <c r="B3110" s="2" t="str">
        <f>TEXT(Raw_Data!$A3110, "MMM")</f>
        <v>Sep</v>
      </c>
      <c r="C3110" s="2">
        <f>YEAR(Raw_Data!$A3110)</f>
        <v>2005</v>
      </c>
      <c r="D3110" s="2" t="s">
        <v>2245</v>
      </c>
      <c r="E3110" s="2" t="s">
        <v>29</v>
      </c>
      <c r="F3110" s="2" t="s">
        <v>11</v>
      </c>
      <c r="G3110" s="2">
        <v>4</v>
      </c>
      <c r="H3110" s="2">
        <v>2584</v>
      </c>
      <c r="I3110" s="10">
        <v>202564</v>
      </c>
      <c r="J3110" s="10">
        <f>Raw_Data!$I3110/Raw_Data!$H3110</f>
        <v>78.391640866873061</v>
      </c>
    </row>
    <row r="3111" spans="1:10" x14ac:dyDescent="0.3">
      <c r="A3111" s="8">
        <v>42365</v>
      </c>
      <c r="B3111" t="str">
        <f>TEXT(Raw_Data!$A3111, "MMM")</f>
        <v>Dec</v>
      </c>
      <c r="C3111">
        <f>YEAR(Raw_Data!$A3111)</f>
        <v>2015</v>
      </c>
      <c r="D3111" t="s">
        <v>2246</v>
      </c>
      <c r="E3111" t="s">
        <v>32</v>
      </c>
      <c r="F3111" t="s">
        <v>18</v>
      </c>
      <c r="H3111">
        <v>881</v>
      </c>
      <c r="I3111" s="1">
        <v>712239</v>
      </c>
      <c r="J3111" s="1">
        <f>Raw_Data!$I3111/Raw_Data!$H3111</f>
        <v>808.44381384790006</v>
      </c>
    </row>
    <row r="3112" spans="1:10" x14ac:dyDescent="0.3">
      <c r="A3112" s="9">
        <v>42512</v>
      </c>
      <c r="B3112" s="2" t="str">
        <f>TEXT(Raw_Data!$A3112, "MMM")</f>
        <v>May</v>
      </c>
      <c r="C3112" s="2">
        <f>YEAR(Raw_Data!$A3112)</f>
        <v>2016</v>
      </c>
      <c r="D3112" s="2" t="s">
        <v>635</v>
      </c>
      <c r="E3112" s="2" t="s">
        <v>23</v>
      </c>
      <c r="F3112" s="2" t="s">
        <v>18</v>
      </c>
      <c r="G3112" s="2"/>
      <c r="H3112" s="2">
        <v>1660</v>
      </c>
      <c r="I3112" s="10">
        <v>401370</v>
      </c>
      <c r="J3112" s="10">
        <f>Raw_Data!$I3112/Raw_Data!$H3112</f>
        <v>241.78915662650601</v>
      </c>
    </row>
    <row r="3113" spans="1:10" x14ac:dyDescent="0.3">
      <c r="A3113" s="8">
        <v>38376</v>
      </c>
      <c r="B3113" t="str">
        <f>TEXT(Raw_Data!$A3113, "MMM")</f>
        <v>Jan</v>
      </c>
      <c r="C3113">
        <f>YEAR(Raw_Data!$A3113)</f>
        <v>2005</v>
      </c>
      <c r="D3113" t="s">
        <v>1637</v>
      </c>
      <c r="E3113" t="s">
        <v>15</v>
      </c>
      <c r="F3113" t="s">
        <v>18</v>
      </c>
      <c r="G3113">
        <v>5</v>
      </c>
      <c r="H3113">
        <v>831</v>
      </c>
      <c r="I3113" s="1">
        <v>267145</v>
      </c>
      <c r="J3113" s="1">
        <f>Raw_Data!$I3113/Raw_Data!$H3113</f>
        <v>321.47412755716005</v>
      </c>
    </row>
    <row r="3114" spans="1:10" x14ac:dyDescent="0.3">
      <c r="A3114" s="9">
        <v>40625</v>
      </c>
      <c r="B3114" s="2" t="str">
        <f>TEXT(Raw_Data!$A3114, "MMM")</f>
        <v>Mar</v>
      </c>
      <c r="C3114" s="2">
        <f>YEAR(Raw_Data!$A3114)</f>
        <v>2011</v>
      </c>
      <c r="D3114" s="2" t="s">
        <v>2247</v>
      </c>
      <c r="E3114" s="2" t="s">
        <v>25</v>
      </c>
      <c r="F3114" s="2" t="s">
        <v>11</v>
      </c>
      <c r="G3114" s="2">
        <v>3</v>
      </c>
      <c r="H3114" s="2">
        <v>2369</v>
      </c>
      <c r="I3114" s="10">
        <v>154428</v>
      </c>
      <c r="J3114" s="10">
        <f>Raw_Data!$I3114/Raw_Data!$H3114</f>
        <v>65.186998733642881</v>
      </c>
    </row>
    <row r="3115" spans="1:10" x14ac:dyDescent="0.3">
      <c r="A3115" s="8">
        <v>38388</v>
      </c>
      <c r="B3115" t="str">
        <f>TEXT(Raw_Data!$A3115, "MMM")</f>
        <v>Feb</v>
      </c>
      <c r="C3115">
        <f>YEAR(Raw_Data!$A3115)</f>
        <v>2005</v>
      </c>
      <c r="D3115" t="s">
        <v>2248</v>
      </c>
      <c r="E3115" t="s">
        <v>25</v>
      </c>
      <c r="F3115" t="s">
        <v>18</v>
      </c>
      <c r="H3115">
        <v>1517</v>
      </c>
      <c r="I3115" s="1">
        <v>246195</v>
      </c>
      <c r="J3115" s="1">
        <f>Raw_Data!$I3115/Raw_Data!$H3115</f>
        <v>162.29070533948584</v>
      </c>
    </row>
    <row r="3116" spans="1:10" x14ac:dyDescent="0.3">
      <c r="A3116" s="9">
        <v>44119</v>
      </c>
      <c r="B3116" s="2" t="str">
        <f>TEXT(Raw_Data!$A3116, "MMM")</f>
        <v>Oct</v>
      </c>
      <c r="C3116" s="2">
        <f>YEAR(Raw_Data!$A3116)</f>
        <v>2020</v>
      </c>
      <c r="D3116" s="2" t="s">
        <v>2234</v>
      </c>
      <c r="E3116" s="2" t="s">
        <v>21</v>
      </c>
      <c r="F3116" s="2" t="s">
        <v>16</v>
      </c>
      <c r="G3116" s="2">
        <v>2</v>
      </c>
      <c r="H3116" s="2">
        <v>3446</v>
      </c>
      <c r="I3116" s="10">
        <v>826667</v>
      </c>
      <c r="J3116" s="10">
        <f>Raw_Data!$I3116/Raw_Data!$H3116</f>
        <v>239.89175856065003</v>
      </c>
    </row>
    <row r="3117" spans="1:10" x14ac:dyDescent="0.3">
      <c r="A3117" s="8">
        <v>36892</v>
      </c>
      <c r="B3117" t="str">
        <f>TEXT(Raw_Data!$A3117, "MMM")</f>
        <v>Jan</v>
      </c>
      <c r="C3117">
        <f>YEAR(Raw_Data!$A3117)</f>
        <v>2001</v>
      </c>
      <c r="D3117" t="s">
        <v>603</v>
      </c>
      <c r="E3117" t="s">
        <v>13</v>
      </c>
      <c r="F3117" t="s">
        <v>18</v>
      </c>
      <c r="G3117">
        <v>5</v>
      </c>
      <c r="H3117">
        <v>1883</v>
      </c>
      <c r="I3117" s="1">
        <v>650417</v>
      </c>
      <c r="J3117" s="1">
        <f>Raw_Data!$I3117/Raw_Data!$H3117</f>
        <v>345.41529474243231</v>
      </c>
    </row>
    <row r="3118" spans="1:10" x14ac:dyDescent="0.3">
      <c r="A3118" s="9">
        <v>42158</v>
      </c>
      <c r="B3118" s="2" t="str">
        <f>TEXT(Raw_Data!$A3118, "MMM")</f>
        <v>Jun</v>
      </c>
      <c r="C3118" s="2">
        <f>YEAR(Raw_Data!$A3118)</f>
        <v>2015</v>
      </c>
      <c r="D3118" s="2" t="s">
        <v>1267</v>
      </c>
      <c r="E3118" s="2" t="s">
        <v>25</v>
      </c>
      <c r="F3118" s="2" t="s">
        <v>11</v>
      </c>
      <c r="G3118" s="2">
        <v>4</v>
      </c>
      <c r="H3118" s="2">
        <v>2910</v>
      </c>
      <c r="I3118" s="10">
        <v>287936</v>
      </c>
      <c r="J3118" s="10">
        <f>Raw_Data!$I3118/Raw_Data!$H3118</f>
        <v>98.947079037800691</v>
      </c>
    </row>
    <row r="3119" spans="1:10" x14ac:dyDescent="0.3">
      <c r="A3119" s="8">
        <v>38875</v>
      </c>
      <c r="B3119" t="str">
        <f>TEXT(Raw_Data!$A3119, "MMM")</f>
        <v>Jun</v>
      </c>
      <c r="C3119">
        <f>YEAR(Raw_Data!$A3119)</f>
        <v>2006</v>
      </c>
      <c r="D3119" t="s">
        <v>2249</v>
      </c>
      <c r="E3119" t="s">
        <v>23</v>
      </c>
      <c r="F3119" t="s">
        <v>18</v>
      </c>
      <c r="G3119">
        <v>2</v>
      </c>
      <c r="H3119">
        <v>2277</v>
      </c>
      <c r="I3119" s="1">
        <v>501512</v>
      </c>
      <c r="J3119" s="1">
        <f>Raw_Data!$I3119/Raw_Data!$H3119</f>
        <v>220.2512077294686</v>
      </c>
    </row>
    <row r="3120" spans="1:10" x14ac:dyDescent="0.3">
      <c r="A3120" s="9">
        <v>44053</v>
      </c>
      <c r="B3120" s="2" t="str">
        <f>TEXT(Raw_Data!$A3120, "MMM")</f>
        <v>Aug</v>
      </c>
      <c r="C3120" s="2">
        <f>YEAR(Raw_Data!$A3120)</f>
        <v>2020</v>
      </c>
      <c r="D3120" s="2" t="s">
        <v>544</v>
      </c>
      <c r="E3120" s="2" t="s">
        <v>25</v>
      </c>
      <c r="F3120" s="2" t="s">
        <v>16</v>
      </c>
      <c r="G3120" s="2"/>
      <c r="H3120" s="2">
        <v>2969</v>
      </c>
      <c r="I3120" s="10">
        <v>654050</v>
      </c>
      <c r="J3120" s="10">
        <f>Raw_Data!$I3120/Raw_Data!$H3120</f>
        <v>220.29302795554059</v>
      </c>
    </row>
    <row r="3121" spans="1:10" x14ac:dyDescent="0.3">
      <c r="A3121" s="8">
        <v>40859</v>
      </c>
      <c r="B3121" t="str">
        <f>TEXT(Raw_Data!$A3121, "MMM")</f>
        <v>Nov</v>
      </c>
      <c r="C3121">
        <f>YEAR(Raw_Data!$A3121)</f>
        <v>2011</v>
      </c>
      <c r="D3121" t="s">
        <v>2250</v>
      </c>
      <c r="E3121" t="s">
        <v>25</v>
      </c>
      <c r="F3121" t="s">
        <v>11</v>
      </c>
      <c r="G3121">
        <v>4</v>
      </c>
      <c r="H3121">
        <v>3067</v>
      </c>
      <c r="I3121" s="1">
        <v>336737</v>
      </c>
      <c r="J3121" s="1">
        <f>Raw_Data!$I3121/Raw_Data!$H3121</f>
        <v>109.79360939028366</v>
      </c>
    </row>
    <row r="3122" spans="1:10" x14ac:dyDescent="0.3">
      <c r="A3122" s="9">
        <v>40795</v>
      </c>
      <c r="B3122" s="2" t="str">
        <f>TEXT(Raw_Data!$A3122, "MMM")</f>
        <v>Sep</v>
      </c>
      <c r="C3122" s="2">
        <f>YEAR(Raw_Data!$A3122)</f>
        <v>2011</v>
      </c>
      <c r="D3122" s="2" t="s">
        <v>2251</v>
      </c>
      <c r="E3122" s="2" t="s">
        <v>32</v>
      </c>
      <c r="F3122" s="2" t="s">
        <v>18</v>
      </c>
      <c r="G3122" s="2">
        <v>2</v>
      </c>
      <c r="H3122" s="2">
        <v>1022</v>
      </c>
      <c r="I3122" s="10">
        <v>579399</v>
      </c>
      <c r="J3122" s="10">
        <f>Raw_Data!$I3122/Raw_Data!$H3122</f>
        <v>566.92661448140905</v>
      </c>
    </row>
    <row r="3123" spans="1:10" x14ac:dyDescent="0.3">
      <c r="A3123" s="8">
        <v>40647</v>
      </c>
      <c r="B3123" t="str">
        <f>TEXT(Raw_Data!$A3123, "MMM")</f>
        <v>Apr</v>
      </c>
      <c r="C3123">
        <f>YEAR(Raw_Data!$A3123)</f>
        <v>2011</v>
      </c>
      <c r="D3123" t="s">
        <v>788</v>
      </c>
      <c r="E3123" t="s">
        <v>13</v>
      </c>
      <c r="F3123" t="s">
        <v>16</v>
      </c>
      <c r="H3123">
        <v>3221</v>
      </c>
      <c r="I3123" s="1">
        <v>484140</v>
      </c>
      <c r="J3123" s="1">
        <f>Raw_Data!$I3123/Raw_Data!$H3123</f>
        <v>150.3073579633654</v>
      </c>
    </row>
    <row r="3124" spans="1:10" x14ac:dyDescent="0.3">
      <c r="A3124" s="9">
        <v>41445</v>
      </c>
      <c r="B3124" s="2" t="str">
        <f>TEXT(Raw_Data!$A3124, "MMM")</f>
        <v>Jun</v>
      </c>
      <c r="C3124" s="2">
        <f>YEAR(Raw_Data!$A3124)</f>
        <v>2013</v>
      </c>
      <c r="D3124" s="2" t="s">
        <v>136</v>
      </c>
      <c r="E3124" s="2" t="s">
        <v>15</v>
      </c>
      <c r="F3124" s="2" t="s">
        <v>11</v>
      </c>
      <c r="G3124" s="2"/>
      <c r="H3124" s="2">
        <v>2743</v>
      </c>
      <c r="I3124" s="10">
        <v>234234</v>
      </c>
      <c r="J3124" s="10">
        <f>Raw_Data!$I3124/Raw_Data!$H3124</f>
        <v>85.393364928909946</v>
      </c>
    </row>
    <row r="3125" spans="1:10" x14ac:dyDescent="0.3">
      <c r="A3125" s="8">
        <v>41239</v>
      </c>
      <c r="B3125" t="str">
        <f>TEXT(Raw_Data!$A3125, "MMM")</f>
        <v>Nov</v>
      </c>
      <c r="C3125">
        <f>YEAR(Raw_Data!$A3125)</f>
        <v>2012</v>
      </c>
      <c r="D3125" t="s">
        <v>2252</v>
      </c>
      <c r="E3125" t="s">
        <v>32</v>
      </c>
      <c r="F3125" t="s">
        <v>18</v>
      </c>
      <c r="G3125">
        <v>3</v>
      </c>
      <c r="H3125">
        <v>2586</v>
      </c>
      <c r="I3125" s="1">
        <v>325510</v>
      </c>
      <c r="J3125" s="1">
        <f>Raw_Data!$I3125/Raw_Data!$H3125</f>
        <v>125.8739365815932</v>
      </c>
    </row>
    <row r="3126" spans="1:10" x14ac:dyDescent="0.3">
      <c r="A3126" s="9">
        <v>43764</v>
      </c>
      <c r="B3126" s="2" t="str">
        <f>TEXT(Raw_Data!$A3126, "MMM")</f>
        <v>Oct</v>
      </c>
      <c r="C3126" s="2">
        <f>YEAR(Raw_Data!$A3126)</f>
        <v>2019</v>
      </c>
      <c r="D3126" s="2" t="s">
        <v>2044</v>
      </c>
      <c r="E3126" s="2" t="s">
        <v>21</v>
      </c>
      <c r="F3126" s="2" t="s">
        <v>18</v>
      </c>
      <c r="G3126" s="2">
        <v>4</v>
      </c>
      <c r="H3126" s="2">
        <v>2712</v>
      </c>
      <c r="I3126" s="10"/>
      <c r="J3126" s="10">
        <f>Raw_Data!$I3126/Raw_Data!$H3126</f>
        <v>0</v>
      </c>
    </row>
    <row r="3127" spans="1:10" x14ac:dyDescent="0.3">
      <c r="A3127" s="8">
        <v>43468</v>
      </c>
      <c r="B3127" t="str">
        <f>TEXT(Raw_Data!$A3127, "MMM")</f>
        <v>Jan</v>
      </c>
      <c r="C3127">
        <f>YEAR(Raw_Data!$A3127)</f>
        <v>2019</v>
      </c>
      <c r="D3127" t="s">
        <v>685</v>
      </c>
      <c r="E3127" t="s">
        <v>21</v>
      </c>
      <c r="F3127" t="s">
        <v>18</v>
      </c>
      <c r="H3127">
        <v>822</v>
      </c>
      <c r="I3127" s="1">
        <v>400804</v>
      </c>
      <c r="J3127" s="1">
        <f>Raw_Data!$I3127/Raw_Data!$H3127</f>
        <v>487.59610705596106</v>
      </c>
    </row>
    <row r="3128" spans="1:10" x14ac:dyDescent="0.3">
      <c r="A3128" s="9">
        <v>39943</v>
      </c>
      <c r="B3128" s="2" t="str">
        <f>TEXT(Raw_Data!$A3128, "MMM")</f>
        <v>May</v>
      </c>
      <c r="C3128" s="2">
        <f>YEAR(Raw_Data!$A3128)</f>
        <v>2009</v>
      </c>
      <c r="D3128" s="2" t="s">
        <v>1901</v>
      </c>
      <c r="E3128" s="2" t="s">
        <v>32</v>
      </c>
      <c r="F3128" s="2" t="s">
        <v>16</v>
      </c>
      <c r="G3128" s="2">
        <v>3</v>
      </c>
      <c r="H3128" s="2">
        <v>816</v>
      </c>
      <c r="I3128" s="10">
        <v>161221</v>
      </c>
      <c r="J3128" s="10">
        <f>Raw_Data!$I3128/Raw_Data!$H3128</f>
        <v>197.57475490196077</v>
      </c>
    </row>
    <row r="3129" spans="1:10" x14ac:dyDescent="0.3">
      <c r="A3129" s="8">
        <v>36902</v>
      </c>
      <c r="B3129" t="str">
        <f>TEXT(Raw_Data!$A3129, "MMM")</f>
        <v>Jan</v>
      </c>
      <c r="C3129">
        <f>YEAR(Raw_Data!$A3129)</f>
        <v>2001</v>
      </c>
      <c r="D3129" t="s">
        <v>2253</v>
      </c>
      <c r="E3129" t="s">
        <v>15</v>
      </c>
      <c r="F3129" t="s">
        <v>16</v>
      </c>
      <c r="G3129">
        <v>2</v>
      </c>
      <c r="H3129">
        <v>1162</v>
      </c>
      <c r="I3129" s="1">
        <v>576038</v>
      </c>
      <c r="J3129" s="1">
        <f>Raw_Data!$I3129/Raw_Data!$H3129</f>
        <v>495.72977624784852</v>
      </c>
    </row>
    <row r="3130" spans="1:10" x14ac:dyDescent="0.3">
      <c r="A3130" s="9">
        <v>40049</v>
      </c>
      <c r="B3130" s="2" t="str">
        <f>TEXT(Raw_Data!$A3130, "MMM")</f>
        <v>Aug</v>
      </c>
      <c r="C3130" s="2">
        <f>YEAR(Raw_Data!$A3130)</f>
        <v>2009</v>
      </c>
      <c r="D3130" s="2" t="s">
        <v>1784</v>
      </c>
      <c r="E3130" s="2" t="s">
        <v>29</v>
      </c>
      <c r="F3130" s="2" t="s">
        <v>18</v>
      </c>
      <c r="G3130" s="2">
        <v>2</v>
      </c>
      <c r="H3130" s="2">
        <v>2898</v>
      </c>
      <c r="I3130" s="10">
        <v>679632</v>
      </c>
      <c r="J3130" s="10">
        <f>Raw_Data!$I3130/Raw_Data!$H3130</f>
        <v>234.51759834368531</v>
      </c>
    </row>
    <row r="3131" spans="1:10" x14ac:dyDescent="0.3">
      <c r="A3131" s="8">
        <v>40754</v>
      </c>
      <c r="B3131" t="str">
        <f>TEXT(Raw_Data!$A3131, "MMM")</f>
        <v>Jul</v>
      </c>
      <c r="C3131">
        <f>YEAR(Raw_Data!$A3131)</f>
        <v>2011</v>
      </c>
      <c r="D3131" t="s">
        <v>2254</v>
      </c>
      <c r="E3131" t="s">
        <v>32</v>
      </c>
      <c r="F3131" t="s">
        <v>11</v>
      </c>
      <c r="G3131">
        <v>2</v>
      </c>
      <c r="H3131">
        <v>3047</v>
      </c>
      <c r="I3131" s="1">
        <v>669615</v>
      </c>
      <c r="J3131" s="1">
        <f>Raw_Data!$I3131/Raw_Data!$H3131</f>
        <v>219.76206104364948</v>
      </c>
    </row>
    <row r="3132" spans="1:10" x14ac:dyDescent="0.3">
      <c r="A3132" s="9">
        <v>37493</v>
      </c>
      <c r="B3132" s="2" t="str">
        <f>TEXT(Raw_Data!$A3132, "MMM")</f>
        <v>Aug</v>
      </c>
      <c r="C3132" s="2">
        <f>YEAR(Raw_Data!$A3132)</f>
        <v>2002</v>
      </c>
      <c r="D3132" s="2" t="s">
        <v>2255</v>
      </c>
      <c r="E3132" s="2" t="s">
        <v>21</v>
      </c>
      <c r="F3132" s="2" t="s">
        <v>18</v>
      </c>
      <c r="G3132" s="2">
        <v>2</v>
      </c>
      <c r="H3132" s="2">
        <v>3415</v>
      </c>
      <c r="I3132" s="10">
        <v>862651</v>
      </c>
      <c r="J3132" s="10">
        <f>Raw_Data!$I3132/Raw_Data!$H3132</f>
        <v>252.60644216691068</v>
      </c>
    </row>
    <row r="3133" spans="1:10" x14ac:dyDescent="0.3">
      <c r="A3133" s="8">
        <v>41417</v>
      </c>
      <c r="B3133" t="str">
        <f>TEXT(Raw_Data!$A3133, "MMM")</f>
        <v>May</v>
      </c>
      <c r="C3133">
        <f>YEAR(Raw_Data!$A3133)</f>
        <v>2013</v>
      </c>
      <c r="D3133" t="s">
        <v>2256</v>
      </c>
      <c r="E3133" t="s">
        <v>29</v>
      </c>
      <c r="F3133" t="s">
        <v>27</v>
      </c>
      <c r="H3133">
        <v>2157</v>
      </c>
      <c r="I3133" s="1">
        <v>791426</v>
      </c>
      <c r="J3133" s="1">
        <f>Raw_Data!$I3133/Raw_Data!$H3133</f>
        <v>366.91052387575337</v>
      </c>
    </row>
    <row r="3134" spans="1:10" x14ac:dyDescent="0.3">
      <c r="A3134" s="9">
        <v>39563</v>
      </c>
      <c r="B3134" s="2" t="str">
        <f>TEXT(Raw_Data!$A3134, "MMM")</f>
        <v>Apr</v>
      </c>
      <c r="C3134" s="2">
        <f>YEAR(Raw_Data!$A3134)</f>
        <v>2008</v>
      </c>
      <c r="D3134" s="2" t="s">
        <v>2257</v>
      </c>
      <c r="E3134" s="2" t="s">
        <v>21</v>
      </c>
      <c r="F3134" s="2" t="s">
        <v>27</v>
      </c>
      <c r="G3134" s="2">
        <v>2</v>
      </c>
      <c r="H3134" s="2">
        <v>2536</v>
      </c>
      <c r="I3134" s="10">
        <v>510703</v>
      </c>
      <c r="J3134" s="10">
        <f>Raw_Data!$I3134/Raw_Data!$H3134</f>
        <v>201.38130914826499</v>
      </c>
    </row>
    <row r="3135" spans="1:10" x14ac:dyDescent="0.3">
      <c r="A3135" s="8">
        <v>42579</v>
      </c>
      <c r="B3135" t="str">
        <f>TEXT(Raw_Data!$A3135, "MMM")</f>
        <v>Jul</v>
      </c>
      <c r="C3135">
        <f>YEAR(Raw_Data!$A3135)</f>
        <v>2016</v>
      </c>
      <c r="D3135" t="s">
        <v>370</v>
      </c>
      <c r="E3135" t="s">
        <v>13</v>
      </c>
      <c r="F3135" t="s">
        <v>27</v>
      </c>
      <c r="G3135">
        <v>3</v>
      </c>
      <c r="H3135">
        <v>2223</v>
      </c>
      <c r="I3135" s="1">
        <v>633205</v>
      </c>
      <c r="J3135" s="1">
        <f>Raw_Data!$I3135/Raw_Data!$H3135</f>
        <v>284.84255510571302</v>
      </c>
    </row>
    <row r="3136" spans="1:10" x14ac:dyDescent="0.3">
      <c r="A3136" s="9">
        <v>39312</v>
      </c>
      <c r="B3136" s="2" t="str">
        <f>TEXT(Raw_Data!$A3136, "MMM")</f>
        <v>Aug</v>
      </c>
      <c r="C3136" s="2">
        <f>YEAR(Raw_Data!$A3136)</f>
        <v>2007</v>
      </c>
      <c r="D3136" s="2" t="s">
        <v>581</v>
      </c>
      <c r="E3136" s="2" t="s">
        <v>13</v>
      </c>
      <c r="F3136" s="2" t="s">
        <v>27</v>
      </c>
      <c r="G3136" s="2">
        <v>3</v>
      </c>
      <c r="H3136" s="2">
        <v>2521</v>
      </c>
      <c r="I3136" s="10">
        <v>366286</v>
      </c>
      <c r="J3136" s="10">
        <f>Raw_Data!$I3136/Raw_Data!$H3136</f>
        <v>145.29393097976993</v>
      </c>
    </row>
    <row r="3137" spans="1:10" x14ac:dyDescent="0.3">
      <c r="A3137" s="8">
        <v>37632</v>
      </c>
      <c r="B3137" t="str">
        <f>TEXT(Raw_Data!$A3137, "MMM")</f>
        <v>Jan</v>
      </c>
      <c r="C3137">
        <f>YEAR(Raw_Data!$A3137)</f>
        <v>2003</v>
      </c>
      <c r="D3137" t="s">
        <v>1552</v>
      </c>
      <c r="E3137" t="s">
        <v>21</v>
      </c>
      <c r="F3137" t="s">
        <v>16</v>
      </c>
      <c r="G3137">
        <v>2</v>
      </c>
      <c r="H3137">
        <v>2847</v>
      </c>
      <c r="I3137" s="1">
        <v>786182</v>
      </c>
      <c r="J3137" s="1">
        <f>Raw_Data!$I3137/Raw_Data!$H3137</f>
        <v>276.14401123990166</v>
      </c>
    </row>
    <row r="3138" spans="1:10" x14ac:dyDescent="0.3">
      <c r="A3138" s="9">
        <v>39615</v>
      </c>
      <c r="B3138" s="2" t="str">
        <f>TEXT(Raw_Data!$A3138, "MMM")</f>
        <v>Jun</v>
      </c>
      <c r="C3138" s="2">
        <f>YEAR(Raw_Data!$A3138)</f>
        <v>2008</v>
      </c>
      <c r="D3138" s="2" t="s">
        <v>2258</v>
      </c>
      <c r="E3138" s="2" t="s">
        <v>15</v>
      </c>
      <c r="F3138" s="2" t="s">
        <v>11</v>
      </c>
      <c r="G3138" s="2">
        <v>5</v>
      </c>
      <c r="H3138" s="2">
        <v>2961</v>
      </c>
      <c r="I3138" s="10">
        <v>215072</v>
      </c>
      <c r="J3138" s="10">
        <f>Raw_Data!$I3138/Raw_Data!$H3138</f>
        <v>72.634920634920633</v>
      </c>
    </row>
    <row r="3139" spans="1:10" x14ac:dyDescent="0.3">
      <c r="A3139" s="8">
        <v>37899</v>
      </c>
      <c r="B3139" t="str">
        <f>TEXT(Raw_Data!$A3139, "MMM")</f>
        <v>Oct</v>
      </c>
      <c r="C3139">
        <f>YEAR(Raw_Data!$A3139)</f>
        <v>2003</v>
      </c>
      <c r="D3139" t="s">
        <v>2259</v>
      </c>
      <c r="E3139" t="s">
        <v>15</v>
      </c>
      <c r="F3139" t="s">
        <v>27</v>
      </c>
      <c r="H3139">
        <v>1666</v>
      </c>
      <c r="I3139" s="1">
        <v>324273</v>
      </c>
      <c r="J3139" s="1">
        <f>Raw_Data!$I3139/Raw_Data!$H3139</f>
        <v>194.64165666266507</v>
      </c>
    </row>
    <row r="3140" spans="1:10" x14ac:dyDescent="0.3">
      <c r="A3140" s="9">
        <v>43691</v>
      </c>
      <c r="B3140" s="2" t="str">
        <f>TEXT(Raw_Data!$A3140, "MMM")</f>
        <v>Aug</v>
      </c>
      <c r="C3140" s="2">
        <f>YEAR(Raw_Data!$A3140)</f>
        <v>2019</v>
      </c>
      <c r="D3140" s="2" t="s">
        <v>2260</v>
      </c>
      <c r="E3140" s="2" t="s">
        <v>29</v>
      </c>
      <c r="F3140" s="2" t="s">
        <v>27</v>
      </c>
      <c r="G3140" s="2"/>
      <c r="H3140" s="2">
        <v>1660</v>
      </c>
      <c r="I3140" s="10">
        <v>575240</v>
      </c>
      <c r="J3140" s="10">
        <f>Raw_Data!$I3140/Raw_Data!$H3140</f>
        <v>346.53012048192772</v>
      </c>
    </row>
    <row r="3141" spans="1:10" x14ac:dyDescent="0.3">
      <c r="A3141" s="8">
        <v>38099</v>
      </c>
      <c r="B3141" t="str">
        <f>TEXT(Raw_Data!$A3141, "MMM")</f>
        <v>Apr</v>
      </c>
      <c r="C3141">
        <f>YEAR(Raw_Data!$A3141)</f>
        <v>2004</v>
      </c>
      <c r="D3141" t="s">
        <v>2261</v>
      </c>
      <c r="E3141" t="s">
        <v>13</v>
      </c>
      <c r="F3141" t="s">
        <v>11</v>
      </c>
      <c r="G3141">
        <v>4</v>
      </c>
      <c r="H3141">
        <v>2079</v>
      </c>
      <c r="I3141" s="1">
        <v>482694</v>
      </c>
      <c r="J3141" s="1">
        <f>Raw_Data!$I3141/Raw_Data!$H3141</f>
        <v>232.17604617604619</v>
      </c>
    </row>
    <row r="3142" spans="1:10" x14ac:dyDescent="0.3">
      <c r="A3142" s="9">
        <v>40867</v>
      </c>
      <c r="B3142" s="2" t="str">
        <f>TEXT(Raw_Data!$A3142, "MMM")</f>
        <v>Nov</v>
      </c>
      <c r="C3142" s="2">
        <f>YEAR(Raw_Data!$A3142)</f>
        <v>2011</v>
      </c>
      <c r="D3142" s="2" t="s">
        <v>2262</v>
      </c>
      <c r="E3142" s="2" t="s">
        <v>32</v>
      </c>
      <c r="F3142" s="2" t="s">
        <v>18</v>
      </c>
      <c r="G3142" s="2">
        <v>2</v>
      </c>
      <c r="H3142" s="2">
        <v>1310</v>
      </c>
      <c r="I3142" s="10">
        <v>488789</v>
      </c>
      <c r="J3142" s="10">
        <f>Raw_Data!$I3142/Raw_Data!$H3142</f>
        <v>373.12137404580153</v>
      </c>
    </row>
    <row r="3143" spans="1:10" x14ac:dyDescent="0.3">
      <c r="A3143" s="8">
        <v>38753</v>
      </c>
      <c r="B3143" t="str">
        <f>TEXT(Raw_Data!$A3143, "MMM")</f>
        <v>Feb</v>
      </c>
      <c r="C3143">
        <f>YEAR(Raw_Data!$A3143)</f>
        <v>2006</v>
      </c>
      <c r="D3143" t="s">
        <v>1310</v>
      </c>
      <c r="E3143" t="s">
        <v>15</v>
      </c>
      <c r="F3143" t="s">
        <v>18</v>
      </c>
      <c r="G3143">
        <v>3</v>
      </c>
      <c r="H3143">
        <v>3243</v>
      </c>
      <c r="I3143" s="1">
        <v>786851</v>
      </c>
      <c r="J3143" s="1">
        <f>Raw_Data!$I3143/Raw_Data!$H3143</f>
        <v>242.63058896083874</v>
      </c>
    </row>
    <row r="3144" spans="1:10" x14ac:dyDescent="0.3">
      <c r="A3144" s="9">
        <v>38297</v>
      </c>
      <c r="B3144" s="2" t="str">
        <f>TEXT(Raw_Data!$A3144, "MMM")</f>
        <v>Nov</v>
      </c>
      <c r="C3144" s="2">
        <f>YEAR(Raw_Data!$A3144)</f>
        <v>2004</v>
      </c>
      <c r="D3144" s="2" t="s">
        <v>1517</v>
      </c>
      <c r="E3144" s="2" t="s">
        <v>32</v>
      </c>
      <c r="F3144" s="2" t="s">
        <v>11</v>
      </c>
      <c r="G3144" s="2">
        <v>5</v>
      </c>
      <c r="H3144" s="2">
        <v>1023</v>
      </c>
      <c r="I3144" s="10">
        <v>419407</v>
      </c>
      <c r="J3144" s="10">
        <f>Raw_Data!$I3144/Raw_Data!$H3144</f>
        <v>409.97751710654939</v>
      </c>
    </row>
    <row r="3145" spans="1:10" x14ac:dyDescent="0.3">
      <c r="A3145" s="8">
        <v>44185</v>
      </c>
      <c r="B3145" t="str">
        <f>TEXT(Raw_Data!$A3145, "MMM")</f>
        <v>Dec</v>
      </c>
      <c r="C3145">
        <f>YEAR(Raw_Data!$A3145)</f>
        <v>2020</v>
      </c>
      <c r="D3145" t="s">
        <v>2263</v>
      </c>
      <c r="E3145" t="s">
        <v>21</v>
      </c>
      <c r="F3145" t="s">
        <v>16</v>
      </c>
      <c r="H3145">
        <v>1180</v>
      </c>
      <c r="I3145" s="1">
        <v>663509</v>
      </c>
      <c r="J3145" s="1">
        <f>Raw_Data!$I3145/Raw_Data!$H3145</f>
        <v>562.29576271186443</v>
      </c>
    </row>
    <row r="3146" spans="1:10" x14ac:dyDescent="0.3">
      <c r="A3146" s="9">
        <v>37043</v>
      </c>
      <c r="B3146" s="2" t="str">
        <f>TEXT(Raw_Data!$A3146, "MMM")</f>
        <v>Jun</v>
      </c>
      <c r="C3146" s="2">
        <f>YEAR(Raw_Data!$A3146)</f>
        <v>2001</v>
      </c>
      <c r="D3146" s="2" t="s">
        <v>2264</v>
      </c>
      <c r="E3146" s="2" t="s">
        <v>32</v>
      </c>
      <c r="F3146" s="2" t="s">
        <v>18</v>
      </c>
      <c r="G3146" s="2"/>
      <c r="H3146" s="2">
        <v>1700</v>
      </c>
      <c r="I3146" s="10">
        <v>192977</v>
      </c>
      <c r="J3146" s="10">
        <f>Raw_Data!$I3146/Raw_Data!$H3146</f>
        <v>113.51588235294118</v>
      </c>
    </row>
    <row r="3147" spans="1:10" x14ac:dyDescent="0.3">
      <c r="A3147" s="8">
        <v>43098</v>
      </c>
      <c r="B3147" t="str">
        <f>TEXT(Raw_Data!$A3147, "MMM")</f>
        <v>Dec</v>
      </c>
      <c r="C3147">
        <f>YEAR(Raw_Data!$A3147)</f>
        <v>2017</v>
      </c>
      <c r="D3147" t="s">
        <v>1221</v>
      </c>
      <c r="E3147" t="s">
        <v>32</v>
      </c>
      <c r="F3147" t="s">
        <v>27</v>
      </c>
      <c r="G3147">
        <v>2</v>
      </c>
      <c r="H3147">
        <v>3484</v>
      </c>
      <c r="I3147" s="1">
        <v>209988</v>
      </c>
      <c r="J3147" s="1">
        <f>Raw_Data!$I3147/Raw_Data!$H3147</f>
        <v>60.272101033295066</v>
      </c>
    </row>
    <row r="3148" spans="1:10" x14ac:dyDescent="0.3">
      <c r="A3148" s="9">
        <v>39259</v>
      </c>
      <c r="B3148" s="2" t="str">
        <f>TEXT(Raw_Data!$A3148, "MMM")</f>
        <v>Jun</v>
      </c>
      <c r="C3148" s="2">
        <f>YEAR(Raw_Data!$A3148)</f>
        <v>2007</v>
      </c>
      <c r="D3148" s="2" t="s">
        <v>2265</v>
      </c>
      <c r="E3148" s="2" t="s">
        <v>21</v>
      </c>
      <c r="F3148" s="2" t="s">
        <v>18</v>
      </c>
      <c r="G3148" s="2"/>
      <c r="H3148" s="2">
        <v>1698</v>
      </c>
      <c r="I3148" s="10">
        <v>710876</v>
      </c>
      <c r="J3148" s="10">
        <f>Raw_Data!$I3148/Raw_Data!$H3148</f>
        <v>418.65488810365133</v>
      </c>
    </row>
    <row r="3149" spans="1:10" x14ac:dyDescent="0.3">
      <c r="A3149" s="8">
        <v>39878</v>
      </c>
      <c r="B3149" t="str">
        <f>TEXT(Raw_Data!$A3149, "MMM")</f>
        <v>Mar</v>
      </c>
      <c r="C3149">
        <f>YEAR(Raw_Data!$A3149)</f>
        <v>2009</v>
      </c>
      <c r="D3149" t="s">
        <v>2266</v>
      </c>
      <c r="E3149" t="s">
        <v>32</v>
      </c>
      <c r="F3149" t="s">
        <v>11</v>
      </c>
      <c r="H3149">
        <v>2204</v>
      </c>
      <c r="I3149" s="1">
        <v>804563</v>
      </c>
      <c r="J3149" s="1">
        <f>Raw_Data!$I3149/Raw_Data!$H3149</f>
        <v>365.04673321234122</v>
      </c>
    </row>
    <row r="3150" spans="1:10" x14ac:dyDescent="0.3">
      <c r="A3150" s="9">
        <v>38455</v>
      </c>
      <c r="B3150" s="2" t="str">
        <f>TEXT(Raw_Data!$A3150, "MMM")</f>
        <v>Apr</v>
      </c>
      <c r="C3150" s="2">
        <f>YEAR(Raw_Data!$A3150)</f>
        <v>2005</v>
      </c>
      <c r="D3150" s="2" t="s">
        <v>813</v>
      </c>
      <c r="E3150" s="2" t="s">
        <v>32</v>
      </c>
      <c r="F3150" s="2" t="s">
        <v>18</v>
      </c>
      <c r="G3150" s="2">
        <v>2</v>
      </c>
      <c r="H3150" s="2">
        <v>1965</v>
      </c>
      <c r="I3150" s="10">
        <v>726906</v>
      </c>
      <c r="J3150" s="10">
        <f>Raw_Data!$I3150/Raw_Data!$H3150</f>
        <v>369.92671755725189</v>
      </c>
    </row>
    <row r="3151" spans="1:10" x14ac:dyDescent="0.3">
      <c r="A3151" s="8">
        <v>37250</v>
      </c>
      <c r="B3151" t="str">
        <f>TEXT(Raw_Data!$A3151, "MMM")</f>
        <v>Dec</v>
      </c>
      <c r="C3151">
        <f>YEAR(Raw_Data!$A3151)</f>
        <v>2001</v>
      </c>
      <c r="D3151" t="s">
        <v>2267</v>
      </c>
      <c r="E3151" t="s">
        <v>29</v>
      </c>
      <c r="F3151" t="s">
        <v>27</v>
      </c>
      <c r="G3151">
        <v>3</v>
      </c>
      <c r="H3151">
        <v>3243</v>
      </c>
      <c r="I3151" s="1">
        <v>302433</v>
      </c>
      <c r="J3151" s="1">
        <f>Raw_Data!$I3151/Raw_Data!$H3151</f>
        <v>93.257169287696584</v>
      </c>
    </row>
    <row r="3152" spans="1:10" x14ac:dyDescent="0.3">
      <c r="A3152" s="9">
        <v>37630</v>
      </c>
      <c r="B3152" s="2" t="str">
        <f>TEXT(Raw_Data!$A3152, "MMM")</f>
        <v>Jan</v>
      </c>
      <c r="C3152" s="2">
        <f>YEAR(Raw_Data!$A3152)</f>
        <v>2003</v>
      </c>
      <c r="D3152" s="2" t="s">
        <v>829</v>
      </c>
      <c r="E3152" s="2" t="s">
        <v>13</v>
      </c>
      <c r="F3152" s="2" t="s">
        <v>27</v>
      </c>
      <c r="G3152" s="2">
        <v>5</v>
      </c>
      <c r="H3152" s="2">
        <v>2093</v>
      </c>
      <c r="I3152" s="10">
        <v>713540</v>
      </c>
      <c r="J3152" s="10">
        <f>Raw_Data!$I3152/Raw_Data!$H3152</f>
        <v>340.91734352603919</v>
      </c>
    </row>
    <row r="3153" spans="1:10" x14ac:dyDescent="0.3">
      <c r="A3153" s="8">
        <v>43259</v>
      </c>
      <c r="B3153" t="str">
        <f>TEXT(Raw_Data!$A3153, "MMM")</f>
        <v>Jun</v>
      </c>
      <c r="C3153">
        <f>YEAR(Raw_Data!$A3153)</f>
        <v>2018</v>
      </c>
      <c r="D3153" t="s">
        <v>2268</v>
      </c>
      <c r="E3153" t="s">
        <v>32</v>
      </c>
      <c r="F3153" t="s">
        <v>11</v>
      </c>
      <c r="H3153">
        <v>2425</v>
      </c>
      <c r="I3153" s="1">
        <v>525866</v>
      </c>
      <c r="J3153" s="1">
        <f>Raw_Data!$I3153/Raw_Data!$H3153</f>
        <v>216.8519587628866</v>
      </c>
    </row>
    <row r="3154" spans="1:10" x14ac:dyDescent="0.3">
      <c r="A3154" s="9">
        <v>44019</v>
      </c>
      <c r="B3154" s="2" t="str">
        <f>TEXT(Raw_Data!$A3154, "MMM")</f>
        <v>Jul</v>
      </c>
      <c r="C3154" s="2">
        <f>YEAR(Raw_Data!$A3154)</f>
        <v>2020</v>
      </c>
      <c r="D3154" s="2" t="s">
        <v>2269</v>
      </c>
      <c r="E3154" s="2" t="s">
        <v>29</v>
      </c>
      <c r="F3154" s="2" t="s">
        <v>18</v>
      </c>
      <c r="G3154" s="2">
        <v>3</v>
      </c>
      <c r="H3154" s="2">
        <v>2646</v>
      </c>
      <c r="I3154" s="10">
        <v>356492</v>
      </c>
      <c r="J3154" s="10">
        <f>Raw_Data!$I3154/Raw_Data!$H3154</f>
        <v>134.72864701436129</v>
      </c>
    </row>
    <row r="3155" spans="1:10" x14ac:dyDescent="0.3">
      <c r="A3155" s="8">
        <v>37162</v>
      </c>
      <c r="B3155" t="str">
        <f>TEXT(Raw_Data!$A3155, "MMM")</f>
        <v>Sep</v>
      </c>
      <c r="C3155">
        <f>YEAR(Raw_Data!$A3155)</f>
        <v>2001</v>
      </c>
      <c r="D3155" t="s">
        <v>2270</v>
      </c>
      <c r="E3155" t="s">
        <v>32</v>
      </c>
      <c r="F3155" t="s">
        <v>27</v>
      </c>
      <c r="G3155">
        <v>5</v>
      </c>
      <c r="H3155">
        <v>3216</v>
      </c>
      <c r="I3155" s="1">
        <v>349191</v>
      </c>
      <c r="J3155" s="1">
        <f>Raw_Data!$I3155/Raw_Data!$H3155</f>
        <v>108.57929104477611</v>
      </c>
    </row>
    <row r="3156" spans="1:10" x14ac:dyDescent="0.3">
      <c r="A3156" s="9">
        <v>40088</v>
      </c>
      <c r="B3156" s="2" t="str">
        <f>TEXT(Raw_Data!$A3156, "MMM")</f>
        <v>Oct</v>
      </c>
      <c r="C3156" s="2">
        <f>YEAR(Raw_Data!$A3156)</f>
        <v>2009</v>
      </c>
      <c r="D3156" s="2" t="s">
        <v>142</v>
      </c>
      <c r="E3156" s="2" t="s">
        <v>32</v>
      </c>
      <c r="F3156" s="2" t="s">
        <v>11</v>
      </c>
      <c r="G3156" s="2"/>
      <c r="H3156" s="2">
        <v>2287</v>
      </c>
      <c r="I3156" s="10">
        <v>707545</v>
      </c>
      <c r="J3156" s="10">
        <f>Raw_Data!$I3156/Raw_Data!$H3156</f>
        <v>309.37691298644512</v>
      </c>
    </row>
    <row r="3157" spans="1:10" x14ac:dyDescent="0.3">
      <c r="A3157" s="8">
        <v>38107</v>
      </c>
      <c r="B3157" t="str">
        <f>TEXT(Raw_Data!$A3157, "MMM")</f>
        <v>Apr</v>
      </c>
      <c r="C3157">
        <f>YEAR(Raw_Data!$A3157)</f>
        <v>2004</v>
      </c>
      <c r="D3157" t="s">
        <v>553</v>
      </c>
      <c r="E3157" t="s">
        <v>15</v>
      </c>
      <c r="F3157" t="s">
        <v>27</v>
      </c>
      <c r="G3157">
        <v>2</v>
      </c>
      <c r="H3157">
        <v>1900</v>
      </c>
      <c r="I3157" s="1">
        <v>897707</v>
      </c>
      <c r="J3157" s="1">
        <f>Raw_Data!$I3157/Raw_Data!$H3157</f>
        <v>472.47736842105263</v>
      </c>
    </row>
    <row r="3158" spans="1:10" x14ac:dyDescent="0.3">
      <c r="A3158" s="9">
        <v>37144</v>
      </c>
      <c r="B3158" s="2" t="str">
        <f>TEXT(Raw_Data!$A3158, "MMM")</f>
        <v>Sep</v>
      </c>
      <c r="C3158" s="2">
        <f>YEAR(Raw_Data!$A3158)</f>
        <v>2001</v>
      </c>
      <c r="D3158" s="2" t="s">
        <v>2175</v>
      </c>
      <c r="E3158" s="2" t="s">
        <v>32</v>
      </c>
      <c r="F3158" s="2" t="s">
        <v>18</v>
      </c>
      <c r="G3158" s="2"/>
      <c r="H3158" s="2">
        <v>2254</v>
      </c>
      <c r="I3158" s="10">
        <v>649676</v>
      </c>
      <c r="J3158" s="10">
        <f>Raw_Data!$I3158/Raw_Data!$H3158</f>
        <v>288.23247559893525</v>
      </c>
    </row>
    <row r="3159" spans="1:10" x14ac:dyDescent="0.3">
      <c r="A3159" s="8">
        <v>37169</v>
      </c>
      <c r="B3159" t="str">
        <f>TEXT(Raw_Data!$A3159, "MMM")</f>
        <v>Oct</v>
      </c>
      <c r="C3159">
        <f>YEAR(Raw_Data!$A3159)</f>
        <v>2001</v>
      </c>
      <c r="D3159" t="s">
        <v>2271</v>
      </c>
      <c r="E3159" t="s">
        <v>32</v>
      </c>
      <c r="F3159" t="s">
        <v>11</v>
      </c>
      <c r="G3159">
        <v>3</v>
      </c>
      <c r="H3159">
        <v>2307</v>
      </c>
      <c r="I3159" s="1">
        <v>317562</v>
      </c>
      <c r="J3159" s="1">
        <f>Raw_Data!$I3159/Raw_Data!$H3159</f>
        <v>137.65149544863459</v>
      </c>
    </row>
    <row r="3160" spans="1:10" x14ac:dyDescent="0.3">
      <c r="A3160" s="9">
        <v>43932</v>
      </c>
      <c r="B3160" s="2" t="str">
        <f>TEXT(Raw_Data!$A3160, "MMM")</f>
        <v>Apr</v>
      </c>
      <c r="C3160" s="2">
        <f>YEAR(Raw_Data!$A3160)</f>
        <v>2020</v>
      </c>
      <c r="D3160" s="2" t="s">
        <v>1622</v>
      </c>
      <c r="E3160" s="2" t="s">
        <v>13</v>
      </c>
      <c r="F3160" s="2" t="s">
        <v>27</v>
      </c>
      <c r="G3160" s="2">
        <v>4</v>
      </c>
      <c r="H3160" s="2">
        <v>940</v>
      </c>
      <c r="I3160" s="10">
        <v>665651</v>
      </c>
      <c r="J3160" s="10">
        <f>Raw_Data!$I3160/Raw_Data!$H3160</f>
        <v>708.13936170212764</v>
      </c>
    </row>
    <row r="3161" spans="1:10" x14ac:dyDescent="0.3">
      <c r="A3161" s="8">
        <v>43439</v>
      </c>
      <c r="B3161" t="str">
        <f>TEXT(Raw_Data!$A3161, "MMM")</f>
        <v>Dec</v>
      </c>
      <c r="C3161">
        <f>YEAR(Raw_Data!$A3161)</f>
        <v>2018</v>
      </c>
      <c r="D3161" t="s">
        <v>2272</v>
      </c>
      <c r="E3161" t="s">
        <v>15</v>
      </c>
      <c r="F3161" t="s">
        <v>11</v>
      </c>
      <c r="H3161">
        <v>2581</v>
      </c>
      <c r="I3161" s="1">
        <v>172241</v>
      </c>
      <c r="J3161" s="1">
        <f>Raw_Data!$I3161/Raw_Data!$H3161</f>
        <v>66.73421154591243</v>
      </c>
    </row>
    <row r="3162" spans="1:10" x14ac:dyDescent="0.3">
      <c r="A3162" s="9">
        <v>39902</v>
      </c>
      <c r="B3162" s="2" t="str">
        <f>TEXT(Raw_Data!$A3162, "MMM")</f>
        <v>Mar</v>
      </c>
      <c r="C3162" s="2">
        <f>YEAR(Raw_Data!$A3162)</f>
        <v>2009</v>
      </c>
      <c r="D3162" s="2" t="s">
        <v>2273</v>
      </c>
      <c r="E3162" s="2" t="s">
        <v>23</v>
      </c>
      <c r="F3162" s="2" t="s">
        <v>27</v>
      </c>
      <c r="G3162" s="2">
        <v>5</v>
      </c>
      <c r="H3162" s="2">
        <v>2395</v>
      </c>
      <c r="I3162" s="10">
        <v>768188</v>
      </c>
      <c r="J3162" s="10">
        <f>Raw_Data!$I3162/Raw_Data!$H3162</f>
        <v>320.74655532359083</v>
      </c>
    </row>
    <row r="3163" spans="1:10" x14ac:dyDescent="0.3">
      <c r="A3163" s="8">
        <v>37063</v>
      </c>
      <c r="B3163" t="str">
        <f>TEXT(Raw_Data!$A3163, "MMM")</f>
        <v>Jun</v>
      </c>
      <c r="C3163">
        <f>YEAR(Raw_Data!$A3163)</f>
        <v>2001</v>
      </c>
      <c r="D3163" t="s">
        <v>757</v>
      </c>
      <c r="E3163" t="s">
        <v>25</v>
      </c>
      <c r="F3163" t="s">
        <v>11</v>
      </c>
      <c r="G3163">
        <v>3</v>
      </c>
      <c r="H3163">
        <v>1608</v>
      </c>
      <c r="I3163" s="1">
        <v>355084</v>
      </c>
      <c r="J3163" s="1">
        <f>Raw_Data!$I3163/Raw_Data!$H3163</f>
        <v>220.8233830845771</v>
      </c>
    </row>
    <row r="3164" spans="1:10" x14ac:dyDescent="0.3">
      <c r="A3164" s="9">
        <v>38177</v>
      </c>
      <c r="B3164" s="2" t="str">
        <f>TEXT(Raw_Data!$A3164, "MMM")</f>
        <v>Jul</v>
      </c>
      <c r="C3164" s="2">
        <f>YEAR(Raw_Data!$A3164)</f>
        <v>2004</v>
      </c>
      <c r="D3164" s="2" t="s">
        <v>2274</v>
      </c>
      <c r="E3164" s="2" t="s">
        <v>15</v>
      </c>
      <c r="F3164" s="2" t="s">
        <v>11</v>
      </c>
      <c r="G3164" s="2">
        <v>2</v>
      </c>
      <c r="H3164" s="2">
        <v>3105</v>
      </c>
      <c r="I3164" s="10">
        <v>181488</v>
      </c>
      <c r="J3164" s="10">
        <f>Raw_Data!$I3164/Raw_Data!$H3164</f>
        <v>58.450241545893718</v>
      </c>
    </row>
    <row r="3165" spans="1:10" x14ac:dyDescent="0.3">
      <c r="A3165" s="8">
        <v>37700</v>
      </c>
      <c r="B3165" t="str">
        <f>TEXT(Raw_Data!$A3165, "MMM")</f>
        <v>Mar</v>
      </c>
      <c r="C3165">
        <f>YEAR(Raw_Data!$A3165)</f>
        <v>2003</v>
      </c>
      <c r="D3165" t="s">
        <v>2275</v>
      </c>
      <c r="E3165" t="s">
        <v>32</v>
      </c>
      <c r="F3165" t="s">
        <v>16</v>
      </c>
      <c r="G3165">
        <v>2</v>
      </c>
      <c r="H3165">
        <v>1375</v>
      </c>
      <c r="I3165" s="1">
        <v>615632</v>
      </c>
      <c r="J3165" s="1">
        <f>Raw_Data!$I3165/Raw_Data!$H3165</f>
        <v>447.73236363636363</v>
      </c>
    </row>
    <row r="3166" spans="1:10" x14ac:dyDescent="0.3">
      <c r="A3166" s="9">
        <v>40319</v>
      </c>
      <c r="B3166" s="2" t="str">
        <f>TEXT(Raw_Data!$A3166, "MMM")</f>
        <v>May</v>
      </c>
      <c r="C3166" s="2">
        <f>YEAR(Raw_Data!$A3166)</f>
        <v>2010</v>
      </c>
      <c r="D3166" s="2" t="s">
        <v>933</v>
      </c>
      <c r="E3166" s="2" t="s">
        <v>32</v>
      </c>
      <c r="F3166" s="2" t="s">
        <v>11</v>
      </c>
      <c r="G3166" s="2">
        <v>4</v>
      </c>
      <c r="H3166" s="2">
        <v>2627</v>
      </c>
      <c r="I3166" s="10">
        <v>286662</v>
      </c>
      <c r="J3166" s="10">
        <f>Raw_Data!$I3166/Raw_Data!$H3166</f>
        <v>109.12143129044537</v>
      </c>
    </row>
    <row r="3167" spans="1:10" x14ac:dyDescent="0.3">
      <c r="A3167" s="8">
        <v>43021</v>
      </c>
      <c r="B3167" t="str">
        <f>TEXT(Raw_Data!$A3167, "MMM")</f>
        <v>Oct</v>
      </c>
      <c r="C3167">
        <f>YEAR(Raw_Data!$A3167)</f>
        <v>2017</v>
      </c>
      <c r="D3167" t="s">
        <v>212</v>
      </c>
      <c r="E3167" t="s">
        <v>13</v>
      </c>
      <c r="F3167" t="s">
        <v>18</v>
      </c>
      <c r="G3167">
        <v>5</v>
      </c>
      <c r="H3167">
        <v>1610</v>
      </c>
      <c r="I3167" s="1">
        <v>226605</v>
      </c>
      <c r="J3167" s="1">
        <f>Raw_Data!$I3167/Raw_Data!$H3167</f>
        <v>140.74844720496895</v>
      </c>
    </row>
    <row r="3168" spans="1:10" x14ac:dyDescent="0.3">
      <c r="A3168" s="9">
        <v>41423</v>
      </c>
      <c r="B3168" s="2" t="str">
        <f>TEXT(Raw_Data!$A3168, "MMM")</f>
        <v>May</v>
      </c>
      <c r="C3168" s="2">
        <f>YEAR(Raw_Data!$A3168)</f>
        <v>2013</v>
      </c>
      <c r="D3168" s="2" t="s">
        <v>988</v>
      </c>
      <c r="E3168" s="2" t="s">
        <v>25</v>
      </c>
      <c r="F3168" s="2" t="s">
        <v>16</v>
      </c>
      <c r="G3168" s="2">
        <v>3</v>
      </c>
      <c r="H3168" s="2">
        <v>2665</v>
      </c>
      <c r="I3168" s="10">
        <v>368184</v>
      </c>
      <c r="J3168" s="10">
        <f>Raw_Data!$I3168/Raw_Data!$H3168</f>
        <v>138.15534709193247</v>
      </c>
    </row>
    <row r="3169" spans="1:10" x14ac:dyDescent="0.3">
      <c r="A3169" s="8">
        <v>39051</v>
      </c>
      <c r="B3169" t="str">
        <f>TEXT(Raw_Data!$A3169, "MMM")</f>
        <v>Nov</v>
      </c>
      <c r="C3169">
        <f>YEAR(Raw_Data!$A3169)</f>
        <v>2006</v>
      </c>
      <c r="D3169" t="s">
        <v>2276</v>
      </c>
      <c r="E3169" t="s">
        <v>21</v>
      </c>
      <c r="F3169" t="s">
        <v>27</v>
      </c>
      <c r="G3169">
        <v>4</v>
      </c>
      <c r="H3169">
        <v>3110</v>
      </c>
      <c r="I3169" s="1">
        <v>220008</v>
      </c>
      <c r="J3169" s="1">
        <f>Raw_Data!$I3169/Raw_Data!$H3169</f>
        <v>70.74212218649518</v>
      </c>
    </row>
    <row r="3170" spans="1:10" x14ac:dyDescent="0.3">
      <c r="A3170" s="9">
        <v>40005</v>
      </c>
      <c r="B3170" s="2" t="str">
        <f>TEXT(Raw_Data!$A3170, "MMM")</f>
        <v>Jul</v>
      </c>
      <c r="C3170" s="2">
        <f>YEAR(Raw_Data!$A3170)</f>
        <v>2009</v>
      </c>
      <c r="D3170" s="2" t="s">
        <v>2277</v>
      </c>
      <c r="E3170" s="2" t="s">
        <v>23</v>
      </c>
      <c r="F3170" s="2" t="s">
        <v>11</v>
      </c>
      <c r="G3170" s="2">
        <v>2</v>
      </c>
      <c r="H3170" s="2">
        <v>806</v>
      </c>
      <c r="I3170" s="10">
        <v>284080</v>
      </c>
      <c r="J3170" s="10">
        <f>Raw_Data!$I3170/Raw_Data!$H3170</f>
        <v>352.45657568238215</v>
      </c>
    </row>
    <row r="3171" spans="1:10" x14ac:dyDescent="0.3">
      <c r="A3171" s="8">
        <v>41936</v>
      </c>
      <c r="B3171" t="str">
        <f>TEXT(Raw_Data!$A3171, "MMM")</f>
        <v>Oct</v>
      </c>
      <c r="C3171">
        <f>YEAR(Raw_Data!$A3171)</f>
        <v>2014</v>
      </c>
      <c r="D3171" t="s">
        <v>89</v>
      </c>
      <c r="E3171" t="s">
        <v>29</v>
      </c>
      <c r="F3171" t="s">
        <v>11</v>
      </c>
      <c r="H3171">
        <v>2624</v>
      </c>
      <c r="I3171" s="1">
        <v>283946</v>
      </c>
      <c r="J3171" s="1">
        <f>Raw_Data!$I3171/Raw_Data!$H3171</f>
        <v>108.21112804878049</v>
      </c>
    </row>
    <row r="3172" spans="1:10" x14ac:dyDescent="0.3">
      <c r="A3172" s="9">
        <v>40179</v>
      </c>
      <c r="B3172" s="2" t="str">
        <f>TEXT(Raw_Data!$A3172, "MMM")</f>
        <v>Jan</v>
      </c>
      <c r="C3172" s="2">
        <f>YEAR(Raw_Data!$A3172)</f>
        <v>2010</v>
      </c>
      <c r="D3172" s="2" t="s">
        <v>1343</v>
      </c>
      <c r="E3172" s="2" t="s">
        <v>13</v>
      </c>
      <c r="F3172" s="2" t="s">
        <v>11</v>
      </c>
      <c r="G3172" s="2">
        <v>2</v>
      </c>
      <c r="H3172" s="2">
        <v>2511</v>
      </c>
      <c r="I3172" s="10">
        <v>165109</v>
      </c>
      <c r="J3172" s="10">
        <f>Raw_Data!$I3172/Raw_Data!$H3172</f>
        <v>65.754281162883316</v>
      </c>
    </row>
    <row r="3173" spans="1:10" x14ac:dyDescent="0.3">
      <c r="A3173" s="8">
        <v>37894</v>
      </c>
      <c r="B3173" t="str">
        <f>TEXT(Raw_Data!$A3173, "MMM")</f>
        <v>Sep</v>
      </c>
      <c r="C3173">
        <f>YEAR(Raw_Data!$A3173)</f>
        <v>2003</v>
      </c>
      <c r="D3173" t="s">
        <v>2278</v>
      </c>
      <c r="E3173" t="s">
        <v>25</v>
      </c>
      <c r="F3173" t="s">
        <v>16</v>
      </c>
      <c r="G3173">
        <v>2</v>
      </c>
      <c r="H3173">
        <v>1243</v>
      </c>
      <c r="I3173" s="1">
        <v>624827</v>
      </c>
      <c r="J3173" s="1">
        <f>Raw_Data!$I3173/Raw_Data!$H3173</f>
        <v>502.67658889782786</v>
      </c>
    </row>
    <row r="3174" spans="1:10" x14ac:dyDescent="0.3">
      <c r="A3174" s="9">
        <v>44085</v>
      </c>
      <c r="B3174" s="2" t="str">
        <f>TEXT(Raw_Data!$A3174, "MMM")</f>
        <v>Sep</v>
      </c>
      <c r="C3174" s="2">
        <f>YEAR(Raw_Data!$A3174)</f>
        <v>2020</v>
      </c>
      <c r="D3174" s="2" t="s">
        <v>340</v>
      </c>
      <c r="E3174" s="2" t="s">
        <v>25</v>
      </c>
      <c r="F3174" s="2" t="s">
        <v>27</v>
      </c>
      <c r="G3174" s="2"/>
      <c r="H3174" s="2">
        <v>1162</v>
      </c>
      <c r="I3174" s="10">
        <v>694797</v>
      </c>
      <c r="J3174" s="10">
        <f>Raw_Data!$I3174/Raw_Data!$H3174</f>
        <v>597.93201376936315</v>
      </c>
    </row>
    <row r="3175" spans="1:10" x14ac:dyDescent="0.3">
      <c r="A3175" s="8">
        <v>40517</v>
      </c>
      <c r="B3175" t="str">
        <f>TEXT(Raw_Data!$A3175, "MMM")</f>
        <v>Dec</v>
      </c>
      <c r="C3175">
        <f>YEAR(Raw_Data!$A3175)</f>
        <v>2010</v>
      </c>
      <c r="D3175" t="s">
        <v>2279</v>
      </c>
      <c r="E3175" t="s">
        <v>21</v>
      </c>
      <c r="F3175" t="s">
        <v>27</v>
      </c>
      <c r="G3175">
        <v>3</v>
      </c>
      <c r="H3175">
        <v>2929</v>
      </c>
      <c r="I3175" s="1">
        <v>668995</v>
      </c>
      <c r="J3175" s="1">
        <f>Raw_Data!$I3175/Raw_Data!$H3175</f>
        <v>228.40389211334926</v>
      </c>
    </row>
    <row r="3176" spans="1:10" x14ac:dyDescent="0.3">
      <c r="A3176" s="9">
        <v>40712</v>
      </c>
      <c r="B3176" s="2" t="str">
        <f>TEXT(Raw_Data!$A3176, "MMM")</f>
        <v>Jun</v>
      </c>
      <c r="C3176" s="2">
        <f>YEAR(Raw_Data!$A3176)</f>
        <v>2011</v>
      </c>
      <c r="D3176" s="2" t="s">
        <v>1513</v>
      </c>
      <c r="E3176" s="2" t="s">
        <v>21</v>
      </c>
      <c r="F3176" s="2" t="s">
        <v>16</v>
      </c>
      <c r="G3176" s="2">
        <v>4</v>
      </c>
      <c r="H3176" s="2">
        <v>2740</v>
      </c>
      <c r="I3176" s="10">
        <v>535644</v>
      </c>
      <c r="J3176" s="10">
        <f>Raw_Data!$I3176/Raw_Data!$H3176</f>
        <v>195.4905109489051</v>
      </c>
    </row>
    <row r="3177" spans="1:10" x14ac:dyDescent="0.3">
      <c r="A3177" s="8">
        <v>42994</v>
      </c>
      <c r="B3177" t="str">
        <f>TEXT(Raw_Data!$A3177, "MMM")</f>
        <v>Sep</v>
      </c>
      <c r="C3177">
        <f>YEAR(Raw_Data!$A3177)</f>
        <v>2017</v>
      </c>
      <c r="D3177" t="s">
        <v>762</v>
      </c>
      <c r="E3177" t="s">
        <v>15</v>
      </c>
      <c r="F3177" t="s">
        <v>27</v>
      </c>
      <c r="H3177">
        <v>3269</v>
      </c>
      <c r="I3177" s="1">
        <v>617412</v>
      </c>
      <c r="J3177" s="1">
        <f>Raw_Data!$I3177/Raw_Data!$H3177</f>
        <v>188.86876720709697</v>
      </c>
    </row>
    <row r="3178" spans="1:10" x14ac:dyDescent="0.3">
      <c r="A3178" s="9">
        <v>42905</v>
      </c>
      <c r="B3178" s="2" t="str">
        <f>TEXT(Raw_Data!$A3178, "MMM")</f>
        <v>Jun</v>
      </c>
      <c r="C3178" s="2">
        <f>YEAR(Raw_Data!$A3178)</f>
        <v>2017</v>
      </c>
      <c r="D3178" s="2" t="s">
        <v>2280</v>
      </c>
      <c r="E3178" s="2" t="s">
        <v>15</v>
      </c>
      <c r="F3178" s="2" t="s">
        <v>11</v>
      </c>
      <c r="G3178" s="2">
        <v>3</v>
      </c>
      <c r="H3178" s="2">
        <v>1808</v>
      </c>
      <c r="I3178" s="10">
        <v>496971</v>
      </c>
      <c r="J3178" s="10">
        <f>Raw_Data!$I3178/Raw_Data!$H3178</f>
        <v>274.87334070796459</v>
      </c>
    </row>
    <row r="3179" spans="1:10" x14ac:dyDescent="0.3">
      <c r="A3179" s="8">
        <v>38830</v>
      </c>
      <c r="B3179" t="str">
        <f>TEXT(Raw_Data!$A3179, "MMM")</f>
        <v>Apr</v>
      </c>
      <c r="C3179">
        <f>YEAR(Raw_Data!$A3179)</f>
        <v>2006</v>
      </c>
      <c r="D3179" t="s">
        <v>2079</v>
      </c>
      <c r="E3179" t="s">
        <v>25</v>
      </c>
      <c r="F3179" t="s">
        <v>16</v>
      </c>
      <c r="H3179">
        <v>1480</v>
      </c>
      <c r="I3179" s="1">
        <v>440263</v>
      </c>
      <c r="J3179" s="1">
        <f>Raw_Data!$I3179/Raw_Data!$H3179</f>
        <v>297.47500000000002</v>
      </c>
    </row>
    <row r="3180" spans="1:10" x14ac:dyDescent="0.3">
      <c r="A3180" s="9">
        <v>41370</v>
      </c>
      <c r="B3180" s="2" t="str">
        <f>TEXT(Raw_Data!$A3180, "MMM")</f>
        <v>Apr</v>
      </c>
      <c r="C3180" s="2">
        <f>YEAR(Raw_Data!$A3180)</f>
        <v>2013</v>
      </c>
      <c r="D3180" s="2" t="s">
        <v>2281</v>
      </c>
      <c r="E3180" s="2" t="s">
        <v>32</v>
      </c>
      <c r="F3180" s="2" t="s">
        <v>27</v>
      </c>
      <c r="G3180" s="2"/>
      <c r="H3180" s="2">
        <v>1773</v>
      </c>
      <c r="I3180" s="10">
        <v>311587</v>
      </c>
      <c r="J3180" s="10">
        <f>Raw_Data!$I3180/Raw_Data!$H3180</f>
        <v>175.73998871968416</v>
      </c>
    </row>
    <row r="3181" spans="1:10" x14ac:dyDescent="0.3">
      <c r="A3181" s="8">
        <v>40928</v>
      </c>
      <c r="B3181" t="str">
        <f>TEXT(Raw_Data!$A3181, "MMM")</f>
        <v>Jan</v>
      </c>
      <c r="C3181">
        <f>YEAR(Raw_Data!$A3181)</f>
        <v>2012</v>
      </c>
      <c r="D3181" t="s">
        <v>2282</v>
      </c>
      <c r="E3181" t="s">
        <v>29</v>
      </c>
      <c r="F3181" t="s">
        <v>11</v>
      </c>
      <c r="G3181">
        <v>2</v>
      </c>
      <c r="H3181">
        <v>3458</v>
      </c>
      <c r="I3181" s="1">
        <v>744832</v>
      </c>
      <c r="J3181" s="1">
        <f>Raw_Data!$I3181/Raw_Data!$H3181</f>
        <v>215.39386928860614</v>
      </c>
    </row>
    <row r="3182" spans="1:10" x14ac:dyDescent="0.3">
      <c r="A3182" s="9">
        <v>41555</v>
      </c>
      <c r="B3182" s="2" t="str">
        <f>TEXT(Raw_Data!$A3182, "MMM")</f>
        <v>Oct</v>
      </c>
      <c r="C3182" s="2">
        <f>YEAR(Raw_Data!$A3182)</f>
        <v>2013</v>
      </c>
      <c r="D3182" s="2" t="s">
        <v>1769</v>
      </c>
      <c r="E3182" s="2" t="s">
        <v>21</v>
      </c>
      <c r="F3182" s="2" t="s">
        <v>18</v>
      </c>
      <c r="G3182" s="2">
        <v>3</v>
      </c>
      <c r="H3182" s="2">
        <v>1013</v>
      </c>
      <c r="I3182" s="10">
        <v>836455</v>
      </c>
      <c r="J3182" s="10">
        <f>Raw_Data!$I3182/Raw_Data!$H3182</f>
        <v>825.72063178677195</v>
      </c>
    </row>
    <row r="3183" spans="1:10" x14ac:dyDescent="0.3">
      <c r="A3183" s="8">
        <v>43048</v>
      </c>
      <c r="B3183" t="str">
        <f>TEXT(Raw_Data!$A3183, "MMM")</f>
        <v>Nov</v>
      </c>
      <c r="C3183">
        <f>YEAR(Raw_Data!$A3183)</f>
        <v>2017</v>
      </c>
      <c r="D3183" t="s">
        <v>2283</v>
      </c>
      <c r="E3183" t="s">
        <v>15</v>
      </c>
      <c r="F3183" t="s">
        <v>11</v>
      </c>
      <c r="G3183">
        <v>3</v>
      </c>
      <c r="H3183">
        <v>2067</v>
      </c>
      <c r="I3183" s="1">
        <v>612872</v>
      </c>
      <c r="J3183" s="1">
        <f>Raw_Data!$I3183/Raw_Data!$H3183</f>
        <v>296.50314465408803</v>
      </c>
    </row>
    <row r="3184" spans="1:10" x14ac:dyDescent="0.3">
      <c r="A3184" s="9">
        <v>41168</v>
      </c>
      <c r="B3184" s="2" t="str">
        <f>TEXT(Raw_Data!$A3184, "MMM")</f>
        <v>Sep</v>
      </c>
      <c r="C3184" s="2">
        <f>YEAR(Raw_Data!$A3184)</f>
        <v>2012</v>
      </c>
      <c r="D3184" s="2" t="s">
        <v>2284</v>
      </c>
      <c r="E3184" s="2" t="s">
        <v>25</v>
      </c>
      <c r="F3184" s="2" t="s">
        <v>11</v>
      </c>
      <c r="G3184" s="2">
        <v>3</v>
      </c>
      <c r="H3184" s="2">
        <v>2619</v>
      </c>
      <c r="I3184" s="10">
        <v>515050</v>
      </c>
      <c r="J3184" s="10">
        <f>Raw_Data!$I3184/Raw_Data!$H3184</f>
        <v>196.6590301641848</v>
      </c>
    </row>
    <row r="3185" spans="1:10" x14ac:dyDescent="0.3">
      <c r="A3185" s="8">
        <v>41651</v>
      </c>
      <c r="B3185" t="str">
        <f>TEXT(Raw_Data!$A3185, "MMM")</f>
        <v>Jan</v>
      </c>
      <c r="C3185">
        <f>YEAR(Raw_Data!$A3185)</f>
        <v>2014</v>
      </c>
      <c r="D3185" t="s">
        <v>1912</v>
      </c>
      <c r="E3185" t="s">
        <v>15</v>
      </c>
      <c r="F3185" t="s">
        <v>18</v>
      </c>
      <c r="H3185">
        <v>1010</v>
      </c>
      <c r="I3185" s="1">
        <v>624311</v>
      </c>
      <c r="J3185" s="1">
        <f>Raw_Data!$I3185/Raw_Data!$H3185</f>
        <v>618.12970297029699</v>
      </c>
    </row>
    <row r="3186" spans="1:10" x14ac:dyDescent="0.3">
      <c r="A3186" s="9">
        <v>36903</v>
      </c>
      <c r="B3186" s="2" t="str">
        <f>TEXT(Raw_Data!$A3186, "MMM")</f>
        <v>Jan</v>
      </c>
      <c r="C3186" s="2">
        <f>YEAR(Raw_Data!$A3186)</f>
        <v>2001</v>
      </c>
      <c r="D3186" s="2" t="s">
        <v>818</v>
      </c>
      <c r="E3186" s="2" t="s">
        <v>32</v>
      </c>
      <c r="F3186" s="2" t="s">
        <v>11</v>
      </c>
      <c r="G3186" s="2">
        <v>5</v>
      </c>
      <c r="H3186" s="2">
        <v>2658</v>
      </c>
      <c r="I3186" s="10">
        <v>484304</v>
      </c>
      <c r="J3186" s="10">
        <f>Raw_Data!$I3186/Raw_Data!$H3186</f>
        <v>182.20617005267118</v>
      </c>
    </row>
    <row r="3187" spans="1:10" x14ac:dyDescent="0.3">
      <c r="A3187" s="8">
        <v>39495</v>
      </c>
      <c r="B3187" t="str">
        <f>TEXT(Raw_Data!$A3187, "MMM")</f>
        <v>Feb</v>
      </c>
      <c r="C3187">
        <f>YEAR(Raw_Data!$A3187)</f>
        <v>2008</v>
      </c>
      <c r="D3187" t="s">
        <v>1565</v>
      </c>
      <c r="E3187" t="s">
        <v>32</v>
      </c>
      <c r="F3187" t="s">
        <v>18</v>
      </c>
      <c r="G3187">
        <v>2</v>
      </c>
      <c r="H3187">
        <v>2506</v>
      </c>
      <c r="I3187" s="1">
        <v>304654</v>
      </c>
      <c r="J3187" s="1">
        <f>Raw_Data!$I3187/Raw_Data!$H3187</f>
        <v>121.56983240223464</v>
      </c>
    </row>
    <row r="3188" spans="1:10" x14ac:dyDescent="0.3">
      <c r="A3188" s="9">
        <v>40130</v>
      </c>
      <c r="B3188" s="2" t="str">
        <f>TEXT(Raw_Data!$A3188, "MMM")</f>
        <v>Nov</v>
      </c>
      <c r="C3188" s="2">
        <f>YEAR(Raw_Data!$A3188)</f>
        <v>2009</v>
      </c>
      <c r="D3188" s="2" t="s">
        <v>2285</v>
      </c>
      <c r="E3188" s="2" t="s">
        <v>29</v>
      </c>
      <c r="F3188" s="2" t="s">
        <v>27</v>
      </c>
      <c r="G3188" s="2">
        <v>3</v>
      </c>
      <c r="H3188" s="2">
        <v>1863</v>
      </c>
      <c r="I3188" s="10">
        <v>695241</v>
      </c>
      <c r="J3188" s="10">
        <f>Raw_Data!$I3188/Raw_Data!$H3188</f>
        <v>373.18357487922708</v>
      </c>
    </row>
    <row r="3189" spans="1:10" x14ac:dyDescent="0.3">
      <c r="A3189" s="8">
        <v>43604</v>
      </c>
      <c r="B3189" t="str">
        <f>TEXT(Raw_Data!$A3189, "MMM")</f>
        <v>May</v>
      </c>
      <c r="C3189">
        <f>YEAR(Raw_Data!$A3189)</f>
        <v>2019</v>
      </c>
      <c r="D3189" t="s">
        <v>1009</v>
      </c>
      <c r="E3189" t="s">
        <v>23</v>
      </c>
      <c r="F3189" t="s">
        <v>16</v>
      </c>
      <c r="G3189">
        <v>2</v>
      </c>
      <c r="H3189">
        <v>2619</v>
      </c>
      <c r="I3189" s="1">
        <v>817972</v>
      </c>
      <c r="J3189" s="1">
        <f>Raw_Data!$I3189/Raw_Data!$H3189</f>
        <v>312.32226040473461</v>
      </c>
    </row>
    <row r="3190" spans="1:10" x14ac:dyDescent="0.3">
      <c r="A3190" s="9">
        <v>42864</v>
      </c>
      <c r="B3190" s="2" t="str">
        <f>TEXT(Raw_Data!$A3190, "MMM")</f>
        <v>May</v>
      </c>
      <c r="C3190" s="2">
        <f>YEAR(Raw_Data!$A3190)</f>
        <v>2017</v>
      </c>
      <c r="D3190" s="2" t="s">
        <v>2286</v>
      </c>
      <c r="E3190" s="2" t="s">
        <v>32</v>
      </c>
      <c r="F3190" s="2" t="s">
        <v>11</v>
      </c>
      <c r="G3190" s="2">
        <v>4</v>
      </c>
      <c r="H3190" s="2">
        <v>2889</v>
      </c>
      <c r="I3190" s="10">
        <v>724277</v>
      </c>
      <c r="J3190" s="10">
        <f>Raw_Data!$I3190/Raw_Data!$H3190</f>
        <v>250.70162686050537</v>
      </c>
    </row>
    <row r="3191" spans="1:10" x14ac:dyDescent="0.3">
      <c r="A3191" s="8">
        <v>43163</v>
      </c>
      <c r="B3191" t="str">
        <f>TEXT(Raw_Data!$A3191, "MMM")</f>
        <v>Mar</v>
      </c>
      <c r="C3191">
        <f>YEAR(Raw_Data!$A3191)</f>
        <v>2018</v>
      </c>
      <c r="D3191" t="s">
        <v>2287</v>
      </c>
      <c r="E3191" t="s">
        <v>15</v>
      </c>
      <c r="F3191" t="s">
        <v>11</v>
      </c>
      <c r="G3191">
        <v>3</v>
      </c>
      <c r="H3191">
        <v>1266</v>
      </c>
      <c r="I3191" s="1">
        <v>724040</v>
      </c>
      <c r="J3191" s="1">
        <f>Raw_Data!$I3191/Raw_Data!$H3191</f>
        <v>571.91153238546599</v>
      </c>
    </row>
    <row r="3192" spans="1:10" x14ac:dyDescent="0.3">
      <c r="A3192" s="9">
        <v>41654</v>
      </c>
      <c r="B3192" s="2" t="str">
        <f>TEXT(Raw_Data!$A3192, "MMM")</f>
        <v>Jan</v>
      </c>
      <c r="C3192" s="2">
        <f>YEAR(Raw_Data!$A3192)</f>
        <v>2014</v>
      </c>
      <c r="D3192" s="2" t="s">
        <v>883</v>
      </c>
      <c r="E3192" s="2" t="s">
        <v>29</v>
      </c>
      <c r="F3192" s="2" t="s">
        <v>27</v>
      </c>
      <c r="G3192" s="2"/>
      <c r="H3192" s="2">
        <v>2245</v>
      </c>
      <c r="I3192" s="10">
        <v>670448</v>
      </c>
      <c r="J3192" s="10">
        <f>Raw_Data!$I3192/Raw_Data!$H3192</f>
        <v>298.64053452115814</v>
      </c>
    </row>
    <row r="3193" spans="1:10" x14ac:dyDescent="0.3">
      <c r="A3193" s="8">
        <v>37601</v>
      </c>
      <c r="B3193" t="str">
        <f>TEXT(Raw_Data!$A3193, "MMM")</f>
        <v>Dec</v>
      </c>
      <c r="C3193">
        <f>YEAR(Raw_Data!$A3193)</f>
        <v>2002</v>
      </c>
      <c r="D3193" t="s">
        <v>2269</v>
      </c>
      <c r="E3193" t="s">
        <v>15</v>
      </c>
      <c r="F3193" t="s">
        <v>11</v>
      </c>
      <c r="G3193">
        <v>3</v>
      </c>
      <c r="H3193">
        <v>3227</v>
      </c>
      <c r="I3193" s="1">
        <v>414010</v>
      </c>
      <c r="J3193" s="1">
        <f>Raw_Data!$I3193/Raw_Data!$H3193</f>
        <v>128.29563061667184</v>
      </c>
    </row>
    <row r="3194" spans="1:10" x14ac:dyDescent="0.3">
      <c r="A3194" s="9">
        <v>38240</v>
      </c>
      <c r="B3194" s="2" t="str">
        <f>TEXT(Raw_Data!$A3194, "MMM")</f>
        <v>Sep</v>
      </c>
      <c r="C3194" s="2">
        <f>YEAR(Raw_Data!$A3194)</f>
        <v>2004</v>
      </c>
      <c r="D3194" s="2" t="s">
        <v>2288</v>
      </c>
      <c r="E3194" s="2" t="s">
        <v>15</v>
      </c>
      <c r="F3194" s="2" t="s">
        <v>11</v>
      </c>
      <c r="G3194" s="2">
        <v>4</v>
      </c>
      <c r="H3194" s="2">
        <v>1281</v>
      </c>
      <c r="I3194" s="10">
        <v>143305</v>
      </c>
      <c r="J3194" s="10">
        <f>Raw_Data!$I3194/Raw_Data!$H3194</f>
        <v>111.8696330991413</v>
      </c>
    </row>
    <row r="3195" spans="1:10" x14ac:dyDescent="0.3">
      <c r="A3195" s="8">
        <v>39860</v>
      </c>
      <c r="B3195" t="str">
        <f>TEXT(Raw_Data!$A3195, "MMM")</f>
        <v>Feb</v>
      </c>
      <c r="C3195">
        <f>YEAR(Raw_Data!$A3195)</f>
        <v>2009</v>
      </c>
      <c r="D3195" t="s">
        <v>24</v>
      </c>
      <c r="E3195" t="s">
        <v>29</v>
      </c>
      <c r="F3195" t="s">
        <v>16</v>
      </c>
      <c r="G3195">
        <v>3</v>
      </c>
      <c r="H3195">
        <v>2217</v>
      </c>
      <c r="I3195" s="1">
        <v>481768</v>
      </c>
      <c r="J3195" s="1">
        <f>Raw_Data!$I3195/Raw_Data!$H3195</f>
        <v>217.30626973387461</v>
      </c>
    </row>
    <row r="3196" spans="1:10" x14ac:dyDescent="0.3">
      <c r="A3196" s="9">
        <v>38330</v>
      </c>
      <c r="B3196" s="2" t="str">
        <f>TEXT(Raw_Data!$A3196, "MMM")</f>
        <v>Dec</v>
      </c>
      <c r="C3196" s="2">
        <f>YEAR(Raw_Data!$A3196)</f>
        <v>2004</v>
      </c>
      <c r="D3196" s="2" t="s">
        <v>168</v>
      </c>
      <c r="E3196" s="2" t="s">
        <v>13</v>
      </c>
      <c r="F3196" s="2" t="s">
        <v>27</v>
      </c>
      <c r="G3196" s="2"/>
      <c r="H3196" s="2">
        <v>1575</v>
      </c>
      <c r="I3196" s="10">
        <v>503080</v>
      </c>
      <c r="J3196" s="10">
        <f>Raw_Data!$I3196/Raw_Data!$H3196</f>
        <v>319.41587301587299</v>
      </c>
    </row>
    <row r="3197" spans="1:10" x14ac:dyDescent="0.3">
      <c r="A3197" s="8">
        <v>40701</v>
      </c>
      <c r="B3197" t="str">
        <f>TEXT(Raw_Data!$A3197, "MMM")</f>
        <v>Jun</v>
      </c>
      <c r="C3197">
        <f>YEAR(Raw_Data!$A3197)</f>
        <v>2011</v>
      </c>
      <c r="D3197" t="s">
        <v>967</v>
      </c>
      <c r="E3197" t="s">
        <v>32</v>
      </c>
      <c r="F3197" t="s">
        <v>18</v>
      </c>
      <c r="G3197">
        <v>5</v>
      </c>
      <c r="H3197">
        <v>2884</v>
      </c>
      <c r="I3197" s="1">
        <v>243093</v>
      </c>
      <c r="J3197" s="1">
        <f>Raw_Data!$I3197/Raw_Data!$H3197</f>
        <v>84.290221914008328</v>
      </c>
    </row>
    <row r="3198" spans="1:10" x14ac:dyDescent="0.3">
      <c r="A3198" s="9">
        <v>42175</v>
      </c>
      <c r="B3198" s="2" t="str">
        <f>TEXT(Raw_Data!$A3198, "MMM")</f>
        <v>Jun</v>
      </c>
      <c r="C3198" s="2">
        <f>YEAR(Raw_Data!$A3198)</f>
        <v>2015</v>
      </c>
      <c r="D3198" s="2" t="s">
        <v>2155</v>
      </c>
      <c r="E3198" s="2" t="s">
        <v>32</v>
      </c>
      <c r="F3198" s="2" t="s">
        <v>16</v>
      </c>
      <c r="G3198" s="2">
        <v>2</v>
      </c>
      <c r="H3198" s="2">
        <v>2157</v>
      </c>
      <c r="I3198" s="10">
        <v>401913</v>
      </c>
      <c r="J3198" s="10">
        <f>Raw_Data!$I3198/Raw_Data!$H3198</f>
        <v>186.32962447844227</v>
      </c>
    </row>
    <row r="3199" spans="1:10" x14ac:dyDescent="0.3">
      <c r="A3199" s="8">
        <v>41708</v>
      </c>
      <c r="B3199" t="str">
        <f>TEXT(Raw_Data!$A3199, "MMM")</f>
        <v>Mar</v>
      </c>
      <c r="C3199">
        <f>YEAR(Raw_Data!$A3199)</f>
        <v>2014</v>
      </c>
      <c r="D3199" t="s">
        <v>2289</v>
      </c>
      <c r="E3199" t="s">
        <v>25</v>
      </c>
      <c r="F3199" t="s">
        <v>11</v>
      </c>
      <c r="G3199">
        <v>3</v>
      </c>
      <c r="H3199">
        <v>2088</v>
      </c>
      <c r="I3199" s="1">
        <v>667303</v>
      </c>
      <c r="J3199" s="1">
        <f>Raw_Data!$I3199/Raw_Data!$H3199</f>
        <v>319.58955938697318</v>
      </c>
    </row>
    <row r="3200" spans="1:10" x14ac:dyDescent="0.3">
      <c r="A3200" s="9">
        <v>37970</v>
      </c>
      <c r="B3200" s="2" t="str">
        <f>TEXT(Raw_Data!$A3200, "MMM")</f>
        <v>Dec</v>
      </c>
      <c r="C3200" s="2">
        <f>YEAR(Raw_Data!$A3200)</f>
        <v>2003</v>
      </c>
      <c r="D3200" s="2" t="s">
        <v>2290</v>
      </c>
      <c r="E3200" s="2" t="s">
        <v>23</v>
      </c>
      <c r="F3200" s="2" t="s">
        <v>27</v>
      </c>
      <c r="G3200" s="2">
        <v>4</v>
      </c>
      <c r="H3200" s="2">
        <v>1260</v>
      </c>
      <c r="I3200" s="10">
        <v>795616</v>
      </c>
      <c r="J3200" s="10">
        <f>Raw_Data!$I3200/Raw_Data!$H3200</f>
        <v>631.44126984126979</v>
      </c>
    </row>
    <row r="3201" spans="1:10" x14ac:dyDescent="0.3">
      <c r="A3201" s="8">
        <v>39955</v>
      </c>
      <c r="B3201" t="str">
        <f>TEXT(Raw_Data!$A3201, "MMM")</f>
        <v>May</v>
      </c>
      <c r="C3201">
        <f>YEAR(Raw_Data!$A3201)</f>
        <v>2009</v>
      </c>
      <c r="D3201" t="s">
        <v>1974</v>
      </c>
      <c r="E3201" t="s">
        <v>32</v>
      </c>
      <c r="F3201" t="s">
        <v>27</v>
      </c>
      <c r="H3201">
        <v>1712</v>
      </c>
      <c r="I3201" s="1">
        <v>498076</v>
      </c>
      <c r="J3201" s="1">
        <f>Raw_Data!$I3201/Raw_Data!$H3201</f>
        <v>290.93224299065423</v>
      </c>
    </row>
    <row r="3202" spans="1:10" x14ac:dyDescent="0.3">
      <c r="A3202" s="9">
        <v>37389</v>
      </c>
      <c r="B3202" s="2" t="str">
        <f>TEXT(Raw_Data!$A3202, "MMM")</f>
        <v>May</v>
      </c>
      <c r="C3202" s="2">
        <f>YEAR(Raw_Data!$A3202)</f>
        <v>2002</v>
      </c>
      <c r="D3202" s="2" t="s">
        <v>1378</v>
      </c>
      <c r="E3202" s="2" t="s">
        <v>23</v>
      </c>
      <c r="F3202" s="2" t="s">
        <v>18</v>
      </c>
      <c r="G3202" s="2">
        <v>4</v>
      </c>
      <c r="H3202" s="2">
        <v>904</v>
      </c>
      <c r="I3202" s="10">
        <v>897609</v>
      </c>
      <c r="J3202" s="10">
        <f>Raw_Data!$I3202/Raw_Data!$H3202</f>
        <v>992.93030973451323</v>
      </c>
    </row>
    <row r="3203" spans="1:10" x14ac:dyDescent="0.3">
      <c r="A3203" s="8">
        <v>39756</v>
      </c>
      <c r="B3203" t="str">
        <f>TEXT(Raw_Data!$A3203, "MMM")</f>
        <v>Nov</v>
      </c>
      <c r="C3203">
        <f>YEAR(Raw_Data!$A3203)</f>
        <v>2008</v>
      </c>
      <c r="D3203" t="s">
        <v>2291</v>
      </c>
      <c r="E3203" t="s">
        <v>25</v>
      </c>
      <c r="F3203" t="s">
        <v>11</v>
      </c>
      <c r="G3203">
        <v>3</v>
      </c>
      <c r="H3203">
        <v>2247</v>
      </c>
      <c r="I3203" s="1">
        <v>533473</v>
      </c>
      <c r="J3203" s="1">
        <f>Raw_Data!$I3203/Raw_Data!$H3203</f>
        <v>237.41566533155319</v>
      </c>
    </row>
    <row r="3204" spans="1:10" x14ac:dyDescent="0.3">
      <c r="A3204" s="9">
        <v>42039</v>
      </c>
      <c r="B3204" s="2" t="str">
        <f>TEXT(Raw_Data!$A3204, "MMM")</f>
        <v>Feb</v>
      </c>
      <c r="C3204" s="2">
        <f>YEAR(Raw_Data!$A3204)</f>
        <v>2015</v>
      </c>
      <c r="D3204" s="2" t="s">
        <v>2292</v>
      </c>
      <c r="E3204" s="2" t="s">
        <v>25</v>
      </c>
      <c r="F3204" s="2" t="s">
        <v>27</v>
      </c>
      <c r="G3204" s="2"/>
      <c r="H3204" s="2">
        <v>2210</v>
      </c>
      <c r="I3204" s="10">
        <v>750849</v>
      </c>
      <c r="J3204" s="10">
        <f>Raw_Data!$I3204/Raw_Data!$H3204</f>
        <v>339.75067873303169</v>
      </c>
    </row>
    <row r="3205" spans="1:10" x14ac:dyDescent="0.3">
      <c r="A3205" s="8">
        <v>38195</v>
      </c>
      <c r="B3205" t="str">
        <f>TEXT(Raw_Data!$A3205, "MMM")</f>
        <v>Jul</v>
      </c>
      <c r="C3205">
        <f>YEAR(Raw_Data!$A3205)</f>
        <v>2004</v>
      </c>
      <c r="D3205" t="s">
        <v>2293</v>
      </c>
      <c r="E3205" t="s">
        <v>13</v>
      </c>
      <c r="F3205" t="s">
        <v>16</v>
      </c>
      <c r="G3205">
        <v>2</v>
      </c>
      <c r="H3205">
        <v>1856</v>
      </c>
      <c r="I3205" s="1">
        <v>756592</v>
      </c>
      <c r="J3205" s="1">
        <f>Raw_Data!$I3205/Raw_Data!$H3205</f>
        <v>407.64655172413791</v>
      </c>
    </row>
    <row r="3206" spans="1:10" x14ac:dyDescent="0.3">
      <c r="A3206" s="9">
        <v>40325</v>
      </c>
      <c r="B3206" s="2" t="str">
        <f>TEXT(Raw_Data!$A3206, "MMM")</f>
        <v>May</v>
      </c>
      <c r="C3206" s="2">
        <f>YEAR(Raw_Data!$A3206)</f>
        <v>2010</v>
      </c>
      <c r="D3206" s="2" t="s">
        <v>2079</v>
      </c>
      <c r="E3206" s="2" t="s">
        <v>32</v>
      </c>
      <c r="F3206" s="2" t="s">
        <v>16</v>
      </c>
      <c r="G3206" s="2"/>
      <c r="H3206" s="2">
        <v>2944</v>
      </c>
      <c r="I3206" s="10">
        <v>729691</v>
      </c>
      <c r="J3206" s="10">
        <f>Raw_Data!$I3206/Raw_Data!$H3206</f>
        <v>247.85699728260869</v>
      </c>
    </row>
    <row r="3207" spans="1:10" x14ac:dyDescent="0.3">
      <c r="A3207" s="8">
        <v>38533</v>
      </c>
      <c r="B3207" t="str">
        <f>TEXT(Raw_Data!$A3207, "MMM")</f>
        <v>Jun</v>
      </c>
      <c r="C3207">
        <f>YEAR(Raw_Data!$A3207)</f>
        <v>2005</v>
      </c>
      <c r="D3207" t="s">
        <v>619</v>
      </c>
      <c r="E3207" t="s">
        <v>15</v>
      </c>
      <c r="F3207" t="s">
        <v>18</v>
      </c>
      <c r="G3207">
        <v>2</v>
      </c>
      <c r="H3207">
        <v>1080</v>
      </c>
      <c r="I3207" s="1">
        <v>545654</v>
      </c>
      <c r="J3207" s="1">
        <f>Raw_Data!$I3207/Raw_Data!$H3207</f>
        <v>505.23518518518517</v>
      </c>
    </row>
    <row r="3208" spans="1:10" x14ac:dyDescent="0.3">
      <c r="A3208" s="9">
        <v>41634</v>
      </c>
      <c r="B3208" s="2" t="str">
        <f>TEXT(Raw_Data!$A3208, "MMM")</f>
        <v>Dec</v>
      </c>
      <c r="C3208" s="2">
        <f>YEAR(Raw_Data!$A3208)</f>
        <v>2013</v>
      </c>
      <c r="D3208" s="2" t="s">
        <v>2020</v>
      </c>
      <c r="E3208" s="2" t="s">
        <v>15</v>
      </c>
      <c r="F3208" s="2" t="s">
        <v>11</v>
      </c>
      <c r="G3208" s="2"/>
      <c r="H3208" s="2">
        <v>967</v>
      </c>
      <c r="I3208" s="10"/>
      <c r="J3208" s="10">
        <f>Raw_Data!$I3208/Raw_Data!$H3208</f>
        <v>0</v>
      </c>
    </row>
    <row r="3209" spans="1:10" x14ac:dyDescent="0.3">
      <c r="A3209" s="8">
        <v>39436</v>
      </c>
      <c r="B3209" t="str">
        <f>TEXT(Raw_Data!$A3209, "MMM")</f>
        <v>Dec</v>
      </c>
      <c r="C3209">
        <f>YEAR(Raw_Data!$A3209)</f>
        <v>2007</v>
      </c>
      <c r="D3209" t="s">
        <v>1549</v>
      </c>
      <c r="E3209" t="s">
        <v>25</v>
      </c>
      <c r="F3209" t="s">
        <v>18</v>
      </c>
      <c r="G3209">
        <v>2</v>
      </c>
      <c r="H3209">
        <v>889</v>
      </c>
      <c r="I3209" s="1">
        <v>421101</v>
      </c>
      <c r="J3209" s="1">
        <f>Raw_Data!$I3209/Raw_Data!$H3209</f>
        <v>473.67941507311588</v>
      </c>
    </row>
    <row r="3210" spans="1:10" x14ac:dyDescent="0.3">
      <c r="A3210" s="9">
        <v>44175</v>
      </c>
      <c r="B3210" s="2" t="str">
        <f>TEXT(Raw_Data!$A3210, "MMM")</f>
        <v>Dec</v>
      </c>
      <c r="C3210" s="2">
        <f>YEAR(Raw_Data!$A3210)</f>
        <v>2020</v>
      </c>
      <c r="D3210" s="2" t="s">
        <v>772</v>
      </c>
      <c r="E3210" s="2" t="s">
        <v>15</v>
      </c>
      <c r="F3210" s="2" t="s">
        <v>18</v>
      </c>
      <c r="G3210" s="2"/>
      <c r="H3210" s="2">
        <v>1796</v>
      </c>
      <c r="I3210" s="10">
        <v>793407</v>
      </c>
      <c r="J3210" s="10">
        <f>Raw_Data!$I3210/Raw_Data!$H3210</f>
        <v>441.76336302895322</v>
      </c>
    </row>
    <row r="3211" spans="1:10" x14ac:dyDescent="0.3">
      <c r="A3211" s="8">
        <v>38109</v>
      </c>
      <c r="B3211" t="str">
        <f>TEXT(Raw_Data!$A3211, "MMM")</f>
        <v>May</v>
      </c>
      <c r="C3211">
        <f>YEAR(Raw_Data!$A3211)</f>
        <v>2004</v>
      </c>
      <c r="D3211" t="s">
        <v>1743</v>
      </c>
      <c r="E3211" t="s">
        <v>25</v>
      </c>
      <c r="F3211" t="s">
        <v>18</v>
      </c>
      <c r="H3211">
        <v>2943</v>
      </c>
      <c r="I3211" s="1">
        <v>735610</v>
      </c>
      <c r="J3211" s="1">
        <f>Raw_Data!$I3211/Raw_Data!$H3211</f>
        <v>249.95242949371391</v>
      </c>
    </row>
    <row r="3212" spans="1:10" x14ac:dyDescent="0.3">
      <c r="A3212" s="9">
        <v>39189</v>
      </c>
      <c r="B3212" s="2" t="str">
        <f>TEXT(Raw_Data!$A3212, "MMM")</f>
        <v>Apr</v>
      </c>
      <c r="C3212" s="2">
        <f>YEAR(Raw_Data!$A3212)</f>
        <v>2007</v>
      </c>
      <c r="D3212" s="2" t="s">
        <v>1891</v>
      </c>
      <c r="E3212" s="2" t="s">
        <v>21</v>
      </c>
      <c r="F3212" s="2" t="s">
        <v>11</v>
      </c>
      <c r="G3212" s="2"/>
      <c r="H3212" s="2">
        <v>2240</v>
      </c>
      <c r="I3212" s="10">
        <v>162230</v>
      </c>
      <c r="J3212" s="10">
        <f>Raw_Data!$I3212/Raw_Data!$H3212</f>
        <v>72.424107142857139</v>
      </c>
    </row>
    <row r="3213" spans="1:10" x14ac:dyDescent="0.3">
      <c r="A3213" s="8">
        <v>40275</v>
      </c>
      <c r="B3213" t="str">
        <f>TEXT(Raw_Data!$A3213, "MMM")</f>
        <v>Apr</v>
      </c>
      <c r="C3213">
        <f>YEAR(Raw_Data!$A3213)</f>
        <v>2010</v>
      </c>
      <c r="D3213" t="s">
        <v>1205</v>
      </c>
      <c r="E3213" t="s">
        <v>29</v>
      </c>
      <c r="F3213" t="s">
        <v>18</v>
      </c>
      <c r="G3213">
        <v>3</v>
      </c>
      <c r="H3213">
        <v>2085</v>
      </c>
      <c r="I3213" s="1">
        <v>800030</v>
      </c>
      <c r="J3213" s="1">
        <f>Raw_Data!$I3213/Raw_Data!$H3213</f>
        <v>383.70743405275778</v>
      </c>
    </row>
    <row r="3214" spans="1:10" x14ac:dyDescent="0.3">
      <c r="A3214" s="9">
        <v>37811</v>
      </c>
      <c r="B3214" s="2" t="str">
        <f>TEXT(Raw_Data!$A3214, "MMM")</f>
        <v>Jul</v>
      </c>
      <c r="C3214" s="2">
        <f>YEAR(Raw_Data!$A3214)</f>
        <v>2003</v>
      </c>
      <c r="D3214" s="2" t="s">
        <v>2294</v>
      </c>
      <c r="E3214" s="2" t="s">
        <v>13</v>
      </c>
      <c r="F3214" s="2" t="s">
        <v>27</v>
      </c>
      <c r="G3214" s="2">
        <v>5</v>
      </c>
      <c r="H3214" s="2">
        <v>1847</v>
      </c>
      <c r="I3214" s="10">
        <v>867516</v>
      </c>
      <c r="J3214" s="10">
        <f>Raw_Data!$I3214/Raw_Data!$H3214</f>
        <v>469.68922577152136</v>
      </c>
    </row>
    <row r="3215" spans="1:10" x14ac:dyDescent="0.3">
      <c r="A3215" s="8">
        <v>39792</v>
      </c>
      <c r="B3215" t="str">
        <f>TEXT(Raw_Data!$A3215, "MMM")</f>
        <v>Dec</v>
      </c>
      <c r="C3215">
        <f>YEAR(Raw_Data!$A3215)</f>
        <v>2008</v>
      </c>
      <c r="D3215" t="s">
        <v>2263</v>
      </c>
      <c r="E3215" t="s">
        <v>32</v>
      </c>
      <c r="F3215" t="s">
        <v>18</v>
      </c>
      <c r="G3215">
        <v>5</v>
      </c>
      <c r="H3215">
        <v>3278</v>
      </c>
      <c r="I3215" s="1">
        <v>275936</v>
      </c>
      <c r="J3215" s="1">
        <f>Raw_Data!$I3215/Raw_Data!$H3215</f>
        <v>84.178157413056738</v>
      </c>
    </row>
    <row r="3216" spans="1:10" x14ac:dyDescent="0.3">
      <c r="A3216" s="9">
        <v>44158</v>
      </c>
      <c r="B3216" s="2" t="str">
        <f>TEXT(Raw_Data!$A3216, "MMM")</f>
        <v>Nov</v>
      </c>
      <c r="C3216" s="2">
        <f>YEAR(Raw_Data!$A3216)</f>
        <v>2020</v>
      </c>
      <c r="D3216" s="2" t="s">
        <v>763</v>
      </c>
      <c r="E3216" s="2" t="s">
        <v>15</v>
      </c>
      <c r="F3216" s="2" t="s">
        <v>27</v>
      </c>
      <c r="G3216" s="2"/>
      <c r="H3216" s="2">
        <v>2006</v>
      </c>
      <c r="I3216" s="10">
        <v>343249</v>
      </c>
      <c r="J3216" s="10">
        <f>Raw_Data!$I3216/Raw_Data!$H3216</f>
        <v>171.11116650049851</v>
      </c>
    </row>
    <row r="3217" spans="1:10" x14ac:dyDescent="0.3">
      <c r="A3217" s="8">
        <v>41258</v>
      </c>
      <c r="B3217" t="str">
        <f>TEXT(Raw_Data!$A3217, "MMM")</f>
        <v>Dec</v>
      </c>
      <c r="C3217">
        <f>YEAR(Raw_Data!$A3217)</f>
        <v>2012</v>
      </c>
      <c r="D3217" t="s">
        <v>1829</v>
      </c>
      <c r="E3217" t="s">
        <v>25</v>
      </c>
      <c r="F3217" t="s">
        <v>11</v>
      </c>
      <c r="G3217">
        <v>3</v>
      </c>
      <c r="H3217">
        <v>1294</v>
      </c>
      <c r="I3217" s="1">
        <v>248657</v>
      </c>
      <c r="J3217" s="1">
        <f>Raw_Data!$I3217/Raw_Data!$H3217</f>
        <v>192.161514683153</v>
      </c>
    </row>
    <row r="3218" spans="1:10" x14ac:dyDescent="0.3">
      <c r="A3218" s="9">
        <v>41559</v>
      </c>
      <c r="B3218" s="2" t="str">
        <f>TEXT(Raw_Data!$A3218, "MMM")</f>
        <v>Oct</v>
      </c>
      <c r="C3218" s="2">
        <f>YEAR(Raw_Data!$A3218)</f>
        <v>2013</v>
      </c>
      <c r="D3218" s="2" t="s">
        <v>2295</v>
      </c>
      <c r="E3218" s="2" t="s">
        <v>32</v>
      </c>
      <c r="F3218" s="2" t="s">
        <v>16</v>
      </c>
      <c r="G3218" s="2"/>
      <c r="H3218" s="2">
        <v>1368</v>
      </c>
      <c r="I3218" s="10">
        <v>695501</v>
      </c>
      <c r="J3218" s="10">
        <f>Raw_Data!$I3218/Raw_Data!$H3218</f>
        <v>508.40716374269005</v>
      </c>
    </row>
    <row r="3219" spans="1:10" x14ac:dyDescent="0.3">
      <c r="A3219" s="8">
        <v>41239</v>
      </c>
      <c r="B3219" t="str">
        <f>TEXT(Raw_Data!$A3219, "MMM")</f>
        <v>Nov</v>
      </c>
      <c r="C3219">
        <f>YEAR(Raw_Data!$A3219)</f>
        <v>2012</v>
      </c>
      <c r="D3219" t="s">
        <v>2296</v>
      </c>
      <c r="E3219" t="s">
        <v>13</v>
      </c>
      <c r="F3219" t="s">
        <v>16</v>
      </c>
      <c r="G3219">
        <v>4</v>
      </c>
      <c r="H3219">
        <v>2038</v>
      </c>
      <c r="I3219" s="1">
        <v>649981</v>
      </c>
      <c r="J3219" s="1">
        <f>Raw_Data!$I3219/Raw_Data!$H3219</f>
        <v>318.93081452404317</v>
      </c>
    </row>
    <row r="3220" spans="1:10" x14ac:dyDescent="0.3">
      <c r="A3220" s="9">
        <v>39080</v>
      </c>
      <c r="B3220" s="2" t="str">
        <f>TEXT(Raw_Data!$A3220, "MMM")</f>
        <v>Dec</v>
      </c>
      <c r="C3220" s="2">
        <f>YEAR(Raw_Data!$A3220)</f>
        <v>2006</v>
      </c>
      <c r="D3220" s="2" t="s">
        <v>278</v>
      </c>
      <c r="E3220" s="2" t="s">
        <v>13</v>
      </c>
      <c r="F3220" s="2" t="s">
        <v>11</v>
      </c>
      <c r="G3220" s="2">
        <v>5</v>
      </c>
      <c r="H3220" s="2">
        <v>1726</v>
      </c>
      <c r="I3220" s="10">
        <v>613870</v>
      </c>
      <c r="J3220" s="10">
        <f>Raw_Data!$I3220/Raw_Data!$H3220</f>
        <v>355.66048667439168</v>
      </c>
    </row>
    <row r="3221" spans="1:10" x14ac:dyDescent="0.3">
      <c r="A3221" s="8">
        <v>38142</v>
      </c>
      <c r="B3221" t="str">
        <f>TEXT(Raw_Data!$A3221, "MMM")</f>
        <v>Jun</v>
      </c>
      <c r="C3221">
        <f>YEAR(Raw_Data!$A3221)</f>
        <v>2004</v>
      </c>
      <c r="D3221" t="s">
        <v>2297</v>
      </c>
      <c r="E3221" t="s">
        <v>21</v>
      </c>
      <c r="F3221" t="s">
        <v>16</v>
      </c>
      <c r="H3221">
        <v>3328</v>
      </c>
      <c r="I3221" s="1">
        <v>495940</v>
      </c>
      <c r="J3221" s="1">
        <f>Raw_Data!$I3221/Raw_Data!$H3221</f>
        <v>149.02043269230768</v>
      </c>
    </row>
    <row r="3222" spans="1:10" x14ac:dyDescent="0.3">
      <c r="A3222" s="9">
        <v>42852</v>
      </c>
      <c r="B3222" s="2" t="str">
        <f>TEXT(Raw_Data!$A3222, "MMM")</f>
        <v>Apr</v>
      </c>
      <c r="C3222" s="2">
        <f>YEAR(Raw_Data!$A3222)</f>
        <v>2017</v>
      </c>
      <c r="D3222" s="2" t="s">
        <v>825</v>
      </c>
      <c r="E3222" s="2" t="s">
        <v>13</v>
      </c>
      <c r="F3222" s="2" t="s">
        <v>18</v>
      </c>
      <c r="G3222" s="2">
        <v>3</v>
      </c>
      <c r="H3222" s="2">
        <v>1592</v>
      </c>
      <c r="I3222" s="10">
        <v>481094</v>
      </c>
      <c r="J3222" s="10">
        <f>Raw_Data!$I3222/Raw_Data!$H3222</f>
        <v>302.19472361809045</v>
      </c>
    </row>
    <row r="3223" spans="1:10" x14ac:dyDescent="0.3">
      <c r="A3223" s="8">
        <v>42337</v>
      </c>
      <c r="B3223" t="str">
        <f>TEXT(Raw_Data!$A3223, "MMM")</f>
        <v>Nov</v>
      </c>
      <c r="C3223">
        <f>YEAR(Raw_Data!$A3223)</f>
        <v>2015</v>
      </c>
      <c r="D3223" t="s">
        <v>2298</v>
      </c>
      <c r="E3223" t="s">
        <v>13</v>
      </c>
      <c r="F3223" t="s">
        <v>18</v>
      </c>
      <c r="H3223">
        <v>1066</v>
      </c>
      <c r="I3223" s="1">
        <v>480608</v>
      </c>
      <c r="J3223" s="1">
        <f>Raw_Data!$I3223/Raw_Data!$H3223</f>
        <v>450.85178236397746</v>
      </c>
    </row>
    <row r="3224" spans="1:10" x14ac:dyDescent="0.3">
      <c r="A3224" s="9">
        <v>37458</v>
      </c>
      <c r="B3224" s="2" t="str">
        <f>TEXT(Raw_Data!$A3224, "MMM")</f>
        <v>Jul</v>
      </c>
      <c r="C3224" s="2">
        <f>YEAR(Raw_Data!$A3224)</f>
        <v>2002</v>
      </c>
      <c r="D3224" s="2" t="s">
        <v>2299</v>
      </c>
      <c r="E3224" s="2" t="s">
        <v>25</v>
      </c>
      <c r="F3224" s="2" t="s">
        <v>16</v>
      </c>
      <c r="G3224" s="2"/>
      <c r="H3224" s="2">
        <v>2901</v>
      </c>
      <c r="I3224" s="10">
        <v>584188</v>
      </c>
      <c r="J3224" s="10">
        <f>Raw_Data!$I3224/Raw_Data!$H3224</f>
        <v>201.37469837986902</v>
      </c>
    </row>
    <row r="3225" spans="1:10" x14ac:dyDescent="0.3">
      <c r="A3225" s="8">
        <v>42237</v>
      </c>
      <c r="B3225" t="str">
        <f>TEXT(Raw_Data!$A3225, "MMM")</f>
        <v>Aug</v>
      </c>
      <c r="C3225">
        <f>YEAR(Raw_Data!$A3225)</f>
        <v>2015</v>
      </c>
      <c r="D3225" t="s">
        <v>2300</v>
      </c>
      <c r="E3225" t="s">
        <v>25</v>
      </c>
      <c r="F3225" t="s">
        <v>16</v>
      </c>
      <c r="G3225">
        <v>3</v>
      </c>
      <c r="H3225">
        <v>2835</v>
      </c>
      <c r="I3225" s="1">
        <v>151545</v>
      </c>
      <c r="J3225" s="1">
        <f>Raw_Data!$I3225/Raw_Data!$H3225</f>
        <v>53.455026455026456</v>
      </c>
    </row>
    <row r="3226" spans="1:10" x14ac:dyDescent="0.3">
      <c r="A3226" s="9">
        <v>37321</v>
      </c>
      <c r="B3226" s="2" t="str">
        <f>TEXT(Raw_Data!$A3226, "MMM")</f>
        <v>Mar</v>
      </c>
      <c r="C3226" s="2">
        <f>YEAR(Raw_Data!$A3226)</f>
        <v>2002</v>
      </c>
      <c r="D3226" s="2" t="s">
        <v>1632</v>
      </c>
      <c r="E3226" s="2" t="s">
        <v>25</v>
      </c>
      <c r="F3226" s="2" t="s">
        <v>27</v>
      </c>
      <c r="G3226" s="2">
        <v>5</v>
      </c>
      <c r="H3226" s="2">
        <v>3415</v>
      </c>
      <c r="I3226" s="10">
        <v>342190</v>
      </c>
      <c r="J3226" s="10">
        <f>Raw_Data!$I3226/Raw_Data!$H3226</f>
        <v>100.20204978038068</v>
      </c>
    </row>
    <row r="3227" spans="1:10" x14ac:dyDescent="0.3">
      <c r="A3227" s="8">
        <v>40727</v>
      </c>
      <c r="B3227" t="str">
        <f>TEXT(Raw_Data!$A3227, "MMM")</f>
        <v>Jul</v>
      </c>
      <c r="C3227">
        <f>YEAR(Raw_Data!$A3227)</f>
        <v>2011</v>
      </c>
      <c r="D3227" t="s">
        <v>2301</v>
      </c>
      <c r="E3227" t="s">
        <v>15</v>
      </c>
      <c r="F3227" t="s">
        <v>18</v>
      </c>
      <c r="G3227">
        <v>3</v>
      </c>
      <c r="H3227">
        <v>2215</v>
      </c>
      <c r="I3227" s="1">
        <v>275510</v>
      </c>
      <c r="J3227" s="1">
        <f>Raw_Data!$I3227/Raw_Data!$H3227</f>
        <v>124.38374717832957</v>
      </c>
    </row>
    <row r="3228" spans="1:10" x14ac:dyDescent="0.3">
      <c r="A3228" s="9">
        <v>41753</v>
      </c>
      <c r="B3228" s="2" t="str">
        <f>TEXT(Raw_Data!$A3228, "MMM")</f>
        <v>Apr</v>
      </c>
      <c r="C3228" s="2">
        <f>YEAR(Raw_Data!$A3228)</f>
        <v>2014</v>
      </c>
      <c r="D3228" s="2" t="s">
        <v>2170</v>
      </c>
      <c r="E3228" s="2" t="s">
        <v>25</v>
      </c>
      <c r="F3228" s="2" t="s">
        <v>18</v>
      </c>
      <c r="G3228" s="2">
        <v>5</v>
      </c>
      <c r="H3228" s="2">
        <v>2383</v>
      </c>
      <c r="I3228" s="10">
        <v>370055</v>
      </c>
      <c r="J3228" s="10">
        <f>Raw_Data!$I3228/Raw_Data!$H3228</f>
        <v>155.28955098615191</v>
      </c>
    </row>
    <row r="3229" spans="1:10" x14ac:dyDescent="0.3">
      <c r="A3229" s="8">
        <v>38845</v>
      </c>
      <c r="B3229" t="str">
        <f>TEXT(Raw_Data!$A3229, "MMM")</f>
        <v>May</v>
      </c>
      <c r="C3229">
        <f>YEAR(Raw_Data!$A3229)</f>
        <v>2006</v>
      </c>
      <c r="D3229" t="s">
        <v>50</v>
      </c>
      <c r="E3229" t="s">
        <v>21</v>
      </c>
      <c r="F3229" t="s">
        <v>11</v>
      </c>
      <c r="H3229">
        <v>1129</v>
      </c>
      <c r="I3229" s="1">
        <v>290569</v>
      </c>
      <c r="J3229" s="1">
        <f>Raw_Data!$I3229/Raw_Data!$H3229</f>
        <v>257.36846767050486</v>
      </c>
    </row>
    <row r="3230" spans="1:10" x14ac:dyDescent="0.3">
      <c r="A3230" s="9">
        <v>40777</v>
      </c>
      <c r="B3230" s="2" t="str">
        <f>TEXT(Raw_Data!$A3230, "MMM")</f>
        <v>Aug</v>
      </c>
      <c r="C3230" s="2">
        <f>YEAR(Raw_Data!$A3230)</f>
        <v>2011</v>
      </c>
      <c r="D3230" s="2" t="s">
        <v>1495</v>
      </c>
      <c r="E3230" s="2" t="s">
        <v>25</v>
      </c>
      <c r="F3230" s="2" t="s">
        <v>11</v>
      </c>
      <c r="G3230" s="2">
        <v>2</v>
      </c>
      <c r="H3230" s="2">
        <v>2572</v>
      </c>
      <c r="I3230" s="10">
        <v>708052</v>
      </c>
      <c r="J3230" s="10">
        <f>Raw_Data!$I3230/Raw_Data!$H3230</f>
        <v>275.29237947122863</v>
      </c>
    </row>
    <row r="3231" spans="1:10" x14ac:dyDescent="0.3">
      <c r="A3231" s="8">
        <v>42779</v>
      </c>
      <c r="B3231" t="str">
        <f>TEXT(Raw_Data!$A3231, "MMM")</f>
        <v>Feb</v>
      </c>
      <c r="C3231">
        <f>YEAR(Raw_Data!$A3231)</f>
        <v>2017</v>
      </c>
      <c r="D3231" t="s">
        <v>2302</v>
      </c>
      <c r="E3231" t="s">
        <v>15</v>
      </c>
      <c r="F3231" t="s">
        <v>18</v>
      </c>
      <c r="G3231">
        <v>4</v>
      </c>
      <c r="H3231">
        <v>3168</v>
      </c>
      <c r="I3231" s="1">
        <v>840295</v>
      </c>
      <c r="J3231" s="1">
        <f>Raw_Data!$I3231/Raw_Data!$H3231</f>
        <v>265.24463383838383</v>
      </c>
    </row>
    <row r="3232" spans="1:10" x14ac:dyDescent="0.3">
      <c r="A3232" s="9">
        <v>39372</v>
      </c>
      <c r="B3232" s="2" t="str">
        <f>TEXT(Raw_Data!$A3232, "MMM")</f>
        <v>Oct</v>
      </c>
      <c r="C3232" s="2">
        <f>YEAR(Raw_Data!$A3232)</f>
        <v>2007</v>
      </c>
      <c r="D3232" s="2" t="s">
        <v>2303</v>
      </c>
      <c r="E3232" s="2" t="s">
        <v>25</v>
      </c>
      <c r="F3232" s="2" t="s">
        <v>11</v>
      </c>
      <c r="G3232" s="2"/>
      <c r="H3232" s="2">
        <v>2614</v>
      </c>
      <c r="I3232" s="10">
        <v>779218</v>
      </c>
      <c r="J3232" s="10">
        <f>Raw_Data!$I3232/Raw_Data!$H3232</f>
        <v>298.09410864575364</v>
      </c>
    </row>
    <row r="3233" spans="1:10" x14ac:dyDescent="0.3">
      <c r="A3233" s="8">
        <v>41336</v>
      </c>
      <c r="B3233" t="str">
        <f>TEXT(Raw_Data!$A3233, "MMM")</f>
        <v>Mar</v>
      </c>
      <c r="C3233">
        <f>YEAR(Raw_Data!$A3233)</f>
        <v>2013</v>
      </c>
      <c r="D3233" t="s">
        <v>1775</v>
      </c>
      <c r="E3233" t="s">
        <v>15</v>
      </c>
      <c r="F3233" t="s">
        <v>27</v>
      </c>
      <c r="H3233">
        <v>3276</v>
      </c>
      <c r="I3233" s="1">
        <v>459854</v>
      </c>
      <c r="J3233" s="1">
        <f>Raw_Data!$I3233/Raw_Data!$H3233</f>
        <v>140.37057387057388</v>
      </c>
    </row>
    <row r="3234" spans="1:10" x14ac:dyDescent="0.3">
      <c r="A3234" s="9">
        <v>37862</v>
      </c>
      <c r="B3234" s="2" t="str">
        <f>TEXT(Raw_Data!$A3234, "MMM")</f>
        <v>Aug</v>
      </c>
      <c r="C3234" s="2">
        <f>YEAR(Raw_Data!$A3234)</f>
        <v>2003</v>
      </c>
      <c r="D3234" s="2" t="s">
        <v>1765</v>
      </c>
      <c r="E3234" s="2" t="s">
        <v>29</v>
      </c>
      <c r="F3234" s="2" t="s">
        <v>18</v>
      </c>
      <c r="G3234" s="2">
        <v>5</v>
      </c>
      <c r="H3234" s="2">
        <v>2681</v>
      </c>
      <c r="I3234" s="10">
        <v>141228</v>
      </c>
      <c r="J3234" s="10">
        <f>Raw_Data!$I3234/Raw_Data!$H3234</f>
        <v>52.677359194330471</v>
      </c>
    </row>
    <row r="3235" spans="1:10" x14ac:dyDescent="0.3">
      <c r="A3235" s="8">
        <v>37622</v>
      </c>
      <c r="B3235" t="str">
        <f>TEXT(Raw_Data!$A3235, "MMM")</f>
        <v>Jan</v>
      </c>
      <c r="C3235">
        <f>YEAR(Raw_Data!$A3235)</f>
        <v>2003</v>
      </c>
      <c r="D3235" t="s">
        <v>2304</v>
      </c>
      <c r="E3235" t="s">
        <v>23</v>
      </c>
      <c r="F3235" t="s">
        <v>18</v>
      </c>
      <c r="H3235">
        <v>1584</v>
      </c>
      <c r="I3235" s="1">
        <v>417161</v>
      </c>
      <c r="J3235" s="1">
        <f>Raw_Data!$I3235/Raw_Data!$H3235</f>
        <v>263.35921717171715</v>
      </c>
    </row>
    <row r="3236" spans="1:10" x14ac:dyDescent="0.3">
      <c r="A3236" s="9">
        <v>38902</v>
      </c>
      <c r="B3236" s="2" t="str">
        <f>TEXT(Raw_Data!$A3236, "MMM")</f>
        <v>Jul</v>
      </c>
      <c r="C3236" s="2">
        <f>YEAR(Raw_Data!$A3236)</f>
        <v>2006</v>
      </c>
      <c r="D3236" s="2" t="s">
        <v>1408</v>
      </c>
      <c r="E3236" s="2" t="s">
        <v>29</v>
      </c>
      <c r="F3236" s="2" t="s">
        <v>18</v>
      </c>
      <c r="G3236" s="2">
        <v>5</v>
      </c>
      <c r="H3236" s="2">
        <v>1563</v>
      </c>
      <c r="I3236" s="10">
        <v>214394</v>
      </c>
      <c r="J3236" s="10">
        <f>Raw_Data!$I3236/Raw_Data!$H3236</f>
        <v>137.16826615483046</v>
      </c>
    </row>
    <row r="3237" spans="1:10" x14ac:dyDescent="0.3">
      <c r="A3237" s="8">
        <v>37854</v>
      </c>
      <c r="B3237" t="str">
        <f>TEXT(Raw_Data!$A3237, "MMM")</f>
        <v>Aug</v>
      </c>
      <c r="C3237">
        <f>YEAR(Raw_Data!$A3237)</f>
        <v>2003</v>
      </c>
      <c r="D3237" t="s">
        <v>2305</v>
      </c>
      <c r="E3237" t="s">
        <v>32</v>
      </c>
      <c r="F3237" t="s">
        <v>18</v>
      </c>
      <c r="G3237">
        <v>4</v>
      </c>
      <c r="H3237">
        <v>1404</v>
      </c>
      <c r="I3237" s="1">
        <v>275178</v>
      </c>
      <c r="J3237" s="1">
        <f>Raw_Data!$I3237/Raw_Data!$H3237</f>
        <v>195.9957264957265</v>
      </c>
    </row>
    <row r="3238" spans="1:10" x14ac:dyDescent="0.3">
      <c r="A3238" s="9">
        <v>37158</v>
      </c>
      <c r="B3238" s="2" t="str">
        <f>TEXT(Raw_Data!$A3238, "MMM")</f>
        <v>Sep</v>
      </c>
      <c r="C3238" s="2">
        <f>YEAR(Raw_Data!$A3238)</f>
        <v>2001</v>
      </c>
      <c r="D3238" s="2" t="s">
        <v>2306</v>
      </c>
      <c r="E3238" s="2" t="s">
        <v>15</v>
      </c>
      <c r="F3238" s="2" t="s">
        <v>11</v>
      </c>
      <c r="G3238" s="2"/>
      <c r="H3238" s="2">
        <v>2285</v>
      </c>
      <c r="I3238" s="10">
        <v>196861</v>
      </c>
      <c r="J3238" s="10">
        <f>Raw_Data!$I3238/Raw_Data!$H3238</f>
        <v>86.15361050328228</v>
      </c>
    </row>
    <row r="3239" spans="1:10" x14ac:dyDescent="0.3">
      <c r="A3239" s="8">
        <v>41599</v>
      </c>
      <c r="B3239" t="str">
        <f>TEXT(Raw_Data!$A3239, "MMM")</f>
        <v>Nov</v>
      </c>
      <c r="C3239">
        <f>YEAR(Raw_Data!$A3239)</f>
        <v>2013</v>
      </c>
      <c r="D3239" t="s">
        <v>1341</v>
      </c>
      <c r="E3239" t="s">
        <v>32</v>
      </c>
      <c r="F3239" t="s">
        <v>11</v>
      </c>
      <c r="H3239">
        <v>2293</v>
      </c>
      <c r="I3239" s="1">
        <v>652719</v>
      </c>
      <c r="J3239" s="1">
        <f>Raw_Data!$I3239/Raw_Data!$H3239</f>
        <v>284.65721761883992</v>
      </c>
    </row>
    <row r="3240" spans="1:10" x14ac:dyDescent="0.3">
      <c r="A3240" s="9">
        <v>39041</v>
      </c>
      <c r="B3240" s="2" t="str">
        <f>TEXT(Raw_Data!$A3240, "MMM")</f>
        <v>Nov</v>
      </c>
      <c r="C3240" s="2">
        <f>YEAR(Raw_Data!$A3240)</f>
        <v>2006</v>
      </c>
      <c r="D3240" s="2" t="s">
        <v>2307</v>
      </c>
      <c r="E3240" s="2" t="s">
        <v>25</v>
      </c>
      <c r="F3240" s="2" t="s">
        <v>11</v>
      </c>
      <c r="G3240" s="2">
        <v>5</v>
      </c>
      <c r="H3240" s="2">
        <v>2087</v>
      </c>
      <c r="I3240" s="10">
        <v>386246</v>
      </c>
      <c r="J3240" s="10">
        <f>Raw_Data!$I3240/Raw_Data!$H3240</f>
        <v>185.07235265931959</v>
      </c>
    </row>
    <row r="3241" spans="1:10" x14ac:dyDescent="0.3">
      <c r="A3241" s="8">
        <v>43197</v>
      </c>
      <c r="B3241" t="str">
        <f>TEXT(Raw_Data!$A3241, "MMM")</f>
        <v>Apr</v>
      </c>
      <c r="C3241">
        <f>YEAR(Raw_Data!$A3241)</f>
        <v>2018</v>
      </c>
      <c r="D3241" t="s">
        <v>2308</v>
      </c>
      <c r="E3241" t="s">
        <v>15</v>
      </c>
      <c r="F3241" t="s">
        <v>11</v>
      </c>
      <c r="G3241">
        <v>5</v>
      </c>
      <c r="H3241">
        <v>3195</v>
      </c>
      <c r="I3241" s="1">
        <v>175054</v>
      </c>
      <c r="J3241" s="1">
        <f>Raw_Data!$I3241/Raw_Data!$H3241</f>
        <v>54.789984350547734</v>
      </c>
    </row>
    <row r="3242" spans="1:10" x14ac:dyDescent="0.3">
      <c r="A3242" s="9">
        <v>41081</v>
      </c>
      <c r="B3242" s="2" t="str">
        <f>TEXT(Raw_Data!$A3242, "MMM")</f>
        <v>Jun</v>
      </c>
      <c r="C3242" s="2">
        <f>YEAR(Raw_Data!$A3242)</f>
        <v>2012</v>
      </c>
      <c r="D3242" s="2" t="s">
        <v>2309</v>
      </c>
      <c r="E3242" s="2" t="s">
        <v>15</v>
      </c>
      <c r="F3242" s="2" t="s">
        <v>11</v>
      </c>
      <c r="G3242" s="2">
        <v>3</v>
      </c>
      <c r="H3242" s="2">
        <v>1104</v>
      </c>
      <c r="I3242" s="10">
        <v>304772</v>
      </c>
      <c r="J3242" s="10">
        <f>Raw_Data!$I3242/Raw_Data!$H3242</f>
        <v>276.06159420289856</v>
      </c>
    </row>
    <row r="3243" spans="1:10" x14ac:dyDescent="0.3">
      <c r="A3243" s="8">
        <v>44118</v>
      </c>
      <c r="B3243" t="str">
        <f>TEXT(Raw_Data!$A3243, "MMM")</f>
        <v>Oct</v>
      </c>
      <c r="C3243">
        <f>YEAR(Raw_Data!$A3243)</f>
        <v>2020</v>
      </c>
      <c r="D3243" t="s">
        <v>1383</v>
      </c>
      <c r="E3243" t="s">
        <v>25</v>
      </c>
      <c r="F3243" t="s">
        <v>27</v>
      </c>
      <c r="G3243">
        <v>3</v>
      </c>
      <c r="H3243">
        <v>2451</v>
      </c>
      <c r="I3243" s="1">
        <v>808369</v>
      </c>
      <c r="J3243" s="1">
        <f>Raw_Data!$I3243/Raw_Data!$H3243</f>
        <v>329.81191350469197</v>
      </c>
    </row>
    <row r="3244" spans="1:10" x14ac:dyDescent="0.3">
      <c r="A3244" s="9">
        <v>40505</v>
      </c>
      <c r="B3244" s="2" t="str">
        <f>TEXT(Raw_Data!$A3244, "MMM")</f>
        <v>Nov</v>
      </c>
      <c r="C3244" s="2">
        <f>YEAR(Raw_Data!$A3244)</f>
        <v>2010</v>
      </c>
      <c r="D3244" s="2" t="s">
        <v>2310</v>
      </c>
      <c r="E3244" s="2" t="s">
        <v>21</v>
      </c>
      <c r="F3244" s="2" t="s">
        <v>11</v>
      </c>
      <c r="G3244" s="2"/>
      <c r="H3244" s="2">
        <v>1152</v>
      </c>
      <c r="I3244" s="10">
        <v>434025</v>
      </c>
      <c r="J3244" s="10">
        <f>Raw_Data!$I3244/Raw_Data!$H3244</f>
        <v>376.7578125</v>
      </c>
    </row>
    <row r="3245" spans="1:10" x14ac:dyDescent="0.3">
      <c r="A3245" s="8">
        <v>37575</v>
      </c>
      <c r="B3245" t="str">
        <f>TEXT(Raw_Data!$A3245, "MMM")</f>
        <v>Nov</v>
      </c>
      <c r="C3245">
        <f>YEAR(Raw_Data!$A3245)</f>
        <v>2002</v>
      </c>
      <c r="D3245" t="s">
        <v>1378</v>
      </c>
      <c r="E3245" t="s">
        <v>29</v>
      </c>
      <c r="F3245" t="s">
        <v>27</v>
      </c>
      <c r="H3245">
        <v>2362</v>
      </c>
      <c r="I3245" s="1">
        <v>435358</v>
      </c>
      <c r="J3245" s="1">
        <f>Raw_Data!$I3245/Raw_Data!$H3245</f>
        <v>184.31752751905165</v>
      </c>
    </row>
    <row r="3246" spans="1:10" x14ac:dyDescent="0.3">
      <c r="A3246" s="9">
        <v>41548</v>
      </c>
      <c r="B3246" s="2" t="str">
        <f>TEXT(Raw_Data!$A3246, "MMM")</f>
        <v>Oct</v>
      </c>
      <c r="C3246" s="2">
        <f>YEAR(Raw_Data!$A3246)</f>
        <v>2013</v>
      </c>
      <c r="D3246" s="2" t="s">
        <v>2311</v>
      </c>
      <c r="E3246" s="2" t="s">
        <v>21</v>
      </c>
      <c r="F3246" s="2" t="s">
        <v>16</v>
      </c>
      <c r="G3246" s="2">
        <v>3</v>
      </c>
      <c r="H3246" s="2">
        <v>1121</v>
      </c>
      <c r="I3246" s="10">
        <v>297371</v>
      </c>
      <c r="J3246" s="10">
        <f>Raw_Data!$I3246/Raw_Data!$H3246</f>
        <v>265.27297056199819</v>
      </c>
    </row>
    <row r="3247" spans="1:10" x14ac:dyDescent="0.3">
      <c r="A3247" s="8">
        <v>41622</v>
      </c>
      <c r="B3247" t="str">
        <f>TEXT(Raw_Data!$A3247, "MMM")</f>
        <v>Dec</v>
      </c>
      <c r="C3247">
        <f>YEAR(Raw_Data!$A3247)</f>
        <v>2013</v>
      </c>
      <c r="D3247" t="s">
        <v>2312</v>
      </c>
      <c r="E3247" t="s">
        <v>29</v>
      </c>
      <c r="F3247" t="s">
        <v>11</v>
      </c>
      <c r="G3247">
        <v>4</v>
      </c>
      <c r="H3247">
        <v>2647</v>
      </c>
      <c r="I3247" s="1">
        <v>857659</v>
      </c>
      <c r="J3247" s="1">
        <f>Raw_Data!$I3247/Raw_Data!$H3247</f>
        <v>324.01171137136379</v>
      </c>
    </row>
    <row r="3248" spans="1:10" x14ac:dyDescent="0.3">
      <c r="A3248" s="9">
        <v>38799</v>
      </c>
      <c r="B3248" s="2" t="str">
        <f>TEXT(Raw_Data!$A3248, "MMM")</f>
        <v>Mar</v>
      </c>
      <c r="C3248" s="2">
        <f>YEAR(Raw_Data!$A3248)</f>
        <v>2006</v>
      </c>
      <c r="D3248" s="2" t="s">
        <v>2313</v>
      </c>
      <c r="E3248" s="2" t="s">
        <v>25</v>
      </c>
      <c r="F3248" s="2" t="s">
        <v>11</v>
      </c>
      <c r="G3248" s="2">
        <v>3</v>
      </c>
      <c r="H3248" s="2">
        <v>1176</v>
      </c>
      <c r="I3248" s="10">
        <v>514581</v>
      </c>
      <c r="J3248" s="10">
        <f>Raw_Data!$I3248/Raw_Data!$H3248</f>
        <v>437.56887755102042</v>
      </c>
    </row>
    <row r="3249" spans="1:10" x14ac:dyDescent="0.3">
      <c r="A3249" s="8">
        <v>37817</v>
      </c>
      <c r="B3249" t="str">
        <f>TEXT(Raw_Data!$A3249, "MMM")</f>
        <v>Jul</v>
      </c>
      <c r="C3249">
        <f>YEAR(Raw_Data!$A3249)</f>
        <v>2003</v>
      </c>
      <c r="D3249" t="s">
        <v>2174</v>
      </c>
      <c r="E3249" t="s">
        <v>25</v>
      </c>
      <c r="F3249" t="s">
        <v>11</v>
      </c>
      <c r="G3249">
        <v>2</v>
      </c>
      <c r="H3249">
        <v>2860</v>
      </c>
      <c r="I3249" s="1">
        <v>172825</v>
      </c>
      <c r="J3249" s="1">
        <f>Raw_Data!$I3249/Raw_Data!$H3249</f>
        <v>60.42832167832168</v>
      </c>
    </row>
    <row r="3250" spans="1:10" x14ac:dyDescent="0.3">
      <c r="A3250" s="9">
        <v>40434</v>
      </c>
      <c r="B3250" s="2" t="str">
        <f>TEXT(Raw_Data!$A3250, "MMM")</f>
        <v>Sep</v>
      </c>
      <c r="C3250" s="2">
        <f>YEAR(Raw_Data!$A3250)</f>
        <v>2010</v>
      </c>
      <c r="D3250" s="2" t="s">
        <v>234</v>
      </c>
      <c r="E3250" s="2" t="s">
        <v>32</v>
      </c>
      <c r="F3250" s="2" t="s">
        <v>27</v>
      </c>
      <c r="G3250" s="2"/>
      <c r="H3250" s="2">
        <v>1887</v>
      </c>
      <c r="I3250" s="10">
        <v>774026</v>
      </c>
      <c r="J3250" s="10">
        <f>Raw_Data!$I3250/Raw_Data!$H3250</f>
        <v>410.1886592474828</v>
      </c>
    </row>
    <row r="3251" spans="1:10" x14ac:dyDescent="0.3">
      <c r="A3251" s="8">
        <v>38515</v>
      </c>
      <c r="B3251" t="str">
        <f>TEXT(Raw_Data!$A3251, "MMM")</f>
        <v>Jun</v>
      </c>
      <c r="C3251">
        <f>YEAR(Raw_Data!$A3251)</f>
        <v>2005</v>
      </c>
      <c r="D3251" t="s">
        <v>2314</v>
      </c>
      <c r="E3251" t="s">
        <v>23</v>
      </c>
      <c r="F3251" t="s">
        <v>16</v>
      </c>
      <c r="G3251">
        <v>2</v>
      </c>
      <c r="H3251">
        <v>860</v>
      </c>
      <c r="I3251" s="1">
        <v>300900</v>
      </c>
      <c r="J3251" s="1">
        <f>Raw_Data!$I3251/Raw_Data!$H3251</f>
        <v>349.88372093023258</v>
      </c>
    </row>
    <row r="3252" spans="1:10" x14ac:dyDescent="0.3">
      <c r="A3252" s="9">
        <v>38872</v>
      </c>
      <c r="B3252" s="2" t="str">
        <f>TEXT(Raw_Data!$A3252, "MMM")</f>
        <v>Jun</v>
      </c>
      <c r="C3252" s="2">
        <f>YEAR(Raw_Data!$A3252)</f>
        <v>2006</v>
      </c>
      <c r="D3252" s="2" t="s">
        <v>2315</v>
      </c>
      <c r="E3252" s="2" t="s">
        <v>25</v>
      </c>
      <c r="F3252" s="2" t="s">
        <v>11</v>
      </c>
      <c r="G3252" s="2">
        <v>3</v>
      </c>
      <c r="H3252" s="2">
        <v>1633</v>
      </c>
      <c r="I3252" s="10">
        <v>245825</v>
      </c>
      <c r="J3252" s="10">
        <f>Raw_Data!$I3252/Raw_Data!$H3252</f>
        <v>150.53582363747702</v>
      </c>
    </row>
    <row r="3253" spans="1:10" x14ac:dyDescent="0.3">
      <c r="A3253" s="8">
        <v>44149</v>
      </c>
      <c r="B3253" t="str">
        <f>TEXT(Raw_Data!$A3253, "MMM")</f>
        <v>Nov</v>
      </c>
      <c r="C3253">
        <f>YEAR(Raw_Data!$A3253)</f>
        <v>2020</v>
      </c>
      <c r="D3253" t="s">
        <v>2316</v>
      </c>
      <c r="E3253" t="s">
        <v>32</v>
      </c>
      <c r="F3253" t="s">
        <v>18</v>
      </c>
      <c r="G3253">
        <v>3</v>
      </c>
      <c r="H3253">
        <v>803</v>
      </c>
      <c r="I3253" s="1">
        <v>892586</v>
      </c>
      <c r="J3253" s="1">
        <f>Raw_Data!$I3253/Raw_Data!$H3253</f>
        <v>1111.5641344956414</v>
      </c>
    </row>
    <row r="3254" spans="1:10" x14ac:dyDescent="0.3">
      <c r="A3254" s="9">
        <v>37282</v>
      </c>
      <c r="B3254" s="2" t="str">
        <f>TEXT(Raw_Data!$A3254, "MMM")</f>
        <v>Jan</v>
      </c>
      <c r="C3254" s="2">
        <f>YEAR(Raw_Data!$A3254)</f>
        <v>2002</v>
      </c>
      <c r="D3254" s="2" t="s">
        <v>2317</v>
      </c>
      <c r="E3254" s="2" t="s">
        <v>15</v>
      </c>
      <c r="F3254" s="2" t="s">
        <v>16</v>
      </c>
      <c r="G3254" s="2">
        <v>5</v>
      </c>
      <c r="H3254" s="2">
        <v>2388</v>
      </c>
      <c r="I3254" s="10">
        <v>230664</v>
      </c>
      <c r="J3254" s="10">
        <f>Raw_Data!$I3254/Raw_Data!$H3254</f>
        <v>96.5929648241206</v>
      </c>
    </row>
    <row r="3255" spans="1:10" x14ac:dyDescent="0.3">
      <c r="A3255" s="8">
        <v>38532</v>
      </c>
      <c r="B3255" t="str">
        <f>TEXT(Raw_Data!$A3255, "MMM")</f>
        <v>Jun</v>
      </c>
      <c r="C3255">
        <f>YEAR(Raw_Data!$A3255)</f>
        <v>2005</v>
      </c>
      <c r="D3255" t="s">
        <v>2318</v>
      </c>
      <c r="E3255" t="s">
        <v>13</v>
      </c>
      <c r="F3255" t="s">
        <v>11</v>
      </c>
      <c r="G3255">
        <v>5</v>
      </c>
      <c r="H3255">
        <v>2394</v>
      </c>
      <c r="I3255" s="1">
        <v>406825</v>
      </c>
      <c r="J3255" s="1">
        <f>Raw_Data!$I3255/Raw_Data!$H3255</f>
        <v>169.93525480367586</v>
      </c>
    </row>
    <row r="3256" spans="1:10" x14ac:dyDescent="0.3">
      <c r="A3256" s="9">
        <v>38334</v>
      </c>
      <c r="B3256" s="2" t="str">
        <f>TEXT(Raw_Data!$A3256, "MMM")</f>
        <v>Dec</v>
      </c>
      <c r="C3256" s="2">
        <f>YEAR(Raw_Data!$A3256)</f>
        <v>2004</v>
      </c>
      <c r="D3256" s="2" t="s">
        <v>150</v>
      </c>
      <c r="E3256" s="2" t="s">
        <v>32</v>
      </c>
      <c r="F3256" s="2" t="s">
        <v>16</v>
      </c>
      <c r="G3256" s="2">
        <v>3</v>
      </c>
      <c r="H3256" s="2">
        <v>1761</v>
      </c>
      <c r="I3256" s="10">
        <v>185732</v>
      </c>
      <c r="J3256" s="10">
        <f>Raw_Data!$I3256/Raw_Data!$H3256</f>
        <v>105.46961953435547</v>
      </c>
    </row>
    <row r="3257" spans="1:10" x14ac:dyDescent="0.3">
      <c r="A3257" s="8">
        <v>37042</v>
      </c>
      <c r="B3257" t="str">
        <f>TEXT(Raw_Data!$A3257, "MMM")</f>
        <v>May</v>
      </c>
      <c r="C3257">
        <f>YEAR(Raw_Data!$A3257)</f>
        <v>2001</v>
      </c>
      <c r="D3257" t="s">
        <v>2043</v>
      </c>
      <c r="E3257" t="s">
        <v>25</v>
      </c>
      <c r="F3257" t="s">
        <v>16</v>
      </c>
      <c r="G3257">
        <v>5</v>
      </c>
      <c r="H3257">
        <v>2714</v>
      </c>
      <c r="I3257" s="1">
        <v>237847</v>
      </c>
      <c r="J3257" s="1">
        <f>Raw_Data!$I3257/Raw_Data!$H3257</f>
        <v>87.637067059690494</v>
      </c>
    </row>
    <row r="3258" spans="1:10" x14ac:dyDescent="0.3">
      <c r="A3258" s="9">
        <v>42200</v>
      </c>
      <c r="B3258" s="2" t="str">
        <f>TEXT(Raw_Data!$A3258, "MMM")</f>
        <v>Jul</v>
      </c>
      <c r="C3258" s="2">
        <f>YEAR(Raw_Data!$A3258)</f>
        <v>2015</v>
      </c>
      <c r="D3258" s="2" t="s">
        <v>68</v>
      </c>
      <c r="E3258" s="2" t="s">
        <v>25</v>
      </c>
      <c r="F3258" s="2" t="s">
        <v>18</v>
      </c>
      <c r="G3258" s="2">
        <v>3</v>
      </c>
      <c r="H3258" s="2">
        <v>3119</v>
      </c>
      <c r="I3258" s="10">
        <v>857573</v>
      </c>
      <c r="J3258" s="10">
        <f>Raw_Data!$I3258/Raw_Data!$H3258</f>
        <v>274.95126643154856</v>
      </c>
    </row>
    <row r="3259" spans="1:10" x14ac:dyDescent="0.3">
      <c r="A3259" s="8">
        <v>40897</v>
      </c>
      <c r="B3259" t="str">
        <f>TEXT(Raw_Data!$A3259, "MMM")</f>
        <v>Dec</v>
      </c>
      <c r="C3259">
        <f>YEAR(Raw_Data!$A3259)</f>
        <v>2011</v>
      </c>
      <c r="D3259" t="s">
        <v>571</v>
      </c>
      <c r="E3259" t="s">
        <v>15</v>
      </c>
      <c r="F3259" t="s">
        <v>18</v>
      </c>
      <c r="G3259">
        <v>2</v>
      </c>
      <c r="H3259">
        <v>2396</v>
      </c>
      <c r="I3259" s="1">
        <v>715994</v>
      </c>
      <c r="J3259" s="1">
        <f>Raw_Data!$I3259/Raw_Data!$H3259</f>
        <v>298.82888146911517</v>
      </c>
    </row>
    <row r="3260" spans="1:10" x14ac:dyDescent="0.3">
      <c r="A3260" s="9">
        <v>39370</v>
      </c>
      <c r="B3260" s="2" t="str">
        <f>TEXT(Raw_Data!$A3260, "MMM")</f>
        <v>Oct</v>
      </c>
      <c r="C3260" s="2">
        <f>YEAR(Raw_Data!$A3260)</f>
        <v>2007</v>
      </c>
      <c r="D3260" s="2" t="s">
        <v>351</v>
      </c>
      <c r="E3260" s="2" t="s">
        <v>29</v>
      </c>
      <c r="F3260" s="2" t="s">
        <v>16</v>
      </c>
      <c r="G3260" s="2"/>
      <c r="H3260" s="2">
        <v>2291</v>
      </c>
      <c r="I3260" s="10">
        <v>333390</v>
      </c>
      <c r="J3260" s="10">
        <f>Raw_Data!$I3260/Raw_Data!$H3260</f>
        <v>145.52160628546486</v>
      </c>
    </row>
    <row r="3261" spans="1:10" x14ac:dyDescent="0.3">
      <c r="A3261" s="8">
        <v>37637</v>
      </c>
      <c r="B3261" t="str">
        <f>TEXT(Raw_Data!$A3261, "MMM")</f>
        <v>Jan</v>
      </c>
      <c r="C3261">
        <f>YEAR(Raw_Data!$A3261)</f>
        <v>2003</v>
      </c>
      <c r="D3261" t="s">
        <v>2319</v>
      </c>
      <c r="E3261" t="s">
        <v>13</v>
      </c>
      <c r="F3261" t="s">
        <v>18</v>
      </c>
      <c r="G3261">
        <v>5</v>
      </c>
      <c r="H3261">
        <v>3295</v>
      </c>
      <c r="I3261" s="1">
        <v>679511</v>
      </c>
      <c r="J3261" s="1">
        <f>Raw_Data!$I3261/Raw_Data!$H3261</f>
        <v>206.22488619119878</v>
      </c>
    </row>
    <row r="3262" spans="1:10" x14ac:dyDescent="0.3">
      <c r="A3262" s="9">
        <v>43851</v>
      </c>
      <c r="B3262" s="2" t="str">
        <f>TEXT(Raw_Data!$A3262, "MMM")</f>
        <v>Jan</v>
      </c>
      <c r="C3262" s="2">
        <f>YEAR(Raw_Data!$A3262)</f>
        <v>2020</v>
      </c>
      <c r="D3262" s="2" t="s">
        <v>1721</v>
      </c>
      <c r="E3262" s="2" t="s">
        <v>25</v>
      </c>
      <c r="F3262" s="2" t="s">
        <v>27</v>
      </c>
      <c r="G3262" s="2">
        <v>5</v>
      </c>
      <c r="H3262" s="2">
        <v>2531</v>
      </c>
      <c r="I3262" s="10">
        <v>477338</v>
      </c>
      <c r="J3262" s="10">
        <f>Raw_Data!$I3262/Raw_Data!$H3262</f>
        <v>188.59660213354405</v>
      </c>
    </row>
    <row r="3263" spans="1:10" x14ac:dyDescent="0.3">
      <c r="A3263" s="8">
        <v>43924</v>
      </c>
      <c r="B3263" t="str">
        <f>TEXT(Raw_Data!$A3263, "MMM")</f>
        <v>Apr</v>
      </c>
      <c r="C3263">
        <f>YEAR(Raw_Data!$A3263)</f>
        <v>2020</v>
      </c>
      <c r="D3263" t="s">
        <v>2320</v>
      </c>
      <c r="E3263" t="s">
        <v>13</v>
      </c>
      <c r="F3263" t="s">
        <v>18</v>
      </c>
      <c r="G3263">
        <v>5</v>
      </c>
      <c r="H3263">
        <v>2867</v>
      </c>
      <c r="I3263" s="1">
        <v>183481</v>
      </c>
      <c r="J3263" s="1">
        <f>Raw_Data!$I3263/Raw_Data!$H3263</f>
        <v>63.997558423439138</v>
      </c>
    </row>
    <row r="3264" spans="1:10" x14ac:dyDescent="0.3">
      <c r="A3264" s="9">
        <v>39480</v>
      </c>
      <c r="B3264" s="2" t="str">
        <f>TEXT(Raw_Data!$A3264, "MMM")</f>
        <v>Feb</v>
      </c>
      <c r="C3264" s="2">
        <f>YEAR(Raw_Data!$A3264)</f>
        <v>2008</v>
      </c>
      <c r="D3264" s="2" t="s">
        <v>2321</v>
      </c>
      <c r="E3264" s="2" t="s">
        <v>23</v>
      </c>
      <c r="F3264" s="2" t="s">
        <v>18</v>
      </c>
      <c r="G3264" s="2">
        <v>3</v>
      </c>
      <c r="H3264" s="2">
        <v>2507</v>
      </c>
      <c r="I3264" s="10">
        <v>636479</v>
      </c>
      <c r="J3264" s="10">
        <f>Raw_Data!$I3264/Raw_Data!$H3264</f>
        <v>253.88073394495413</v>
      </c>
    </row>
    <row r="3265" spans="1:10" x14ac:dyDescent="0.3">
      <c r="A3265" s="8">
        <v>40608</v>
      </c>
      <c r="B3265" t="str">
        <f>TEXT(Raw_Data!$A3265, "MMM")</f>
        <v>Mar</v>
      </c>
      <c r="C3265">
        <f>YEAR(Raw_Data!$A3265)</f>
        <v>2011</v>
      </c>
      <c r="D3265" t="s">
        <v>2322</v>
      </c>
      <c r="E3265" t="s">
        <v>32</v>
      </c>
      <c r="F3265" t="s">
        <v>11</v>
      </c>
      <c r="G3265">
        <v>2</v>
      </c>
      <c r="H3265">
        <v>2889</v>
      </c>
      <c r="I3265" s="1">
        <v>329001</v>
      </c>
      <c r="J3265" s="1">
        <f>Raw_Data!$I3265/Raw_Data!$H3265</f>
        <v>113.88058151609553</v>
      </c>
    </row>
    <row r="3266" spans="1:10" x14ac:dyDescent="0.3">
      <c r="A3266" s="9">
        <v>38235</v>
      </c>
      <c r="B3266" s="2" t="str">
        <f>TEXT(Raw_Data!$A3266, "MMM")</f>
        <v>Sep</v>
      </c>
      <c r="C3266" s="2">
        <f>YEAR(Raw_Data!$A3266)</f>
        <v>2004</v>
      </c>
      <c r="D3266" s="2" t="s">
        <v>2323</v>
      </c>
      <c r="E3266" s="2" t="s">
        <v>32</v>
      </c>
      <c r="F3266" s="2" t="s">
        <v>18</v>
      </c>
      <c r="G3266" s="2">
        <v>2</v>
      </c>
      <c r="H3266" s="2">
        <v>1963</v>
      </c>
      <c r="I3266" s="10">
        <v>401742</v>
      </c>
      <c r="J3266" s="10">
        <f>Raw_Data!$I3266/Raw_Data!$H3266</f>
        <v>204.65715741212429</v>
      </c>
    </row>
    <row r="3267" spans="1:10" x14ac:dyDescent="0.3">
      <c r="A3267" s="8">
        <v>39463</v>
      </c>
      <c r="B3267" t="str">
        <f>TEXT(Raw_Data!$A3267, "MMM")</f>
        <v>Jan</v>
      </c>
      <c r="C3267">
        <f>YEAR(Raw_Data!$A3267)</f>
        <v>2008</v>
      </c>
      <c r="D3267" t="s">
        <v>2324</v>
      </c>
      <c r="E3267" t="s">
        <v>25</v>
      </c>
      <c r="F3267" t="s">
        <v>11</v>
      </c>
      <c r="H3267">
        <v>811</v>
      </c>
      <c r="I3267" s="1">
        <v>551155</v>
      </c>
      <c r="J3267" s="1">
        <f>Raw_Data!$I3267/Raw_Data!$H3267</f>
        <v>679.59926017262637</v>
      </c>
    </row>
    <row r="3268" spans="1:10" x14ac:dyDescent="0.3">
      <c r="A3268" s="9">
        <v>41144</v>
      </c>
      <c r="B3268" s="2" t="str">
        <f>TEXT(Raw_Data!$A3268, "MMM")</f>
        <v>Aug</v>
      </c>
      <c r="C3268" s="2">
        <f>YEAR(Raw_Data!$A3268)</f>
        <v>2012</v>
      </c>
      <c r="D3268" s="2" t="s">
        <v>426</v>
      </c>
      <c r="E3268" s="2" t="s">
        <v>25</v>
      </c>
      <c r="F3268" s="2" t="s">
        <v>27</v>
      </c>
      <c r="G3268" s="2">
        <v>2</v>
      </c>
      <c r="H3268" s="2">
        <v>3421</v>
      </c>
      <c r="I3268" s="10">
        <v>206765</v>
      </c>
      <c r="J3268" s="10">
        <f>Raw_Data!$I3268/Raw_Data!$H3268</f>
        <v>60.439929845074538</v>
      </c>
    </row>
    <row r="3269" spans="1:10" x14ac:dyDescent="0.3">
      <c r="A3269" s="8">
        <v>38925</v>
      </c>
      <c r="B3269" t="str">
        <f>TEXT(Raw_Data!$A3269, "MMM")</f>
        <v>Jul</v>
      </c>
      <c r="C3269">
        <f>YEAR(Raw_Data!$A3269)</f>
        <v>2006</v>
      </c>
      <c r="D3269" t="s">
        <v>2325</v>
      </c>
      <c r="E3269" t="s">
        <v>25</v>
      </c>
      <c r="F3269" t="s">
        <v>27</v>
      </c>
      <c r="H3269">
        <v>3208</v>
      </c>
      <c r="I3269" s="1">
        <v>676131</v>
      </c>
      <c r="J3269" s="1">
        <f>Raw_Data!$I3269/Raw_Data!$H3269</f>
        <v>210.76402743142145</v>
      </c>
    </row>
    <row r="3270" spans="1:10" x14ac:dyDescent="0.3">
      <c r="A3270" s="9">
        <v>43951</v>
      </c>
      <c r="B3270" s="2" t="str">
        <f>TEXT(Raw_Data!$A3270, "MMM")</f>
        <v>Apr</v>
      </c>
      <c r="C3270" s="2">
        <f>YEAR(Raw_Data!$A3270)</f>
        <v>2020</v>
      </c>
      <c r="D3270" s="2" t="s">
        <v>2326</v>
      </c>
      <c r="E3270" s="2" t="s">
        <v>25</v>
      </c>
      <c r="F3270" s="2" t="s">
        <v>18</v>
      </c>
      <c r="G3270" s="2">
        <v>2</v>
      </c>
      <c r="H3270" s="2">
        <v>3244</v>
      </c>
      <c r="I3270" s="10">
        <v>752080</v>
      </c>
      <c r="J3270" s="10">
        <f>Raw_Data!$I3270/Raw_Data!$H3270</f>
        <v>231.83723797780519</v>
      </c>
    </row>
    <row r="3271" spans="1:10" x14ac:dyDescent="0.3">
      <c r="A3271" s="8">
        <v>38233</v>
      </c>
      <c r="B3271" t="str">
        <f>TEXT(Raw_Data!$A3271, "MMM")</f>
        <v>Sep</v>
      </c>
      <c r="C3271">
        <f>YEAR(Raw_Data!$A3271)</f>
        <v>2004</v>
      </c>
      <c r="D3271" t="s">
        <v>1827</v>
      </c>
      <c r="E3271" t="s">
        <v>21</v>
      </c>
      <c r="F3271" t="s">
        <v>11</v>
      </c>
      <c r="G3271">
        <v>5</v>
      </c>
      <c r="H3271">
        <v>1817</v>
      </c>
      <c r="I3271" s="1">
        <v>650949</v>
      </c>
      <c r="J3271" s="1">
        <f>Raw_Data!$I3271/Raw_Data!$H3271</f>
        <v>358.25481563015961</v>
      </c>
    </row>
    <row r="3272" spans="1:10" x14ac:dyDescent="0.3">
      <c r="A3272" s="9">
        <v>40948</v>
      </c>
      <c r="B3272" s="2" t="str">
        <f>TEXT(Raw_Data!$A3272, "MMM")</f>
        <v>Feb</v>
      </c>
      <c r="C3272" s="2">
        <f>YEAR(Raw_Data!$A3272)</f>
        <v>2012</v>
      </c>
      <c r="D3272" s="2" t="s">
        <v>1605</v>
      </c>
      <c r="E3272" s="2" t="s">
        <v>29</v>
      </c>
      <c r="F3272" s="2" t="s">
        <v>27</v>
      </c>
      <c r="G3272" s="2">
        <v>4</v>
      </c>
      <c r="H3272" s="2">
        <v>1435</v>
      </c>
      <c r="I3272" s="10">
        <v>703134</v>
      </c>
      <c r="J3272" s="10">
        <f>Raw_Data!$I3272/Raw_Data!$H3272</f>
        <v>489.98885017421605</v>
      </c>
    </row>
    <row r="3273" spans="1:10" x14ac:dyDescent="0.3">
      <c r="A3273" s="8">
        <v>38775</v>
      </c>
      <c r="B3273" t="str">
        <f>TEXT(Raw_Data!$A3273, "MMM")</f>
        <v>Feb</v>
      </c>
      <c r="C3273">
        <f>YEAR(Raw_Data!$A3273)</f>
        <v>2006</v>
      </c>
      <c r="D3273" t="s">
        <v>2246</v>
      </c>
      <c r="E3273" t="s">
        <v>32</v>
      </c>
      <c r="F3273" t="s">
        <v>16</v>
      </c>
      <c r="G3273">
        <v>3</v>
      </c>
      <c r="H3273">
        <v>2744</v>
      </c>
      <c r="I3273" s="1">
        <v>497036</v>
      </c>
      <c r="J3273" s="1">
        <f>Raw_Data!$I3273/Raw_Data!$H3273</f>
        <v>181.13556851311952</v>
      </c>
    </row>
    <row r="3274" spans="1:10" x14ac:dyDescent="0.3">
      <c r="A3274" s="9">
        <v>43776</v>
      </c>
      <c r="B3274" s="2" t="str">
        <f>TEXT(Raw_Data!$A3274, "MMM")</f>
        <v>Nov</v>
      </c>
      <c r="C3274" s="2">
        <f>YEAR(Raw_Data!$A3274)</f>
        <v>2019</v>
      </c>
      <c r="D3274" s="2" t="s">
        <v>2327</v>
      </c>
      <c r="E3274" s="2" t="s">
        <v>32</v>
      </c>
      <c r="F3274" s="2" t="s">
        <v>18</v>
      </c>
      <c r="G3274" s="2">
        <v>4</v>
      </c>
      <c r="H3274" s="2">
        <v>1530</v>
      </c>
      <c r="I3274" s="10">
        <v>389182</v>
      </c>
      <c r="J3274" s="10">
        <f>Raw_Data!$I3274/Raw_Data!$H3274</f>
        <v>254.3673202614379</v>
      </c>
    </row>
    <row r="3275" spans="1:10" x14ac:dyDescent="0.3">
      <c r="A3275" s="8">
        <v>40944</v>
      </c>
      <c r="B3275" t="str">
        <f>TEXT(Raw_Data!$A3275, "MMM")</f>
        <v>Feb</v>
      </c>
      <c r="C3275">
        <f>YEAR(Raw_Data!$A3275)</f>
        <v>2012</v>
      </c>
      <c r="D3275" t="s">
        <v>1165</v>
      </c>
      <c r="E3275" t="s">
        <v>23</v>
      </c>
      <c r="F3275" t="s">
        <v>27</v>
      </c>
      <c r="G3275">
        <v>3</v>
      </c>
      <c r="H3275">
        <v>2259</v>
      </c>
      <c r="I3275" s="1">
        <v>180223</v>
      </c>
      <c r="J3275" s="1">
        <f>Raw_Data!$I3275/Raw_Data!$H3275</f>
        <v>79.779991146525006</v>
      </c>
    </row>
    <row r="3276" spans="1:10" x14ac:dyDescent="0.3">
      <c r="A3276" s="9">
        <v>39654</v>
      </c>
      <c r="B3276" s="2" t="str">
        <f>TEXT(Raw_Data!$A3276, "MMM")</f>
        <v>Jul</v>
      </c>
      <c r="C3276" s="2">
        <f>YEAR(Raw_Data!$A3276)</f>
        <v>2008</v>
      </c>
      <c r="D3276" s="2" t="s">
        <v>2328</v>
      </c>
      <c r="E3276" s="2" t="s">
        <v>23</v>
      </c>
      <c r="F3276" s="2" t="s">
        <v>18</v>
      </c>
      <c r="G3276" s="2"/>
      <c r="H3276" s="2">
        <v>2301</v>
      </c>
      <c r="I3276" s="10">
        <v>162686</v>
      </c>
      <c r="J3276" s="10">
        <f>Raw_Data!$I3276/Raw_Data!$H3276</f>
        <v>70.702303346371139</v>
      </c>
    </row>
    <row r="3277" spans="1:10" x14ac:dyDescent="0.3">
      <c r="A3277" s="8">
        <v>39748</v>
      </c>
      <c r="B3277" t="str">
        <f>TEXT(Raw_Data!$A3277, "MMM")</f>
        <v>Oct</v>
      </c>
      <c r="C3277">
        <f>YEAR(Raw_Data!$A3277)</f>
        <v>2008</v>
      </c>
      <c r="D3277" t="s">
        <v>1697</v>
      </c>
      <c r="E3277" t="s">
        <v>29</v>
      </c>
      <c r="F3277" t="s">
        <v>27</v>
      </c>
      <c r="G3277">
        <v>4</v>
      </c>
      <c r="H3277">
        <v>1950</v>
      </c>
      <c r="I3277" s="1">
        <v>116853</v>
      </c>
      <c r="J3277" s="1">
        <f>Raw_Data!$I3277/Raw_Data!$H3277</f>
        <v>59.924615384615386</v>
      </c>
    </row>
    <row r="3278" spans="1:10" x14ac:dyDescent="0.3">
      <c r="A3278" s="9">
        <v>42012</v>
      </c>
      <c r="B3278" s="2" t="str">
        <f>TEXT(Raw_Data!$A3278, "MMM")</f>
        <v>Jan</v>
      </c>
      <c r="C3278" s="2">
        <f>YEAR(Raw_Data!$A3278)</f>
        <v>2015</v>
      </c>
      <c r="D3278" s="2" t="s">
        <v>1053</v>
      </c>
      <c r="E3278" s="2" t="s">
        <v>15</v>
      </c>
      <c r="F3278" s="2" t="s">
        <v>27</v>
      </c>
      <c r="G3278" s="2"/>
      <c r="H3278" s="2">
        <v>1254</v>
      </c>
      <c r="I3278" s="10">
        <v>466400</v>
      </c>
      <c r="J3278" s="10">
        <f>Raw_Data!$I3278/Raw_Data!$H3278</f>
        <v>371.92982456140351</v>
      </c>
    </row>
    <row r="3279" spans="1:10" x14ac:dyDescent="0.3">
      <c r="A3279" s="8">
        <v>43388</v>
      </c>
      <c r="B3279" t="str">
        <f>TEXT(Raw_Data!$A3279, "MMM")</f>
        <v>Oct</v>
      </c>
      <c r="C3279">
        <f>YEAR(Raw_Data!$A3279)</f>
        <v>2018</v>
      </c>
      <c r="D3279" t="s">
        <v>2329</v>
      </c>
      <c r="E3279" t="s">
        <v>25</v>
      </c>
      <c r="F3279" t="s">
        <v>27</v>
      </c>
      <c r="G3279">
        <v>3</v>
      </c>
      <c r="H3279">
        <v>3219</v>
      </c>
      <c r="I3279" s="1">
        <v>535574</v>
      </c>
      <c r="J3279" s="1">
        <f>Raw_Data!$I3279/Raw_Data!$H3279</f>
        <v>166.37899968934451</v>
      </c>
    </row>
    <row r="3280" spans="1:10" x14ac:dyDescent="0.3">
      <c r="A3280" s="9">
        <v>38463</v>
      </c>
      <c r="B3280" s="2" t="str">
        <f>TEXT(Raw_Data!$A3280, "MMM")</f>
        <v>Apr</v>
      </c>
      <c r="C3280" s="2">
        <f>YEAR(Raw_Data!$A3280)</f>
        <v>2005</v>
      </c>
      <c r="D3280" s="2" t="s">
        <v>2330</v>
      </c>
      <c r="E3280" s="2" t="s">
        <v>23</v>
      </c>
      <c r="F3280" s="2" t="s">
        <v>11</v>
      </c>
      <c r="G3280" s="2">
        <v>5</v>
      </c>
      <c r="H3280" s="2">
        <v>3388</v>
      </c>
      <c r="I3280" s="10">
        <v>735752</v>
      </c>
      <c r="J3280" s="10">
        <f>Raw_Data!$I3280/Raw_Data!$H3280</f>
        <v>217.16410861865407</v>
      </c>
    </row>
    <row r="3281" spans="1:10" x14ac:dyDescent="0.3">
      <c r="A3281" s="8">
        <v>39885</v>
      </c>
      <c r="B3281" t="str">
        <f>TEXT(Raw_Data!$A3281, "MMM")</f>
        <v>Mar</v>
      </c>
      <c r="C3281">
        <f>YEAR(Raw_Data!$A3281)</f>
        <v>2009</v>
      </c>
      <c r="D3281" t="s">
        <v>2331</v>
      </c>
      <c r="E3281" t="s">
        <v>15</v>
      </c>
      <c r="F3281" t="s">
        <v>27</v>
      </c>
      <c r="G3281">
        <v>4</v>
      </c>
      <c r="H3281">
        <v>3283</v>
      </c>
      <c r="I3281" s="1">
        <v>640161</v>
      </c>
      <c r="J3281" s="1">
        <f>Raw_Data!$I3281/Raw_Data!$H3281</f>
        <v>194.99268961315869</v>
      </c>
    </row>
    <row r="3282" spans="1:10" x14ac:dyDescent="0.3">
      <c r="A3282" s="9">
        <v>37030</v>
      </c>
      <c r="B3282" s="2" t="str">
        <f>TEXT(Raw_Data!$A3282, "MMM")</f>
        <v>May</v>
      </c>
      <c r="C3282" s="2">
        <f>YEAR(Raw_Data!$A3282)</f>
        <v>2001</v>
      </c>
      <c r="D3282" s="2" t="s">
        <v>2332</v>
      </c>
      <c r="E3282" s="2" t="s">
        <v>15</v>
      </c>
      <c r="F3282" s="2" t="s">
        <v>16</v>
      </c>
      <c r="G3282" s="2"/>
      <c r="H3282" s="2">
        <v>919</v>
      </c>
      <c r="I3282" s="10">
        <v>411061</v>
      </c>
      <c r="J3282" s="10">
        <f>Raw_Data!$I3282/Raw_Data!$H3282</f>
        <v>447.29162132752992</v>
      </c>
    </row>
    <row r="3283" spans="1:10" x14ac:dyDescent="0.3">
      <c r="A3283" s="8">
        <v>44165</v>
      </c>
      <c r="B3283" t="str">
        <f>TEXT(Raw_Data!$A3283, "MMM")</f>
        <v>Nov</v>
      </c>
      <c r="C3283">
        <f>YEAR(Raw_Data!$A3283)</f>
        <v>2020</v>
      </c>
      <c r="D3283" t="s">
        <v>2333</v>
      </c>
      <c r="E3283" t="s">
        <v>23</v>
      </c>
      <c r="F3283" t="s">
        <v>16</v>
      </c>
      <c r="H3283">
        <v>2280</v>
      </c>
      <c r="I3283" s="1">
        <v>105559</v>
      </c>
      <c r="J3283" s="1">
        <f>Raw_Data!$I3283/Raw_Data!$H3283</f>
        <v>46.29780701754386</v>
      </c>
    </row>
    <row r="3284" spans="1:10" x14ac:dyDescent="0.3">
      <c r="A3284" s="9">
        <v>42950</v>
      </c>
      <c r="B3284" s="2" t="str">
        <f>TEXT(Raw_Data!$A3284, "MMM")</f>
        <v>Aug</v>
      </c>
      <c r="C3284" s="2">
        <f>YEAR(Raw_Data!$A3284)</f>
        <v>2017</v>
      </c>
      <c r="D3284" s="2" t="s">
        <v>1461</v>
      </c>
      <c r="E3284" s="2" t="s">
        <v>23</v>
      </c>
      <c r="F3284" s="2" t="s">
        <v>18</v>
      </c>
      <c r="G3284" s="2"/>
      <c r="H3284" s="2">
        <v>809</v>
      </c>
      <c r="I3284" s="10">
        <v>311909</v>
      </c>
      <c r="J3284" s="10">
        <f>Raw_Data!$I3284/Raw_Data!$H3284</f>
        <v>385.54882571075404</v>
      </c>
    </row>
    <row r="3285" spans="1:10" x14ac:dyDescent="0.3">
      <c r="A3285" s="8">
        <v>39645</v>
      </c>
      <c r="B3285" t="str">
        <f>TEXT(Raw_Data!$A3285, "MMM")</f>
        <v>Jul</v>
      </c>
      <c r="C3285">
        <f>YEAR(Raw_Data!$A3285)</f>
        <v>2008</v>
      </c>
      <c r="D3285" t="s">
        <v>2334</v>
      </c>
      <c r="E3285" t="s">
        <v>15</v>
      </c>
      <c r="F3285" t="s">
        <v>11</v>
      </c>
      <c r="H3285">
        <v>2088</v>
      </c>
      <c r="I3285" s="1">
        <v>291075</v>
      </c>
      <c r="J3285" s="1">
        <f>Raw_Data!$I3285/Raw_Data!$H3285</f>
        <v>139.4037356321839</v>
      </c>
    </row>
    <row r="3286" spans="1:10" x14ac:dyDescent="0.3">
      <c r="A3286" s="9">
        <v>39660</v>
      </c>
      <c r="B3286" s="2" t="str">
        <f>TEXT(Raw_Data!$A3286, "MMM")</f>
        <v>Jul</v>
      </c>
      <c r="C3286" s="2">
        <f>YEAR(Raw_Data!$A3286)</f>
        <v>2008</v>
      </c>
      <c r="D3286" s="2" t="s">
        <v>1204</v>
      </c>
      <c r="E3286" s="2" t="s">
        <v>29</v>
      </c>
      <c r="F3286" s="2" t="s">
        <v>11</v>
      </c>
      <c r="G3286" s="2"/>
      <c r="H3286" s="2">
        <v>2889</v>
      </c>
      <c r="I3286" s="10">
        <v>730978</v>
      </c>
      <c r="J3286" s="10">
        <f>Raw_Data!$I3286/Raw_Data!$H3286</f>
        <v>253.02111457251644</v>
      </c>
    </row>
    <row r="3287" spans="1:10" x14ac:dyDescent="0.3">
      <c r="A3287" s="8">
        <v>37036</v>
      </c>
      <c r="B3287" t="str">
        <f>TEXT(Raw_Data!$A3287, "MMM")</f>
        <v>May</v>
      </c>
      <c r="C3287">
        <f>YEAR(Raw_Data!$A3287)</f>
        <v>2001</v>
      </c>
      <c r="D3287" t="s">
        <v>1943</v>
      </c>
      <c r="E3287" t="s">
        <v>15</v>
      </c>
      <c r="F3287" t="s">
        <v>11</v>
      </c>
      <c r="G3287">
        <v>2</v>
      </c>
      <c r="H3287">
        <v>2348</v>
      </c>
      <c r="I3287" s="1">
        <v>151519</v>
      </c>
      <c r="J3287" s="1">
        <f>Raw_Data!$I3287/Raw_Data!$H3287</f>
        <v>64.531090289608173</v>
      </c>
    </row>
    <row r="3288" spans="1:10" x14ac:dyDescent="0.3">
      <c r="A3288" s="9">
        <v>39488</v>
      </c>
      <c r="B3288" s="2" t="str">
        <f>TEXT(Raw_Data!$A3288, "MMM")</f>
        <v>Feb</v>
      </c>
      <c r="C3288" s="2">
        <f>YEAR(Raw_Data!$A3288)</f>
        <v>2008</v>
      </c>
      <c r="D3288" s="2" t="s">
        <v>2335</v>
      </c>
      <c r="E3288" s="2" t="s">
        <v>15</v>
      </c>
      <c r="F3288" s="2" t="s">
        <v>11</v>
      </c>
      <c r="G3288" s="2">
        <v>4</v>
      </c>
      <c r="H3288" s="2">
        <v>2815</v>
      </c>
      <c r="I3288" s="10">
        <v>466392</v>
      </c>
      <c r="J3288" s="10">
        <f>Raw_Data!$I3288/Raw_Data!$H3288</f>
        <v>165.6809946714032</v>
      </c>
    </row>
    <row r="3289" spans="1:10" x14ac:dyDescent="0.3">
      <c r="A3289" s="8">
        <v>41016</v>
      </c>
      <c r="B3289" t="str">
        <f>TEXT(Raw_Data!$A3289, "MMM")</f>
        <v>Apr</v>
      </c>
      <c r="C3289">
        <f>YEAR(Raw_Data!$A3289)</f>
        <v>2012</v>
      </c>
      <c r="D3289" t="s">
        <v>262</v>
      </c>
      <c r="E3289" t="s">
        <v>32</v>
      </c>
      <c r="F3289" t="s">
        <v>27</v>
      </c>
      <c r="H3289">
        <v>2444</v>
      </c>
      <c r="I3289" s="1">
        <v>335763</v>
      </c>
      <c r="J3289" s="1">
        <f>Raw_Data!$I3289/Raw_Data!$H3289</f>
        <v>137.38256955810147</v>
      </c>
    </row>
    <row r="3290" spans="1:10" x14ac:dyDescent="0.3">
      <c r="A3290" s="9">
        <v>37498</v>
      </c>
      <c r="B3290" s="2" t="str">
        <f>TEXT(Raw_Data!$A3290, "MMM")</f>
        <v>Aug</v>
      </c>
      <c r="C3290" s="2">
        <f>YEAR(Raw_Data!$A3290)</f>
        <v>2002</v>
      </c>
      <c r="D3290" s="2" t="s">
        <v>170</v>
      </c>
      <c r="E3290" s="2" t="s">
        <v>23</v>
      </c>
      <c r="F3290" s="2" t="s">
        <v>16</v>
      </c>
      <c r="G3290" s="2">
        <v>2</v>
      </c>
      <c r="H3290" s="2">
        <v>2451</v>
      </c>
      <c r="I3290" s="10">
        <v>159366</v>
      </c>
      <c r="J3290" s="10">
        <f>Raw_Data!$I3290/Raw_Data!$H3290</f>
        <v>65.020807833537333</v>
      </c>
    </row>
    <row r="3291" spans="1:10" x14ac:dyDescent="0.3">
      <c r="A3291" s="8">
        <v>41566</v>
      </c>
      <c r="B3291" t="str">
        <f>TEXT(Raw_Data!$A3291, "MMM")</f>
        <v>Oct</v>
      </c>
      <c r="C3291">
        <f>YEAR(Raw_Data!$A3291)</f>
        <v>2013</v>
      </c>
      <c r="D3291" t="s">
        <v>812</v>
      </c>
      <c r="E3291" t="s">
        <v>25</v>
      </c>
      <c r="F3291" t="s">
        <v>18</v>
      </c>
      <c r="H3291">
        <v>1746</v>
      </c>
      <c r="I3291" s="1">
        <v>723162</v>
      </c>
      <c r="J3291" s="1">
        <f>Raw_Data!$I3291/Raw_Data!$H3291</f>
        <v>414.18213058419246</v>
      </c>
    </row>
    <row r="3292" spans="1:10" x14ac:dyDescent="0.3">
      <c r="A3292" s="9">
        <v>37224</v>
      </c>
      <c r="B3292" s="2" t="str">
        <f>TEXT(Raw_Data!$A3292, "MMM")</f>
        <v>Nov</v>
      </c>
      <c r="C3292" s="2">
        <f>YEAR(Raw_Data!$A3292)</f>
        <v>2001</v>
      </c>
      <c r="D3292" s="2" t="s">
        <v>2336</v>
      </c>
      <c r="E3292" s="2" t="s">
        <v>32</v>
      </c>
      <c r="F3292" s="2" t="s">
        <v>18</v>
      </c>
      <c r="G3292" s="2"/>
      <c r="H3292" s="2">
        <v>1431</v>
      </c>
      <c r="I3292" s="10">
        <v>139049</v>
      </c>
      <c r="J3292" s="10">
        <f>Raw_Data!$I3292/Raw_Data!$H3292</f>
        <v>97.169112508735154</v>
      </c>
    </row>
    <row r="3293" spans="1:10" x14ac:dyDescent="0.3">
      <c r="A3293" s="8">
        <v>41111</v>
      </c>
      <c r="B3293" t="str">
        <f>TEXT(Raw_Data!$A3293, "MMM")</f>
        <v>Jul</v>
      </c>
      <c r="C3293">
        <f>YEAR(Raw_Data!$A3293)</f>
        <v>2012</v>
      </c>
      <c r="D3293" t="s">
        <v>2337</v>
      </c>
      <c r="E3293" t="s">
        <v>13</v>
      </c>
      <c r="F3293" t="s">
        <v>11</v>
      </c>
      <c r="G3293">
        <v>2</v>
      </c>
      <c r="H3293">
        <v>1531</v>
      </c>
      <c r="I3293" s="1">
        <v>878908</v>
      </c>
      <c r="J3293" s="1">
        <f>Raw_Data!$I3293/Raw_Data!$H3293</f>
        <v>574.07446113651213</v>
      </c>
    </row>
    <row r="3294" spans="1:10" x14ac:dyDescent="0.3">
      <c r="A3294" s="9">
        <v>40305</v>
      </c>
      <c r="B3294" s="2" t="str">
        <f>TEXT(Raw_Data!$A3294, "MMM")</f>
        <v>May</v>
      </c>
      <c r="C3294" s="2">
        <f>YEAR(Raw_Data!$A3294)</f>
        <v>2010</v>
      </c>
      <c r="D3294" s="2" t="s">
        <v>2338</v>
      </c>
      <c r="E3294" s="2" t="s">
        <v>25</v>
      </c>
      <c r="F3294" s="2" t="s">
        <v>11</v>
      </c>
      <c r="G3294" s="2"/>
      <c r="H3294" s="2">
        <v>2995</v>
      </c>
      <c r="I3294" s="10">
        <v>374623</v>
      </c>
      <c r="J3294" s="10">
        <f>Raw_Data!$I3294/Raw_Data!$H3294</f>
        <v>125.08280467445744</v>
      </c>
    </row>
    <row r="3295" spans="1:10" x14ac:dyDescent="0.3">
      <c r="A3295" s="8">
        <v>43224</v>
      </c>
      <c r="B3295" t="str">
        <f>TEXT(Raw_Data!$A3295, "MMM")</f>
        <v>May</v>
      </c>
      <c r="C3295">
        <f>YEAR(Raw_Data!$A3295)</f>
        <v>2018</v>
      </c>
      <c r="D3295" t="s">
        <v>2339</v>
      </c>
      <c r="E3295" t="s">
        <v>29</v>
      </c>
      <c r="F3295" t="s">
        <v>18</v>
      </c>
      <c r="H3295">
        <v>3269</v>
      </c>
      <c r="I3295" s="1">
        <v>787650</v>
      </c>
      <c r="J3295" s="1">
        <f>Raw_Data!$I3295/Raw_Data!$H3295</f>
        <v>240.9452431936372</v>
      </c>
    </row>
    <row r="3296" spans="1:10" x14ac:dyDescent="0.3">
      <c r="A3296" s="9">
        <v>43914</v>
      </c>
      <c r="B3296" s="2" t="str">
        <f>TEXT(Raw_Data!$A3296, "MMM")</f>
        <v>Mar</v>
      </c>
      <c r="C3296" s="2">
        <f>YEAR(Raw_Data!$A3296)</f>
        <v>2020</v>
      </c>
      <c r="D3296" s="2" t="s">
        <v>383</v>
      </c>
      <c r="E3296" s="2" t="s">
        <v>32</v>
      </c>
      <c r="F3296" s="2" t="s">
        <v>18</v>
      </c>
      <c r="G3296" s="2">
        <v>3</v>
      </c>
      <c r="H3296" s="2">
        <v>2014</v>
      </c>
      <c r="I3296" s="10">
        <v>336673</v>
      </c>
      <c r="J3296" s="10">
        <f>Raw_Data!$I3296/Raw_Data!$H3296</f>
        <v>167.16633565044688</v>
      </c>
    </row>
    <row r="3297" spans="1:10" x14ac:dyDescent="0.3">
      <c r="A3297" s="8">
        <v>38275</v>
      </c>
      <c r="B3297" t="str">
        <f>TEXT(Raw_Data!$A3297, "MMM")</f>
        <v>Oct</v>
      </c>
      <c r="C3297">
        <f>YEAR(Raw_Data!$A3297)</f>
        <v>2004</v>
      </c>
      <c r="D3297" t="s">
        <v>2340</v>
      </c>
      <c r="E3297" t="s">
        <v>25</v>
      </c>
      <c r="F3297" t="s">
        <v>18</v>
      </c>
      <c r="G3297">
        <v>4</v>
      </c>
      <c r="H3297">
        <v>2339</v>
      </c>
      <c r="I3297" s="1">
        <v>896167</v>
      </c>
      <c r="J3297" s="1">
        <f>Raw_Data!$I3297/Raw_Data!$H3297</f>
        <v>383.14108593415989</v>
      </c>
    </row>
    <row r="3298" spans="1:10" x14ac:dyDescent="0.3">
      <c r="A3298" s="9">
        <v>38484</v>
      </c>
      <c r="B3298" s="2" t="str">
        <f>TEXT(Raw_Data!$A3298, "MMM")</f>
        <v>May</v>
      </c>
      <c r="C3298" s="2">
        <f>YEAR(Raw_Data!$A3298)</f>
        <v>2005</v>
      </c>
      <c r="D3298" s="2" t="s">
        <v>1824</v>
      </c>
      <c r="E3298" s="2" t="s">
        <v>25</v>
      </c>
      <c r="F3298" s="2" t="s">
        <v>16</v>
      </c>
      <c r="G3298" s="2"/>
      <c r="H3298" s="2">
        <v>1350</v>
      </c>
      <c r="I3298" s="10"/>
      <c r="J3298" s="10">
        <f>Raw_Data!$I3298/Raw_Data!$H3298</f>
        <v>0</v>
      </c>
    </row>
    <row r="3299" spans="1:10" x14ac:dyDescent="0.3">
      <c r="A3299" s="8">
        <v>39480</v>
      </c>
      <c r="B3299" t="str">
        <f>TEXT(Raw_Data!$A3299, "MMM")</f>
        <v>Feb</v>
      </c>
      <c r="C3299">
        <f>YEAR(Raw_Data!$A3299)</f>
        <v>2008</v>
      </c>
      <c r="D3299" t="s">
        <v>281</v>
      </c>
      <c r="E3299" t="s">
        <v>25</v>
      </c>
      <c r="F3299" t="s">
        <v>11</v>
      </c>
      <c r="G3299">
        <v>4</v>
      </c>
      <c r="H3299">
        <v>1070</v>
      </c>
      <c r="I3299" s="1">
        <v>798431</v>
      </c>
      <c r="J3299" s="1">
        <f>Raw_Data!$I3299/Raw_Data!$H3299</f>
        <v>746.19719626168228</v>
      </c>
    </row>
    <row r="3300" spans="1:10" x14ac:dyDescent="0.3">
      <c r="A3300" s="9">
        <v>43816</v>
      </c>
      <c r="B3300" s="2" t="str">
        <f>TEXT(Raw_Data!$A3300, "MMM")</f>
        <v>Dec</v>
      </c>
      <c r="C3300" s="2">
        <f>YEAR(Raw_Data!$A3300)</f>
        <v>2019</v>
      </c>
      <c r="D3300" s="2" t="s">
        <v>2341</v>
      </c>
      <c r="E3300" s="2" t="s">
        <v>25</v>
      </c>
      <c r="F3300" s="2" t="s">
        <v>27</v>
      </c>
      <c r="G3300" s="2">
        <v>5</v>
      </c>
      <c r="H3300" s="2">
        <v>2931</v>
      </c>
      <c r="I3300" s="10">
        <v>431633</v>
      </c>
      <c r="J3300" s="10">
        <f>Raw_Data!$I3300/Raw_Data!$H3300</f>
        <v>147.2647560559536</v>
      </c>
    </row>
    <row r="3301" spans="1:10" x14ac:dyDescent="0.3">
      <c r="A3301" s="8">
        <v>40311</v>
      </c>
      <c r="B3301" t="str">
        <f>TEXT(Raw_Data!$A3301, "MMM")</f>
        <v>May</v>
      </c>
      <c r="C3301">
        <f>YEAR(Raw_Data!$A3301)</f>
        <v>2010</v>
      </c>
      <c r="D3301" t="s">
        <v>2342</v>
      </c>
      <c r="E3301" t="s">
        <v>15</v>
      </c>
      <c r="F3301" t="s">
        <v>18</v>
      </c>
      <c r="H3301">
        <v>2928</v>
      </c>
      <c r="I3301" s="1">
        <v>383519</v>
      </c>
      <c r="J3301" s="1">
        <f>Raw_Data!$I3301/Raw_Data!$H3301</f>
        <v>130.9832650273224</v>
      </c>
    </row>
    <row r="3302" spans="1:10" x14ac:dyDescent="0.3">
      <c r="A3302" s="9">
        <v>39115</v>
      </c>
      <c r="B3302" s="2" t="str">
        <f>TEXT(Raw_Data!$A3302, "MMM")</f>
        <v>Feb</v>
      </c>
      <c r="C3302" s="2">
        <f>YEAR(Raw_Data!$A3302)</f>
        <v>2007</v>
      </c>
      <c r="D3302" s="2" t="s">
        <v>2343</v>
      </c>
      <c r="E3302" s="2" t="s">
        <v>15</v>
      </c>
      <c r="F3302" s="2" t="s">
        <v>16</v>
      </c>
      <c r="G3302" s="2"/>
      <c r="H3302" s="2">
        <v>1195</v>
      </c>
      <c r="I3302" s="10">
        <v>816178</v>
      </c>
      <c r="J3302" s="10">
        <f>Raw_Data!$I3302/Raw_Data!$H3302</f>
        <v>682.99414225941428</v>
      </c>
    </row>
    <row r="3303" spans="1:10" x14ac:dyDescent="0.3">
      <c r="A3303" s="8">
        <v>43309</v>
      </c>
      <c r="B3303" t="str">
        <f>TEXT(Raw_Data!$A3303, "MMM")</f>
        <v>Jul</v>
      </c>
      <c r="C3303">
        <f>YEAR(Raw_Data!$A3303)</f>
        <v>2018</v>
      </c>
      <c r="D3303" t="s">
        <v>672</v>
      </c>
      <c r="E3303" t="s">
        <v>25</v>
      </c>
      <c r="F3303" t="s">
        <v>27</v>
      </c>
      <c r="H3303">
        <v>2165</v>
      </c>
      <c r="I3303" s="1">
        <v>202776</v>
      </c>
      <c r="J3303" s="1">
        <f>Raw_Data!$I3303/Raw_Data!$H3303</f>
        <v>93.660969976905307</v>
      </c>
    </row>
    <row r="3304" spans="1:10" x14ac:dyDescent="0.3">
      <c r="A3304" s="9">
        <v>37258</v>
      </c>
      <c r="B3304" s="2" t="str">
        <f>TEXT(Raw_Data!$A3304, "MMM")</f>
        <v>Jan</v>
      </c>
      <c r="C3304" s="2">
        <f>YEAR(Raw_Data!$A3304)</f>
        <v>2002</v>
      </c>
      <c r="D3304" s="2" t="s">
        <v>189</v>
      </c>
      <c r="E3304" s="2" t="s">
        <v>21</v>
      </c>
      <c r="F3304" s="2" t="s">
        <v>16</v>
      </c>
      <c r="G3304" s="2">
        <v>2</v>
      </c>
      <c r="H3304" s="2">
        <v>2997</v>
      </c>
      <c r="I3304" s="10">
        <v>405458</v>
      </c>
      <c r="J3304" s="10">
        <f>Raw_Data!$I3304/Raw_Data!$H3304</f>
        <v>135.28795462128795</v>
      </c>
    </row>
    <row r="3305" spans="1:10" x14ac:dyDescent="0.3">
      <c r="A3305" s="8">
        <v>38536</v>
      </c>
      <c r="B3305" t="str">
        <f>TEXT(Raw_Data!$A3305, "MMM")</f>
        <v>Jul</v>
      </c>
      <c r="C3305">
        <f>YEAR(Raw_Data!$A3305)</f>
        <v>2005</v>
      </c>
      <c r="D3305" t="s">
        <v>474</v>
      </c>
      <c r="E3305" t="s">
        <v>25</v>
      </c>
      <c r="F3305" t="s">
        <v>11</v>
      </c>
      <c r="G3305">
        <v>5</v>
      </c>
      <c r="H3305">
        <v>2136</v>
      </c>
      <c r="I3305" s="1">
        <v>510816</v>
      </c>
      <c r="J3305" s="1">
        <f>Raw_Data!$I3305/Raw_Data!$H3305</f>
        <v>239.14606741573033</v>
      </c>
    </row>
    <row r="3306" spans="1:10" x14ac:dyDescent="0.3">
      <c r="A3306" s="9">
        <v>40430</v>
      </c>
      <c r="B3306" s="2" t="str">
        <f>TEXT(Raw_Data!$A3306, "MMM")</f>
        <v>Sep</v>
      </c>
      <c r="C3306" s="2">
        <f>YEAR(Raw_Data!$A3306)</f>
        <v>2010</v>
      </c>
      <c r="D3306" s="2" t="s">
        <v>1376</v>
      </c>
      <c r="E3306" s="2" t="s">
        <v>15</v>
      </c>
      <c r="F3306" s="2" t="s">
        <v>16</v>
      </c>
      <c r="G3306" s="2">
        <v>2</v>
      </c>
      <c r="H3306" s="2">
        <v>1100</v>
      </c>
      <c r="I3306" s="10">
        <v>179636</v>
      </c>
      <c r="J3306" s="10">
        <f>Raw_Data!$I3306/Raw_Data!$H3306</f>
        <v>163.30545454545455</v>
      </c>
    </row>
    <row r="3307" spans="1:10" x14ac:dyDescent="0.3">
      <c r="A3307" s="8">
        <v>37736</v>
      </c>
      <c r="B3307" t="str">
        <f>TEXT(Raw_Data!$A3307, "MMM")</f>
        <v>Apr</v>
      </c>
      <c r="C3307">
        <f>YEAR(Raw_Data!$A3307)</f>
        <v>2003</v>
      </c>
      <c r="D3307" t="s">
        <v>1228</v>
      </c>
      <c r="E3307" t="s">
        <v>21</v>
      </c>
      <c r="F3307" t="s">
        <v>18</v>
      </c>
      <c r="G3307">
        <v>2</v>
      </c>
      <c r="H3307">
        <v>2960</v>
      </c>
      <c r="I3307" s="1">
        <v>284202</v>
      </c>
      <c r="J3307" s="1">
        <f>Raw_Data!$I3307/Raw_Data!$H3307</f>
        <v>96.014189189189196</v>
      </c>
    </row>
    <row r="3308" spans="1:10" x14ac:dyDescent="0.3">
      <c r="A3308" s="9">
        <v>42918</v>
      </c>
      <c r="B3308" s="2" t="str">
        <f>TEXT(Raw_Data!$A3308, "MMM")</f>
        <v>Jul</v>
      </c>
      <c r="C3308" s="2">
        <f>YEAR(Raw_Data!$A3308)</f>
        <v>2017</v>
      </c>
      <c r="D3308" s="2" t="s">
        <v>2344</v>
      </c>
      <c r="E3308" s="2" t="s">
        <v>25</v>
      </c>
      <c r="F3308" s="2" t="s">
        <v>18</v>
      </c>
      <c r="G3308" s="2">
        <v>3</v>
      </c>
      <c r="H3308" s="2">
        <v>1236</v>
      </c>
      <c r="I3308" s="10">
        <v>158432</v>
      </c>
      <c r="J3308" s="10">
        <f>Raw_Data!$I3308/Raw_Data!$H3308</f>
        <v>128.18122977346277</v>
      </c>
    </row>
    <row r="3309" spans="1:10" x14ac:dyDescent="0.3">
      <c r="A3309" s="8">
        <v>44136</v>
      </c>
      <c r="B3309" t="str">
        <f>TEXT(Raw_Data!$A3309, "MMM")</f>
        <v>Nov</v>
      </c>
      <c r="C3309">
        <f>YEAR(Raw_Data!$A3309)</f>
        <v>2020</v>
      </c>
      <c r="D3309" t="s">
        <v>1976</v>
      </c>
      <c r="E3309" t="s">
        <v>32</v>
      </c>
      <c r="F3309" t="s">
        <v>11</v>
      </c>
      <c r="H3309">
        <v>1431</v>
      </c>
      <c r="I3309" s="1">
        <v>113611</v>
      </c>
      <c r="J3309" s="1">
        <f>Raw_Data!$I3309/Raw_Data!$H3309</f>
        <v>79.392732354996511</v>
      </c>
    </row>
    <row r="3310" spans="1:10" x14ac:dyDescent="0.3">
      <c r="A3310" s="9">
        <v>43316</v>
      </c>
      <c r="B3310" s="2" t="str">
        <f>TEXT(Raw_Data!$A3310, "MMM")</f>
        <v>Aug</v>
      </c>
      <c r="C3310" s="2">
        <f>YEAR(Raw_Data!$A3310)</f>
        <v>2018</v>
      </c>
      <c r="D3310" s="2" t="s">
        <v>2345</v>
      </c>
      <c r="E3310" s="2" t="s">
        <v>25</v>
      </c>
      <c r="F3310" s="2" t="s">
        <v>18</v>
      </c>
      <c r="G3310" s="2">
        <v>2</v>
      </c>
      <c r="H3310" s="2">
        <v>3381</v>
      </c>
      <c r="I3310" s="10">
        <v>166440</v>
      </c>
      <c r="J3310" s="10">
        <f>Raw_Data!$I3310/Raw_Data!$H3310</f>
        <v>49.228039041703639</v>
      </c>
    </row>
    <row r="3311" spans="1:10" x14ac:dyDescent="0.3">
      <c r="A3311" s="8">
        <v>42420</v>
      </c>
      <c r="B3311" t="str">
        <f>TEXT(Raw_Data!$A3311, "MMM")</f>
        <v>Feb</v>
      </c>
      <c r="C3311">
        <f>YEAR(Raw_Data!$A3311)</f>
        <v>2016</v>
      </c>
      <c r="D3311" t="s">
        <v>1147</v>
      </c>
      <c r="E3311" t="s">
        <v>29</v>
      </c>
      <c r="F3311" t="s">
        <v>18</v>
      </c>
      <c r="G3311">
        <v>4</v>
      </c>
      <c r="H3311">
        <v>3120</v>
      </c>
      <c r="I3311" s="1">
        <v>177928</v>
      </c>
      <c r="J3311" s="1">
        <f>Raw_Data!$I3311/Raw_Data!$H3311</f>
        <v>57.02820512820513</v>
      </c>
    </row>
    <row r="3312" spans="1:10" x14ac:dyDescent="0.3">
      <c r="A3312" s="9">
        <v>41739</v>
      </c>
      <c r="B3312" s="2" t="str">
        <f>TEXT(Raw_Data!$A3312, "MMM")</f>
        <v>Apr</v>
      </c>
      <c r="C3312" s="2">
        <f>YEAR(Raw_Data!$A3312)</f>
        <v>2014</v>
      </c>
      <c r="D3312" s="2" t="s">
        <v>1624</v>
      </c>
      <c r="E3312" s="2" t="s">
        <v>15</v>
      </c>
      <c r="F3312" s="2" t="s">
        <v>11</v>
      </c>
      <c r="G3312" s="2"/>
      <c r="H3312" s="2">
        <v>2269</v>
      </c>
      <c r="I3312" s="10">
        <v>367260</v>
      </c>
      <c r="J3312" s="10">
        <f>Raw_Data!$I3312/Raw_Data!$H3312</f>
        <v>161.85985015425297</v>
      </c>
    </row>
    <row r="3313" spans="1:10" x14ac:dyDescent="0.3">
      <c r="A3313" s="8">
        <v>44009</v>
      </c>
      <c r="B3313" t="str">
        <f>TEXT(Raw_Data!$A3313, "MMM")</f>
        <v>Jun</v>
      </c>
      <c r="C3313">
        <f>YEAR(Raw_Data!$A3313)</f>
        <v>2020</v>
      </c>
      <c r="D3313" t="s">
        <v>2346</v>
      </c>
      <c r="E3313" t="s">
        <v>32</v>
      </c>
      <c r="F3313" t="s">
        <v>27</v>
      </c>
      <c r="G3313">
        <v>2</v>
      </c>
      <c r="H3313">
        <v>1487</v>
      </c>
      <c r="I3313" s="1">
        <v>663705</v>
      </c>
      <c r="J3313" s="1">
        <f>Raw_Data!$I3313/Raw_Data!$H3313</f>
        <v>446.33826496301276</v>
      </c>
    </row>
    <row r="3314" spans="1:10" x14ac:dyDescent="0.3">
      <c r="A3314" s="9">
        <v>42963</v>
      </c>
      <c r="B3314" s="2" t="str">
        <f>TEXT(Raw_Data!$A3314, "MMM")</f>
        <v>Aug</v>
      </c>
      <c r="C3314" s="2">
        <f>YEAR(Raw_Data!$A3314)</f>
        <v>2017</v>
      </c>
      <c r="D3314" s="2" t="s">
        <v>2347</v>
      </c>
      <c r="E3314" s="2" t="s">
        <v>13</v>
      </c>
      <c r="F3314" s="2" t="s">
        <v>18</v>
      </c>
      <c r="G3314" s="2"/>
      <c r="H3314" s="2">
        <v>3320</v>
      </c>
      <c r="I3314" s="10">
        <v>582928</v>
      </c>
      <c r="J3314" s="10">
        <f>Raw_Data!$I3314/Raw_Data!$H3314</f>
        <v>175.58072289156627</v>
      </c>
    </row>
    <row r="3315" spans="1:10" x14ac:dyDescent="0.3">
      <c r="A3315" s="8">
        <v>43810</v>
      </c>
      <c r="B3315" t="str">
        <f>TEXT(Raw_Data!$A3315, "MMM")</f>
        <v>Dec</v>
      </c>
      <c r="C3315">
        <f>YEAR(Raw_Data!$A3315)</f>
        <v>2019</v>
      </c>
      <c r="D3315" t="s">
        <v>2348</v>
      </c>
      <c r="E3315" t="s">
        <v>25</v>
      </c>
      <c r="F3315" t="s">
        <v>11</v>
      </c>
      <c r="G3315">
        <v>3</v>
      </c>
      <c r="H3315">
        <v>1089</v>
      </c>
      <c r="I3315" s="1">
        <v>172271</v>
      </c>
      <c r="J3315" s="1">
        <f>Raw_Data!$I3315/Raw_Data!$H3315</f>
        <v>158.1919191919192</v>
      </c>
    </row>
    <row r="3316" spans="1:10" x14ac:dyDescent="0.3">
      <c r="A3316" s="9">
        <v>39095</v>
      </c>
      <c r="B3316" s="2" t="str">
        <f>TEXT(Raw_Data!$A3316, "MMM")</f>
        <v>Jan</v>
      </c>
      <c r="C3316" s="2">
        <f>YEAR(Raw_Data!$A3316)</f>
        <v>2007</v>
      </c>
      <c r="D3316" s="2" t="s">
        <v>2349</v>
      </c>
      <c r="E3316" s="2" t="s">
        <v>13</v>
      </c>
      <c r="F3316" s="2" t="s">
        <v>18</v>
      </c>
      <c r="G3316" s="2"/>
      <c r="H3316" s="2">
        <v>989</v>
      </c>
      <c r="I3316" s="10">
        <v>376438</v>
      </c>
      <c r="J3316" s="10">
        <f>Raw_Data!$I3316/Raw_Data!$H3316</f>
        <v>380.62487360970675</v>
      </c>
    </row>
    <row r="3317" spans="1:10" x14ac:dyDescent="0.3">
      <c r="A3317" s="8">
        <v>42802</v>
      </c>
      <c r="B3317" t="str">
        <f>TEXT(Raw_Data!$A3317, "MMM")</f>
        <v>Mar</v>
      </c>
      <c r="C3317">
        <f>YEAR(Raw_Data!$A3317)</f>
        <v>2017</v>
      </c>
      <c r="D3317" t="s">
        <v>2350</v>
      </c>
      <c r="E3317" t="s">
        <v>32</v>
      </c>
      <c r="F3317" t="s">
        <v>16</v>
      </c>
      <c r="H3317">
        <v>2414</v>
      </c>
      <c r="I3317" s="1">
        <v>270996</v>
      </c>
      <c r="J3317" s="1">
        <f>Raw_Data!$I3317/Raw_Data!$H3317</f>
        <v>112.26014913007457</v>
      </c>
    </row>
    <row r="3318" spans="1:10" x14ac:dyDescent="0.3">
      <c r="A3318" s="9">
        <v>43260</v>
      </c>
      <c r="B3318" s="2" t="str">
        <f>TEXT(Raw_Data!$A3318, "MMM")</f>
        <v>Jun</v>
      </c>
      <c r="C3318" s="2">
        <f>YEAR(Raw_Data!$A3318)</f>
        <v>2018</v>
      </c>
      <c r="D3318" s="2" t="s">
        <v>146</v>
      </c>
      <c r="E3318" s="2" t="s">
        <v>13</v>
      </c>
      <c r="F3318" s="2" t="s">
        <v>18</v>
      </c>
      <c r="G3318" s="2">
        <v>2</v>
      </c>
      <c r="H3318" s="2">
        <v>1612</v>
      </c>
      <c r="I3318" s="10">
        <v>184674</v>
      </c>
      <c r="J3318" s="10">
        <f>Raw_Data!$I3318/Raw_Data!$H3318</f>
        <v>114.56203473945409</v>
      </c>
    </row>
    <row r="3319" spans="1:10" x14ac:dyDescent="0.3">
      <c r="A3319" s="8">
        <v>42375</v>
      </c>
      <c r="B3319" t="str">
        <f>TEXT(Raw_Data!$A3319, "MMM")</f>
        <v>Jan</v>
      </c>
      <c r="C3319">
        <f>YEAR(Raw_Data!$A3319)</f>
        <v>2016</v>
      </c>
      <c r="D3319" t="s">
        <v>729</v>
      </c>
      <c r="E3319" t="s">
        <v>13</v>
      </c>
      <c r="F3319" t="s">
        <v>11</v>
      </c>
      <c r="G3319">
        <v>4</v>
      </c>
      <c r="H3319">
        <v>2020</v>
      </c>
      <c r="I3319" s="1">
        <v>713715</v>
      </c>
      <c r="J3319" s="1">
        <f>Raw_Data!$I3319/Raw_Data!$H3319</f>
        <v>353.32425742574259</v>
      </c>
    </row>
    <row r="3320" spans="1:10" x14ac:dyDescent="0.3">
      <c r="A3320" s="9">
        <v>38133</v>
      </c>
      <c r="B3320" s="2" t="str">
        <f>TEXT(Raw_Data!$A3320, "MMM")</f>
        <v>May</v>
      </c>
      <c r="C3320" s="2">
        <f>YEAR(Raw_Data!$A3320)</f>
        <v>2004</v>
      </c>
      <c r="D3320" s="2" t="s">
        <v>2351</v>
      </c>
      <c r="E3320" s="2" t="s">
        <v>32</v>
      </c>
      <c r="F3320" s="2" t="s">
        <v>11</v>
      </c>
      <c r="G3320" s="2">
        <v>5</v>
      </c>
      <c r="H3320" s="2">
        <v>3371</v>
      </c>
      <c r="I3320" s="10">
        <v>777761</v>
      </c>
      <c r="J3320" s="10">
        <f>Raw_Data!$I3320/Raw_Data!$H3320</f>
        <v>230.72115099377041</v>
      </c>
    </row>
    <row r="3321" spans="1:10" x14ac:dyDescent="0.3">
      <c r="A3321" s="8">
        <v>41743</v>
      </c>
      <c r="B3321" t="str">
        <f>TEXT(Raw_Data!$A3321, "MMM")</f>
        <v>Apr</v>
      </c>
      <c r="C3321">
        <f>YEAR(Raw_Data!$A3321)</f>
        <v>2014</v>
      </c>
      <c r="D3321" t="s">
        <v>2352</v>
      </c>
      <c r="E3321" t="s">
        <v>15</v>
      </c>
      <c r="F3321" t="s">
        <v>16</v>
      </c>
      <c r="G3321">
        <v>2</v>
      </c>
      <c r="H3321">
        <v>1752</v>
      </c>
      <c r="I3321" s="1">
        <v>745249</v>
      </c>
      <c r="J3321" s="1">
        <f>Raw_Data!$I3321/Raw_Data!$H3321</f>
        <v>425.37043378995435</v>
      </c>
    </row>
    <row r="3322" spans="1:10" x14ac:dyDescent="0.3">
      <c r="A3322" s="9">
        <v>38828</v>
      </c>
      <c r="B3322" s="2" t="str">
        <f>TEXT(Raw_Data!$A3322, "MMM")</f>
        <v>Apr</v>
      </c>
      <c r="C3322" s="2">
        <f>YEAR(Raw_Data!$A3322)</f>
        <v>2006</v>
      </c>
      <c r="D3322" s="2" t="s">
        <v>351</v>
      </c>
      <c r="E3322" s="2" t="s">
        <v>13</v>
      </c>
      <c r="F3322" s="2" t="s">
        <v>16</v>
      </c>
      <c r="G3322" s="2">
        <v>2</v>
      </c>
      <c r="H3322" s="2">
        <v>2435</v>
      </c>
      <c r="I3322" s="10">
        <v>690915</v>
      </c>
      <c r="J3322" s="10">
        <f>Raw_Data!$I3322/Raw_Data!$H3322</f>
        <v>283.74332648870637</v>
      </c>
    </row>
    <row r="3323" spans="1:10" x14ac:dyDescent="0.3">
      <c r="A3323" s="8">
        <v>41217</v>
      </c>
      <c r="B3323" t="str">
        <f>TEXT(Raw_Data!$A3323, "MMM")</f>
        <v>Nov</v>
      </c>
      <c r="C3323">
        <f>YEAR(Raw_Data!$A3323)</f>
        <v>2012</v>
      </c>
      <c r="D3323" t="s">
        <v>2353</v>
      </c>
      <c r="E3323" t="s">
        <v>25</v>
      </c>
      <c r="F3323" t="s">
        <v>16</v>
      </c>
      <c r="G3323">
        <v>2</v>
      </c>
      <c r="H3323">
        <v>3446</v>
      </c>
      <c r="I3323" s="1">
        <v>807096</v>
      </c>
      <c r="J3323" s="1">
        <f>Raw_Data!$I3323/Raw_Data!$H3323</f>
        <v>234.21242019733023</v>
      </c>
    </row>
    <row r="3324" spans="1:10" x14ac:dyDescent="0.3">
      <c r="A3324" s="9">
        <v>39333</v>
      </c>
      <c r="B3324" s="2" t="str">
        <f>TEXT(Raw_Data!$A3324, "MMM")</f>
        <v>Sep</v>
      </c>
      <c r="C3324" s="2">
        <f>YEAR(Raw_Data!$A3324)</f>
        <v>2007</v>
      </c>
      <c r="D3324" s="2" t="s">
        <v>1828</v>
      </c>
      <c r="E3324" s="2" t="s">
        <v>25</v>
      </c>
      <c r="F3324" s="2" t="s">
        <v>18</v>
      </c>
      <c r="G3324" s="2"/>
      <c r="H3324" s="2">
        <v>1112</v>
      </c>
      <c r="I3324" s="10">
        <v>719046</v>
      </c>
      <c r="J3324" s="10">
        <f>Raw_Data!$I3324/Raw_Data!$H3324</f>
        <v>646.6241007194244</v>
      </c>
    </row>
    <row r="3325" spans="1:10" x14ac:dyDescent="0.3">
      <c r="A3325" s="8">
        <v>42485</v>
      </c>
      <c r="B3325" t="str">
        <f>TEXT(Raw_Data!$A3325, "MMM")</f>
        <v>Apr</v>
      </c>
      <c r="C3325">
        <f>YEAR(Raw_Data!$A3325)</f>
        <v>2016</v>
      </c>
      <c r="D3325" t="s">
        <v>1398</v>
      </c>
      <c r="E3325" t="s">
        <v>15</v>
      </c>
      <c r="F3325" t="s">
        <v>16</v>
      </c>
      <c r="G3325">
        <v>3</v>
      </c>
      <c r="H3325">
        <v>2433</v>
      </c>
      <c r="I3325" s="1">
        <v>666945</v>
      </c>
      <c r="J3325" s="1">
        <f>Raw_Data!$I3325/Raw_Data!$H3325</f>
        <v>274.12453760789151</v>
      </c>
    </row>
    <row r="3326" spans="1:10" x14ac:dyDescent="0.3">
      <c r="A3326" s="9">
        <v>43794</v>
      </c>
      <c r="B3326" s="2" t="str">
        <f>TEXT(Raw_Data!$A3326, "MMM")</f>
        <v>Nov</v>
      </c>
      <c r="C3326" s="2">
        <f>YEAR(Raw_Data!$A3326)</f>
        <v>2019</v>
      </c>
      <c r="D3326" s="2" t="s">
        <v>2354</v>
      </c>
      <c r="E3326" s="2" t="s">
        <v>32</v>
      </c>
      <c r="F3326" s="2" t="s">
        <v>11</v>
      </c>
      <c r="G3326" s="2">
        <v>4</v>
      </c>
      <c r="H3326" s="2">
        <v>1811</v>
      </c>
      <c r="I3326" s="10"/>
      <c r="J3326" s="10">
        <f>Raw_Data!$I3326/Raw_Data!$H3326</f>
        <v>0</v>
      </c>
    </row>
    <row r="3327" spans="1:10" x14ac:dyDescent="0.3">
      <c r="A3327" s="8">
        <v>37552</v>
      </c>
      <c r="B3327" t="str">
        <f>TEXT(Raw_Data!$A3327, "MMM")</f>
        <v>Oct</v>
      </c>
      <c r="C3327">
        <f>YEAR(Raw_Data!$A3327)</f>
        <v>2002</v>
      </c>
      <c r="D3327" t="s">
        <v>928</v>
      </c>
      <c r="E3327" t="s">
        <v>25</v>
      </c>
      <c r="F3327" t="s">
        <v>27</v>
      </c>
      <c r="G3327">
        <v>4</v>
      </c>
      <c r="H3327">
        <v>2222</v>
      </c>
      <c r="I3327" s="1">
        <v>280556</v>
      </c>
      <c r="J3327" s="1">
        <f>Raw_Data!$I3327/Raw_Data!$H3327</f>
        <v>126.26282628262827</v>
      </c>
    </row>
    <row r="3328" spans="1:10" x14ac:dyDescent="0.3">
      <c r="A3328" s="9">
        <v>43546</v>
      </c>
      <c r="B3328" s="2" t="str">
        <f>TEXT(Raw_Data!$A3328, "MMM")</f>
        <v>Mar</v>
      </c>
      <c r="C3328" s="2">
        <f>YEAR(Raw_Data!$A3328)</f>
        <v>2019</v>
      </c>
      <c r="D3328" s="2" t="s">
        <v>2355</v>
      </c>
      <c r="E3328" s="2" t="s">
        <v>15</v>
      </c>
      <c r="F3328" s="2" t="s">
        <v>18</v>
      </c>
      <c r="G3328" s="2">
        <v>3</v>
      </c>
      <c r="H3328" s="2">
        <v>2089</v>
      </c>
      <c r="I3328" s="10">
        <v>169607</v>
      </c>
      <c r="J3328" s="10">
        <f>Raw_Data!$I3328/Raw_Data!$H3328</f>
        <v>81.190521780756342</v>
      </c>
    </row>
    <row r="3329" spans="1:10" x14ac:dyDescent="0.3">
      <c r="A3329" s="8">
        <v>43657</v>
      </c>
      <c r="B3329" t="str">
        <f>TEXT(Raw_Data!$A3329, "MMM")</f>
        <v>Jul</v>
      </c>
      <c r="C3329">
        <f>YEAR(Raw_Data!$A3329)</f>
        <v>2019</v>
      </c>
      <c r="D3329" t="s">
        <v>718</v>
      </c>
      <c r="E3329" t="s">
        <v>32</v>
      </c>
      <c r="F3329" t="s">
        <v>16</v>
      </c>
      <c r="G3329">
        <v>5</v>
      </c>
      <c r="H3329">
        <v>1064</v>
      </c>
      <c r="I3329" s="1">
        <v>605402</v>
      </c>
      <c r="J3329" s="1">
        <f>Raw_Data!$I3329/Raw_Data!$H3329</f>
        <v>568.98684210526312</v>
      </c>
    </row>
    <row r="3330" spans="1:10" x14ac:dyDescent="0.3">
      <c r="A3330" s="9">
        <v>37578</v>
      </c>
      <c r="B3330" s="2" t="str">
        <f>TEXT(Raw_Data!$A3330, "MMM")</f>
        <v>Nov</v>
      </c>
      <c r="C3330" s="2">
        <f>YEAR(Raw_Data!$A3330)</f>
        <v>2002</v>
      </c>
      <c r="D3330" s="2" t="s">
        <v>2356</v>
      </c>
      <c r="E3330" s="2" t="s">
        <v>15</v>
      </c>
      <c r="F3330" s="2" t="s">
        <v>11</v>
      </c>
      <c r="G3330" s="2">
        <v>4</v>
      </c>
      <c r="H3330" s="2">
        <v>2770</v>
      </c>
      <c r="I3330" s="10">
        <v>791004</v>
      </c>
      <c r="J3330" s="10">
        <f>Raw_Data!$I3330/Raw_Data!$H3330</f>
        <v>285.5610108303249</v>
      </c>
    </row>
    <row r="3331" spans="1:10" x14ac:dyDescent="0.3">
      <c r="A3331" s="8">
        <v>38992</v>
      </c>
      <c r="B3331" t="str">
        <f>TEXT(Raw_Data!$A3331, "MMM")</f>
        <v>Oct</v>
      </c>
      <c r="C3331">
        <f>YEAR(Raw_Data!$A3331)</f>
        <v>2006</v>
      </c>
      <c r="D3331" t="s">
        <v>1822</v>
      </c>
      <c r="E3331" t="s">
        <v>32</v>
      </c>
      <c r="F3331" t="s">
        <v>16</v>
      </c>
      <c r="H3331">
        <v>2686</v>
      </c>
      <c r="I3331" s="1">
        <v>673967</v>
      </c>
      <c r="J3331" s="1">
        <f>Raw_Data!$I3331/Raw_Data!$H3331</f>
        <v>250.91846612062545</v>
      </c>
    </row>
    <row r="3332" spans="1:10" x14ac:dyDescent="0.3">
      <c r="A3332" s="9">
        <v>40853</v>
      </c>
      <c r="B3332" s="2" t="str">
        <f>TEXT(Raw_Data!$A3332, "MMM")</f>
        <v>Nov</v>
      </c>
      <c r="C3332" s="2">
        <f>YEAR(Raw_Data!$A3332)</f>
        <v>2011</v>
      </c>
      <c r="D3332" s="2" t="s">
        <v>2357</v>
      </c>
      <c r="E3332" s="2" t="s">
        <v>15</v>
      </c>
      <c r="F3332" s="2" t="s">
        <v>11</v>
      </c>
      <c r="G3332" s="2"/>
      <c r="H3332" s="2">
        <v>843</v>
      </c>
      <c r="I3332" s="10">
        <v>763960</v>
      </c>
      <c r="J3332" s="10">
        <f>Raw_Data!$I3332/Raw_Data!$H3332</f>
        <v>906.23962040332151</v>
      </c>
    </row>
    <row r="3333" spans="1:10" x14ac:dyDescent="0.3">
      <c r="A3333" s="8">
        <v>37891</v>
      </c>
      <c r="B3333" t="str">
        <f>TEXT(Raw_Data!$A3333, "MMM")</f>
        <v>Sep</v>
      </c>
      <c r="C3333">
        <f>YEAR(Raw_Data!$A3333)</f>
        <v>2003</v>
      </c>
      <c r="D3333" t="s">
        <v>2358</v>
      </c>
      <c r="E3333" t="s">
        <v>32</v>
      </c>
      <c r="F3333" t="s">
        <v>16</v>
      </c>
      <c r="H3333">
        <v>2914</v>
      </c>
      <c r="I3333" s="1">
        <v>610747</v>
      </c>
      <c r="J3333" s="1">
        <f>Raw_Data!$I3333/Raw_Data!$H3333</f>
        <v>209.59059711736444</v>
      </c>
    </row>
    <row r="3334" spans="1:10" x14ac:dyDescent="0.3">
      <c r="A3334" s="9">
        <v>43850</v>
      </c>
      <c r="B3334" s="2" t="str">
        <f>TEXT(Raw_Data!$A3334, "MMM")</f>
        <v>Jan</v>
      </c>
      <c r="C3334" s="2">
        <f>YEAR(Raw_Data!$A3334)</f>
        <v>2020</v>
      </c>
      <c r="D3334" s="2" t="s">
        <v>1453</v>
      </c>
      <c r="E3334" s="2" t="s">
        <v>15</v>
      </c>
      <c r="F3334" s="2" t="s">
        <v>16</v>
      </c>
      <c r="G3334" s="2">
        <v>4</v>
      </c>
      <c r="H3334" s="2">
        <v>1525</v>
      </c>
      <c r="I3334" s="10">
        <v>487990</v>
      </c>
      <c r="J3334" s="10">
        <f>Raw_Data!$I3334/Raw_Data!$H3334</f>
        <v>319.99344262295079</v>
      </c>
    </row>
    <row r="3335" spans="1:10" x14ac:dyDescent="0.3">
      <c r="A3335" s="8">
        <v>38780</v>
      </c>
      <c r="B3335" t="str">
        <f>TEXT(Raw_Data!$A3335, "MMM")</f>
        <v>Mar</v>
      </c>
      <c r="C3335">
        <f>YEAR(Raw_Data!$A3335)</f>
        <v>2006</v>
      </c>
      <c r="D3335" t="s">
        <v>2359</v>
      </c>
      <c r="E3335" t="s">
        <v>32</v>
      </c>
      <c r="F3335" t="s">
        <v>27</v>
      </c>
      <c r="G3335">
        <v>3</v>
      </c>
      <c r="H3335">
        <v>1451</v>
      </c>
      <c r="I3335" s="1">
        <v>495170</v>
      </c>
      <c r="J3335" s="1">
        <f>Raw_Data!$I3335/Raw_Data!$H3335</f>
        <v>341.26119917298416</v>
      </c>
    </row>
    <row r="3336" spans="1:10" x14ac:dyDescent="0.3">
      <c r="A3336" s="9">
        <v>42927</v>
      </c>
      <c r="B3336" s="2" t="str">
        <f>TEXT(Raw_Data!$A3336, "MMM")</f>
        <v>Jul</v>
      </c>
      <c r="C3336" s="2">
        <f>YEAR(Raw_Data!$A3336)</f>
        <v>2017</v>
      </c>
      <c r="D3336" s="2" t="s">
        <v>1925</v>
      </c>
      <c r="E3336" s="2" t="s">
        <v>32</v>
      </c>
      <c r="F3336" s="2" t="s">
        <v>27</v>
      </c>
      <c r="G3336" s="2"/>
      <c r="H3336" s="2">
        <v>2450</v>
      </c>
      <c r="I3336" s="10">
        <v>672576</v>
      </c>
      <c r="J3336" s="10">
        <f>Raw_Data!$I3336/Raw_Data!$H3336</f>
        <v>274.52081632653062</v>
      </c>
    </row>
    <row r="3337" spans="1:10" x14ac:dyDescent="0.3">
      <c r="A3337" s="8">
        <v>37122</v>
      </c>
      <c r="B3337" t="str">
        <f>TEXT(Raw_Data!$A3337, "MMM")</f>
        <v>Aug</v>
      </c>
      <c r="C3337">
        <f>YEAR(Raw_Data!$A3337)</f>
        <v>2001</v>
      </c>
      <c r="D3337" t="s">
        <v>75</v>
      </c>
      <c r="E3337" t="s">
        <v>23</v>
      </c>
      <c r="F3337" t="s">
        <v>27</v>
      </c>
      <c r="G3337">
        <v>5</v>
      </c>
      <c r="H3337">
        <v>847</v>
      </c>
      <c r="I3337" s="1">
        <v>332757</v>
      </c>
      <c r="J3337" s="1">
        <f>Raw_Data!$I3337/Raw_Data!$H3337</f>
        <v>392.86540731995279</v>
      </c>
    </row>
    <row r="3338" spans="1:10" x14ac:dyDescent="0.3">
      <c r="A3338" s="9">
        <v>42673</v>
      </c>
      <c r="B3338" s="2" t="str">
        <f>TEXT(Raw_Data!$A3338, "MMM")</f>
        <v>Oct</v>
      </c>
      <c r="C3338" s="2">
        <f>YEAR(Raw_Data!$A3338)</f>
        <v>2016</v>
      </c>
      <c r="D3338" s="2" t="s">
        <v>1081</v>
      </c>
      <c r="E3338" s="2" t="s">
        <v>13</v>
      </c>
      <c r="F3338" s="2" t="s">
        <v>18</v>
      </c>
      <c r="G3338" s="2"/>
      <c r="H3338" s="2">
        <v>2061</v>
      </c>
      <c r="I3338" s="10">
        <v>669090</v>
      </c>
      <c r="J3338" s="10">
        <f>Raw_Data!$I3338/Raw_Data!$H3338</f>
        <v>324.64337700145558</v>
      </c>
    </row>
    <row r="3339" spans="1:10" x14ac:dyDescent="0.3">
      <c r="A3339" s="8">
        <v>38732</v>
      </c>
      <c r="B3339" t="str">
        <f>TEXT(Raw_Data!$A3339, "MMM")</f>
        <v>Jan</v>
      </c>
      <c r="C3339">
        <f>YEAR(Raw_Data!$A3339)</f>
        <v>2006</v>
      </c>
      <c r="D3339" t="s">
        <v>594</v>
      </c>
      <c r="E3339" t="s">
        <v>23</v>
      </c>
      <c r="F3339" t="s">
        <v>16</v>
      </c>
      <c r="G3339">
        <v>5</v>
      </c>
      <c r="H3339">
        <v>891</v>
      </c>
      <c r="I3339" s="1">
        <v>208099</v>
      </c>
      <c r="J3339" s="1">
        <f>Raw_Data!$I3339/Raw_Data!$H3339</f>
        <v>233.55667789001123</v>
      </c>
    </row>
    <row r="3340" spans="1:10" x14ac:dyDescent="0.3">
      <c r="A3340" s="9">
        <v>40444</v>
      </c>
      <c r="B3340" s="2" t="str">
        <f>TEXT(Raw_Data!$A3340, "MMM")</f>
        <v>Sep</v>
      </c>
      <c r="C3340" s="2">
        <f>YEAR(Raw_Data!$A3340)</f>
        <v>2010</v>
      </c>
      <c r="D3340" s="2" t="s">
        <v>174</v>
      </c>
      <c r="E3340" s="2" t="s">
        <v>32</v>
      </c>
      <c r="F3340" s="2" t="s">
        <v>18</v>
      </c>
      <c r="G3340" s="2">
        <v>5</v>
      </c>
      <c r="H3340" s="2">
        <v>1631</v>
      </c>
      <c r="I3340" s="10">
        <v>504776</v>
      </c>
      <c r="J3340" s="10">
        <f>Raw_Data!$I3340/Raw_Data!$H3340</f>
        <v>309.48865726548132</v>
      </c>
    </row>
    <row r="3341" spans="1:10" x14ac:dyDescent="0.3">
      <c r="A3341" s="8">
        <v>41342</v>
      </c>
      <c r="B3341" t="str">
        <f>TEXT(Raw_Data!$A3341, "MMM")</f>
        <v>Mar</v>
      </c>
      <c r="C3341">
        <f>YEAR(Raw_Data!$A3341)</f>
        <v>2013</v>
      </c>
      <c r="D3341" t="s">
        <v>2360</v>
      </c>
      <c r="E3341" t="s">
        <v>15</v>
      </c>
      <c r="F3341" t="s">
        <v>16</v>
      </c>
      <c r="H3341">
        <v>1424</v>
      </c>
      <c r="I3341" s="1">
        <v>384848</v>
      </c>
      <c r="J3341" s="1">
        <f>Raw_Data!$I3341/Raw_Data!$H3341</f>
        <v>270.25842696629212</v>
      </c>
    </row>
    <row r="3342" spans="1:10" x14ac:dyDescent="0.3">
      <c r="A3342" s="9">
        <v>39464</v>
      </c>
      <c r="B3342" s="2" t="str">
        <f>TEXT(Raw_Data!$A3342, "MMM")</f>
        <v>Jan</v>
      </c>
      <c r="C3342" s="2">
        <f>YEAR(Raw_Data!$A3342)</f>
        <v>2008</v>
      </c>
      <c r="D3342" s="2" t="s">
        <v>2361</v>
      </c>
      <c r="E3342" s="2" t="s">
        <v>15</v>
      </c>
      <c r="F3342" s="2" t="s">
        <v>11</v>
      </c>
      <c r="G3342" s="2">
        <v>4</v>
      </c>
      <c r="H3342" s="2">
        <v>1578</v>
      </c>
      <c r="I3342" s="10"/>
      <c r="J3342" s="10">
        <f>Raw_Data!$I3342/Raw_Data!$H3342</f>
        <v>0</v>
      </c>
    </row>
    <row r="3343" spans="1:10" x14ac:dyDescent="0.3">
      <c r="A3343" s="8">
        <v>40669</v>
      </c>
      <c r="B3343" t="str">
        <f>TEXT(Raw_Data!$A3343, "MMM")</f>
        <v>May</v>
      </c>
      <c r="C3343">
        <f>YEAR(Raw_Data!$A3343)</f>
        <v>2011</v>
      </c>
      <c r="D3343" t="s">
        <v>1585</v>
      </c>
      <c r="E3343" t="s">
        <v>21</v>
      </c>
      <c r="F3343" t="s">
        <v>18</v>
      </c>
      <c r="G3343">
        <v>4</v>
      </c>
      <c r="H3343">
        <v>1622</v>
      </c>
      <c r="I3343" s="1">
        <v>528829</v>
      </c>
      <c r="J3343" s="1">
        <f>Raw_Data!$I3343/Raw_Data!$H3343</f>
        <v>326.03514180024661</v>
      </c>
    </row>
    <row r="3344" spans="1:10" x14ac:dyDescent="0.3">
      <c r="A3344" s="9">
        <v>41102</v>
      </c>
      <c r="B3344" s="2" t="str">
        <f>TEXT(Raw_Data!$A3344, "MMM")</f>
        <v>Jul</v>
      </c>
      <c r="C3344" s="2">
        <f>YEAR(Raw_Data!$A3344)</f>
        <v>2012</v>
      </c>
      <c r="D3344" s="2" t="s">
        <v>1258</v>
      </c>
      <c r="E3344" s="2" t="s">
        <v>25</v>
      </c>
      <c r="F3344" s="2" t="s">
        <v>27</v>
      </c>
      <c r="G3344" s="2">
        <v>3</v>
      </c>
      <c r="H3344" s="2">
        <v>3090</v>
      </c>
      <c r="I3344" s="10">
        <v>297863</v>
      </c>
      <c r="J3344" s="10">
        <f>Raw_Data!$I3344/Raw_Data!$H3344</f>
        <v>96.395792880258895</v>
      </c>
    </row>
    <row r="3345" spans="1:10" x14ac:dyDescent="0.3">
      <c r="A3345" s="8">
        <v>37663</v>
      </c>
      <c r="B3345" t="str">
        <f>TEXT(Raw_Data!$A3345, "MMM")</f>
        <v>Feb</v>
      </c>
      <c r="C3345">
        <f>YEAR(Raw_Data!$A3345)</f>
        <v>2003</v>
      </c>
      <c r="D3345" t="s">
        <v>2362</v>
      </c>
      <c r="E3345" t="s">
        <v>21</v>
      </c>
      <c r="F3345" t="s">
        <v>27</v>
      </c>
      <c r="G3345">
        <v>3</v>
      </c>
      <c r="H3345">
        <v>2069</v>
      </c>
      <c r="I3345" s="1">
        <v>821978</v>
      </c>
      <c r="J3345" s="1">
        <f>Raw_Data!$I3345/Raw_Data!$H3345</f>
        <v>397.28274528757856</v>
      </c>
    </row>
    <row r="3346" spans="1:10" x14ac:dyDescent="0.3">
      <c r="A3346" s="9">
        <v>40020</v>
      </c>
      <c r="B3346" s="2" t="str">
        <f>TEXT(Raw_Data!$A3346, "MMM")</f>
        <v>Jul</v>
      </c>
      <c r="C3346" s="2">
        <f>YEAR(Raw_Data!$A3346)</f>
        <v>2009</v>
      </c>
      <c r="D3346" s="2" t="s">
        <v>2363</v>
      </c>
      <c r="E3346" s="2" t="s">
        <v>21</v>
      </c>
      <c r="F3346" s="2" t="s">
        <v>27</v>
      </c>
      <c r="G3346" s="2">
        <v>2</v>
      </c>
      <c r="H3346" s="2">
        <v>1859</v>
      </c>
      <c r="I3346" s="10">
        <v>594657</v>
      </c>
      <c r="J3346" s="10">
        <f>Raw_Data!$I3346/Raw_Data!$H3346</f>
        <v>319.88004303388919</v>
      </c>
    </row>
    <row r="3347" spans="1:10" x14ac:dyDescent="0.3">
      <c r="A3347" s="8">
        <v>40187</v>
      </c>
      <c r="B3347" t="str">
        <f>TEXT(Raw_Data!$A3347, "MMM")</f>
        <v>Jan</v>
      </c>
      <c r="C3347">
        <f>YEAR(Raw_Data!$A3347)</f>
        <v>2010</v>
      </c>
      <c r="D3347" t="s">
        <v>2364</v>
      </c>
      <c r="E3347" t="s">
        <v>32</v>
      </c>
      <c r="F3347" t="s">
        <v>11</v>
      </c>
      <c r="H3347">
        <v>3240</v>
      </c>
      <c r="I3347" s="1">
        <v>592821</v>
      </c>
      <c r="J3347" s="1">
        <f>Raw_Data!$I3347/Raw_Data!$H3347</f>
        <v>182.96944444444443</v>
      </c>
    </row>
    <row r="3348" spans="1:10" x14ac:dyDescent="0.3">
      <c r="A3348" s="9">
        <v>41245</v>
      </c>
      <c r="B3348" s="2" t="str">
        <f>TEXT(Raw_Data!$A3348, "MMM")</f>
        <v>Dec</v>
      </c>
      <c r="C3348" s="2">
        <f>YEAR(Raw_Data!$A3348)</f>
        <v>2012</v>
      </c>
      <c r="D3348" s="2" t="s">
        <v>1092</v>
      </c>
      <c r="E3348" s="2" t="s">
        <v>32</v>
      </c>
      <c r="F3348" s="2" t="s">
        <v>11</v>
      </c>
      <c r="G3348" s="2"/>
      <c r="H3348" s="2">
        <v>2459</v>
      </c>
      <c r="I3348" s="10">
        <v>700855</v>
      </c>
      <c r="J3348" s="10">
        <f>Raw_Data!$I3348/Raw_Data!$H3348</f>
        <v>285.01626677511183</v>
      </c>
    </row>
    <row r="3349" spans="1:10" x14ac:dyDescent="0.3">
      <c r="A3349" s="8">
        <v>40092</v>
      </c>
      <c r="B3349" t="str">
        <f>TEXT(Raw_Data!$A3349, "MMM")</f>
        <v>Oct</v>
      </c>
      <c r="C3349">
        <f>YEAR(Raw_Data!$A3349)</f>
        <v>2009</v>
      </c>
      <c r="D3349" t="s">
        <v>2365</v>
      </c>
      <c r="E3349" t="s">
        <v>32</v>
      </c>
      <c r="F3349" t="s">
        <v>16</v>
      </c>
      <c r="G3349">
        <v>2</v>
      </c>
      <c r="H3349">
        <v>3460</v>
      </c>
      <c r="I3349" s="1">
        <v>217700</v>
      </c>
      <c r="J3349" s="1">
        <f>Raw_Data!$I3349/Raw_Data!$H3349</f>
        <v>62.919075144508668</v>
      </c>
    </row>
    <row r="3350" spans="1:10" x14ac:dyDescent="0.3">
      <c r="A3350" s="9">
        <v>40025</v>
      </c>
      <c r="B3350" s="2" t="str">
        <f>TEXT(Raw_Data!$A3350, "MMM")</f>
        <v>Jul</v>
      </c>
      <c r="C3350" s="2">
        <f>YEAR(Raw_Data!$A3350)</f>
        <v>2009</v>
      </c>
      <c r="D3350" s="2" t="s">
        <v>38</v>
      </c>
      <c r="E3350" s="2" t="s">
        <v>13</v>
      </c>
      <c r="F3350" s="2" t="s">
        <v>11</v>
      </c>
      <c r="G3350" s="2">
        <v>5</v>
      </c>
      <c r="H3350" s="2">
        <v>844</v>
      </c>
      <c r="I3350" s="10">
        <v>673962</v>
      </c>
      <c r="J3350" s="10">
        <f>Raw_Data!$I3350/Raw_Data!$H3350</f>
        <v>798.53317535545023</v>
      </c>
    </row>
    <row r="3351" spans="1:10" x14ac:dyDescent="0.3">
      <c r="A3351" s="8">
        <v>41437</v>
      </c>
      <c r="B3351" t="str">
        <f>TEXT(Raw_Data!$A3351, "MMM")</f>
        <v>Jun</v>
      </c>
      <c r="C3351">
        <f>YEAR(Raw_Data!$A3351)</f>
        <v>2013</v>
      </c>
      <c r="D3351" t="s">
        <v>2023</v>
      </c>
      <c r="E3351" t="s">
        <v>21</v>
      </c>
      <c r="F3351" t="s">
        <v>18</v>
      </c>
      <c r="G3351">
        <v>2</v>
      </c>
      <c r="H3351">
        <v>2485</v>
      </c>
      <c r="I3351" s="1"/>
      <c r="J3351" s="1">
        <f>Raw_Data!$I3351/Raw_Data!$H3351</f>
        <v>0</v>
      </c>
    </row>
    <row r="3352" spans="1:10" x14ac:dyDescent="0.3">
      <c r="A3352" s="9">
        <v>37657</v>
      </c>
      <c r="B3352" s="2" t="str">
        <f>TEXT(Raw_Data!$A3352, "MMM")</f>
        <v>Feb</v>
      </c>
      <c r="C3352" s="2">
        <f>YEAR(Raw_Data!$A3352)</f>
        <v>2003</v>
      </c>
      <c r="D3352" s="2" t="s">
        <v>2366</v>
      </c>
      <c r="E3352" s="2" t="s">
        <v>15</v>
      </c>
      <c r="F3352" s="2" t="s">
        <v>18</v>
      </c>
      <c r="G3352" s="2"/>
      <c r="H3352" s="2">
        <v>3075</v>
      </c>
      <c r="I3352" s="10">
        <v>829231</v>
      </c>
      <c r="J3352" s="10">
        <f>Raw_Data!$I3352/Raw_Data!$H3352</f>
        <v>269.66861788617888</v>
      </c>
    </row>
    <row r="3353" spans="1:10" x14ac:dyDescent="0.3">
      <c r="A3353" s="8">
        <v>41069</v>
      </c>
      <c r="B3353" t="str">
        <f>TEXT(Raw_Data!$A3353, "MMM")</f>
        <v>Jun</v>
      </c>
      <c r="C3353">
        <f>YEAR(Raw_Data!$A3353)</f>
        <v>2012</v>
      </c>
      <c r="D3353" t="s">
        <v>2367</v>
      </c>
      <c r="E3353" t="s">
        <v>25</v>
      </c>
      <c r="F3353" t="s">
        <v>27</v>
      </c>
      <c r="G3353">
        <v>3</v>
      </c>
      <c r="H3353">
        <v>3446</v>
      </c>
      <c r="I3353" s="1">
        <v>659722</v>
      </c>
      <c r="J3353" s="1">
        <f>Raw_Data!$I3353/Raw_Data!$H3353</f>
        <v>191.44573418456181</v>
      </c>
    </row>
    <row r="3354" spans="1:10" x14ac:dyDescent="0.3">
      <c r="A3354" s="9">
        <v>39436</v>
      </c>
      <c r="B3354" s="2" t="str">
        <f>TEXT(Raw_Data!$A3354, "MMM")</f>
        <v>Dec</v>
      </c>
      <c r="C3354" s="2">
        <f>YEAR(Raw_Data!$A3354)</f>
        <v>2007</v>
      </c>
      <c r="D3354" s="2" t="s">
        <v>2368</v>
      </c>
      <c r="E3354" s="2" t="s">
        <v>23</v>
      </c>
      <c r="F3354" s="2" t="s">
        <v>18</v>
      </c>
      <c r="G3354" s="2"/>
      <c r="H3354" s="2">
        <v>1956</v>
      </c>
      <c r="I3354" s="10">
        <v>713283</v>
      </c>
      <c r="J3354" s="10">
        <f>Raw_Data!$I3354/Raw_Data!$H3354</f>
        <v>364.66411042944787</v>
      </c>
    </row>
    <row r="3355" spans="1:10" x14ac:dyDescent="0.3">
      <c r="A3355" s="8">
        <v>39860</v>
      </c>
      <c r="B3355" t="str">
        <f>TEXT(Raw_Data!$A3355, "MMM")</f>
        <v>Feb</v>
      </c>
      <c r="C3355">
        <f>YEAR(Raw_Data!$A3355)</f>
        <v>2009</v>
      </c>
      <c r="D3355" t="s">
        <v>104</v>
      </c>
      <c r="E3355" t="s">
        <v>29</v>
      </c>
      <c r="F3355" t="s">
        <v>18</v>
      </c>
      <c r="G3355">
        <v>5</v>
      </c>
      <c r="H3355">
        <v>3030</v>
      </c>
      <c r="I3355" s="1">
        <v>373957</v>
      </c>
      <c r="J3355" s="1">
        <f>Raw_Data!$I3355/Raw_Data!$H3355</f>
        <v>123.41815181518152</v>
      </c>
    </row>
    <row r="3356" spans="1:10" x14ac:dyDescent="0.3">
      <c r="A3356" s="9">
        <v>43221</v>
      </c>
      <c r="B3356" s="2" t="str">
        <f>TEXT(Raw_Data!$A3356, "MMM")</f>
        <v>May</v>
      </c>
      <c r="C3356" s="2">
        <f>YEAR(Raw_Data!$A3356)</f>
        <v>2018</v>
      </c>
      <c r="D3356" s="2" t="s">
        <v>2369</v>
      </c>
      <c r="E3356" s="2" t="s">
        <v>15</v>
      </c>
      <c r="F3356" s="2" t="s">
        <v>16</v>
      </c>
      <c r="G3356" s="2">
        <v>2</v>
      </c>
      <c r="H3356" s="2">
        <v>1337</v>
      </c>
      <c r="I3356" s="10">
        <v>746626</v>
      </c>
      <c r="J3356" s="10">
        <f>Raw_Data!$I3356/Raw_Data!$H3356</f>
        <v>558.43380703066566</v>
      </c>
    </row>
    <row r="3357" spans="1:10" x14ac:dyDescent="0.3">
      <c r="A3357" s="8">
        <v>38326</v>
      </c>
      <c r="B3357" t="str">
        <f>TEXT(Raw_Data!$A3357, "MMM")</f>
        <v>Dec</v>
      </c>
      <c r="C3357">
        <f>YEAR(Raw_Data!$A3357)</f>
        <v>2004</v>
      </c>
      <c r="D3357" t="s">
        <v>2261</v>
      </c>
      <c r="E3357" t="s">
        <v>32</v>
      </c>
      <c r="F3357" t="s">
        <v>16</v>
      </c>
      <c r="G3357">
        <v>4</v>
      </c>
      <c r="H3357">
        <v>3460</v>
      </c>
      <c r="I3357" s="1">
        <v>623447</v>
      </c>
      <c r="J3357" s="1">
        <f>Raw_Data!$I3357/Raw_Data!$H3357</f>
        <v>180.18699421965317</v>
      </c>
    </row>
    <row r="3358" spans="1:10" x14ac:dyDescent="0.3">
      <c r="A3358" s="9">
        <v>38169</v>
      </c>
      <c r="B3358" s="2" t="str">
        <f>TEXT(Raw_Data!$A3358, "MMM")</f>
        <v>Jul</v>
      </c>
      <c r="C3358" s="2">
        <f>YEAR(Raw_Data!$A3358)</f>
        <v>2004</v>
      </c>
      <c r="D3358" s="2" t="s">
        <v>1491</v>
      </c>
      <c r="E3358" s="2" t="s">
        <v>23</v>
      </c>
      <c r="F3358" s="2" t="s">
        <v>11</v>
      </c>
      <c r="G3358" s="2">
        <v>5</v>
      </c>
      <c r="H3358" s="2">
        <v>2005</v>
      </c>
      <c r="I3358" s="10">
        <v>778785</v>
      </c>
      <c r="J3358" s="10">
        <f>Raw_Data!$I3358/Raw_Data!$H3358</f>
        <v>388.42144638403988</v>
      </c>
    </row>
    <row r="3359" spans="1:10" x14ac:dyDescent="0.3">
      <c r="A3359" s="8">
        <v>41007</v>
      </c>
      <c r="B3359" t="str">
        <f>TEXT(Raw_Data!$A3359, "MMM")</f>
        <v>Apr</v>
      </c>
      <c r="C3359">
        <f>YEAR(Raw_Data!$A3359)</f>
        <v>2012</v>
      </c>
      <c r="D3359" t="s">
        <v>174</v>
      </c>
      <c r="E3359" t="s">
        <v>25</v>
      </c>
      <c r="F3359" t="s">
        <v>27</v>
      </c>
      <c r="G3359">
        <v>5</v>
      </c>
      <c r="H3359">
        <v>880</v>
      </c>
      <c r="I3359" s="1">
        <v>818149</v>
      </c>
      <c r="J3359" s="1">
        <f>Raw_Data!$I3359/Raw_Data!$H3359</f>
        <v>929.7147727272727</v>
      </c>
    </row>
    <row r="3360" spans="1:10" x14ac:dyDescent="0.3">
      <c r="A3360" s="9">
        <v>40414</v>
      </c>
      <c r="B3360" s="2" t="str">
        <f>TEXT(Raw_Data!$A3360, "MMM")</f>
        <v>Aug</v>
      </c>
      <c r="C3360" s="2">
        <f>YEAR(Raw_Data!$A3360)</f>
        <v>2010</v>
      </c>
      <c r="D3360" s="2" t="s">
        <v>2370</v>
      </c>
      <c r="E3360" s="2" t="s">
        <v>15</v>
      </c>
      <c r="F3360" s="2" t="s">
        <v>16</v>
      </c>
      <c r="G3360" s="2">
        <v>2</v>
      </c>
      <c r="H3360" s="2">
        <v>1328</v>
      </c>
      <c r="I3360" s="10">
        <v>882417</v>
      </c>
      <c r="J3360" s="10">
        <f>Raw_Data!$I3360/Raw_Data!$H3360</f>
        <v>664.4706325301205</v>
      </c>
    </row>
    <row r="3361" spans="1:10" x14ac:dyDescent="0.3">
      <c r="A3361" s="8">
        <v>42515</v>
      </c>
      <c r="B3361" t="str">
        <f>TEXT(Raw_Data!$A3361, "MMM")</f>
        <v>May</v>
      </c>
      <c r="C3361">
        <f>YEAR(Raw_Data!$A3361)</f>
        <v>2016</v>
      </c>
      <c r="D3361" t="s">
        <v>1875</v>
      </c>
      <c r="E3361" t="s">
        <v>25</v>
      </c>
      <c r="F3361" t="s">
        <v>16</v>
      </c>
      <c r="G3361">
        <v>5</v>
      </c>
      <c r="H3361">
        <v>2932</v>
      </c>
      <c r="I3361" s="1">
        <v>895590</v>
      </c>
      <c r="J3361" s="1">
        <f>Raw_Data!$I3361/Raw_Data!$H3361</f>
        <v>305.45361527967259</v>
      </c>
    </row>
    <row r="3362" spans="1:10" x14ac:dyDescent="0.3">
      <c r="A3362" s="9">
        <v>38940</v>
      </c>
      <c r="B3362" s="2" t="str">
        <f>TEXT(Raw_Data!$A3362, "MMM")</f>
        <v>Aug</v>
      </c>
      <c r="C3362" s="2">
        <f>YEAR(Raw_Data!$A3362)</f>
        <v>2006</v>
      </c>
      <c r="D3362" s="2" t="s">
        <v>706</v>
      </c>
      <c r="E3362" s="2" t="s">
        <v>29</v>
      </c>
      <c r="F3362" s="2" t="s">
        <v>27</v>
      </c>
      <c r="G3362" s="2">
        <v>5</v>
      </c>
      <c r="H3362" s="2">
        <v>3263</v>
      </c>
      <c r="I3362" s="10">
        <v>424434</v>
      </c>
      <c r="J3362" s="10">
        <f>Raw_Data!$I3362/Raw_Data!$H3362</f>
        <v>130.07477781182959</v>
      </c>
    </row>
    <row r="3363" spans="1:10" x14ac:dyDescent="0.3">
      <c r="A3363" s="8">
        <v>37017</v>
      </c>
      <c r="B3363" t="str">
        <f>TEXT(Raw_Data!$A3363, "MMM")</f>
        <v>May</v>
      </c>
      <c r="C3363">
        <f>YEAR(Raw_Data!$A3363)</f>
        <v>2001</v>
      </c>
      <c r="D3363" t="s">
        <v>2371</v>
      </c>
      <c r="E3363" t="s">
        <v>25</v>
      </c>
      <c r="F3363" t="s">
        <v>11</v>
      </c>
      <c r="H3363">
        <v>1729</v>
      </c>
      <c r="I3363" s="1">
        <v>672299</v>
      </c>
      <c r="J3363" s="1">
        <f>Raw_Data!$I3363/Raw_Data!$H3363</f>
        <v>388.83689994216309</v>
      </c>
    </row>
    <row r="3364" spans="1:10" x14ac:dyDescent="0.3">
      <c r="A3364" s="9">
        <v>41823</v>
      </c>
      <c r="B3364" s="2" t="str">
        <f>TEXT(Raw_Data!$A3364, "MMM")</f>
        <v>Jul</v>
      </c>
      <c r="C3364" s="2">
        <f>YEAR(Raw_Data!$A3364)</f>
        <v>2014</v>
      </c>
      <c r="D3364" s="2" t="s">
        <v>2372</v>
      </c>
      <c r="E3364" s="2" t="s">
        <v>32</v>
      </c>
      <c r="F3364" s="2" t="s">
        <v>27</v>
      </c>
      <c r="G3364" s="2"/>
      <c r="H3364" s="2">
        <v>1835</v>
      </c>
      <c r="I3364" s="10">
        <v>641963</v>
      </c>
      <c r="J3364" s="10">
        <f>Raw_Data!$I3364/Raw_Data!$H3364</f>
        <v>349.84359673024522</v>
      </c>
    </row>
    <row r="3365" spans="1:10" x14ac:dyDescent="0.3">
      <c r="A3365" s="8">
        <v>40700</v>
      </c>
      <c r="B3365" t="str">
        <f>TEXT(Raw_Data!$A3365, "MMM")</f>
        <v>Jun</v>
      </c>
      <c r="C3365">
        <f>YEAR(Raw_Data!$A3365)</f>
        <v>2011</v>
      </c>
      <c r="D3365" t="s">
        <v>1004</v>
      </c>
      <c r="E3365" t="s">
        <v>13</v>
      </c>
      <c r="F3365" t="s">
        <v>27</v>
      </c>
      <c r="G3365">
        <v>2</v>
      </c>
      <c r="H3365">
        <v>3306</v>
      </c>
      <c r="I3365" s="1">
        <v>739851</v>
      </c>
      <c r="J3365" s="1">
        <f>Raw_Data!$I3365/Raw_Data!$H3365</f>
        <v>223.79038112522687</v>
      </c>
    </row>
    <row r="3366" spans="1:10" x14ac:dyDescent="0.3">
      <c r="A3366" s="9">
        <v>43968</v>
      </c>
      <c r="B3366" s="2" t="str">
        <f>TEXT(Raw_Data!$A3366, "MMM")</f>
        <v>May</v>
      </c>
      <c r="C3366" s="2">
        <f>YEAR(Raw_Data!$A3366)</f>
        <v>2020</v>
      </c>
      <c r="D3366" s="2" t="s">
        <v>2373</v>
      </c>
      <c r="E3366" s="2" t="s">
        <v>23</v>
      </c>
      <c r="F3366" s="2" t="s">
        <v>11</v>
      </c>
      <c r="G3366" s="2"/>
      <c r="H3366" s="2">
        <v>2348</v>
      </c>
      <c r="I3366" s="10">
        <v>488127</v>
      </c>
      <c r="J3366" s="10">
        <f>Raw_Data!$I3366/Raw_Data!$H3366</f>
        <v>207.89054514480409</v>
      </c>
    </row>
    <row r="3367" spans="1:10" x14ac:dyDescent="0.3">
      <c r="A3367" s="8">
        <v>42628</v>
      </c>
      <c r="B3367" t="str">
        <f>TEXT(Raw_Data!$A3367, "MMM")</f>
        <v>Sep</v>
      </c>
      <c r="C3367">
        <f>YEAR(Raw_Data!$A3367)</f>
        <v>2016</v>
      </c>
      <c r="D3367" t="s">
        <v>556</v>
      </c>
      <c r="E3367" t="s">
        <v>21</v>
      </c>
      <c r="F3367" t="s">
        <v>27</v>
      </c>
      <c r="G3367">
        <v>5</v>
      </c>
      <c r="H3367">
        <v>2355</v>
      </c>
      <c r="I3367" s="1">
        <v>373460</v>
      </c>
      <c r="J3367" s="1">
        <f>Raw_Data!$I3367/Raw_Data!$H3367</f>
        <v>158.58174097664545</v>
      </c>
    </row>
    <row r="3368" spans="1:10" x14ac:dyDescent="0.3">
      <c r="A3368" s="9">
        <v>38548</v>
      </c>
      <c r="B3368" s="2" t="str">
        <f>TEXT(Raw_Data!$A3368, "MMM")</f>
        <v>Jul</v>
      </c>
      <c r="C3368" s="2">
        <f>YEAR(Raw_Data!$A3368)</f>
        <v>2005</v>
      </c>
      <c r="D3368" s="2" t="s">
        <v>1908</v>
      </c>
      <c r="E3368" s="2" t="s">
        <v>25</v>
      </c>
      <c r="F3368" s="2" t="s">
        <v>18</v>
      </c>
      <c r="G3368" s="2">
        <v>3</v>
      </c>
      <c r="H3368" s="2">
        <v>3003</v>
      </c>
      <c r="I3368" s="10"/>
      <c r="J3368" s="10">
        <f>Raw_Data!$I3368/Raw_Data!$H3368</f>
        <v>0</v>
      </c>
    </row>
    <row r="3369" spans="1:10" x14ac:dyDescent="0.3">
      <c r="A3369" s="8">
        <v>38174</v>
      </c>
      <c r="B3369" t="str">
        <f>TEXT(Raw_Data!$A3369, "MMM")</f>
        <v>Jul</v>
      </c>
      <c r="C3369">
        <f>YEAR(Raw_Data!$A3369)</f>
        <v>2004</v>
      </c>
      <c r="D3369" t="s">
        <v>333</v>
      </c>
      <c r="E3369" t="s">
        <v>32</v>
      </c>
      <c r="F3369" t="s">
        <v>18</v>
      </c>
      <c r="H3369">
        <v>805</v>
      </c>
      <c r="I3369" s="1">
        <v>480473</v>
      </c>
      <c r="J3369" s="1">
        <f>Raw_Data!$I3369/Raw_Data!$H3369</f>
        <v>596.8608695652174</v>
      </c>
    </row>
    <row r="3370" spans="1:10" x14ac:dyDescent="0.3">
      <c r="A3370" s="9">
        <v>42558</v>
      </c>
      <c r="B3370" s="2" t="str">
        <f>TEXT(Raw_Data!$A3370, "MMM")</f>
        <v>Jul</v>
      </c>
      <c r="C3370" s="2">
        <f>YEAR(Raw_Data!$A3370)</f>
        <v>2016</v>
      </c>
      <c r="D3370" s="2" t="s">
        <v>1450</v>
      </c>
      <c r="E3370" s="2" t="s">
        <v>25</v>
      </c>
      <c r="F3370" s="2" t="s">
        <v>11</v>
      </c>
      <c r="G3370" s="2">
        <v>2</v>
      </c>
      <c r="H3370" s="2">
        <v>1655</v>
      </c>
      <c r="I3370" s="10">
        <v>499660</v>
      </c>
      <c r="J3370" s="10">
        <f>Raw_Data!$I3370/Raw_Data!$H3370</f>
        <v>301.90936555891238</v>
      </c>
    </row>
    <row r="3371" spans="1:10" x14ac:dyDescent="0.3">
      <c r="A3371" s="8">
        <v>42334</v>
      </c>
      <c r="B3371" t="str">
        <f>TEXT(Raw_Data!$A3371, "MMM")</f>
        <v>Nov</v>
      </c>
      <c r="C3371">
        <f>YEAR(Raw_Data!$A3371)</f>
        <v>2015</v>
      </c>
      <c r="D3371" t="s">
        <v>784</v>
      </c>
      <c r="E3371" t="s">
        <v>15</v>
      </c>
      <c r="F3371" t="s">
        <v>27</v>
      </c>
      <c r="H3371">
        <v>2912</v>
      </c>
      <c r="I3371" s="1">
        <v>482549</v>
      </c>
      <c r="J3371" s="1">
        <f>Raw_Data!$I3371/Raw_Data!$H3371</f>
        <v>165.71050824175825</v>
      </c>
    </row>
    <row r="3372" spans="1:10" x14ac:dyDescent="0.3">
      <c r="A3372" s="9">
        <v>38430</v>
      </c>
      <c r="B3372" s="2" t="str">
        <f>TEXT(Raw_Data!$A3372, "MMM")</f>
        <v>Mar</v>
      </c>
      <c r="C3372" s="2">
        <f>YEAR(Raw_Data!$A3372)</f>
        <v>2005</v>
      </c>
      <c r="D3372" s="2" t="s">
        <v>1579</v>
      </c>
      <c r="E3372" s="2" t="s">
        <v>32</v>
      </c>
      <c r="F3372" s="2" t="s">
        <v>27</v>
      </c>
      <c r="G3372" s="2"/>
      <c r="H3372" s="2">
        <v>2623</v>
      </c>
      <c r="I3372" s="10">
        <v>788614</v>
      </c>
      <c r="J3372" s="10">
        <f>Raw_Data!$I3372/Raw_Data!$H3372</f>
        <v>300.65345024780783</v>
      </c>
    </row>
    <row r="3373" spans="1:10" x14ac:dyDescent="0.3">
      <c r="A3373" s="8">
        <v>44095</v>
      </c>
      <c r="B3373" t="str">
        <f>TEXT(Raw_Data!$A3373, "MMM")</f>
        <v>Sep</v>
      </c>
      <c r="C3373">
        <f>YEAR(Raw_Data!$A3373)</f>
        <v>2020</v>
      </c>
      <c r="D3373" t="s">
        <v>2075</v>
      </c>
      <c r="E3373" t="s">
        <v>29</v>
      </c>
      <c r="F3373" t="s">
        <v>16</v>
      </c>
      <c r="G3373">
        <v>2</v>
      </c>
      <c r="H3373">
        <v>3486</v>
      </c>
      <c r="I3373" s="1">
        <v>145820</v>
      </c>
      <c r="J3373" s="1">
        <f>Raw_Data!$I3373/Raw_Data!$H3373</f>
        <v>41.83017785427424</v>
      </c>
    </row>
    <row r="3374" spans="1:10" x14ac:dyDescent="0.3">
      <c r="A3374" s="9">
        <v>39608</v>
      </c>
      <c r="B3374" s="2" t="str">
        <f>TEXT(Raw_Data!$A3374, "MMM")</f>
        <v>Jun</v>
      </c>
      <c r="C3374" s="2">
        <f>YEAR(Raw_Data!$A3374)</f>
        <v>2008</v>
      </c>
      <c r="D3374" s="2" t="s">
        <v>800</v>
      </c>
      <c r="E3374" s="2" t="s">
        <v>25</v>
      </c>
      <c r="F3374" s="2" t="s">
        <v>27</v>
      </c>
      <c r="G3374" s="2"/>
      <c r="H3374" s="2">
        <v>2876</v>
      </c>
      <c r="I3374" s="10">
        <v>602687</v>
      </c>
      <c r="J3374" s="10">
        <f>Raw_Data!$I3374/Raw_Data!$H3374</f>
        <v>209.55737134909597</v>
      </c>
    </row>
    <row r="3375" spans="1:10" x14ac:dyDescent="0.3">
      <c r="A3375" s="8">
        <v>41120</v>
      </c>
      <c r="B3375" t="str">
        <f>TEXT(Raw_Data!$A3375, "MMM")</f>
        <v>Jul</v>
      </c>
      <c r="C3375">
        <f>YEAR(Raw_Data!$A3375)</f>
        <v>2012</v>
      </c>
      <c r="D3375" t="s">
        <v>2374</v>
      </c>
      <c r="E3375" t="s">
        <v>25</v>
      </c>
      <c r="F3375" t="s">
        <v>18</v>
      </c>
      <c r="G3375">
        <v>2</v>
      </c>
      <c r="H3375">
        <v>1365</v>
      </c>
      <c r="I3375" s="1">
        <v>116944</v>
      </c>
      <c r="J3375" s="1">
        <f>Raw_Data!$I3375/Raw_Data!$H3375</f>
        <v>85.673260073260067</v>
      </c>
    </row>
    <row r="3376" spans="1:10" x14ac:dyDescent="0.3">
      <c r="A3376" s="9">
        <v>38392</v>
      </c>
      <c r="B3376" s="2" t="str">
        <f>TEXT(Raw_Data!$A3376, "MMM")</f>
        <v>Feb</v>
      </c>
      <c r="C3376" s="2">
        <f>YEAR(Raw_Data!$A3376)</f>
        <v>2005</v>
      </c>
      <c r="D3376" s="2" t="s">
        <v>2375</v>
      </c>
      <c r="E3376" s="2" t="s">
        <v>32</v>
      </c>
      <c r="F3376" s="2" t="s">
        <v>27</v>
      </c>
      <c r="G3376" s="2"/>
      <c r="H3376" s="2">
        <v>1540</v>
      </c>
      <c r="I3376" s="10">
        <v>856076</v>
      </c>
      <c r="J3376" s="10">
        <f>Raw_Data!$I3376/Raw_Data!$H3376</f>
        <v>555.89350649350649</v>
      </c>
    </row>
    <row r="3377" spans="1:10" x14ac:dyDescent="0.3">
      <c r="A3377" s="8">
        <v>42977</v>
      </c>
      <c r="B3377" t="str">
        <f>TEXT(Raw_Data!$A3377, "MMM")</f>
        <v>Aug</v>
      </c>
      <c r="C3377">
        <f>YEAR(Raw_Data!$A3377)</f>
        <v>2017</v>
      </c>
      <c r="D3377" t="s">
        <v>1967</v>
      </c>
      <c r="E3377" t="s">
        <v>21</v>
      </c>
      <c r="F3377" t="s">
        <v>18</v>
      </c>
      <c r="G3377">
        <v>3</v>
      </c>
      <c r="H3377">
        <v>1916</v>
      </c>
      <c r="I3377" s="1">
        <v>488231</v>
      </c>
      <c r="J3377" s="1">
        <f>Raw_Data!$I3377/Raw_Data!$H3377</f>
        <v>254.81784968684761</v>
      </c>
    </row>
    <row r="3378" spans="1:10" x14ac:dyDescent="0.3">
      <c r="A3378" s="9">
        <v>42253</v>
      </c>
      <c r="B3378" s="2" t="str">
        <f>TEXT(Raw_Data!$A3378, "MMM")</f>
        <v>Sep</v>
      </c>
      <c r="C3378" s="2">
        <f>YEAR(Raw_Data!$A3378)</f>
        <v>2015</v>
      </c>
      <c r="D3378" s="2" t="s">
        <v>2376</v>
      </c>
      <c r="E3378" s="2" t="s">
        <v>15</v>
      </c>
      <c r="F3378" s="2" t="s">
        <v>27</v>
      </c>
      <c r="G3378" s="2"/>
      <c r="H3378" s="2">
        <v>1188</v>
      </c>
      <c r="I3378" s="10">
        <v>618868</v>
      </c>
      <c r="J3378" s="10">
        <f>Raw_Data!$I3378/Raw_Data!$H3378</f>
        <v>520.93265993265993</v>
      </c>
    </row>
    <row r="3379" spans="1:10" x14ac:dyDescent="0.3">
      <c r="A3379" s="8">
        <v>40697</v>
      </c>
      <c r="B3379" t="str">
        <f>TEXT(Raw_Data!$A3379, "MMM")</f>
        <v>Jun</v>
      </c>
      <c r="C3379">
        <f>YEAR(Raw_Data!$A3379)</f>
        <v>2011</v>
      </c>
      <c r="D3379" t="s">
        <v>831</v>
      </c>
      <c r="E3379" t="s">
        <v>15</v>
      </c>
      <c r="F3379" t="s">
        <v>18</v>
      </c>
      <c r="G3379">
        <v>5</v>
      </c>
      <c r="H3379">
        <v>3346</v>
      </c>
      <c r="I3379" s="1">
        <v>260612</v>
      </c>
      <c r="J3379" s="1">
        <f>Raw_Data!$I3379/Raw_Data!$H3379</f>
        <v>77.887627017334125</v>
      </c>
    </row>
    <row r="3380" spans="1:10" x14ac:dyDescent="0.3">
      <c r="A3380" s="9">
        <v>43320</v>
      </c>
      <c r="B3380" s="2" t="str">
        <f>TEXT(Raw_Data!$A3380, "MMM")</f>
        <v>Aug</v>
      </c>
      <c r="C3380" s="2">
        <f>YEAR(Raw_Data!$A3380)</f>
        <v>2018</v>
      </c>
      <c r="D3380" s="2" t="s">
        <v>2377</v>
      </c>
      <c r="E3380" s="2" t="s">
        <v>13</v>
      </c>
      <c r="F3380" s="2" t="s">
        <v>11</v>
      </c>
      <c r="G3380" s="2"/>
      <c r="H3380" s="2">
        <v>858</v>
      </c>
      <c r="I3380" s="10">
        <v>130948</v>
      </c>
      <c r="J3380" s="10">
        <f>Raw_Data!$I3380/Raw_Data!$H3380</f>
        <v>152.62004662004662</v>
      </c>
    </row>
    <row r="3381" spans="1:10" x14ac:dyDescent="0.3">
      <c r="A3381" s="8">
        <v>40369</v>
      </c>
      <c r="B3381" t="str">
        <f>TEXT(Raw_Data!$A3381, "MMM")</f>
        <v>Jul</v>
      </c>
      <c r="C3381">
        <f>YEAR(Raw_Data!$A3381)</f>
        <v>2010</v>
      </c>
      <c r="D3381" t="s">
        <v>2378</v>
      </c>
      <c r="E3381" t="s">
        <v>25</v>
      </c>
      <c r="F3381" t="s">
        <v>11</v>
      </c>
      <c r="G3381">
        <v>5</v>
      </c>
      <c r="H3381">
        <v>2510</v>
      </c>
      <c r="I3381" s="1">
        <v>287311</v>
      </c>
      <c r="J3381" s="1">
        <f>Raw_Data!$I3381/Raw_Data!$H3381</f>
        <v>114.46653386454183</v>
      </c>
    </row>
    <row r="3382" spans="1:10" x14ac:dyDescent="0.3">
      <c r="A3382" s="9">
        <v>43553</v>
      </c>
      <c r="B3382" s="2" t="str">
        <f>TEXT(Raw_Data!$A3382, "MMM")</f>
        <v>Mar</v>
      </c>
      <c r="C3382" s="2">
        <f>YEAR(Raw_Data!$A3382)</f>
        <v>2019</v>
      </c>
      <c r="D3382" s="2" t="s">
        <v>857</v>
      </c>
      <c r="E3382" s="2" t="s">
        <v>23</v>
      </c>
      <c r="F3382" s="2" t="s">
        <v>16</v>
      </c>
      <c r="G3382" s="2">
        <v>3</v>
      </c>
      <c r="H3382" s="2">
        <v>2570</v>
      </c>
      <c r="I3382" s="10">
        <v>271984</v>
      </c>
      <c r="J3382" s="10">
        <f>Raw_Data!$I3382/Raw_Data!$H3382</f>
        <v>105.83035019455252</v>
      </c>
    </row>
    <row r="3383" spans="1:10" x14ac:dyDescent="0.3">
      <c r="A3383" s="8">
        <v>41008</v>
      </c>
      <c r="B3383" t="str">
        <f>TEXT(Raw_Data!$A3383, "MMM")</f>
        <v>Apr</v>
      </c>
      <c r="C3383">
        <f>YEAR(Raw_Data!$A3383)</f>
        <v>2012</v>
      </c>
      <c r="D3383" t="s">
        <v>104</v>
      </c>
      <c r="E3383" t="s">
        <v>32</v>
      </c>
      <c r="F3383" t="s">
        <v>27</v>
      </c>
      <c r="G3383">
        <v>4</v>
      </c>
      <c r="H3383">
        <v>902</v>
      </c>
      <c r="I3383" s="1">
        <v>497862</v>
      </c>
      <c r="J3383" s="1">
        <f>Raw_Data!$I3383/Raw_Data!$H3383</f>
        <v>551.95343680709539</v>
      </c>
    </row>
    <row r="3384" spans="1:10" x14ac:dyDescent="0.3">
      <c r="A3384" s="9">
        <v>41801</v>
      </c>
      <c r="B3384" s="2" t="str">
        <f>TEXT(Raw_Data!$A3384, "MMM")</f>
        <v>Jun</v>
      </c>
      <c r="C3384" s="2">
        <f>YEAR(Raw_Data!$A3384)</f>
        <v>2014</v>
      </c>
      <c r="D3384" s="2" t="s">
        <v>2379</v>
      </c>
      <c r="E3384" s="2" t="s">
        <v>13</v>
      </c>
      <c r="F3384" s="2" t="s">
        <v>16</v>
      </c>
      <c r="G3384" s="2">
        <v>2</v>
      </c>
      <c r="H3384" s="2">
        <v>3274</v>
      </c>
      <c r="I3384" s="10">
        <v>635830</v>
      </c>
      <c r="J3384" s="10">
        <f>Raw_Data!$I3384/Raw_Data!$H3384</f>
        <v>194.20586438607208</v>
      </c>
    </row>
    <row r="3385" spans="1:10" x14ac:dyDescent="0.3">
      <c r="A3385" s="8">
        <v>42685</v>
      </c>
      <c r="B3385" t="str">
        <f>TEXT(Raw_Data!$A3385, "MMM")</f>
        <v>Nov</v>
      </c>
      <c r="C3385">
        <f>YEAR(Raw_Data!$A3385)</f>
        <v>2016</v>
      </c>
      <c r="D3385" t="s">
        <v>2129</v>
      </c>
      <c r="E3385" t="s">
        <v>29</v>
      </c>
      <c r="F3385" t="s">
        <v>16</v>
      </c>
      <c r="G3385">
        <v>2</v>
      </c>
      <c r="H3385">
        <v>1241</v>
      </c>
      <c r="I3385" s="1">
        <v>243978</v>
      </c>
      <c r="J3385" s="1">
        <f>Raw_Data!$I3385/Raw_Data!$H3385</f>
        <v>196.59790491539081</v>
      </c>
    </row>
    <row r="3386" spans="1:10" x14ac:dyDescent="0.3">
      <c r="A3386" s="9">
        <v>37141</v>
      </c>
      <c r="B3386" s="2" t="str">
        <f>TEXT(Raw_Data!$A3386, "MMM")</f>
        <v>Sep</v>
      </c>
      <c r="C3386" s="2">
        <f>YEAR(Raw_Data!$A3386)</f>
        <v>2001</v>
      </c>
      <c r="D3386" s="2" t="s">
        <v>1669</v>
      </c>
      <c r="E3386" s="2" t="s">
        <v>25</v>
      </c>
      <c r="F3386" s="2" t="s">
        <v>16</v>
      </c>
      <c r="G3386" s="2">
        <v>4</v>
      </c>
      <c r="H3386" s="2">
        <v>2447</v>
      </c>
      <c r="I3386" s="10">
        <v>136996</v>
      </c>
      <c r="J3386" s="10">
        <f>Raw_Data!$I3386/Raw_Data!$H3386</f>
        <v>55.985288107887207</v>
      </c>
    </row>
    <row r="3387" spans="1:10" x14ac:dyDescent="0.3">
      <c r="A3387" s="8">
        <v>42891</v>
      </c>
      <c r="B3387" t="str">
        <f>TEXT(Raw_Data!$A3387, "MMM")</f>
        <v>Jun</v>
      </c>
      <c r="C3387">
        <f>YEAR(Raw_Data!$A3387)</f>
        <v>2017</v>
      </c>
      <c r="D3387" t="s">
        <v>823</v>
      </c>
      <c r="E3387" t="s">
        <v>25</v>
      </c>
      <c r="F3387" t="s">
        <v>18</v>
      </c>
      <c r="G3387">
        <v>3</v>
      </c>
      <c r="H3387">
        <v>2554</v>
      </c>
      <c r="I3387" s="1">
        <v>631811</v>
      </c>
      <c r="J3387" s="1">
        <f>Raw_Data!$I3387/Raw_Data!$H3387</f>
        <v>247.38097102584183</v>
      </c>
    </row>
    <row r="3388" spans="1:10" x14ac:dyDescent="0.3">
      <c r="A3388" s="9">
        <v>41413</v>
      </c>
      <c r="B3388" s="2" t="str">
        <f>TEXT(Raw_Data!$A3388, "MMM")</f>
        <v>May</v>
      </c>
      <c r="C3388" s="2">
        <f>YEAR(Raw_Data!$A3388)</f>
        <v>2013</v>
      </c>
      <c r="D3388" s="2" t="s">
        <v>2380</v>
      </c>
      <c r="E3388" s="2" t="s">
        <v>15</v>
      </c>
      <c r="F3388" s="2" t="s">
        <v>18</v>
      </c>
      <c r="G3388" s="2"/>
      <c r="H3388" s="2">
        <v>2422</v>
      </c>
      <c r="I3388" s="10">
        <v>838329</v>
      </c>
      <c r="J3388" s="10">
        <f>Raw_Data!$I3388/Raw_Data!$H3388</f>
        <v>346.13088356729975</v>
      </c>
    </row>
    <row r="3389" spans="1:10" x14ac:dyDescent="0.3">
      <c r="A3389" s="8">
        <v>39037</v>
      </c>
      <c r="B3389" t="str">
        <f>TEXT(Raw_Data!$A3389, "MMM")</f>
        <v>Nov</v>
      </c>
      <c r="C3389">
        <f>YEAR(Raw_Data!$A3389)</f>
        <v>2006</v>
      </c>
      <c r="D3389" t="s">
        <v>2206</v>
      </c>
      <c r="E3389" t="s">
        <v>32</v>
      </c>
      <c r="F3389" t="s">
        <v>27</v>
      </c>
      <c r="G3389">
        <v>3</v>
      </c>
      <c r="H3389">
        <v>958</v>
      </c>
      <c r="I3389" s="1">
        <v>758462</v>
      </c>
      <c r="J3389" s="1">
        <f>Raw_Data!$I3389/Raw_Data!$H3389</f>
        <v>791.71398747390401</v>
      </c>
    </row>
    <row r="3390" spans="1:10" x14ac:dyDescent="0.3">
      <c r="A3390" s="9">
        <v>38726</v>
      </c>
      <c r="B3390" s="2" t="str">
        <f>TEXT(Raw_Data!$A3390, "MMM")</f>
        <v>Jan</v>
      </c>
      <c r="C3390" s="2">
        <f>YEAR(Raw_Data!$A3390)</f>
        <v>2006</v>
      </c>
      <c r="D3390" s="2" t="s">
        <v>2381</v>
      </c>
      <c r="E3390" s="2" t="s">
        <v>32</v>
      </c>
      <c r="F3390" s="2" t="s">
        <v>16</v>
      </c>
      <c r="G3390" s="2">
        <v>5</v>
      </c>
      <c r="H3390" s="2">
        <v>3068</v>
      </c>
      <c r="I3390" s="10">
        <v>716457</v>
      </c>
      <c r="J3390" s="10">
        <f>Raw_Data!$I3390/Raw_Data!$H3390</f>
        <v>233.52574967405477</v>
      </c>
    </row>
    <row r="3391" spans="1:10" x14ac:dyDescent="0.3">
      <c r="A3391" s="8">
        <v>43219</v>
      </c>
      <c r="B3391" t="str">
        <f>TEXT(Raw_Data!$A3391, "MMM")</f>
        <v>Apr</v>
      </c>
      <c r="C3391">
        <f>YEAR(Raw_Data!$A3391)</f>
        <v>2018</v>
      </c>
      <c r="D3391" t="s">
        <v>2382</v>
      </c>
      <c r="E3391" t="s">
        <v>23</v>
      </c>
      <c r="F3391" t="s">
        <v>27</v>
      </c>
      <c r="G3391">
        <v>2</v>
      </c>
      <c r="H3391">
        <v>3141</v>
      </c>
      <c r="I3391" s="1">
        <v>488916</v>
      </c>
      <c r="J3391" s="1">
        <f>Raw_Data!$I3391/Raw_Data!$H3391</f>
        <v>155.65616045845272</v>
      </c>
    </row>
    <row r="3392" spans="1:10" x14ac:dyDescent="0.3">
      <c r="A3392" s="9">
        <v>43262</v>
      </c>
      <c r="B3392" s="2" t="str">
        <f>TEXT(Raw_Data!$A3392, "MMM")</f>
        <v>Jun</v>
      </c>
      <c r="C3392" s="2">
        <f>YEAR(Raw_Data!$A3392)</f>
        <v>2018</v>
      </c>
      <c r="D3392" s="2" t="s">
        <v>1175</v>
      </c>
      <c r="E3392" s="2" t="s">
        <v>32</v>
      </c>
      <c r="F3392" s="2" t="s">
        <v>27</v>
      </c>
      <c r="G3392" s="2">
        <v>2</v>
      </c>
      <c r="H3392" s="2">
        <v>1177</v>
      </c>
      <c r="I3392" s="10">
        <v>705598</v>
      </c>
      <c r="J3392" s="10">
        <f>Raw_Data!$I3392/Raw_Data!$H3392</f>
        <v>599.48853016142732</v>
      </c>
    </row>
    <row r="3393" spans="1:10" x14ac:dyDescent="0.3">
      <c r="A3393" s="8">
        <v>43675</v>
      </c>
      <c r="B3393" t="str">
        <f>TEXT(Raw_Data!$A3393, "MMM")</f>
        <v>Jul</v>
      </c>
      <c r="C3393">
        <f>YEAR(Raw_Data!$A3393)</f>
        <v>2019</v>
      </c>
      <c r="D3393" t="s">
        <v>1712</v>
      </c>
      <c r="E3393" t="s">
        <v>32</v>
      </c>
      <c r="F3393" t="s">
        <v>27</v>
      </c>
      <c r="G3393">
        <v>4</v>
      </c>
      <c r="H3393">
        <v>2311</v>
      </c>
      <c r="I3393" s="1">
        <v>309591</v>
      </c>
      <c r="J3393" s="1">
        <f>Raw_Data!$I3393/Raw_Data!$H3393</f>
        <v>133.96408481176979</v>
      </c>
    </row>
    <row r="3394" spans="1:10" x14ac:dyDescent="0.3">
      <c r="A3394" s="9">
        <v>39658</v>
      </c>
      <c r="B3394" s="2" t="str">
        <f>TEXT(Raw_Data!$A3394, "MMM")</f>
        <v>Jul</v>
      </c>
      <c r="C3394" s="2">
        <f>YEAR(Raw_Data!$A3394)</f>
        <v>2008</v>
      </c>
      <c r="D3394" s="2" t="s">
        <v>1244</v>
      </c>
      <c r="E3394" s="2" t="s">
        <v>25</v>
      </c>
      <c r="F3394" s="2" t="s">
        <v>18</v>
      </c>
      <c r="G3394" s="2"/>
      <c r="H3394" s="2">
        <v>2894</v>
      </c>
      <c r="I3394" s="10">
        <v>458606</v>
      </c>
      <c r="J3394" s="10">
        <f>Raw_Data!$I3394/Raw_Data!$H3394</f>
        <v>158.46786454733933</v>
      </c>
    </row>
    <row r="3395" spans="1:10" x14ac:dyDescent="0.3">
      <c r="A3395" s="8">
        <v>38318</v>
      </c>
      <c r="B3395" t="str">
        <f>TEXT(Raw_Data!$A3395, "MMM")</f>
        <v>Nov</v>
      </c>
      <c r="C3395">
        <f>YEAR(Raw_Data!$A3395)</f>
        <v>2004</v>
      </c>
      <c r="D3395" t="s">
        <v>835</v>
      </c>
      <c r="E3395" t="s">
        <v>29</v>
      </c>
      <c r="F3395" t="s">
        <v>18</v>
      </c>
      <c r="G3395">
        <v>5</v>
      </c>
      <c r="H3395">
        <v>1567</v>
      </c>
      <c r="I3395" s="1">
        <v>397269</v>
      </c>
      <c r="J3395" s="1">
        <f>Raw_Data!$I3395/Raw_Data!$H3395</f>
        <v>253.52201659221441</v>
      </c>
    </row>
    <row r="3396" spans="1:10" x14ac:dyDescent="0.3">
      <c r="A3396" s="9">
        <v>37560</v>
      </c>
      <c r="B3396" s="2" t="str">
        <f>TEXT(Raw_Data!$A3396, "MMM")</f>
        <v>Oct</v>
      </c>
      <c r="C3396" s="2">
        <f>YEAR(Raw_Data!$A3396)</f>
        <v>2002</v>
      </c>
      <c r="D3396" s="2" t="s">
        <v>779</v>
      </c>
      <c r="E3396" s="2" t="s">
        <v>15</v>
      </c>
      <c r="F3396" s="2" t="s">
        <v>18</v>
      </c>
      <c r="G3396" s="2"/>
      <c r="H3396" s="2">
        <v>2967</v>
      </c>
      <c r="I3396" s="10">
        <v>663962</v>
      </c>
      <c r="J3396" s="10">
        <f>Raw_Data!$I3396/Raw_Data!$H3396</f>
        <v>223.78227165487024</v>
      </c>
    </row>
    <row r="3397" spans="1:10" x14ac:dyDescent="0.3">
      <c r="A3397" s="8">
        <v>37769</v>
      </c>
      <c r="B3397" t="str">
        <f>TEXT(Raw_Data!$A3397, "MMM")</f>
        <v>May</v>
      </c>
      <c r="C3397">
        <f>YEAR(Raw_Data!$A3397)</f>
        <v>2003</v>
      </c>
      <c r="D3397" t="s">
        <v>45</v>
      </c>
      <c r="E3397" t="s">
        <v>23</v>
      </c>
      <c r="F3397" t="s">
        <v>16</v>
      </c>
      <c r="G3397">
        <v>5</v>
      </c>
      <c r="H3397">
        <v>2482</v>
      </c>
      <c r="I3397" s="1">
        <v>224626</v>
      </c>
      <c r="J3397" s="1">
        <f>Raw_Data!$I3397/Raw_Data!$H3397</f>
        <v>90.502014504431912</v>
      </c>
    </row>
    <row r="3398" spans="1:10" x14ac:dyDescent="0.3">
      <c r="A3398" s="9">
        <v>37540</v>
      </c>
      <c r="B3398" s="2" t="str">
        <f>TEXT(Raw_Data!$A3398, "MMM")</f>
        <v>Oct</v>
      </c>
      <c r="C3398" s="2">
        <f>YEAR(Raw_Data!$A3398)</f>
        <v>2002</v>
      </c>
      <c r="D3398" s="2" t="s">
        <v>328</v>
      </c>
      <c r="E3398" s="2" t="s">
        <v>25</v>
      </c>
      <c r="F3398" s="2" t="s">
        <v>18</v>
      </c>
      <c r="G3398" s="2">
        <v>5</v>
      </c>
      <c r="H3398" s="2">
        <v>1669</v>
      </c>
      <c r="I3398" s="10">
        <v>118029</v>
      </c>
      <c r="J3398" s="10">
        <f>Raw_Data!$I3398/Raw_Data!$H3398</f>
        <v>70.718394248052732</v>
      </c>
    </row>
    <row r="3399" spans="1:10" x14ac:dyDescent="0.3">
      <c r="A3399" s="8">
        <v>39372</v>
      </c>
      <c r="B3399" t="str">
        <f>TEXT(Raw_Data!$A3399, "MMM")</f>
        <v>Oct</v>
      </c>
      <c r="C3399">
        <f>YEAR(Raw_Data!$A3399)</f>
        <v>2007</v>
      </c>
      <c r="D3399" t="s">
        <v>1787</v>
      </c>
      <c r="E3399" t="s">
        <v>25</v>
      </c>
      <c r="F3399" t="s">
        <v>27</v>
      </c>
      <c r="G3399">
        <v>2</v>
      </c>
      <c r="H3399">
        <v>2018</v>
      </c>
      <c r="I3399" s="1">
        <v>398908</v>
      </c>
      <c r="J3399" s="1">
        <f>Raw_Data!$I3399/Raw_Data!$H3399</f>
        <v>197.6749256689792</v>
      </c>
    </row>
    <row r="3400" spans="1:10" x14ac:dyDescent="0.3">
      <c r="A3400" s="9">
        <v>40607</v>
      </c>
      <c r="B3400" s="2" t="str">
        <f>TEXT(Raw_Data!$A3400, "MMM")</f>
        <v>Mar</v>
      </c>
      <c r="C3400" s="2">
        <f>YEAR(Raw_Data!$A3400)</f>
        <v>2011</v>
      </c>
      <c r="D3400" s="2" t="s">
        <v>861</v>
      </c>
      <c r="E3400" s="2" t="s">
        <v>23</v>
      </c>
      <c r="F3400" s="2" t="s">
        <v>18</v>
      </c>
      <c r="G3400" s="2"/>
      <c r="H3400" s="2">
        <v>2723</v>
      </c>
      <c r="I3400" s="10">
        <v>581149</v>
      </c>
      <c r="J3400" s="10">
        <f>Raw_Data!$I3400/Raw_Data!$H3400</f>
        <v>213.42232831435916</v>
      </c>
    </row>
    <row r="3401" spans="1:10" x14ac:dyDescent="0.3">
      <c r="A3401" s="8">
        <v>38287</v>
      </c>
      <c r="B3401" t="str">
        <f>TEXT(Raw_Data!$A3401, "MMM")</f>
        <v>Oct</v>
      </c>
      <c r="C3401">
        <f>YEAR(Raw_Data!$A3401)</f>
        <v>2004</v>
      </c>
      <c r="D3401" t="s">
        <v>2211</v>
      </c>
      <c r="E3401" t="s">
        <v>21</v>
      </c>
      <c r="F3401" t="s">
        <v>11</v>
      </c>
      <c r="G3401">
        <v>2</v>
      </c>
      <c r="H3401">
        <v>2976</v>
      </c>
      <c r="I3401" s="1">
        <v>729222</v>
      </c>
      <c r="J3401" s="1">
        <f>Raw_Data!$I3401/Raw_Data!$H3401</f>
        <v>245.03427419354838</v>
      </c>
    </row>
    <row r="3402" spans="1:10" x14ac:dyDescent="0.3">
      <c r="A3402" s="9">
        <v>40049</v>
      </c>
      <c r="B3402" s="2" t="str">
        <f>TEXT(Raw_Data!$A3402, "MMM")</f>
        <v>Aug</v>
      </c>
      <c r="C3402" s="2">
        <f>YEAR(Raw_Data!$A3402)</f>
        <v>2009</v>
      </c>
      <c r="D3402" s="2" t="s">
        <v>1433</v>
      </c>
      <c r="E3402" s="2" t="s">
        <v>21</v>
      </c>
      <c r="F3402" s="2" t="s">
        <v>16</v>
      </c>
      <c r="G3402" s="2"/>
      <c r="H3402" s="2">
        <v>2352</v>
      </c>
      <c r="I3402" s="10">
        <v>688864</v>
      </c>
      <c r="J3402" s="10">
        <f>Raw_Data!$I3402/Raw_Data!$H3402</f>
        <v>292.88435374149662</v>
      </c>
    </row>
    <row r="3403" spans="1:10" x14ac:dyDescent="0.3">
      <c r="A3403" s="8">
        <v>37885</v>
      </c>
      <c r="B3403" t="str">
        <f>TEXT(Raw_Data!$A3403, "MMM")</f>
        <v>Sep</v>
      </c>
      <c r="C3403">
        <f>YEAR(Raw_Data!$A3403)</f>
        <v>2003</v>
      </c>
      <c r="D3403" t="s">
        <v>917</v>
      </c>
      <c r="E3403" t="s">
        <v>21</v>
      </c>
      <c r="F3403" t="s">
        <v>16</v>
      </c>
      <c r="G3403">
        <v>4</v>
      </c>
      <c r="H3403">
        <v>1523</v>
      </c>
      <c r="I3403" s="1">
        <v>609264</v>
      </c>
      <c r="J3403" s="1">
        <f>Raw_Data!$I3403/Raw_Data!$H3403</f>
        <v>400.04202232435983</v>
      </c>
    </row>
    <row r="3404" spans="1:10" x14ac:dyDescent="0.3">
      <c r="A3404" s="9">
        <v>38014</v>
      </c>
      <c r="B3404" s="2" t="str">
        <f>TEXT(Raw_Data!$A3404, "MMM")</f>
        <v>Jan</v>
      </c>
      <c r="C3404" s="2">
        <f>YEAR(Raw_Data!$A3404)</f>
        <v>2004</v>
      </c>
      <c r="D3404" s="2" t="s">
        <v>1629</v>
      </c>
      <c r="E3404" s="2" t="s">
        <v>25</v>
      </c>
      <c r="F3404" s="2" t="s">
        <v>18</v>
      </c>
      <c r="G3404" s="2">
        <v>3</v>
      </c>
      <c r="H3404" s="2">
        <v>1481</v>
      </c>
      <c r="I3404" s="10">
        <v>211944</v>
      </c>
      <c r="J3404" s="10">
        <f>Raw_Data!$I3404/Raw_Data!$H3404</f>
        <v>143.10871033085752</v>
      </c>
    </row>
    <row r="3405" spans="1:10" x14ac:dyDescent="0.3">
      <c r="A3405" s="8">
        <v>40104</v>
      </c>
      <c r="B3405" t="str">
        <f>TEXT(Raw_Data!$A3405, "MMM")</f>
        <v>Oct</v>
      </c>
      <c r="C3405">
        <f>YEAR(Raw_Data!$A3405)</f>
        <v>2009</v>
      </c>
      <c r="D3405" t="s">
        <v>2126</v>
      </c>
      <c r="E3405" t="s">
        <v>15</v>
      </c>
      <c r="F3405" t="s">
        <v>11</v>
      </c>
      <c r="H3405">
        <v>2856</v>
      </c>
      <c r="I3405" s="1">
        <v>455257</v>
      </c>
      <c r="J3405" s="1">
        <f>Raw_Data!$I3405/Raw_Data!$H3405</f>
        <v>159.40371148459383</v>
      </c>
    </row>
    <row r="3406" spans="1:10" x14ac:dyDescent="0.3">
      <c r="A3406" s="9">
        <v>38769</v>
      </c>
      <c r="B3406" s="2" t="str">
        <f>TEXT(Raw_Data!$A3406, "MMM")</f>
        <v>Feb</v>
      </c>
      <c r="C3406" s="2">
        <f>YEAR(Raw_Data!$A3406)</f>
        <v>2006</v>
      </c>
      <c r="D3406" s="2" t="s">
        <v>2383</v>
      </c>
      <c r="E3406" s="2" t="s">
        <v>13</v>
      </c>
      <c r="F3406" s="2" t="s">
        <v>18</v>
      </c>
      <c r="G3406" s="2">
        <v>3</v>
      </c>
      <c r="H3406" s="2">
        <v>805</v>
      </c>
      <c r="I3406" s="10">
        <v>149123</v>
      </c>
      <c r="J3406" s="10">
        <f>Raw_Data!$I3406/Raw_Data!$H3406</f>
        <v>185.24596273291925</v>
      </c>
    </row>
    <row r="3407" spans="1:10" x14ac:dyDescent="0.3">
      <c r="A3407" s="8">
        <v>39613</v>
      </c>
      <c r="B3407" t="str">
        <f>TEXT(Raw_Data!$A3407, "MMM")</f>
        <v>Jun</v>
      </c>
      <c r="C3407">
        <f>YEAR(Raw_Data!$A3407)</f>
        <v>2008</v>
      </c>
      <c r="D3407" t="s">
        <v>1819</v>
      </c>
      <c r="E3407" t="s">
        <v>32</v>
      </c>
      <c r="F3407" t="s">
        <v>11</v>
      </c>
      <c r="H3407">
        <v>1350</v>
      </c>
      <c r="I3407" s="1">
        <v>346589</v>
      </c>
      <c r="J3407" s="1">
        <f>Raw_Data!$I3407/Raw_Data!$H3407</f>
        <v>256.7325925925926</v>
      </c>
    </row>
    <row r="3408" spans="1:10" x14ac:dyDescent="0.3">
      <c r="A3408" s="9">
        <v>42502</v>
      </c>
      <c r="B3408" s="2" t="str">
        <f>TEXT(Raw_Data!$A3408, "MMM")</f>
        <v>May</v>
      </c>
      <c r="C3408" s="2">
        <f>YEAR(Raw_Data!$A3408)</f>
        <v>2016</v>
      </c>
      <c r="D3408" s="2" t="s">
        <v>214</v>
      </c>
      <c r="E3408" s="2" t="s">
        <v>29</v>
      </c>
      <c r="F3408" s="2" t="s">
        <v>27</v>
      </c>
      <c r="G3408" s="2">
        <v>4</v>
      </c>
      <c r="H3408" s="2">
        <v>3023</v>
      </c>
      <c r="I3408" s="10">
        <v>861779</v>
      </c>
      <c r="J3408" s="10">
        <f>Raw_Data!$I3408/Raw_Data!$H3408</f>
        <v>285.07409857757193</v>
      </c>
    </row>
    <row r="3409" spans="1:10" x14ac:dyDescent="0.3">
      <c r="A3409" s="8">
        <v>39715</v>
      </c>
      <c r="B3409" t="str">
        <f>TEXT(Raw_Data!$A3409, "MMM")</f>
        <v>Sep</v>
      </c>
      <c r="C3409">
        <f>YEAR(Raw_Data!$A3409)</f>
        <v>2008</v>
      </c>
      <c r="D3409" t="s">
        <v>683</v>
      </c>
      <c r="E3409" t="s">
        <v>23</v>
      </c>
      <c r="F3409" t="s">
        <v>11</v>
      </c>
      <c r="H3409">
        <v>2895</v>
      </c>
      <c r="I3409" s="1">
        <v>646619</v>
      </c>
      <c r="J3409" s="1">
        <f>Raw_Data!$I3409/Raw_Data!$H3409</f>
        <v>223.35716753022453</v>
      </c>
    </row>
    <row r="3410" spans="1:10" x14ac:dyDescent="0.3">
      <c r="A3410" s="9">
        <v>41903</v>
      </c>
      <c r="B3410" s="2" t="str">
        <f>TEXT(Raw_Data!$A3410, "MMM")</f>
        <v>Sep</v>
      </c>
      <c r="C3410" s="2">
        <f>YEAR(Raw_Data!$A3410)</f>
        <v>2014</v>
      </c>
      <c r="D3410" s="2" t="s">
        <v>989</v>
      </c>
      <c r="E3410" s="2" t="s">
        <v>29</v>
      </c>
      <c r="F3410" s="2" t="s">
        <v>16</v>
      </c>
      <c r="G3410" s="2"/>
      <c r="H3410" s="2">
        <v>3089</v>
      </c>
      <c r="I3410" s="10">
        <v>664377</v>
      </c>
      <c r="J3410" s="10">
        <f>Raw_Data!$I3410/Raw_Data!$H3410</f>
        <v>215.07834250566526</v>
      </c>
    </row>
    <row r="3411" spans="1:10" x14ac:dyDescent="0.3">
      <c r="A3411" s="8">
        <v>43108</v>
      </c>
      <c r="B3411" t="str">
        <f>TEXT(Raw_Data!$A3411, "MMM")</f>
        <v>Jan</v>
      </c>
      <c r="C3411">
        <f>YEAR(Raw_Data!$A3411)</f>
        <v>2018</v>
      </c>
      <c r="D3411" t="s">
        <v>2384</v>
      </c>
      <c r="E3411" t="s">
        <v>25</v>
      </c>
      <c r="F3411" t="s">
        <v>27</v>
      </c>
      <c r="G3411">
        <v>3</v>
      </c>
      <c r="H3411">
        <v>1757</v>
      </c>
      <c r="I3411" s="1">
        <v>114766</v>
      </c>
      <c r="J3411" s="1">
        <f>Raw_Data!$I3411/Raw_Data!$H3411</f>
        <v>65.319294251565168</v>
      </c>
    </row>
    <row r="3412" spans="1:10" x14ac:dyDescent="0.3">
      <c r="A3412" s="9">
        <v>40309</v>
      </c>
      <c r="B3412" s="2" t="str">
        <f>TEXT(Raw_Data!$A3412, "MMM")</f>
        <v>May</v>
      </c>
      <c r="C3412" s="2">
        <f>YEAR(Raw_Data!$A3412)</f>
        <v>2010</v>
      </c>
      <c r="D3412" s="2" t="s">
        <v>1602</v>
      </c>
      <c r="E3412" s="2" t="s">
        <v>32</v>
      </c>
      <c r="F3412" s="2" t="s">
        <v>11</v>
      </c>
      <c r="G3412" s="2">
        <v>2</v>
      </c>
      <c r="H3412" s="2">
        <v>3277</v>
      </c>
      <c r="I3412" s="10">
        <v>123452</v>
      </c>
      <c r="J3412" s="10">
        <f>Raw_Data!$I3412/Raw_Data!$H3412</f>
        <v>37.672261214525477</v>
      </c>
    </row>
    <row r="3413" spans="1:10" x14ac:dyDescent="0.3">
      <c r="A3413" s="8">
        <v>43639</v>
      </c>
      <c r="B3413" t="str">
        <f>TEXT(Raw_Data!$A3413, "MMM")</f>
        <v>Jun</v>
      </c>
      <c r="C3413">
        <f>YEAR(Raw_Data!$A3413)</f>
        <v>2019</v>
      </c>
      <c r="D3413" t="s">
        <v>1292</v>
      </c>
      <c r="E3413" t="s">
        <v>25</v>
      </c>
      <c r="F3413" t="s">
        <v>11</v>
      </c>
      <c r="G3413">
        <v>3</v>
      </c>
      <c r="H3413">
        <v>950</v>
      </c>
      <c r="I3413" s="1">
        <v>473867</v>
      </c>
      <c r="J3413" s="1">
        <f>Raw_Data!$I3413/Raw_Data!$H3413</f>
        <v>498.80736842105262</v>
      </c>
    </row>
    <row r="3414" spans="1:10" x14ac:dyDescent="0.3">
      <c r="A3414" s="9">
        <v>42175</v>
      </c>
      <c r="B3414" s="2" t="str">
        <f>TEXT(Raw_Data!$A3414, "MMM")</f>
        <v>Jun</v>
      </c>
      <c r="C3414" s="2">
        <f>YEAR(Raw_Data!$A3414)</f>
        <v>2015</v>
      </c>
      <c r="D3414" s="2" t="s">
        <v>2385</v>
      </c>
      <c r="E3414" s="2" t="s">
        <v>25</v>
      </c>
      <c r="F3414" s="2" t="s">
        <v>11</v>
      </c>
      <c r="G3414" s="2">
        <v>3</v>
      </c>
      <c r="H3414" s="2">
        <v>1685</v>
      </c>
      <c r="I3414" s="10">
        <v>615327</v>
      </c>
      <c r="J3414" s="10">
        <f>Raw_Data!$I3414/Raw_Data!$H3414</f>
        <v>365.17922848664688</v>
      </c>
    </row>
    <row r="3415" spans="1:10" x14ac:dyDescent="0.3">
      <c r="A3415" s="8">
        <v>38254</v>
      </c>
      <c r="B3415" t="str">
        <f>TEXT(Raw_Data!$A3415, "MMM")</f>
        <v>Sep</v>
      </c>
      <c r="C3415">
        <f>YEAR(Raw_Data!$A3415)</f>
        <v>2004</v>
      </c>
      <c r="D3415" t="s">
        <v>2386</v>
      </c>
      <c r="E3415" t="s">
        <v>25</v>
      </c>
      <c r="F3415" t="s">
        <v>16</v>
      </c>
      <c r="G3415">
        <v>4</v>
      </c>
      <c r="H3415">
        <v>2532</v>
      </c>
      <c r="I3415" s="1">
        <v>666981</v>
      </c>
      <c r="J3415" s="1">
        <f>Raw_Data!$I3415/Raw_Data!$H3415</f>
        <v>263.42061611374407</v>
      </c>
    </row>
    <row r="3416" spans="1:10" x14ac:dyDescent="0.3">
      <c r="A3416" s="9">
        <v>41691</v>
      </c>
      <c r="B3416" s="2" t="str">
        <f>TEXT(Raw_Data!$A3416, "MMM")</f>
        <v>Feb</v>
      </c>
      <c r="C3416" s="2">
        <f>YEAR(Raw_Data!$A3416)</f>
        <v>2014</v>
      </c>
      <c r="D3416" s="2" t="s">
        <v>2387</v>
      </c>
      <c r="E3416" s="2" t="s">
        <v>13</v>
      </c>
      <c r="F3416" s="2" t="s">
        <v>18</v>
      </c>
      <c r="G3416" s="2">
        <v>2</v>
      </c>
      <c r="H3416" s="2">
        <v>1623</v>
      </c>
      <c r="I3416" s="10">
        <v>734890</v>
      </c>
      <c r="J3416" s="10">
        <f>Raw_Data!$I3416/Raw_Data!$H3416</f>
        <v>452.79728897104127</v>
      </c>
    </row>
    <row r="3417" spans="1:10" x14ac:dyDescent="0.3">
      <c r="A3417" s="8">
        <v>39620</v>
      </c>
      <c r="B3417" t="str">
        <f>TEXT(Raw_Data!$A3417, "MMM")</f>
        <v>Jun</v>
      </c>
      <c r="C3417">
        <f>YEAR(Raw_Data!$A3417)</f>
        <v>2008</v>
      </c>
      <c r="D3417" t="s">
        <v>1980</v>
      </c>
      <c r="E3417" t="s">
        <v>25</v>
      </c>
      <c r="F3417" t="s">
        <v>27</v>
      </c>
      <c r="G3417">
        <v>5</v>
      </c>
      <c r="H3417">
        <v>965</v>
      </c>
      <c r="I3417" s="1">
        <v>781170</v>
      </c>
      <c r="J3417" s="1">
        <f>Raw_Data!$I3417/Raw_Data!$H3417</f>
        <v>809.50259067357513</v>
      </c>
    </row>
    <row r="3418" spans="1:10" x14ac:dyDescent="0.3">
      <c r="A3418" s="9">
        <v>37242</v>
      </c>
      <c r="B3418" s="2" t="str">
        <f>TEXT(Raw_Data!$A3418, "MMM")</f>
        <v>Dec</v>
      </c>
      <c r="C3418" s="2">
        <f>YEAR(Raw_Data!$A3418)</f>
        <v>2001</v>
      </c>
      <c r="D3418" s="2" t="s">
        <v>2388</v>
      </c>
      <c r="E3418" s="2" t="s">
        <v>15</v>
      </c>
      <c r="F3418" s="2" t="s">
        <v>11</v>
      </c>
      <c r="G3418" s="2"/>
      <c r="H3418" s="2">
        <v>3089</v>
      </c>
      <c r="I3418" s="10">
        <v>438720</v>
      </c>
      <c r="J3418" s="10">
        <f>Raw_Data!$I3418/Raw_Data!$H3418</f>
        <v>142.02654580770476</v>
      </c>
    </row>
    <row r="3419" spans="1:10" x14ac:dyDescent="0.3">
      <c r="A3419" s="8">
        <v>40245</v>
      </c>
      <c r="B3419" t="str">
        <f>TEXT(Raw_Data!$A3419, "MMM")</f>
        <v>Mar</v>
      </c>
      <c r="C3419">
        <f>YEAR(Raw_Data!$A3419)</f>
        <v>2010</v>
      </c>
      <c r="D3419" t="s">
        <v>2389</v>
      </c>
      <c r="E3419" t="s">
        <v>15</v>
      </c>
      <c r="F3419" t="s">
        <v>16</v>
      </c>
      <c r="G3419">
        <v>2</v>
      </c>
      <c r="H3419">
        <v>3459</v>
      </c>
      <c r="I3419" s="1">
        <v>772978</v>
      </c>
      <c r="J3419" s="1">
        <f>Raw_Data!$I3419/Raw_Data!$H3419</f>
        <v>223.46863255276091</v>
      </c>
    </row>
    <row r="3420" spans="1:10" x14ac:dyDescent="0.3">
      <c r="A3420" s="9">
        <v>43116</v>
      </c>
      <c r="B3420" s="2" t="str">
        <f>TEXT(Raw_Data!$A3420, "MMM")</f>
        <v>Jan</v>
      </c>
      <c r="C3420" s="2">
        <f>YEAR(Raw_Data!$A3420)</f>
        <v>2018</v>
      </c>
      <c r="D3420" s="2" t="s">
        <v>1844</v>
      </c>
      <c r="E3420" s="2" t="s">
        <v>32</v>
      </c>
      <c r="F3420" s="2" t="s">
        <v>27</v>
      </c>
      <c r="G3420" s="2"/>
      <c r="H3420" s="2">
        <v>1966</v>
      </c>
      <c r="I3420" s="10">
        <v>780830</v>
      </c>
      <c r="J3420" s="10">
        <f>Raw_Data!$I3420/Raw_Data!$H3420</f>
        <v>397.16683621566631</v>
      </c>
    </row>
    <row r="3421" spans="1:10" x14ac:dyDescent="0.3">
      <c r="A3421" s="8">
        <v>38380</v>
      </c>
      <c r="B3421" t="str">
        <f>TEXT(Raw_Data!$A3421, "MMM")</f>
        <v>Jan</v>
      </c>
      <c r="C3421">
        <f>YEAR(Raw_Data!$A3421)</f>
        <v>2005</v>
      </c>
      <c r="D3421" t="s">
        <v>376</v>
      </c>
      <c r="E3421" t="s">
        <v>21</v>
      </c>
      <c r="F3421" t="s">
        <v>18</v>
      </c>
      <c r="H3421">
        <v>1083</v>
      </c>
      <c r="I3421" s="1">
        <v>274845</v>
      </c>
      <c r="J3421" s="1">
        <f>Raw_Data!$I3421/Raw_Data!$H3421</f>
        <v>253.78116343490305</v>
      </c>
    </row>
    <row r="3422" spans="1:10" x14ac:dyDescent="0.3">
      <c r="A3422" s="9">
        <v>40624</v>
      </c>
      <c r="B3422" s="2" t="str">
        <f>TEXT(Raw_Data!$A3422, "MMM")</f>
        <v>Mar</v>
      </c>
      <c r="C3422" s="2">
        <f>YEAR(Raw_Data!$A3422)</f>
        <v>2011</v>
      </c>
      <c r="D3422" s="2" t="s">
        <v>971</v>
      </c>
      <c r="E3422" s="2" t="s">
        <v>29</v>
      </c>
      <c r="F3422" s="2" t="s">
        <v>16</v>
      </c>
      <c r="G3422" s="2">
        <v>2</v>
      </c>
      <c r="H3422" s="2">
        <v>3070</v>
      </c>
      <c r="I3422" s="10">
        <v>781668</v>
      </c>
      <c r="J3422" s="10">
        <f>Raw_Data!$I3422/Raw_Data!$H3422</f>
        <v>254.61498371335506</v>
      </c>
    </row>
    <row r="3423" spans="1:10" x14ac:dyDescent="0.3">
      <c r="A3423" s="8">
        <v>40560</v>
      </c>
      <c r="B3423" t="str">
        <f>TEXT(Raw_Data!$A3423, "MMM")</f>
        <v>Jan</v>
      </c>
      <c r="C3423">
        <f>YEAR(Raw_Data!$A3423)</f>
        <v>2011</v>
      </c>
      <c r="D3423" t="s">
        <v>2390</v>
      </c>
      <c r="E3423" t="s">
        <v>21</v>
      </c>
      <c r="F3423" t="s">
        <v>18</v>
      </c>
      <c r="G3423">
        <v>3</v>
      </c>
      <c r="H3423">
        <v>1515</v>
      </c>
      <c r="I3423" s="1">
        <v>632285</v>
      </c>
      <c r="J3423" s="1">
        <f>Raw_Data!$I3423/Raw_Data!$H3423</f>
        <v>417.34983498349834</v>
      </c>
    </row>
    <row r="3424" spans="1:10" x14ac:dyDescent="0.3">
      <c r="A3424" s="9">
        <v>43498</v>
      </c>
      <c r="B3424" s="2" t="str">
        <f>TEXT(Raw_Data!$A3424, "MMM")</f>
        <v>Feb</v>
      </c>
      <c r="C3424" s="2">
        <f>YEAR(Raw_Data!$A3424)</f>
        <v>2019</v>
      </c>
      <c r="D3424" s="2" t="s">
        <v>2391</v>
      </c>
      <c r="E3424" s="2" t="s">
        <v>32</v>
      </c>
      <c r="F3424" s="2" t="s">
        <v>18</v>
      </c>
      <c r="G3424" s="2"/>
      <c r="H3424" s="2">
        <v>3323</v>
      </c>
      <c r="I3424" s="10">
        <v>376802</v>
      </c>
      <c r="J3424" s="10">
        <f>Raw_Data!$I3424/Raw_Data!$H3424</f>
        <v>113.39211555823051</v>
      </c>
    </row>
    <row r="3425" spans="1:10" x14ac:dyDescent="0.3">
      <c r="A3425" s="8">
        <v>39921</v>
      </c>
      <c r="B3425" t="str">
        <f>TEXT(Raw_Data!$A3425, "MMM")</f>
        <v>Apr</v>
      </c>
      <c r="C3425">
        <f>YEAR(Raw_Data!$A3425)</f>
        <v>2009</v>
      </c>
      <c r="D3425" t="s">
        <v>2392</v>
      </c>
      <c r="E3425" t="s">
        <v>29</v>
      </c>
      <c r="F3425" t="s">
        <v>16</v>
      </c>
      <c r="G3425">
        <v>5</v>
      </c>
      <c r="H3425">
        <v>2329</v>
      </c>
      <c r="I3425" s="1">
        <v>568109</v>
      </c>
      <c r="J3425" s="1">
        <f>Raw_Data!$I3425/Raw_Data!$H3425</f>
        <v>243.92829540575354</v>
      </c>
    </row>
    <row r="3426" spans="1:10" x14ac:dyDescent="0.3">
      <c r="A3426" s="9">
        <v>40437</v>
      </c>
      <c r="B3426" s="2" t="str">
        <f>TEXT(Raw_Data!$A3426, "MMM")</f>
        <v>Sep</v>
      </c>
      <c r="C3426" s="2">
        <f>YEAR(Raw_Data!$A3426)</f>
        <v>2010</v>
      </c>
      <c r="D3426" s="2" t="s">
        <v>2393</v>
      </c>
      <c r="E3426" s="2" t="s">
        <v>29</v>
      </c>
      <c r="F3426" s="2" t="s">
        <v>27</v>
      </c>
      <c r="G3426" s="2">
        <v>3</v>
      </c>
      <c r="H3426" s="2">
        <v>2306</v>
      </c>
      <c r="I3426" s="10">
        <v>810931</v>
      </c>
      <c r="J3426" s="10">
        <f>Raw_Data!$I3426/Raw_Data!$H3426</f>
        <v>351.66131830008675</v>
      </c>
    </row>
    <row r="3427" spans="1:10" x14ac:dyDescent="0.3">
      <c r="A3427" s="8">
        <v>42675</v>
      </c>
      <c r="B3427" t="str">
        <f>TEXT(Raw_Data!$A3427, "MMM")</f>
        <v>Nov</v>
      </c>
      <c r="C3427">
        <f>YEAR(Raw_Data!$A3427)</f>
        <v>2016</v>
      </c>
      <c r="D3427" t="s">
        <v>905</v>
      </c>
      <c r="E3427" t="s">
        <v>32</v>
      </c>
      <c r="F3427" t="s">
        <v>27</v>
      </c>
      <c r="G3427">
        <v>5</v>
      </c>
      <c r="H3427">
        <v>2028</v>
      </c>
      <c r="I3427" s="1">
        <v>136919</v>
      </c>
      <c r="J3427" s="1">
        <f>Raw_Data!$I3427/Raw_Data!$H3427</f>
        <v>67.514299802761343</v>
      </c>
    </row>
    <row r="3428" spans="1:10" x14ac:dyDescent="0.3">
      <c r="A3428" s="9">
        <v>41136</v>
      </c>
      <c r="B3428" s="2" t="str">
        <f>TEXT(Raw_Data!$A3428, "MMM")</f>
        <v>Aug</v>
      </c>
      <c r="C3428" s="2">
        <f>YEAR(Raw_Data!$A3428)</f>
        <v>2012</v>
      </c>
      <c r="D3428" s="2" t="s">
        <v>2394</v>
      </c>
      <c r="E3428" s="2" t="s">
        <v>15</v>
      </c>
      <c r="F3428" s="2" t="s">
        <v>18</v>
      </c>
      <c r="G3428" s="2"/>
      <c r="H3428" s="2">
        <v>1040</v>
      </c>
      <c r="I3428" s="10">
        <v>197631</v>
      </c>
      <c r="J3428" s="10">
        <f>Raw_Data!$I3428/Raw_Data!$H3428</f>
        <v>190.02980769230768</v>
      </c>
    </row>
    <row r="3429" spans="1:10" x14ac:dyDescent="0.3">
      <c r="A3429" s="8">
        <v>41888</v>
      </c>
      <c r="B3429" t="str">
        <f>TEXT(Raw_Data!$A3429, "MMM")</f>
        <v>Sep</v>
      </c>
      <c r="C3429">
        <f>YEAR(Raw_Data!$A3429)</f>
        <v>2014</v>
      </c>
      <c r="D3429" t="s">
        <v>2395</v>
      </c>
      <c r="E3429" t="s">
        <v>25</v>
      </c>
      <c r="F3429" t="s">
        <v>16</v>
      </c>
      <c r="G3429">
        <v>5</v>
      </c>
      <c r="H3429">
        <v>1667</v>
      </c>
      <c r="I3429" s="1">
        <v>531989</v>
      </c>
      <c r="J3429" s="1">
        <f>Raw_Data!$I3429/Raw_Data!$H3429</f>
        <v>319.12957408518298</v>
      </c>
    </row>
    <row r="3430" spans="1:10" x14ac:dyDescent="0.3">
      <c r="A3430" s="9">
        <v>42906</v>
      </c>
      <c r="B3430" s="2" t="str">
        <f>TEXT(Raw_Data!$A3430, "MMM")</f>
        <v>Jun</v>
      </c>
      <c r="C3430" s="2">
        <f>YEAR(Raw_Data!$A3430)</f>
        <v>2017</v>
      </c>
      <c r="D3430" s="2" t="s">
        <v>2396</v>
      </c>
      <c r="E3430" s="2" t="s">
        <v>13</v>
      </c>
      <c r="F3430" s="2" t="s">
        <v>16</v>
      </c>
      <c r="G3430" s="2">
        <v>5</v>
      </c>
      <c r="H3430" s="2">
        <v>3280</v>
      </c>
      <c r="I3430" s="10">
        <v>207509</v>
      </c>
      <c r="J3430" s="10">
        <f>Raw_Data!$I3430/Raw_Data!$H3430</f>
        <v>63.264939024390245</v>
      </c>
    </row>
    <row r="3431" spans="1:10" x14ac:dyDescent="0.3">
      <c r="A3431" s="8">
        <v>40738</v>
      </c>
      <c r="B3431" t="str">
        <f>TEXT(Raw_Data!$A3431, "MMM")</f>
        <v>Jul</v>
      </c>
      <c r="C3431">
        <f>YEAR(Raw_Data!$A3431)</f>
        <v>2011</v>
      </c>
      <c r="D3431" t="s">
        <v>2397</v>
      </c>
      <c r="E3431" t="s">
        <v>15</v>
      </c>
      <c r="F3431" t="s">
        <v>27</v>
      </c>
      <c r="H3431">
        <v>2127</v>
      </c>
      <c r="I3431" s="1">
        <v>721535</v>
      </c>
      <c r="J3431" s="1">
        <f>Raw_Data!$I3431/Raw_Data!$H3431</f>
        <v>339.22661024917727</v>
      </c>
    </row>
    <row r="3432" spans="1:10" x14ac:dyDescent="0.3">
      <c r="A3432" s="9">
        <v>44028</v>
      </c>
      <c r="B3432" s="2" t="str">
        <f>TEXT(Raw_Data!$A3432, "MMM")</f>
        <v>Jul</v>
      </c>
      <c r="C3432" s="2">
        <f>YEAR(Raw_Data!$A3432)</f>
        <v>2020</v>
      </c>
      <c r="D3432" s="2" t="s">
        <v>2398</v>
      </c>
      <c r="E3432" s="2" t="s">
        <v>23</v>
      </c>
      <c r="F3432" s="2" t="s">
        <v>18</v>
      </c>
      <c r="G3432" s="2">
        <v>2</v>
      </c>
      <c r="H3432" s="2">
        <v>3016</v>
      </c>
      <c r="I3432" s="10">
        <v>662085</v>
      </c>
      <c r="J3432" s="10">
        <f>Raw_Data!$I3432/Raw_Data!$H3432</f>
        <v>219.52420424403184</v>
      </c>
    </row>
    <row r="3433" spans="1:10" x14ac:dyDescent="0.3">
      <c r="A3433" s="8">
        <v>43829</v>
      </c>
      <c r="B3433" t="str">
        <f>TEXT(Raw_Data!$A3433, "MMM")</f>
        <v>Dec</v>
      </c>
      <c r="C3433">
        <f>YEAR(Raw_Data!$A3433)</f>
        <v>2019</v>
      </c>
      <c r="D3433" t="s">
        <v>545</v>
      </c>
      <c r="E3433" t="s">
        <v>29</v>
      </c>
      <c r="F3433" t="s">
        <v>27</v>
      </c>
      <c r="H3433">
        <v>2969</v>
      </c>
      <c r="I3433" s="1">
        <v>222904</v>
      </c>
      <c r="J3433" s="1">
        <f>Raw_Data!$I3433/Raw_Data!$H3433</f>
        <v>75.077130346918153</v>
      </c>
    </row>
    <row r="3434" spans="1:10" x14ac:dyDescent="0.3">
      <c r="A3434" s="9">
        <v>39875</v>
      </c>
      <c r="B3434" s="2" t="str">
        <f>TEXT(Raw_Data!$A3434, "MMM")</f>
        <v>Mar</v>
      </c>
      <c r="C3434" s="2">
        <f>YEAR(Raw_Data!$A3434)</f>
        <v>2009</v>
      </c>
      <c r="D3434" s="2" t="s">
        <v>1914</v>
      </c>
      <c r="E3434" s="2" t="s">
        <v>25</v>
      </c>
      <c r="F3434" s="2" t="s">
        <v>16</v>
      </c>
      <c r="G3434" s="2">
        <v>2</v>
      </c>
      <c r="H3434" s="2">
        <v>1630</v>
      </c>
      <c r="I3434" s="10">
        <v>863246</v>
      </c>
      <c r="J3434" s="10">
        <f>Raw_Data!$I3434/Raw_Data!$H3434</f>
        <v>529.59877300613493</v>
      </c>
    </row>
    <row r="3435" spans="1:10" x14ac:dyDescent="0.3">
      <c r="A3435" s="8">
        <v>38425</v>
      </c>
      <c r="B3435" t="str">
        <f>TEXT(Raw_Data!$A3435, "MMM")</f>
        <v>Mar</v>
      </c>
      <c r="C3435">
        <f>YEAR(Raw_Data!$A3435)</f>
        <v>2005</v>
      </c>
      <c r="D3435" t="s">
        <v>1343</v>
      </c>
      <c r="E3435" t="s">
        <v>32</v>
      </c>
      <c r="F3435" t="s">
        <v>18</v>
      </c>
      <c r="G3435">
        <v>5</v>
      </c>
      <c r="H3435">
        <v>2222</v>
      </c>
      <c r="I3435" s="1">
        <v>429000</v>
      </c>
      <c r="J3435" s="1">
        <f>Raw_Data!$I3435/Raw_Data!$H3435</f>
        <v>193.06930693069307</v>
      </c>
    </row>
    <row r="3436" spans="1:10" x14ac:dyDescent="0.3">
      <c r="A3436" s="9">
        <v>38593</v>
      </c>
      <c r="B3436" s="2" t="str">
        <f>TEXT(Raw_Data!$A3436, "MMM")</f>
        <v>Aug</v>
      </c>
      <c r="C3436" s="2">
        <f>YEAR(Raw_Data!$A3436)</f>
        <v>2005</v>
      </c>
      <c r="D3436" s="2" t="s">
        <v>611</v>
      </c>
      <c r="E3436" s="2" t="s">
        <v>13</v>
      </c>
      <c r="F3436" s="2" t="s">
        <v>18</v>
      </c>
      <c r="G3436" s="2">
        <v>4</v>
      </c>
      <c r="H3436" s="2">
        <v>2792</v>
      </c>
      <c r="I3436" s="10">
        <v>695884</v>
      </c>
      <c r="J3436" s="10">
        <f>Raw_Data!$I3436/Raw_Data!$H3436</f>
        <v>249.24212034383953</v>
      </c>
    </row>
    <row r="3437" spans="1:10" x14ac:dyDescent="0.3">
      <c r="A3437" s="8">
        <v>37398</v>
      </c>
      <c r="B3437" t="str">
        <f>TEXT(Raw_Data!$A3437, "MMM")</f>
        <v>May</v>
      </c>
      <c r="C3437">
        <f>YEAR(Raw_Data!$A3437)</f>
        <v>2002</v>
      </c>
      <c r="D3437" t="s">
        <v>2180</v>
      </c>
      <c r="E3437" t="s">
        <v>15</v>
      </c>
      <c r="F3437" t="s">
        <v>27</v>
      </c>
      <c r="G3437">
        <v>4</v>
      </c>
      <c r="H3437">
        <v>1484</v>
      </c>
      <c r="I3437" s="1">
        <v>427878</v>
      </c>
      <c r="J3437" s="1">
        <f>Raw_Data!$I3437/Raw_Data!$H3437</f>
        <v>288.32749326145552</v>
      </c>
    </row>
    <row r="3438" spans="1:10" x14ac:dyDescent="0.3">
      <c r="A3438" s="9">
        <v>40649</v>
      </c>
      <c r="B3438" s="2" t="str">
        <f>TEXT(Raw_Data!$A3438, "MMM")</f>
        <v>Apr</v>
      </c>
      <c r="C3438" s="2">
        <f>YEAR(Raw_Data!$A3438)</f>
        <v>2011</v>
      </c>
      <c r="D3438" s="2" t="s">
        <v>922</v>
      </c>
      <c r="E3438" s="2" t="s">
        <v>15</v>
      </c>
      <c r="F3438" s="2" t="s">
        <v>16</v>
      </c>
      <c r="G3438" s="2">
        <v>2</v>
      </c>
      <c r="H3438" s="2">
        <v>1994</v>
      </c>
      <c r="I3438" s="10">
        <v>306973</v>
      </c>
      <c r="J3438" s="10">
        <f>Raw_Data!$I3438/Raw_Data!$H3438</f>
        <v>153.94834503510532</v>
      </c>
    </row>
    <row r="3439" spans="1:10" x14ac:dyDescent="0.3">
      <c r="A3439" s="8">
        <v>38083</v>
      </c>
      <c r="B3439" t="str">
        <f>TEXT(Raw_Data!$A3439, "MMM")</f>
        <v>Apr</v>
      </c>
      <c r="C3439">
        <f>YEAR(Raw_Data!$A3439)</f>
        <v>2004</v>
      </c>
      <c r="D3439" t="s">
        <v>2399</v>
      </c>
      <c r="E3439" t="s">
        <v>15</v>
      </c>
      <c r="F3439" t="s">
        <v>11</v>
      </c>
      <c r="H3439">
        <v>2260</v>
      </c>
      <c r="I3439" s="1">
        <v>571488</v>
      </c>
      <c r="J3439" s="1">
        <f>Raw_Data!$I3439/Raw_Data!$H3439</f>
        <v>252.87079646017699</v>
      </c>
    </row>
    <row r="3440" spans="1:10" x14ac:dyDescent="0.3">
      <c r="A3440" s="9">
        <v>41519</v>
      </c>
      <c r="B3440" s="2" t="str">
        <f>TEXT(Raw_Data!$A3440, "MMM")</f>
        <v>Sep</v>
      </c>
      <c r="C3440" s="2">
        <f>YEAR(Raw_Data!$A3440)</f>
        <v>2013</v>
      </c>
      <c r="D3440" s="2" t="s">
        <v>772</v>
      </c>
      <c r="E3440" s="2" t="s">
        <v>13</v>
      </c>
      <c r="F3440" s="2" t="s">
        <v>11</v>
      </c>
      <c r="G3440" s="2">
        <v>4</v>
      </c>
      <c r="H3440" s="2">
        <v>2877</v>
      </c>
      <c r="I3440" s="10">
        <v>492311</v>
      </c>
      <c r="J3440" s="10">
        <f>Raw_Data!$I3440/Raw_Data!$H3440</f>
        <v>171.11956899548142</v>
      </c>
    </row>
    <row r="3441" spans="1:10" x14ac:dyDescent="0.3">
      <c r="A3441" s="8">
        <v>43582</v>
      </c>
      <c r="B3441" t="str">
        <f>TEXT(Raw_Data!$A3441, "MMM")</f>
        <v>Apr</v>
      </c>
      <c r="C3441">
        <f>YEAR(Raw_Data!$A3441)</f>
        <v>2019</v>
      </c>
      <c r="D3441" t="s">
        <v>2400</v>
      </c>
      <c r="E3441" t="s">
        <v>15</v>
      </c>
      <c r="F3441" t="s">
        <v>18</v>
      </c>
      <c r="H3441">
        <v>1473</v>
      </c>
      <c r="I3441" s="1">
        <v>620376</v>
      </c>
      <c r="J3441" s="1">
        <f>Raw_Data!$I3441/Raw_Data!$H3441</f>
        <v>421.16496945010181</v>
      </c>
    </row>
    <row r="3442" spans="1:10" x14ac:dyDescent="0.3">
      <c r="A3442" s="9">
        <v>42605</v>
      </c>
      <c r="B3442" s="2" t="str">
        <f>TEXT(Raw_Data!$A3442, "MMM")</f>
        <v>Aug</v>
      </c>
      <c r="C3442" s="2">
        <f>YEAR(Raw_Data!$A3442)</f>
        <v>2016</v>
      </c>
      <c r="D3442" s="2" t="s">
        <v>1287</v>
      </c>
      <c r="E3442" s="2" t="s">
        <v>32</v>
      </c>
      <c r="F3442" s="2" t="s">
        <v>16</v>
      </c>
      <c r="G3442" s="2">
        <v>4</v>
      </c>
      <c r="H3442" s="2">
        <v>3313</v>
      </c>
      <c r="I3442" s="10">
        <v>291029</v>
      </c>
      <c r="J3442" s="10">
        <f>Raw_Data!$I3442/Raw_Data!$H3442</f>
        <v>87.8445517657712</v>
      </c>
    </row>
    <row r="3443" spans="1:10" x14ac:dyDescent="0.3">
      <c r="A3443" s="8">
        <v>38748</v>
      </c>
      <c r="B3443" t="str">
        <f>TEXT(Raw_Data!$A3443, "MMM")</f>
        <v>Jan</v>
      </c>
      <c r="C3443">
        <f>YEAR(Raw_Data!$A3443)</f>
        <v>2006</v>
      </c>
      <c r="D3443" t="s">
        <v>1259</v>
      </c>
      <c r="E3443" t="s">
        <v>15</v>
      </c>
      <c r="F3443" t="s">
        <v>11</v>
      </c>
      <c r="G3443">
        <v>3</v>
      </c>
      <c r="H3443">
        <v>2941</v>
      </c>
      <c r="I3443" s="1">
        <v>154946</v>
      </c>
      <c r="J3443" s="1">
        <f>Raw_Data!$I3443/Raw_Data!$H3443</f>
        <v>52.684801088065285</v>
      </c>
    </row>
    <row r="3444" spans="1:10" x14ac:dyDescent="0.3">
      <c r="A3444" s="9">
        <v>41914</v>
      </c>
      <c r="B3444" s="2" t="str">
        <f>TEXT(Raw_Data!$A3444, "MMM")</f>
        <v>Oct</v>
      </c>
      <c r="C3444" s="2">
        <f>YEAR(Raw_Data!$A3444)</f>
        <v>2014</v>
      </c>
      <c r="D3444" s="2" t="s">
        <v>1776</v>
      </c>
      <c r="E3444" s="2" t="s">
        <v>21</v>
      </c>
      <c r="F3444" s="2" t="s">
        <v>16</v>
      </c>
      <c r="G3444" s="2">
        <v>4</v>
      </c>
      <c r="H3444" s="2">
        <v>3493</v>
      </c>
      <c r="I3444" s="10">
        <v>849358</v>
      </c>
      <c r="J3444" s="10">
        <f>Raw_Data!$I3444/Raw_Data!$H3444</f>
        <v>243.16003435442312</v>
      </c>
    </row>
    <row r="3445" spans="1:10" x14ac:dyDescent="0.3">
      <c r="A3445" s="8">
        <v>38819</v>
      </c>
      <c r="B3445" t="str">
        <f>TEXT(Raw_Data!$A3445, "MMM")</f>
        <v>Apr</v>
      </c>
      <c r="C3445">
        <f>YEAR(Raw_Data!$A3445)</f>
        <v>2006</v>
      </c>
      <c r="D3445" t="s">
        <v>2401</v>
      </c>
      <c r="E3445" t="s">
        <v>25</v>
      </c>
      <c r="F3445" t="s">
        <v>11</v>
      </c>
      <c r="G3445">
        <v>5</v>
      </c>
      <c r="H3445">
        <v>949</v>
      </c>
      <c r="I3445" s="1">
        <v>618636</v>
      </c>
      <c r="J3445" s="1">
        <f>Raw_Data!$I3445/Raw_Data!$H3445</f>
        <v>651.88198103266598</v>
      </c>
    </row>
    <row r="3446" spans="1:10" x14ac:dyDescent="0.3">
      <c r="A3446" s="9">
        <v>39069</v>
      </c>
      <c r="B3446" s="2" t="str">
        <f>TEXT(Raw_Data!$A3446, "MMM")</f>
        <v>Dec</v>
      </c>
      <c r="C3446" s="2">
        <f>YEAR(Raw_Data!$A3446)</f>
        <v>2006</v>
      </c>
      <c r="D3446" s="2" t="s">
        <v>1885</v>
      </c>
      <c r="E3446" s="2" t="s">
        <v>25</v>
      </c>
      <c r="F3446" s="2" t="s">
        <v>11</v>
      </c>
      <c r="G3446" s="2">
        <v>2</v>
      </c>
      <c r="H3446" s="2">
        <v>3359</v>
      </c>
      <c r="I3446" s="10">
        <v>337547</v>
      </c>
      <c r="J3446" s="10">
        <f>Raw_Data!$I3446/Raw_Data!$H3446</f>
        <v>100.49032450133969</v>
      </c>
    </row>
    <row r="3447" spans="1:10" x14ac:dyDescent="0.3">
      <c r="A3447" s="8">
        <v>39674</v>
      </c>
      <c r="B3447" t="str">
        <f>TEXT(Raw_Data!$A3447, "MMM")</f>
        <v>Aug</v>
      </c>
      <c r="C3447">
        <f>YEAR(Raw_Data!$A3447)</f>
        <v>2008</v>
      </c>
      <c r="D3447" t="s">
        <v>2402</v>
      </c>
      <c r="E3447" t="s">
        <v>15</v>
      </c>
      <c r="F3447" t="s">
        <v>11</v>
      </c>
      <c r="G3447">
        <v>5</v>
      </c>
      <c r="H3447">
        <v>2426</v>
      </c>
      <c r="I3447" s="1">
        <v>209575</v>
      </c>
      <c r="J3447" s="1">
        <f>Raw_Data!$I3447/Raw_Data!$H3447</f>
        <v>86.387056883759271</v>
      </c>
    </row>
    <row r="3448" spans="1:10" x14ac:dyDescent="0.3">
      <c r="A3448" s="9">
        <v>43555</v>
      </c>
      <c r="B3448" s="2" t="str">
        <f>TEXT(Raw_Data!$A3448, "MMM")</f>
        <v>Mar</v>
      </c>
      <c r="C3448" s="2">
        <f>YEAR(Raw_Data!$A3448)</f>
        <v>2019</v>
      </c>
      <c r="D3448" s="2" t="s">
        <v>42</v>
      </c>
      <c r="E3448" s="2" t="s">
        <v>13</v>
      </c>
      <c r="F3448" s="2" t="s">
        <v>27</v>
      </c>
      <c r="G3448" s="2">
        <v>2</v>
      </c>
      <c r="H3448" s="2">
        <v>3150</v>
      </c>
      <c r="I3448" s="10">
        <v>280149</v>
      </c>
      <c r="J3448" s="10">
        <f>Raw_Data!$I3448/Raw_Data!$H3448</f>
        <v>88.936190476190475</v>
      </c>
    </row>
    <row r="3449" spans="1:10" x14ac:dyDescent="0.3">
      <c r="A3449" s="8">
        <v>41694</v>
      </c>
      <c r="B3449" t="str">
        <f>TEXT(Raw_Data!$A3449, "MMM")</f>
        <v>Feb</v>
      </c>
      <c r="C3449">
        <f>YEAR(Raw_Data!$A3449)</f>
        <v>2014</v>
      </c>
      <c r="D3449" t="s">
        <v>2403</v>
      </c>
      <c r="E3449" t="s">
        <v>25</v>
      </c>
      <c r="F3449" t="s">
        <v>16</v>
      </c>
      <c r="G3449">
        <v>3</v>
      </c>
      <c r="H3449">
        <v>883</v>
      </c>
      <c r="I3449" s="1">
        <v>778260</v>
      </c>
      <c r="J3449" s="1">
        <f>Raw_Data!$I3449/Raw_Data!$H3449</f>
        <v>881.38165345413358</v>
      </c>
    </row>
    <row r="3450" spans="1:10" x14ac:dyDescent="0.3">
      <c r="A3450" s="9">
        <v>38136</v>
      </c>
      <c r="B3450" s="2" t="str">
        <f>TEXT(Raw_Data!$A3450, "MMM")</f>
        <v>May</v>
      </c>
      <c r="C3450" s="2">
        <f>YEAR(Raw_Data!$A3450)</f>
        <v>2004</v>
      </c>
      <c r="D3450" s="2" t="s">
        <v>2404</v>
      </c>
      <c r="E3450" s="2" t="s">
        <v>25</v>
      </c>
      <c r="F3450" s="2" t="s">
        <v>18</v>
      </c>
      <c r="G3450" s="2"/>
      <c r="H3450" s="2">
        <v>1169</v>
      </c>
      <c r="I3450" s="10">
        <v>155434</v>
      </c>
      <c r="J3450" s="10">
        <f>Raw_Data!$I3450/Raw_Data!$H3450</f>
        <v>132.96321642429427</v>
      </c>
    </row>
    <row r="3451" spans="1:10" x14ac:dyDescent="0.3">
      <c r="A3451" s="8">
        <v>43248</v>
      </c>
      <c r="B3451" t="str">
        <f>TEXT(Raw_Data!$A3451, "MMM")</f>
        <v>May</v>
      </c>
      <c r="C3451">
        <f>YEAR(Raw_Data!$A3451)</f>
        <v>2018</v>
      </c>
      <c r="D3451" t="s">
        <v>47</v>
      </c>
      <c r="E3451" t="s">
        <v>15</v>
      </c>
      <c r="F3451" t="s">
        <v>27</v>
      </c>
      <c r="G3451">
        <v>3</v>
      </c>
      <c r="H3451">
        <v>2602</v>
      </c>
      <c r="I3451" s="1">
        <v>648483</v>
      </c>
      <c r="J3451" s="1">
        <f>Raw_Data!$I3451/Raw_Data!$H3451</f>
        <v>249.22482705611068</v>
      </c>
    </row>
    <row r="3452" spans="1:10" x14ac:dyDescent="0.3">
      <c r="A3452" s="9">
        <v>41833</v>
      </c>
      <c r="B3452" s="2" t="str">
        <f>TEXT(Raw_Data!$A3452, "MMM")</f>
        <v>Jul</v>
      </c>
      <c r="C3452" s="2">
        <f>YEAR(Raw_Data!$A3452)</f>
        <v>2014</v>
      </c>
      <c r="D3452" s="2" t="s">
        <v>782</v>
      </c>
      <c r="E3452" s="2" t="s">
        <v>25</v>
      </c>
      <c r="F3452" s="2" t="s">
        <v>18</v>
      </c>
      <c r="G3452" s="2">
        <v>2</v>
      </c>
      <c r="H3452" s="2">
        <v>3477</v>
      </c>
      <c r="I3452" s="10">
        <v>820712</v>
      </c>
      <c r="J3452" s="10">
        <f>Raw_Data!$I3452/Raw_Data!$H3452</f>
        <v>236.04026459591603</v>
      </c>
    </row>
    <row r="3453" spans="1:10" x14ac:dyDescent="0.3">
      <c r="A3453" s="8">
        <v>37776</v>
      </c>
      <c r="B3453" t="str">
        <f>TEXT(Raw_Data!$A3453, "MMM")</f>
        <v>Jun</v>
      </c>
      <c r="C3453">
        <f>YEAR(Raw_Data!$A3453)</f>
        <v>2003</v>
      </c>
      <c r="D3453" t="s">
        <v>2405</v>
      </c>
      <c r="E3453" t="s">
        <v>15</v>
      </c>
      <c r="F3453" t="s">
        <v>18</v>
      </c>
      <c r="G3453">
        <v>2</v>
      </c>
      <c r="H3453">
        <v>846</v>
      </c>
      <c r="I3453" s="1">
        <v>437801</v>
      </c>
      <c r="J3453" s="1">
        <f>Raw_Data!$I3453/Raw_Data!$H3453</f>
        <v>517.49527186761225</v>
      </c>
    </row>
    <row r="3454" spans="1:10" x14ac:dyDescent="0.3">
      <c r="A3454" s="9">
        <v>42696</v>
      </c>
      <c r="B3454" s="2" t="str">
        <f>TEXT(Raw_Data!$A3454, "MMM")</f>
        <v>Nov</v>
      </c>
      <c r="C3454" s="2">
        <f>YEAR(Raw_Data!$A3454)</f>
        <v>2016</v>
      </c>
      <c r="D3454" s="2" t="s">
        <v>1440</v>
      </c>
      <c r="E3454" s="2" t="s">
        <v>21</v>
      </c>
      <c r="F3454" s="2" t="s">
        <v>11</v>
      </c>
      <c r="G3454" s="2"/>
      <c r="H3454" s="2">
        <v>1669</v>
      </c>
      <c r="I3454" s="10">
        <v>569597</v>
      </c>
      <c r="J3454" s="10">
        <f>Raw_Data!$I3454/Raw_Data!$H3454</f>
        <v>341.28040742959854</v>
      </c>
    </row>
    <row r="3455" spans="1:10" x14ac:dyDescent="0.3">
      <c r="A3455" s="8">
        <v>42243</v>
      </c>
      <c r="B3455" t="str">
        <f>TEXT(Raw_Data!$A3455, "MMM")</f>
        <v>Aug</v>
      </c>
      <c r="C3455">
        <f>YEAR(Raw_Data!$A3455)</f>
        <v>2015</v>
      </c>
      <c r="D3455" t="s">
        <v>1243</v>
      </c>
      <c r="E3455" t="s">
        <v>21</v>
      </c>
      <c r="F3455" t="s">
        <v>18</v>
      </c>
      <c r="H3455">
        <v>3169</v>
      </c>
      <c r="I3455" s="1">
        <v>736020</v>
      </c>
      <c r="J3455" s="1">
        <f>Raw_Data!$I3455/Raw_Data!$H3455</f>
        <v>232.25623224992111</v>
      </c>
    </row>
    <row r="3456" spans="1:10" x14ac:dyDescent="0.3">
      <c r="A3456" s="9">
        <v>42190</v>
      </c>
      <c r="B3456" s="2" t="str">
        <f>TEXT(Raw_Data!$A3456, "MMM")</f>
        <v>Jul</v>
      </c>
      <c r="C3456" s="2">
        <f>YEAR(Raw_Data!$A3456)</f>
        <v>2015</v>
      </c>
      <c r="D3456" s="2" t="s">
        <v>2406</v>
      </c>
      <c r="E3456" s="2" t="s">
        <v>25</v>
      </c>
      <c r="F3456" s="2" t="s">
        <v>27</v>
      </c>
      <c r="G3456" s="2">
        <v>3</v>
      </c>
      <c r="H3456" s="2">
        <v>2024</v>
      </c>
      <c r="I3456" s="10">
        <v>536747</v>
      </c>
      <c r="J3456" s="10">
        <f>Raw_Data!$I3456/Raw_Data!$H3456</f>
        <v>265.19120553359681</v>
      </c>
    </row>
    <row r="3457" spans="1:10" x14ac:dyDescent="0.3">
      <c r="A3457" s="8">
        <v>44133</v>
      </c>
      <c r="B3457" t="str">
        <f>TEXT(Raw_Data!$A3457, "MMM")</f>
        <v>Oct</v>
      </c>
      <c r="C3457">
        <f>YEAR(Raw_Data!$A3457)</f>
        <v>2020</v>
      </c>
      <c r="D3457" t="s">
        <v>2407</v>
      </c>
      <c r="E3457" t="s">
        <v>32</v>
      </c>
      <c r="F3457" t="s">
        <v>16</v>
      </c>
      <c r="H3457">
        <v>3359</v>
      </c>
      <c r="I3457" s="1">
        <v>693691</v>
      </c>
      <c r="J3457" s="1">
        <f>Raw_Data!$I3457/Raw_Data!$H3457</f>
        <v>206.51711818993749</v>
      </c>
    </row>
    <row r="3458" spans="1:10" x14ac:dyDescent="0.3">
      <c r="A3458" s="9">
        <v>38312</v>
      </c>
      <c r="B3458" s="2" t="str">
        <f>TEXT(Raw_Data!$A3458, "MMM")</f>
        <v>Nov</v>
      </c>
      <c r="C3458" s="2">
        <f>YEAR(Raw_Data!$A3458)</f>
        <v>2004</v>
      </c>
      <c r="D3458" s="2" t="s">
        <v>2408</v>
      </c>
      <c r="E3458" s="2" t="s">
        <v>15</v>
      </c>
      <c r="F3458" s="2" t="s">
        <v>18</v>
      </c>
      <c r="G3458" s="2">
        <v>2</v>
      </c>
      <c r="H3458" s="2">
        <v>1402</v>
      </c>
      <c r="I3458" s="10">
        <v>496748</v>
      </c>
      <c r="J3458" s="10">
        <f>Raw_Data!$I3458/Raw_Data!$H3458</f>
        <v>354.31383737517831</v>
      </c>
    </row>
    <row r="3459" spans="1:10" x14ac:dyDescent="0.3">
      <c r="A3459" s="8">
        <v>41016</v>
      </c>
      <c r="B3459" t="str">
        <f>TEXT(Raw_Data!$A3459, "MMM")</f>
        <v>Apr</v>
      </c>
      <c r="C3459">
        <f>YEAR(Raw_Data!$A3459)</f>
        <v>2012</v>
      </c>
      <c r="D3459" t="s">
        <v>453</v>
      </c>
      <c r="E3459" t="s">
        <v>15</v>
      </c>
      <c r="F3459" t="s">
        <v>18</v>
      </c>
      <c r="H3459">
        <v>2255</v>
      </c>
      <c r="I3459" s="1">
        <v>193853</v>
      </c>
      <c r="J3459" s="1">
        <f>Raw_Data!$I3459/Raw_Data!$H3459</f>
        <v>85.965853658536588</v>
      </c>
    </row>
    <row r="3460" spans="1:10" x14ac:dyDescent="0.3">
      <c r="A3460" s="9">
        <v>38272</v>
      </c>
      <c r="B3460" s="2" t="str">
        <f>TEXT(Raw_Data!$A3460, "MMM")</f>
        <v>Oct</v>
      </c>
      <c r="C3460" s="2">
        <f>YEAR(Raw_Data!$A3460)</f>
        <v>2004</v>
      </c>
      <c r="D3460" s="2" t="s">
        <v>2409</v>
      </c>
      <c r="E3460" s="2" t="s">
        <v>21</v>
      </c>
      <c r="F3460" s="2" t="s">
        <v>18</v>
      </c>
      <c r="G3460" s="2"/>
      <c r="H3460" s="2">
        <v>2612</v>
      </c>
      <c r="I3460" s="10">
        <v>589294</v>
      </c>
      <c r="J3460" s="10">
        <f>Raw_Data!$I3460/Raw_Data!$H3460</f>
        <v>225.61026033690658</v>
      </c>
    </row>
    <row r="3461" spans="1:10" x14ac:dyDescent="0.3">
      <c r="A3461" s="8">
        <v>43970</v>
      </c>
      <c r="B3461" t="str">
        <f>TEXT(Raw_Data!$A3461, "MMM")</f>
        <v>May</v>
      </c>
      <c r="C3461">
        <f>YEAR(Raw_Data!$A3461)</f>
        <v>2020</v>
      </c>
      <c r="D3461" t="s">
        <v>2410</v>
      </c>
      <c r="E3461" t="s">
        <v>25</v>
      </c>
      <c r="F3461" t="s">
        <v>16</v>
      </c>
      <c r="G3461">
        <v>5</v>
      </c>
      <c r="H3461">
        <v>2675</v>
      </c>
      <c r="I3461" s="1">
        <v>618049</v>
      </c>
      <c r="J3461" s="1">
        <f>Raw_Data!$I3461/Raw_Data!$H3461</f>
        <v>231.0463551401869</v>
      </c>
    </row>
    <row r="3462" spans="1:10" x14ac:dyDescent="0.3">
      <c r="A3462" s="9">
        <v>42759</v>
      </c>
      <c r="B3462" s="2" t="str">
        <f>TEXT(Raw_Data!$A3462, "MMM")</f>
        <v>Jan</v>
      </c>
      <c r="C3462" s="2">
        <f>YEAR(Raw_Data!$A3462)</f>
        <v>2017</v>
      </c>
      <c r="D3462" s="2" t="s">
        <v>2411</v>
      </c>
      <c r="E3462" s="2" t="s">
        <v>29</v>
      </c>
      <c r="F3462" s="2" t="s">
        <v>27</v>
      </c>
      <c r="G3462" s="2">
        <v>2</v>
      </c>
      <c r="H3462" s="2">
        <v>1584</v>
      </c>
      <c r="I3462" s="10">
        <v>702617</v>
      </c>
      <c r="J3462" s="10">
        <f>Raw_Data!$I3462/Raw_Data!$H3462</f>
        <v>443.57133838383839</v>
      </c>
    </row>
    <row r="3463" spans="1:10" x14ac:dyDescent="0.3">
      <c r="A3463" s="8">
        <v>37141</v>
      </c>
      <c r="B3463" t="str">
        <f>TEXT(Raw_Data!$A3463, "MMM")</f>
        <v>Sep</v>
      </c>
      <c r="C3463">
        <f>YEAR(Raw_Data!$A3463)</f>
        <v>2001</v>
      </c>
      <c r="D3463" t="s">
        <v>2412</v>
      </c>
      <c r="E3463" t="s">
        <v>29</v>
      </c>
      <c r="F3463" t="s">
        <v>18</v>
      </c>
      <c r="G3463">
        <v>2</v>
      </c>
      <c r="H3463">
        <v>2568</v>
      </c>
      <c r="I3463" s="1">
        <v>844347</v>
      </c>
      <c r="J3463" s="1">
        <f>Raw_Data!$I3463/Raw_Data!$H3463</f>
        <v>328.79556074766356</v>
      </c>
    </row>
    <row r="3464" spans="1:10" x14ac:dyDescent="0.3">
      <c r="A3464" s="9">
        <v>38492</v>
      </c>
      <c r="B3464" s="2" t="str">
        <f>TEXT(Raw_Data!$A3464, "MMM")</f>
        <v>May</v>
      </c>
      <c r="C3464" s="2">
        <f>YEAR(Raw_Data!$A3464)</f>
        <v>2005</v>
      </c>
      <c r="D3464" s="2" t="s">
        <v>647</v>
      </c>
      <c r="E3464" s="2" t="s">
        <v>25</v>
      </c>
      <c r="F3464" s="2" t="s">
        <v>18</v>
      </c>
      <c r="G3464" s="2"/>
      <c r="H3464" s="2">
        <v>2893</v>
      </c>
      <c r="I3464" s="10">
        <v>816211</v>
      </c>
      <c r="J3464" s="10">
        <f>Raw_Data!$I3464/Raw_Data!$H3464</f>
        <v>282.13307984790873</v>
      </c>
    </row>
    <row r="3465" spans="1:10" x14ac:dyDescent="0.3">
      <c r="A3465" s="8">
        <v>39155</v>
      </c>
      <c r="B3465" t="str">
        <f>TEXT(Raw_Data!$A3465, "MMM")</f>
        <v>Mar</v>
      </c>
      <c r="C3465">
        <f>YEAR(Raw_Data!$A3465)</f>
        <v>2007</v>
      </c>
      <c r="D3465" t="s">
        <v>423</v>
      </c>
      <c r="E3465" t="s">
        <v>29</v>
      </c>
      <c r="F3465" t="s">
        <v>27</v>
      </c>
      <c r="G3465">
        <v>4</v>
      </c>
      <c r="H3465">
        <v>3086</v>
      </c>
      <c r="I3465" s="1">
        <v>580531</v>
      </c>
      <c r="J3465" s="1">
        <f>Raw_Data!$I3465/Raw_Data!$H3465</f>
        <v>188.11762799740765</v>
      </c>
    </row>
    <row r="3466" spans="1:10" x14ac:dyDescent="0.3">
      <c r="A3466" s="9">
        <v>44187</v>
      </c>
      <c r="B3466" s="2" t="str">
        <f>TEXT(Raw_Data!$A3466, "MMM")</f>
        <v>Dec</v>
      </c>
      <c r="C3466" s="2">
        <f>YEAR(Raw_Data!$A3466)</f>
        <v>2020</v>
      </c>
      <c r="D3466" s="2" t="s">
        <v>2413</v>
      </c>
      <c r="E3466" s="2" t="s">
        <v>32</v>
      </c>
      <c r="F3466" s="2" t="s">
        <v>27</v>
      </c>
      <c r="G3466" s="2">
        <v>5</v>
      </c>
      <c r="H3466" s="2">
        <v>1037</v>
      </c>
      <c r="I3466" s="10">
        <v>666604</v>
      </c>
      <c r="J3466" s="10">
        <f>Raw_Data!$I3466/Raw_Data!$H3466</f>
        <v>642.81967213114751</v>
      </c>
    </row>
    <row r="3467" spans="1:10" x14ac:dyDescent="0.3">
      <c r="A3467" s="8">
        <v>39654</v>
      </c>
      <c r="B3467" t="str">
        <f>TEXT(Raw_Data!$A3467, "MMM")</f>
        <v>Jul</v>
      </c>
      <c r="C3467">
        <f>YEAR(Raw_Data!$A3467)</f>
        <v>2008</v>
      </c>
      <c r="D3467" t="s">
        <v>1054</v>
      </c>
      <c r="E3467" t="s">
        <v>32</v>
      </c>
      <c r="F3467" t="s">
        <v>27</v>
      </c>
      <c r="H3467">
        <v>1468</v>
      </c>
      <c r="I3467" s="1">
        <v>457395</v>
      </c>
      <c r="J3467" s="1">
        <f>Raw_Data!$I3467/Raw_Data!$H3467</f>
        <v>311.57697547683921</v>
      </c>
    </row>
    <row r="3468" spans="1:10" x14ac:dyDescent="0.3">
      <c r="A3468" s="9">
        <v>40458</v>
      </c>
      <c r="B3468" s="2" t="str">
        <f>TEXT(Raw_Data!$A3468, "MMM")</f>
        <v>Oct</v>
      </c>
      <c r="C3468" s="2">
        <f>YEAR(Raw_Data!$A3468)</f>
        <v>2010</v>
      </c>
      <c r="D3468" s="2" t="s">
        <v>2414</v>
      </c>
      <c r="E3468" s="2" t="s">
        <v>15</v>
      </c>
      <c r="F3468" s="2" t="s">
        <v>27</v>
      </c>
      <c r="G3468" s="2">
        <v>5</v>
      </c>
      <c r="H3468" s="2">
        <v>3121</v>
      </c>
      <c r="I3468" s="10">
        <v>735661</v>
      </c>
      <c r="J3468" s="10">
        <f>Raw_Data!$I3468/Raw_Data!$H3468</f>
        <v>235.71323293816084</v>
      </c>
    </row>
    <row r="3469" spans="1:10" x14ac:dyDescent="0.3">
      <c r="A3469" s="8">
        <v>41717</v>
      </c>
      <c r="B3469" t="str">
        <f>TEXT(Raw_Data!$A3469, "MMM")</f>
        <v>Mar</v>
      </c>
      <c r="C3469">
        <f>YEAR(Raw_Data!$A3469)</f>
        <v>2014</v>
      </c>
      <c r="D3469" t="s">
        <v>2415</v>
      </c>
      <c r="E3469" t="s">
        <v>13</v>
      </c>
      <c r="F3469" t="s">
        <v>11</v>
      </c>
      <c r="G3469">
        <v>5</v>
      </c>
      <c r="H3469">
        <v>1900</v>
      </c>
      <c r="I3469" s="1">
        <v>141543</v>
      </c>
      <c r="J3469" s="1">
        <f>Raw_Data!$I3469/Raw_Data!$H3469</f>
        <v>74.496315789473684</v>
      </c>
    </row>
    <row r="3470" spans="1:10" x14ac:dyDescent="0.3">
      <c r="A3470" s="9">
        <v>38809</v>
      </c>
      <c r="B3470" s="2" t="str">
        <f>TEXT(Raw_Data!$A3470, "MMM")</f>
        <v>Apr</v>
      </c>
      <c r="C3470" s="2">
        <f>YEAR(Raw_Data!$A3470)</f>
        <v>2006</v>
      </c>
      <c r="D3470" s="2" t="s">
        <v>2416</v>
      </c>
      <c r="E3470" s="2" t="s">
        <v>32</v>
      </c>
      <c r="F3470" s="2" t="s">
        <v>16</v>
      </c>
      <c r="G3470" s="2">
        <v>2</v>
      </c>
      <c r="H3470" s="2">
        <v>2243</v>
      </c>
      <c r="I3470" s="10">
        <v>821715</v>
      </c>
      <c r="J3470" s="10">
        <f>Raw_Data!$I3470/Raw_Data!$H3470</f>
        <v>366.34641105662058</v>
      </c>
    </row>
    <row r="3471" spans="1:10" x14ac:dyDescent="0.3">
      <c r="A3471" s="8">
        <v>41736</v>
      </c>
      <c r="B3471" t="str">
        <f>TEXT(Raw_Data!$A3471, "MMM")</f>
        <v>Apr</v>
      </c>
      <c r="C3471">
        <f>YEAR(Raw_Data!$A3471)</f>
        <v>2014</v>
      </c>
      <c r="D3471" t="s">
        <v>2417</v>
      </c>
      <c r="E3471" t="s">
        <v>15</v>
      </c>
      <c r="F3471" t="s">
        <v>11</v>
      </c>
      <c r="H3471">
        <v>2168</v>
      </c>
      <c r="I3471" s="1">
        <v>641482</v>
      </c>
      <c r="J3471" s="1">
        <f>Raw_Data!$I3471/Raw_Data!$H3471</f>
        <v>295.88653136531366</v>
      </c>
    </row>
    <row r="3472" spans="1:10" x14ac:dyDescent="0.3">
      <c r="A3472" s="9">
        <v>39047</v>
      </c>
      <c r="B3472" s="2" t="str">
        <f>TEXT(Raw_Data!$A3472, "MMM")</f>
        <v>Nov</v>
      </c>
      <c r="C3472" s="2">
        <f>YEAR(Raw_Data!$A3472)</f>
        <v>2006</v>
      </c>
      <c r="D3472" s="2" t="s">
        <v>2418</v>
      </c>
      <c r="E3472" s="2" t="s">
        <v>21</v>
      </c>
      <c r="F3472" s="2" t="s">
        <v>27</v>
      </c>
      <c r="G3472" s="2">
        <v>4</v>
      </c>
      <c r="H3472" s="2">
        <v>3330</v>
      </c>
      <c r="I3472" s="10">
        <v>792440</v>
      </c>
      <c r="J3472" s="10">
        <f>Raw_Data!$I3472/Raw_Data!$H3472</f>
        <v>237.96996996996998</v>
      </c>
    </row>
    <row r="3473" spans="1:10" x14ac:dyDescent="0.3">
      <c r="A3473" s="8">
        <v>39611</v>
      </c>
      <c r="B3473" t="str">
        <f>TEXT(Raw_Data!$A3473, "MMM")</f>
        <v>Jun</v>
      </c>
      <c r="C3473">
        <f>YEAR(Raw_Data!$A3473)</f>
        <v>2008</v>
      </c>
      <c r="D3473" t="s">
        <v>1414</v>
      </c>
      <c r="E3473" t="s">
        <v>21</v>
      </c>
      <c r="F3473" t="s">
        <v>27</v>
      </c>
      <c r="G3473">
        <v>3</v>
      </c>
      <c r="H3473">
        <v>1627</v>
      </c>
      <c r="I3473" s="1">
        <v>768674</v>
      </c>
      <c r="J3473" s="1">
        <f>Raw_Data!$I3473/Raw_Data!$H3473</f>
        <v>472.44867854947756</v>
      </c>
    </row>
    <row r="3474" spans="1:10" x14ac:dyDescent="0.3">
      <c r="A3474" s="9">
        <v>44110</v>
      </c>
      <c r="B3474" s="2" t="str">
        <f>TEXT(Raw_Data!$A3474, "MMM")</f>
        <v>Oct</v>
      </c>
      <c r="C3474" s="2">
        <f>YEAR(Raw_Data!$A3474)</f>
        <v>2020</v>
      </c>
      <c r="D3474" s="2" t="s">
        <v>2419</v>
      </c>
      <c r="E3474" s="2" t="s">
        <v>23</v>
      </c>
      <c r="F3474" s="2" t="s">
        <v>16</v>
      </c>
      <c r="G3474" s="2"/>
      <c r="H3474" s="2">
        <v>1253</v>
      </c>
      <c r="I3474" s="10">
        <v>563124</v>
      </c>
      <c r="J3474" s="10">
        <f>Raw_Data!$I3474/Raw_Data!$H3474</f>
        <v>449.42059058260173</v>
      </c>
    </row>
    <row r="3475" spans="1:10" x14ac:dyDescent="0.3">
      <c r="A3475" s="8">
        <v>40996</v>
      </c>
      <c r="B3475" t="str">
        <f>TEXT(Raw_Data!$A3475, "MMM")</f>
        <v>Mar</v>
      </c>
      <c r="C3475">
        <f>YEAR(Raw_Data!$A3475)</f>
        <v>2012</v>
      </c>
      <c r="D3475" t="s">
        <v>2420</v>
      </c>
      <c r="E3475" t="s">
        <v>21</v>
      </c>
      <c r="F3475" t="s">
        <v>16</v>
      </c>
      <c r="G3475">
        <v>4</v>
      </c>
      <c r="H3475">
        <v>3002</v>
      </c>
      <c r="I3475" s="1">
        <v>735581</v>
      </c>
      <c r="J3475" s="1">
        <f>Raw_Data!$I3475/Raw_Data!$H3475</f>
        <v>245.03031312458361</v>
      </c>
    </row>
    <row r="3476" spans="1:10" x14ac:dyDescent="0.3">
      <c r="A3476" s="9">
        <v>41286</v>
      </c>
      <c r="B3476" s="2" t="str">
        <f>TEXT(Raw_Data!$A3476, "MMM")</f>
        <v>Jan</v>
      </c>
      <c r="C3476" s="2">
        <f>YEAR(Raw_Data!$A3476)</f>
        <v>2013</v>
      </c>
      <c r="D3476" s="2" t="s">
        <v>939</v>
      </c>
      <c r="E3476" s="2" t="s">
        <v>25</v>
      </c>
      <c r="F3476" s="2" t="s">
        <v>27</v>
      </c>
      <c r="G3476" s="2">
        <v>4</v>
      </c>
      <c r="H3476" s="2">
        <v>866</v>
      </c>
      <c r="I3476" s="10">
        <v>173884</v>
      </c>
      <c r="J3476" s="10">
        <f>Raw_Data!$I3476/Raw_Data!$H3476</f>
        <v>200.78983833718246</v>
      </c>
    </row>
    <row r="3477" spans="1:10" x14ac:dyDescent="0.3">
      <c r="A3477" s="8">
        <v>37010</v>
      </c>
      <c r="B3477" t="str">
        <f>TEXT(Raw_Data!$A3477, "MMM")</f>
        <v>Apr</v>
      </c>
      <c r="C3477">
        <f>YEAR(Raw_Data!$A3477)</f>
        <v>2001</v>
      </c>
      <c r="D3477" t="s">
        <v>2421</v>
      </c>
      <c r="E3477" t="s">
        <v>21</v>
      </c>
      <c r="F3477" t="s">
        <v>27</v>
      </c>
      <c r="G3477">
        <v>4</v>
      </c>
      <c r="H3477">
        <v>1500</v>
      </c>
      <c r="I3477" s="1">
        <v>796912</v>
      </c>
      <c r="J3477" s="1">
        <f>Raw_Data!$I3477/Raw_Data!$H3477</f>
        <v>531.27466666666669</v>
      </c>
    </row>
    <row r="3478" spans="1:10" x14ac:dyDescent="0.3">
      <c r="A3478" s="9">
        <v>40605</v>
      </c>
      <c r="B3478" s="2" t="str">
        <f>TEXT(Raw_Data!$A3478, "MMM")</f>
        <v>Mar</v>
      </c>
      <c r="C3478" s="2">
        <f>YEAR(Raw_Data!$A3478)</f>
        <v>2011</v>
      </c>
      <c r="D3478" s="2" t="s">
        <v>593</v>
      </c>
      <c r="E3478" s="2" t="s">
        <v>32</v>
      </c>
      <c r="F3478" s="2" t="s">
        <v>16</v>
      </c>
      <c r="G3478" s="2"/>
      <c r="H3478" s="2">
        <v>3173</v>
      </c>
      <c r="I3478" s="10">
        <v>279109</v>
      </c>
      <c r="J3478" s="10">
        <f>Raw_Data!$I3478/Raw_Data!$H3478</f>
        <v>87.963756697132055</v>
      </c>
    </row>
    <row r="3479" spans="1:10" x14ac:dyDescent="0.3">
      <c r="A3479" s="8">
        <v>40738</v>
      </c>
      <c r="B3479" t="str">
        <f>TEXT(Raw_Data!$A3479, "MMM")</f>
        <v>Jul</v>
      </c>
      <c r="C3479">
        <f>YEAR(Raw_Data!$A3479)</f>
        <v>2011</v>
      </c>
      <c r="D3479" t="s">
        <v>2422</v>
      </c>
      <c r="E3479" t="s">
        <v>15</v>
      </c>
      <c r="F3479" t="s">
        <v>18</v>
      </c>
      <c r="H3479">
        <v>1362</v>
      </c>
      <c r="I3479" s="1">
        <v>189546</v>
      </c>
      <c r="J3479" s="1">
        <f>Raw_Data!$I3479/Raw_Data!$H3479</f>
        <v>139.16740088105726</v>
      </c>
    </row>
    <row r="3480" spans="1:10" x14ac:dyDescent="0.3">
      <c r="A3480" s="9">
        <v>40488</v>
      </c>
      <c r="B3480" s="2" t="str">
        <f>TEXT(Raw_Data!$A3480, "MMM")</f>
        <v>Nov</v>
      </c>
      <c r="C3480" s="2">
        <f>YEAR(Raw_Data!$A3480)</f>
        <v>2010</v>
      </c>
      <c r="D3480" s="2" t="s">
        <v>2028</v>
      </c>
      <c r="E3480" s="2" t="s">
        <v>29</v>
      </c>
      <c r="F3480" s="2" t="s">
        <v>16</v>
      </c>
      <c r="G3480" s="2">
        <v>2</v>
      </c>
      <c r="H3480" s="2">
        <v>1584</v>
      </c>
      <c r="I3480" s="10">
        <v>896209</v>
      </c>
      <c r="J3480" s="10">
        <f>Raw_Data!$I3480/Raw_Data!$H3480</f>
        <v>565.78851010101005</v>
      </c>
    </row>
    <row r="3481" spans="1:10" x14ac:dyDescent="0.3">
      <c r="A3481" s="8">
        <v>37892</v>
      </c>
      <c r="B3481" t="str">
        <f>TEXT(Raw_Data!$A3481, "MMM")</f>
        <v>Sep</v>
      </c>
      <c r="C3481">
        <f>YEAR(Raw_Data!$A3481)</f>
        <v>2003</v>
      </c>
      <c r="D3481" t="s">
        <v>2102</v>
      </c>
      <c r="E3481" t="s">
        <v>15</v>
      </c>
      <c r="F3481" t="s">
        <v>27</v>
      </c>
      <c r="H3481">
        <v>1849</v>
      </c>
      <c r="I3481" s="1">
        <v>859995</v>
      </c>
      <c r="J3481" s="1">
        <f>Raw_Data!$I3481/Raw_Data!$H3481</f>
        <v>465.11357490535426</v>
      </c>
    </row>
    <row r="3482" spans="1:10" x14ac:dyDescent="0.3">
      <c r="A3482" s="9">
        <v>42703</v>
      </c>
      <c r="B3482" s="2" t="str">
        <f>TEXT(Raw_Data!$A3482, "MMM")</f>
        <v>Nov</v>
      </c>
      <c r="C3482" s="2">
        <f>YEAR(Raw_Data!$A3482)</f>
        <v>2016</v>
      </c>
      <c r="D3482" s="2" t="s">
        <v>1127</v>
      </c>
      <c r="E3482" s="2" t="s">
        <v>32</v>
      </c>
      <c r="F3482" s="2" t="s">
        <v>27</v>
      </c>
      <c r="G3482" s="2"/>
      <c r="H3482" s="2">
        <v>2468</v>
      </c>
      <c r="I3482" s="10">
        <v>875424</v>
      </c>
      <c r="J3482" s="10">
        <f>Raw_Data!$I3482/Raw_Data!$H3482</f>
        <v>354.709886547812</v>
      </c>
    </row>
    <row r="3483" spans="1:10" x14ac:dyDescent="0.3">
      <c r="A3483" s="8">
        <v>40299</v>
      </c>
      <c r="B3483" t="str">
        <f>TEXT(Raw_Data!$A3483, "MMM")</f>
        <v>May</v>
      </c>
      <c r="C3483">
        <f>YEAR(Raw_Data!$A3483)</f>
        <v>2010</v>
      </c>
      <c r="D3483" t="s">
        <v>2423</v>
      </c>
      <c r="E3483" t="s">
        <v>13</v>
      </c>
      <c r="F3483" t="s">
        <v>11</v>
      </c>
      <c r="H3483">
        <v>2075</v>
      </c>
      <c r="I3483" s="1">
        <v>618392</v>
      </c>
      <c r="J3483" s="1">
        <f>Raw_Data!$I3483/Raw_Data!$H3483</f>
        <v>298.02024096385543</v>
      </c>
    </row>
    <row r="3484" spans="1:10" x14ac:dyDescent="0.3">
      <c r="A3484" s="9">
        <v>43667</v>
      </c>
      <c r="B3484" s="2" t="str">
        <f>TEXT(Raw_Data!$A3484, "MMM")</f>
        <v>Jul</v>
      </c>
      <c r="C3484" s="2">
        <f>YEAR(Raw_Data!$A3484)</f>
        <v>2019</v>
      </c>
      <c r="D3484" s="2" t="s">
        <v>1155</v>
      </c>
      <c r="E3484" s="2" t="s">
        <v>13</v>
      </c>
      <c r="F3484" s="2" t="s">
        <v>11</v>
      </c>
      <c r="G3484" s="2">
        <v>3</v>
      </c>
      <c r="H3484" s="2">
        <v>1059</v>
      </c>
      <c r="I3484" s="10">
        <v>285564</v>
      </c>
      <c r="J3484" s="10">
        <f>Raw_Data!$I3484/Raw_Data!$H3484</f>
        <v>269.65439093484417</v>
      </c>
    </row>
    <row r="3485" spans="1:10" x14ac:dyDescent="0.3">
      <c r="A3485" s="8">
        <v>40922</v>
      </c>
      <c r="B3485" t="str">
        <f>TEXT(Raw_Data!$A3485, "MMM")</f>
        <v>Jan</v>
      </c>
      <c r="C3485">
        <f>YEAR(Raw_Data!$A3485)</f>
        <v>2012</v>
      </c>
      <c r="D3485" t="s">
        <v>1399</v>
      </c>
      <c r="E3485" t="s">
        <v>25</v>
      </c>
      <c r="F3485" t="s">
        <v>18</v>
      </c>
      <c r="G3485">
        <v>3</v>
      </c>
      <c r="H3485">
        <v>2317</v>
      </c>
      <c r="I3485" s="1">
        <v>191291</v>
      </c>
      <c r="J3485" s="1">
        <f>Raw_Data!$I3485/Raw_Data!$H3485</f>
        <v>82.559775571860158</v>
      </c>
    </row>
    <row r="3486" spans="1:10" x14ac:dyDescent="0.3">
      <c r="A3486" s="9">
        <v>40289</v>
      </c>
      <c r="B3486" s="2" t="str">
        <f>TEXT(Raw_Data!$A3486, "MMM")</f>
        <v>Apr</v>
      </c>
      <c r="C3486" s="2">
        <f>YEAR(Raw_Data!$A3486)</f>
        <v>2010</v>
      </c>
      <c r="D3486" s="2" t="s">
        <v>2011</v>
      </c>
      <c r="E3486" s="2" t="s">
        <v>32</v>
      </c>
      <c r="F3486" s="2" t="s">
        <v>18</v>
      </c>
      <c r="G3486" s="2"/>
      <c r="H3486" s="2">
        <v>1517</v>
      </c>
      <c r="I3486" s="10">
        <v>641471</v>
      </c>
      <c r="J3486" s="10">
        <f>Raw_Data!$I3486/Raw_Data!$H3486</f>
        <v>422.85497692814766</v>
      </c>
    </row>
    <row r="3487" spans="1:10" x14ac:dyDescent="0.3">
      <c r="A3487" s="8">
        <v>41640</v>
      </c>
      <c r="B3487" t="str">
        <f>TEXT(Raw_Data!$A3487, "MMM")</f>
        <v>Jan</v>
      </c>
      <c r="C3487">
        <f>YEAR(Raw_Data!$A3487)</f>
        <v>2014</v>
      </c>
      <c r="D3487" t="s">
        <v>2424</v>
      </c>
      <c r="E3487" t="s">
        <v>15</v>
      </c>
      <c r="F3487" t="s">
        <v>27</v>
      </c>
      <c r="G3487">
        <v>3</v>
      </c>
      <c r="H3487">
        <v>1475</v>
      </c>
      <c r="I3487" s="1">
        <v>213463</v>
      </c>
      <c r="J3487" s="1">
        <f>Raw_Data!$I3487/Raw_Data!$H3487</f>
        <v>144.7206779661017</v>
      </c>
    </row>
    <row r="3488" spans="1:10" x14ac:dyDescent="0.3">
      <c r="A3488" s="9">
        <v>39015</v>
      </c>
      <c r="B3488" s="2" t="str">
        <f>TEXT(Raw_Data!$A3488, "MMM")</f>
        <v>Oct</v>
      </c>
      <c r="C3488" s="2">
        <f>YEAR(Raw_Data!$A3488)</f>
        <v>2006</v>
      </c>
      <c r="D3488" s="2" t="s">
        <v>2425</v>
      </c>
      <c r="E3488" s="2" t="s">
        <v>15</v>
      </c>
      <c r="F3488" s="2" t="s">
        <v>11</v>
      </c>
      <c r="G3488" s="2">
        <v>4</v>
      </c>
      <c r="H3488" s="2">
        <v>1523</v>
      </c>
      <c r="I3488" s="10">
        <v>822692</v>
      </c>
      <c r="J3488" s="10">
        <f>Raw_Data!$I3488/Raw_Data!$H3488</f>
        <v>540.17859487852922</v>
      </c>
    </row>
    <row r="3489" spans="1:10" x14ac:dyDescent="0.3">
      <c r="A3489" s="8">
        <v>40449</v>
      </c>
      <c r="B3489" t="str">
        <f>TEXT(Raw_Data!$A3489, "MMM")</f>
        <v>Sep</v>
      </c>
      <c r="C3489">
        <f>YEAR(Raw_Data!$A3489)</f>
        <v>2010</v>
      </c>
      <c r="D3489" t="s">
        <v>2426</v>
      </c>
      <c r="E3489" t="s">
        <v>25</v>
      </c>
      <c r="F3489" t="s">
        <v>27</v>
      </c>
      <c r="H3489">
        <v>2783</v>
      </c>
      <c r="I3489" s="1">
        <v>451075</v>
      </c>
      <c r="J3489" s="1">
        <f>Raw_Data!$I3489/Raw_Data!$H3489</f>
        <v>162.08228530362916</v>
      </c>
    </row>
    <row r="3490" spans="1:10" x14ac:dyDescent="0.3">
      <c r="A3490" s="9">
        <v>37590</v>
      </c>
      <c r="B3490" s="2" t="str">
        <f>TEXT(Raw_Data!$A3490, "MMM")</f>
        <v>Nov</v>
      </c>
      <c r="C3490" s="2">
        <f>YEAR(Raw_Data!$A3490)</f>
        <v>2002</v>
      </c>
      <c r="D3490" s="2" t="s">
        <v>2427</v>
      </c>
      <c r="E3490" s="2" t="s">
        <v>29</v>
      </c>
      <c r="F3490" s="2" t="s">
        <v>11</v>
      </c>
      <c r="G3490" s="2"/>
      <c r="H3490" s="2">
        <v>2333</v>
      </c>
      <c r="I3490" s="10">
        <v>297633</v>
      </c>
      <c r="J3490" s="10">
        <f>Raw_Data!$I3490/Raw_Data!$H3490</f>
        <v>127.57522503214744</v>
      </c>
    </row>
    <row r="3491" spans="1:10" x14ac:dyDescent="0.3">
      <c r="A3491" s="8">
        <v>38027</v>
      </c>
      <c r="B3491" t="str">
        <f>TEXT(Raw_Data!$A3491, "MMM")</f>
        <v>Feb</v>
      </c>
      <c r="C3491">
        <f>YEAR(Raw_Data!$A3491)</f>
        <v>2004</v>
      </c>
      <c r="D3491" t="s">
        <v>2428</v>
      </c>
      <c r="E3491" t="s">
        <v>32</v>
      </c>
      <c r="F3491" t="s">
        <v>18</v>
      </c>
      <c r="G3491">
        <v>2</v>
      </c>
      <c r="H3491">
        <v>1311</v>
      </c>
      <c r="I3491" s="1">
        <v>331263</v>
      </c>
      <c r="J3491" s="1">
        <f>Raw_Data!$I3491/Raw_Data!$H3491</f>
        <v>252.67963386727689</v>
      </c>
    </row>
    <row r="3492" spans="1:10" x14ac:dyDescent="0.3">
      <c r="A3492" s="9">
        <v>42165</v>
      </c>
      <c r="B3492" s="2" t="str">
        <f>TEXT(Raw_Data!$A3492, "MMM")</f>
        <v>Jun</v>
      </c>
      <c r="C3492" s="2">
        <f>YEAR(Raw_Data!$A3492)</f>
        <v>2015</v>
      </c>
      <c r="D3492" s="2" t="s">
        <v>2384</v>
      </c>
      <c r="E3492" s="2" t="s">
        <v>15</v>
      </c>
      <c r="F3492" s="2" t="s">
        <v>27</v>
      </c>
      <c r="G3492" s="2">
        <v>3</v>
      </c>
      <c r="H3492" s="2">
        <v>3032</v>
      </c>
      <c r="I3492" s="10">
        <v>714279</v>
      </c>
      <c r="J3492" s="10">
        <f>Raw_Data!$I3492/Raw_Data!$H3492</f>
        <v>235.5801451187335</v>
      </c>
    </row>
    <row r="3493" spans="1:10" x14ac:dyDescent="0.3">
      <c r="A3493" s="8">
        <v>41926</v>
      </c>
      <c r="B3493" t="str">
        <f>TEXT(Raw_Data!$A3493, "MMM")</f>
        <v>Oct</v>
      </c>
      <c r="C3493">
        <f>YEAR(Raw_Data!$A3493)</f>
        <v>2014</v>
      </c>
      <c r="D3493" t="s">
        <v>2429</v>
      </c>
      <c r="E3493" t="s">
        <v>32</v>
      </c>
      <c r="F3493" t="s">
        <v>27</v>
      </c>
      <c r="H3493">
        <v>2105</v>
      </c>
      <c r="I3493" s="1">
        <v>143244</v>
      </c>
      <c r="J3493" s="1">
        <f>Raw_Data!$I3493/Raw_Data!$H3493</f>
        <v>68.049406175771978</v>
      </c>
    </row>
    <row r="3494" spans="1:10" x14ac:dyDescent="0.3">
      <c r="A3494" s="9">
        <v>43180</v>
      </c>
      <c r="B3494" s="2" t="str">
        <f>TEXT(Raw_Data!$A3494, "MMM")</f>
        <v>Mar</v>
      </c>
      <c r="C3494" s="2">
        <f>YEAR(Raw_Data!$A3494)</f>
        <v>2018</v>
      </c>
      <c r="D3494" s="2" t="s">
        <v>75</v>
      </c>
      <c r="E3494" s="2" t="s">
        <v>13</v>
      </c>
      <c r="F3494" s="2" t="s">
        <v>27</v>
      </c>
      <c r="G3494" s="2">
        <v>3</v>
      </c>
      <c r="H3494" s="2">
        <v>1853</v>
      </c>
      <c r="I3494" s="10">
        <v>112604</v>
      </c>
      <c r="J3494" s="10">
        <f>Raw_Data!$I3494/Raw_Data!$H3494</f>
        <v>60.768483540205075</v>
      </c>
    </row>
    <row r="3495" spans="1:10" x14ac:dyDescent="0.3">
      <c r="A3495" s="8">
        <v>41714</v>
      </c>
      <c r="B3495" t="str">
        <f>TEXT(Raw_Data!$A3495, "MMM")</f>
        <v>Mar</v>
      </c>
      <c r="C3495">
        <f>YEAR(Raw_Data!$A3495)</f>
        <v>2014</v>
      </c>
      <c r="D3495" t="s">
        <v>1655</v>
      </c>
      <c r="E3495" t="s">
        <v>32</v>
      </c>
      <c r="F3495" t="s">
        <v>11</v>
      </c>
      <c r="G3495">
        <v>3</v>
      </c>
      <c r="H3495">
        <v>1958</v>
      </c>
      <c r="I3495" s="1">
        <v>375211</v>
      </c>
      <c r="J3495" s="1">
        <f>Raw_Data!$I3495/Raw_Data!$H3495</f>
        <v>191.6297242083759</v>
      </c>
    </row>
    <row r="3496" spans="1:10" x14ac:dyDescent="0.3">
      <c r="A3496" s="9">
        <v>43276</v>
      </c>
      <c r="B3496" s="2" t="str">
        <f>TEXT(Raw_Data!$A3496, "MMM")</f>
        <v>Jun</v>
      </c>
      <c r="C3496" s="2">
        <f>YEAR(Raw_Data!$A3496)</f>
        <v>2018</v>
      </c>
      <c r="D3496" s="2" t="s">
        <v>913</v>
      </c>
      <c r="E3496" s="2" t="s">
        <v>21</v>
      </c>
      <c r="F3496" s="2" t="s">
        <v>18</v>
      </c>
      <c r="G3496" s="2"/>
      <c r="H3496" s="2">
        <v>2404</v>
      </c>
      <c r="I3496" s="10">
        <v>833835</v>
      </c>
      <c r="J3496" s="10">
        <f>Raw_Data!$I3496/Raw_Data!$H3496</f>
        <v>346.85316139767053</v>
      </c>
    </row>
    <row r="3497" spans="1:10" x14ac:dyDescent="0.3">
      <c r="A3497" s="8">
        <v>43280</v>
      </c>
      <c r="B3497" t="str">
        <f>TEXT(Raw_Data!$A3497, "MMM")</f>
        <v>Jun</v>
      </c>
      <c r="C3497">
        <f>YEAR(Raw_Data!$A3497)</f>
        <v>2018</v>
      </c>
      <c r="D3497" t="s">
        <v>1533</v>
      </c>
      <c r="E3497" t="s">
        <v>21</v>
      </c>
      <c r="F3497" t="s">
        <v>27</v>
      </c>
      <c r="G3497">
        <v>4</v>
      </c>
      <c r="H3497">
        <v>2206</v>
      </c>
      <c r="I3497" s="1"/>
      <c r="J3497" s="1">
        <f>Raw_Data!$I3497/Raw_Data!$H3497</f>
        <v>0</v>
      </c>
    </row>
    <row r="3498" spans="1:10" x14ac:dyDescent="0.3">
      <c r="A3498" s="9">
        <v>41725</v>
      </c>
      <c r="B3498" s="2" t="str">
        <f>TEXT(Raw_Data!$A3498, "MMM")</f>
        <v>Mar</v>
      </c>
      <c r="C3498" s="2">
        <f>YEAR(Raw_Data!$A3498)</f>
        <v>2014</v>
      </c>
      <c r="D3498" s="2" t="s">
        <v>2407</v>
      </c>
      <c r="E3498" s="2" t="s">
        <v>13</v>
      </c>
      <c r="F3498" s="2" t="s">
        <v>11</v>
      </c>
      <c r="G3498" s="2">
        <v>4</v>
      </c>
      <c r="H3498" s="2">
        <v>2935</v>
      </c>
      <c r="I3498" s="10">
        <v>105054</v>
      </c>
      <c r="J3498" s="10">
        <f>Raw_Data!$I3498/Raw_Data!$H3498</f>
        <v>35.793526405451445</v>
      </c>
    </row>
    <row r="3499" spans="1:10" x14ac:dyDescent="0.3">
      <c r="A3499" s="8">
        <v>39290</v>
      </c>
      <c r="B3499" t="str">
        <f>TEXT(Raw_Data!$A3499, "MMM")</f>
        <v>Jul</v>
      </c>
      <c r="C3499">
        <f>YEAR(Raw_Data!$A3499)</f>
        <v>2007</v>
      </c>
      <c r="D3499" t="s">
        <v>2430</v>
      </c>
      <c r="E3499" t="s">
        <v>29</v>
      </c>
      <c r="F3499" t="s">
        <v>16</v>
      </c>
      <c r="H3499">
        <v>3365</v>
      </c>
      <c r="I3499" s="1">
        <v>353844</v>
      </c>
      <c r="J3499" s="1">
        <f>Raw_Data!$I3499/Raw_Data!$H3499</f>
        <v>105.15423476968796</v>
      </c>
    </row>
    <row r="3500" spans="1:10" x14ac:dyDescent="0.3">
      <c r="A3500" s="9">
        <v>37552</v>
      </c>
      <c r="B3500" s="2" t="str">
        <f>TEXT(Raw_Data!$A3500, "MMM")</f>
        <v>Oct</v>
      </c>
      <c r="C3500" s="2">
        <f>YEAR(Raw_Data!$A3500)</f>
        <v>2002</v>
      </c>
      <c r="D3500" s="2" t="s">
        <v>2431</v>
      </c>
      <c r="E3500" s="2" t="s">
        <v>13</v>
      </c>
      <c r="F3500" s="2" t="s">
        <v>16</v>
      </c>
      <c r="G3500" s="2"/>
      <c r="H3500" s="2">
        <v>952</v>
      </c>
      <c r="I3500" s="10">
        <v>557513</v>
      </c>
      <c r="J3500" s="10">
        <f>Raw_Data!$I3500/Raw_Data!$H3500</f>
        <v>585.62289915966392</v>
      </c>
    </row>
    <row r="3501" spans="1:10" x14ac:dyDescent="0.3">
      <c r="A3501" s="8">
        <v>43123</v>
      </c>
      <c r="B3501" t="str">
        <f>TEXT(Raw_Data!$A3501, "MMM")</f>
        <v>Jan</v>
      </c>
      <c r="C3501">
        <f>YEAR(Raw_Data!$A3501)</f>
        <v>2018</v>
      </c>
      <c r="D3501" t="s">
        <v>1552</v>
      </c>
      <c r="E3501" t="s">
        <v>15</v>
      </c>
      <c r="F3501" t="s">
        <v>27</v>
      </c>
      <c r="G3501">
        <v>2</v>
      </c>
      <c r="H3501">
        <v>3469</v>
      </c>
      <c r="I3501" s="1">
        <v>315358</v>
      </c>
      <c r="J3501" s="1">
        <f>Raw_Data!$I3501/Raw_Data!$H3501</f>
        <v>90.907466128567307</v>
      </c>
    </row>
    <row r="3502" spans="1:10" x14ac:dyDescent="0.3">
      <c r="A3502" s="9">
        <v>40260</v>
      </c>
      <c r="B3502" s="2" t="str">
        <f>TEXT(Raw_Data!$A3502, "MMM")</f>
        <v>Mar</v>
      </c>
      <c r="C3502" s="2">
        <f>YEAR(Raw_Data!$A3502)</f>
        <v>2010</v>
      </c>
      <c r="D3502" s="2" t="s">
        <v>2432</v>
      </c>
      <c r="E3502" s="2" t="s">
        <v>32</v>
      </c>
      <c r="F3502" s="2" t="s">
        <v>27</v>
      </c>
      <c r="G3502" s="2"/>
      <c r="H3502" s="2">
        <v>2343</v>
      </c>
      <c r="I3502" s="10">
        <v>361524</v>
      </c>
      <c r="J3502" s="10">
        <f>Raw_Data!$I3502/Raw_Data!$H3502</f>
        <v>154.29961587708067</v>
      </c>
    </row>
    <row r="3503" spans="1:10" x14ac:dyDescent="0.3">
      <c r="A3503" s="8">
        <v>37419</v>
      </c>
      <c r="B3503" t="str">
        <f>TEXT(Raw_Data!$A3503, "MMM")</f>
        <v>Jun</v>
      </c>
      <c r="C3503">
        <f>YEAR(Raw_Data!$A3503)</f>
        <v>2002</v>
      </c>
      <c r="D3503" t="s">
        <v>2433</v>
      </c>
      <c r="E3503" t="s">
        <v>15</v>
      </c>
      <c r="F3503" t="s">
        <v>18</v>
      </c>
      <c r="H3503">
        <v>2258</v>
      </c>
      <c r="I3503" s="1">
        <v>459160</v>
      </c>
      <c r="J3503" s="1">
        <f>Raw_Data!$I3503/Raw_Data!$H3503</f>
        <v>203.34809565987601</v>
      </c>
    </row>
    <row r="3504" spans="1:10" x14ac:dyDescent="0.3">
      <c r="A3504" s="9">
        <v>43979</v>
      </c>
      <c r="B3504" s="2" t="str">
        <f>TEXT(Raw_Data!$A3504, "MMM")</f>
        <v>May</v>
      </c>
      <c r="C3504" s="2">
        <f>YEAR(Raw_Data!$A3504)</f>
        <v>2020</v>
      </c>
      <c r="D3504" s="2" t="s">
        <v>863</v>
      </c>
      <c r="E3504" s="2" t="s">
        <v>25</v>
      </c>
      <c r="F3504" s="2" t="s">
        <v>18</v>
      </c>
      <c r="G3504" s="2">
        <v>3</v>
      </c>
      <c r="H3504" s="2">
        <v>2543</v>
      </c>
      <c r="I3504" s="10">
        <v>550483</v>
      </c>
      <c r="J3504" s="10">
        <f>Raw_Data!$I3504/Raw_Data!$H3504</f>
        <v>216.46991742036965</v>
      </c>
    </row>
    <row r="3505" spans="1:10" x14ac:dyDescent="0.3">
      <c r="A3505" s="8">
        <v>41955</v>
      </c>
      <c r="B3505" t="str">
        <f>TEXT(Raw_Data!$A3505, "MMM")</f>
        <v>Nov</v>
      </c>
      <c r="C3505">
        <f>YEAR(Raw_Data!$A3505)</f>
        <v>2014</v>
      </c>
      <c r="D3505" t="s">
        <v>2434</v>
      </c>
      <c r="E3505" t="s">
        <v>21</v>
      </c>
      <c r="F3505" t="s">
        <v>18</v>
      </c>
      <c r="G3505">
        <v>2</v>
      </c>
      <c r="H3505">
        <v>2717</v>
      </c>
      <c r="I3505" s="1">
        <v>878884</v>
      </c>
      <c r="J3505" s="1">
        <f>Raw_Data!$I3505/Raw_Data!$H3505</f>
        <v>323.47589252852413</v>
      </c>
    </row>
    <row r="3506" spans="1:10" x14ac:dyDescent="0.3">
      <c r="A3506" s="9">
        <v>39252</v>
      </c>
      <c r="B3506" s="2" t="str">
        <f>TEXT(Raw_Data!$A3506, "MMM")</f>
        <v>Jun</v>
      </c>
      <c r="C3506" s="2">
        <f>YEAR(Raw_Data!$A3506)</f>
        <v>2007</v>
      </c>
      <c r="D3506" s="2" t="s">
        <v>2435</v>
      </c>
      <c r="E3506" s="2" t="s">
        <v>25</v>
      </c>
      <c r="F3506" s="2" t="s">
        <v>16</v>
      </c>
      <c r="G3506" s="2">
        <v>2</v>
      </c>
      <c r="H3506" s="2">
        <v>3084</v>
      </c>
      <c r="I3506" s="10">
        <v>235745</v>
      </c>
      <c r="J3506" s="10">
        <f>Raw_Data!$I3506/Raw_Data!$H3506</f>
        <v>76.441309987029825</v>
      </c>
    </row>
    <row r="3507" spans="1:10" x14ac:dyDescent="0.3">
      <c r="A3507" s="8">
        <v>39692</v>
      </c>
      <c r="B3507" t="str">
        <f>TEXT(Raw_Data!$A3507, "MMM")</f>
        <v>Sep</v>
      </c>
      <c r="C3507">
        <f>YEAR(Raw_Data!$A3507)</f>
        <v>2008</v>
      </c>
      <c r="D3507" t="s">
        <v>1191</v>
      </c>
      <c r="E3507" t="s">
        <v>15</v>
      </c>
      <c r="F3507" t="s">
        <v>11</v>
      </c>
      <c r="G3507">
        <v>2</v>
      </c>
      <c r="H3507">
        <v>2356</v>
      </c>
      <c r="I3507" s="1">
        <v>277955</v>
      </c>
      <c r="J3507" s="1">
        <f>Raw_Data!$I3507/Raw_Data!$H3507</f>
        <v>117.97750424448218</v>
      </c>
    </row>
    <row r="3508" spans="1:10" x14ac:dyDescent="0.3">
      <c r="A3508" s="9">
        <v>42948</v>
      </c>
      <c r="B3508" s="2" t="str">
        <f>TEXT(Raw_Data!$A3508, "MMM")</f>
        <v>Aug</v>
      </c>
      <c r="C3508" s="2">
        <f>YEAR(Raw_Data!$A3508)</f>
        <v>2017</v>
      </c>
      <c r="D3508" s="2" t="s">
        <v>2436</v>
      </c>
      <c r="E3508" s="2" t="s">
        <v>32</v>
      </c>
      <c r="F3508" s="2" t="s">
        <v>18</v>
      </c>
      <c r="G3508" s="2"/>
      <c r="H3508" s="2">
        <v>2962</v>
      </c>
      <c r="I3508" s="10">
        <v>472132</v>
      </c>
      <c r="J3508" s="10">
        <f>Raw_Data!$I3508/Raw_Data!$H3508</f>
        <v>159.39635381498988</v>
      </c>
    </row>
    <row r="3509" spans="1:10" x14ac:dyDescent="0.3">
      <c r="A3509" s="8">
        <v>41278</v>
      </c>
      <c r="B3509" t="str">
        <f>TEXT(Raw_Data!$A3509, "MMM")</f>
        <v>Jan</v>
      </c>
      <c r="C3509">
        <f>YEAR(Raw_Data!$A3509)</f>
        <v>2013</v>
      </c>
      <c r="D3509" t="s">
        <v>2087</v>
      </c>
      <c r="E3509" t="s">
        <v>25</v>
      </c>
      <c r="F3509" t="s">
        <v>16</v>
      </c>
      <c r="H3509">
        <v>2421</v>
      </c>
      <c r="I3509" s="1">
        <v>475204</v>
      </c>
      <c r="J3509" s="1">
        <f>Raw_Data!$I3509/Raw_Data!$H3509</f>
        <v>196.28418009087153</v>
      </c>
    </row>
    <row r="3510" spans="1:10" x14ac:dyDescent="0.3">
      <c r="A3510" s="9">
        <v>37887</v>
      </c>
      <c r="B3510" s="2" t="str">
        <f>TEXT(Raw_Data!$A3510, "MMM")</f>
        <v>Sep</v>
      </c>
      <c r="C3510" s="2">
        <f>YEAR(Raw_Data!$A3510)</f>
        <v>2003</v>
      </c>
      <c r="D3510" s="2" t="s">
        <v>1461</v>
      </c>
      <c r="E3510" s="2" t="s">
        <v>13</v>
      </c>
      <c r="F3510" s="2" t="s">
        <v>27</v>
      </c>
      <c r="G3510" s="2">
        <v>2</v>
      </c>
      <c r="H3510" s="2">
        <v>1767</v>
      </c>
      <c r="I3510" s="10">
        <v>557683</v>
      </c>
      <c r="J3510" s="10">
        <f>Raw_Data!$I3510/Raw_Data!$H3510</f>
        <v>315.61007357102432</v>
      </c>
    </row>
    <row r="3511" spans="1:10" x14ac:dyDescent="0.3">
      <c r="A3511" s="8">
        <v>40809</v>
      </c>
      <c r="B3511" t="str">
        <f>TEXT(Raw_Data!$A3511, "MMM")</f>
        <v>Sep</v>
      </c>
      <c r="C3511">
        <f>YEAR(Raw_Data!$A3511)</f>
        <v>2011</v>
      </c>
      <c r="D3511" t="s">
        <v>663</v>
      </c>
      <c r="E3511" t="s">
        <v>32</v>
      </c>
      <c r="F3511" t="s">
        <v>11</v>
      </c>
      <c r="G3511">
        <v>3</v>
      </c>
      <c r="H3511">
        <v>1493</v>
      </c>
      <c r="I3511" s="1">
        <v>316557</v>
      </c>
      <c r="J3511" s="1">
        <f>Raw_Data!$I3511/Raw_Data!$H3511</f>
        <v>212.02746148693905</v>
      </c>
    </row>
    <row r="3512" spans="1:10" x14ac:dyDescent="0.3">
      <c r="A3512" s="9">
        <v>43591</v>
      </c>
      <c r="B3512" s="2" t="str">
        <f>TEXT(Raw_Data!$A3512, "MMM")</f>
        <v>May</v>
      </c>
      <c r="C3512" s="2">
        <f>YEAR(Raw_Data!$A3512)</f>
        <v>2019</v>
      </c>
      <c r="D3512" s="2" t="s">
        <v>2437</v>
      </c>
      <c r="E3512" s="2" t="s">
        <v>32</v>
      </c>
      <c r="F3512" s="2" t="s">
        <v>18</v>
      </c>
      <c r="G3512" s="2">
        <v>3</v>
      </c>
      <c r="H3512" s="2">
        <v>1228</v>
      </c>
      <c r="I3512" s="10">
        <v>409276</v>
      </c>
      <c r="J3512" s="10">
        <f>Raw_Data!$I3512/Raw_Data!$H3512</f>
        <v>333.28664495114009</v>
      </c>
    </row>
    <row r="3513" spans="1:10" x14ac:dyDescent="0.3">
      <c r="A3513" s="8">
        <v>42593</v>
      </c>
      <c r="B3513" t="str">
        <f>TEXT(Raw_Data!$A3513, "MMM")</f>
        <v>Aug</v>
      </c>
      <c r="C3513">
        <f>YEAR(Raw_Data!$A3513)</f>
        <v>2016</v>
      </c>
      <c r="D3513" t="s">
        <v>2438</v>
      </c>
      <c r="E3513" t="s">
        <v>15</v>
      </c>
      <c r="F3513" t="s">
        <v>18</v>
      </c>
      <c r="G3513">
        <v>3</v>
      </c>
      <c r="H3513">
        <v>1754</v>
      </c>
      <c r="I3513" s="1">
        <v>540267</v>
      </c>
      <c r="J3513" s="1">
        <f>Raw_Data!$I3513/Raw_Data!$H3513</f>
        <v>308.01995438996579</v>
      </c>
    </row>
    <row r="3514" spans="1:10" x14ac:dyDescent="0.3">
      <c r="A3514" s="9">
        <v>38315</v>
      </c>
      <c r="B3514" s="2" t="str">
        <f>TEXT(Raw_Data!$A3514, "MMM")</f>
        <v>Nov</v>
      </c>
      <c r="C3514" s="2">
        <f>YEAR(Raw_Data!$A3514)</f>
        <v>2004</v>
      </c>
      <c r="D3514" s="2" t="s">
        <v>2055</v>
      </c>
      <c r="E3514" s="2" t="s">
        <v>25</v>
      </c>
      <c r="F3514" s="2" t="s">
        <v>16</v>
      </c>
      <c r="G3514" s="2">
        <v>2</v>
      </c>
      <c r="H3514" s="2">
        <v>2616</v>
      </c>
      <c r="I3514" s="10">
        <v>572981</v>
      </c>
      <c r="J3514" s="10">
        <f>Raw_Data!$I3514/Raw_Data!$H3514</f>
        <v>219.02943425076452</v>
      </c>
    </row>
    <row r="3515" spans="1:10" x14ac:dyDescent="0.3">
      <c r="A3515" s="8">
        <v>42375</v>
      </c>
      <c r="B3515" t="str">
        <f>TEXT(Raw_Data!$A3515, "MMM")</f>
        <v>Jan</v>
      </c>
      <c r="C3515">
        <f>YEAR(Raw_Data!$A3515)</f>
        <v>2016</v>
      </c>
      <c r="D3515" t="s">
        <v>215</v>
      </c>
      <c r="E3515" t="s">
        <v>13</v>
      </c>
      <c r="F3515" t="s">
        <v>18</v>
      </c>
      <c r="H3515">
        <v>3112</v>
      </c>
      <c r="I3515" s="1">
        <v>140162</v>
      </c>
      <c r="J3515" s="1">
        <f>Raw_Data!$I3515/Raw_Data!$H3515</f>
        <v>45.039203084832906</v>
      </c>
    </row>
    <row r="3516" spans="1:10" x14ac:dyDescent="0.3">
      <c r="A3516" s="9">
        <v>38812</v>
      </c>
      <c r="B3516" s="2" t="str">
        <f>TEXT(Raw_Data!$A3516, "MMM")</f>
        <v>Apr</v>
      </c>
      <c r="C3516" s="2">
        <f>YEAR(Raw_Data!$A3516)</f>
        <v>2006</v>
      </c>
      <c r="D3516" s="2" t="s">
        <v>2439</v>
      </c>
      <c r="E3516" s="2" t="s">
        <v>32</v>
      </c>
      <c r="F3516" s="2" t="s">
        <v>18</v>
      </c>
      <c r="G3516" s="2">
        <v>3</v>
      </c>
      <c r="H3516" s="2">
        <v>1099</v>
      </c>
      <c r="I3516" s="10">
        <v>671662</v>
      </c>
      <c r="J3516" s="10">
        <f>Raw_Data!$I3516/Raw_Data!$H3516</f>
        <v>611.15741583257511</v>
      </c>
    </row>
    <row r="3517" spans="1:10" x14ac:dyDescent="0.3">
      <c r="A3517" s="8">
        <v>44146</v>
      </c>
      <c r="B3517" t="str">
        <f>TEXT(Raw_Data!$A3517, "MMM")</f>
        <v>Nov</v>
      </c>
      <c r="C3517">
        <f>YEAR(Raw_Data!$A3517)</f>
        <v>2020</v>
      </c>
      <c r="D3517" t="s">
        <v>2440</v>
      </c>
      <c r="E3517" t="s">
        <v>25</v>
      </c>
      <c r="F3517" t="s">
        <v>27</v>
      </c>
      <c r="H3517">
        <v>891</v>
      </c>
      <c r="I3517" s="1">
        <v>187251</v>
      </c>
      <c r="J3517" s="1">
        <f>Raw_Data!$I3517/Raw_Data!$H3517</f>
        <v>210.15824915824916</v>
      </c>
    </row>
    <row r="3518" spans="1:10" x14ac:dyDescent="0.3">
      <c r="A3518" s="9">
        <v>38564</v>
      </c>
      <c r="B3518" s="2" t="str">
        <f>TEXT(Raw_Data!$A3518, "MMM")</f>
        <v>Jul</v>
      </c>
      <c r="C3518" s="2">
        <f>YEAR(Raw_Data!$A3518)</f>
        <v>2005</v>
      </c>
      <c r="D3518" s="2" t="s">
        <v>881</v>
      </c>
      <c r="E3518" s="2" t="s">
        <v>25</v>
      </c>
      <c r="F3518" s="2" t="s">
        <v>27</v>
      </c>
      <c r="G3518" s="2">
        <v>4</v>
      </c>
      <c r="H3518" s="2">
        <v>2774</v>
      </c>
      <c r="I3518" s="10">
        <v>460236</v>
      </c>
      <c r="J3518" s="10">
        <f>Raw_Data!$I3518/Raw_Data!$H3518</f>
        <v>165.91059841384282</v>
      </c>
    </row>
    <row r="3519" spans="1:10" x14ac:dyDescent="0.3">
      <c r="A3519" s="8">
        <v>40953</v>
      </c>
      <c r="B3519" t="str">
        <f>TEXT(Raw_Data!$A3519, "MMM")</f>
        <v>Feb</v>
      </c>
      <c r="C3519">
        <f>YEAR(Raw_Data!$A3519)</f>
        <v>2012</v>
      </c>
      <c r="D3519" t="s">
        <v>2441</v>
      </c>
      <c r="E3519" t="s">
        <v>32</v>
      </c>
      <c r="F3519" t="s">
        <v>27</v>
      </c>
      <c r="G3519">
        <v>5</v>
      </c>
      <c r="H3519">
        <v>2925</v>
      </c>
      <c r="I3519" s="1">
        <v>435284</v>
      </c>
      <c r="J3519" s="1">
        <f>Raw_Data!$I3519/Raw_Data!$H3519</f>
        <v>148.81504273504274</v>
      </c>
    </row>
    <row r="3520" spans="1:10" x14ac:dyDescent="0.3">
      <c r="A3520" s="9">
        <v>38021</v>
      </c>
      <c r="B3520" s="2" t="str">
        <f>TEXT(Raw_Data!$A3520, "MMM")</f>
        <v>Feb</v>
      </c>
      <c r="C3520" s="2">
        <f>YEAR(Raw_Data!$A3520)</f>
        <v>2004</v>
      </c>
      <c r="D3520" s="2" t="s">
        <v>2442</v>
      </c>
      <c r="E3520" s="2" t="s">
        <v>29</v>
      </c>
      <c r="F3520" s="2" t="s">
        <v>18</v>
      </c>
      <c r="G3520" s="2"/>
      <c r="H3520" s="2">
        <v>2837</v>
      </c>
      <c r="I3520" s="10">
        <v>324666</v>
      </c>
      <c r="J3520" s="10">
        <f>Raw_Data!$I3520/Raw_Data!$H3520</f>
        <v>114.43990130419458</v>
      </c>
    </row>
    <row r="3521" spans="1:10" x14ac:dyDescent="0.3">
      <c r="A3521" s="8">
        <v>40338</v>
      </c>
      <c r="B3521" t="str">
        <f>TEXT(Raw_Data!$A3521, "MMM")</f>
        <v>Jun</v>
      </c>
      <c r="C3521">
        <f>YEAR(Raw_Data!$A3521)</f>
        <v>2010</v>
      </c>
      <c r="D3521" t="s">
        <v>1146</v>
      </c>
      <c r="E3521" t="s">
        <v>25</v>
      </c>
      <c r="F3521" t="s">
        <v>18</v>
      </c>
      <c r="G3521">
        <v>5</v>
      </c>
      <c r="H3521">
        <v>2595</v>
      </c>
      <c r="I3521" s="1">
        <v>259841</v>
      </c>
      <c r="J3521" s="1">
        <f>Raw_Data!$I3521/Raw_Data!$H3521</f>
        <v>100.13140655105973</v>
      </c>
    </row>
    <row r="3522" spans="1:10" x14ac:dyDescent="0.3">
      <c r="A3522" s="9">
        <v>39031</v>
      </c>
      <c r="B3522" s="2" t="str">
        <f>TEXT(Raw_Data!$A3522, "MMM")</f>
        <v>Nov</v>
      </c>
      <c r="C3522" s="2">
        <f>YEAR(Raw_Data!$A3522)</f>
        <v>2006</v>
      </c>
      <c r="D3522" s="2" t="s">
        <v>1889</v>
      </c>
      <c r="E3522" s="2" t="s">
        <v>32</v>
      </c>
      <c r="F3522" s="2" t="s">
        <v>11</v>
      </c>
      <c r="G3522" s="2">
        <v>3</v>
      </c>
      <c r="H3522" s="2">
        <v>987</v>
      </c>
      <c r="I3522" s="10">
        <v>722638</v>
      </c>
      <c r="J3522" s="10">
        <f>Raw_Data!$I3522/Raw_Data!$H3522</f>
        <v>732.1560283687943</v>
      </c>
    </row>
    <row r="3523" spans="1:10" x14ac:dyDescent="0.3">
      <c r="A3523" s="8">
        <v>42400</v>
      </c>
      <c r="B3523" t="str">
        <f>TEXT(Raw_Data!$A3523, "MMM")</f>
        <v>Jan</v>
      </c>
      <c r="C3523">
        <f>YEAR(Raw_Data!$A3523)</f>
        <v>2016</v>
      </c>
      <c r="D3523" t="s">
        <v>1810</v>
      </c>
      <c r="E3523" t="s">
        <v>25</v>
      </c>
      <c r="F3523" t="s">
        <v>11</v>
      </c>
      <c r="H3523">
        <v>3115</v>
      </c>
      <c r="I3523" s="1">
        <v>326176</v>
      </c>
      <c r="J3523" s="1">
        <f>Raw_Data!$I3523/Raw_Data!$H3523</f>
        <v>104.71139646869985</v>
      </c>
    </row>
    <row r="3524" spans="1:10" x14ac:dyDescent="0.3">
      <c r="A3524" s="9">
        <v>40598</v>
      </c>
      <c r="B3524" s="2" t="str">
        <f>TEXT(Raw_Data!$A3524, "MMM")</f>
        <v>Feb</v>
      </c>
      <c r="C3524" s="2">
        <f>YEAR(Raw_Data!$A3524)</f>
        <v>2011</v>
      </c>
      <c r="D3524" s="2" t="s">
        <v>2443</v>
      </c>
      <c r="E3524" s="2" t="s">
        <v>15</v>
      </c>
      <c r="F3524" s="2" t="s">
        <v>27</v>
      </c>
      <c r="G3524" s="2">
        <v>2</v>
      </c>
      <c r="H3524" s="2">
        <v>2404</v>
      </c>
      <c r="I3524" s="10">
        <v>555932</v>
      </c>
      <c r="J3524" s="10">
        <f>Raw_Data!$I3524/Raw_Data!$H3524</f>
        <v>231.25291181364392</v>
      </c>
    </row>
    <row r="3525" spans="1:10" x14ac:dyDescent="0.3">
      <c r="A3525" s="8">
        <v>40332</v>
      </c>
      <c r="B3525" t="str">
        <f>TEXT(Raw_Data!$A3525, "MMM")</f>
        <v>Jun</v>
      </c>
      <c r="C3525">
        <f>YEAR(Raw_Data!$A3525)</f>
        <v>2010</v>
      </c>
      <c r="D3525" t="s">
        <v>685</v>
      </c>
      <c r="E3525" t="s">
        <v>21</v>
      </c>
      <c r="F3525" t="s">
        <v>11</v>
      </c>
      <c r="H3525">
        <v>1982</v>
      </c>
      <c r="I3525" s="1">
        <v>794948</v>
      </c>
      <c r="J3525" s="1">
        <f>Raw_Data!$I3525/Raw_Data!$H3525</f>
        <v>401.08375378405651</v>
      </c>
    </row>
    <row r="3526" spans="1:10" x14ac:dyDescent="0.3">
      <c r="A3526" s="9">
        <v>39543</v>
      </c>
      <c r="B3526" s="2" t="str">
        <f>TEXT(Raw_Data!$A3526, "MMM")</f>
        <v>Apr</v>
      </c>
      <c r="C3526" s="2">
        <f>YEAR(Raw_Data!$A3526)</f>
        <v>2008</v>
      </c>
      <c r="D3526" s="2" t="s">
        <v>2444</v>
      </c>
      <c r="E3526" s="2" t="s">
        <v>21</v>
      </c>
      <c r="F3526" s="2" t="s">
        <v>11</v>
      </c>
      <c r="G3526" s="2">
        <v>4</v>
      </c>
      <c r="H3526" s="2">
        <v>1789</v>
      </c>
      <c r="I3526" s="10">
        <v>249003</v>
      </c>
      <c r="J3526" s="10">
        <f>Raw_Data!$I3526/Raw_Data!$H3526</f>
        <v>139.1855785354947</v>
      </c>
    </row>
    <row r="3527" spans="1:10" x14ac:dyDescent="0.3">
      <c r="A3527" s="8">
        <v>40465</v>
      </c>
      <c r="B3527" t="str">
        <f>TEXT(Raw_Data!$A3527, "MMM")</f>
        <v>Oct</v>
      </c>
      <c r="C3527">
        <f>YEAR(Raw_Data!$A3527)</f>
        <v>2010</v>
      </c>
      <c r="D3527" t="s">
        <v>803</v>
      </c>
      <c r="E3527" t="s">
        <v>23</v>
      </c>
      <c r="F3527" t="s">
        <v>16</v>
      </c>
      <c r="G3527">
        <v>5</v>
      </c>
      <c r="H3527">
        <v>2918</v>
      </c>
      <c r="I3527" s="1">
        <v>878678</v>
      </c>
      <c r="J3527" s="1">
        <f>Raw_Data!$I3527/Raw_Data!$H3527</f>
        <v>301.12337217272102</v>
      </c>
    </row>
    <row r="3528" spans="1:10" x14ac:dyDescent="0.3">
      <c r="A3528" s="9">
        <v>39659</v>
      </c>
      <c r="B3528" s="2" t="str">
        <f>TEXT(Raw_Data!$A3528, "MMM")</f>
        <v>Jul</v>
      </c>
      <c r="C3528" s="2">
        <f>YEAR(Raw_Data!$A3528)</f>
        <v>2008</v>
      </c>
      <c r="D3528" s="2" t="s">
        <v>1032</v>
      </c>
      <c r="E3528" s="2" t="s">
        <v>25</v>
      </c>
      <c r="F3528" s="2" t="s">
        <v>16</v>
      </c>
      <c r="G3528" s="2">
        <v>4</v>
      </c>
      <c r="H3528" s="2">
        <v>2293</v>
      </c>
      <c r="I3528" s="10">
        <v>276796</v>
      </c>
      <c r="J3528" s="10">
        <f>Raw_Data!$I3528/Raw_Data!$H3528</f>
        <v>120.71347579590056</v>
      </c>
    </row>
    <row r="3529" spans="1:10" x14ac:dyDescent="0.3">
      <c r="A3529" s="8">
        <v>43190</v>
      </c>
      <c r="B3529" t="str">
        <f>TEXT(Raw_Data!$A3529, "MMM")</f>
        <v>Mar</v>
      </c>
      <c r="C3529">
        <f>YEAR(Raw_Data!$A3529)</f>
        <v>2018</v>
      </c>
      <c r="D3529" t="s">
        <v>1000</v>
      </c>
      <c r="E3529" t="s">
        <v>32</v>
      </c>
      <c r="F3529" t="s">
        <v>16</v>
      </c>
      <c r="H3529">
        <v>1081</v>
      </c>
      <c r="I3529" s="1"/>
      <c r="J3529" s="1">
        <f>Raw_Data!$I3529/Raw_Data!$H3529</f>
        <v>0</v>
      </c>
    </row>
    <row r="3530" spans="1:10" x14ac:dyDescent="0.3">
      <c r="A3530" s="9">
        <v>41694</v>
      </c>
      <c r="B3530" s="2" t="str">
        <f>TEXT(Raw_Data!$A3530, "MMM")</f>
        <v>Feb</v>
      </c>
      <c r="C3530" s="2">
        <f>YEAR(Raw_Data!$A3530)</f>
        <v>2014</v>
      </c>
      <c r="D3530" s="2" t="s">
        <v>1380</v>
      </c>
      <c r="E3530" s="2" t="s">
        <v>13</v>
      </c>
      <c r="F3530" s="2" t="s">
        <v>18</v>
      </c>
      <c r="G3530" s="2">
        <v>2</v>
      </c>
      <c r="H3530" s="2">
        <v>2730</v>
      </c>
      <c r="I3530" s="10">
        <v>184255</v>
      </c>
      <c r="J3530" s="10">
        <f>Raw_Data!$I3530/Raw_Data!$H3530</f>
        <v>67.492673992673986</v>
      </c>
    </row>
    <row r="3531" spans="1:10" x14ac:dyDescent="0.3">
      <c r="A3531" s="8">
        <v>42070</v>
      </c>
      <c r="B3531" t="str">
        <f>TEXT(Raw_Data!$A3531, "MMM")</f>
        <v>Mar</v>
      </c>
      <c r="C3531">
        <f>YEAR(Raw_Data!$A3531)</f>
        <v>2015</v>
      </c>
      <c r="D3531" t="s">
        <v>1982</v>
      </c>
      <c r="E3531" t="s">
        <v>13</v>
      </c>
      <c r="F3531" t="s">
        <v>16</v>
      </c>
      <c r="G3531">
        <v>4</v>
      </c>
      <c r="H3531">
        <v>1422</v>
      </c>
      <c r="I3531" s="1">
        <v>709085</v>
      </c>
      <c r="J3531" s="1">
        <f>Raw_Data!$I3531/Raw_Data!$H3531</f>
        <v>498.65330520393809</v>
      </c>
    </row>
    <row r="3532" spans="1:10" x14ac:dyDescent="0.3">
      <c r="A3532" s="9">
        <v>40108</v>
      </c>
      <c r="B3532" s="2" t="str">
        <f>TEXT(Raw_Data!$A3532, "MMM")</f>
        <v>Oct</v>
      </c>
      <c r="C3532" s="2">
        <f>YEAR(Raw_Data!$A3532)</f>
        <v>2009</v>
      </c>
      <c r="D3532" s="2" t="s">
        <v>2445</v>
      </c>
      <c r="E3532" s="2" t="s">
        <v>25</v>
      </c>
      <c r="F3532" s="2" t="s">
        <v>18</v>
      </c>
      <c r="G3532" s="2"/>
      <c r="H3532" s="2">
        <v>2282</v>
      </c>
      <c r="I3532" s="10">
        <v>564065</v>
      </c>
      <c r="J3532" s="10">
        <f>Raw_Data!$I3532/Raw_Data!$H3532</f>
        <v>247.18010517090272</v>
      </c>
    </row>
    <row r="3533" spans="1:10" x14ac:dyDescent="0.3">
      <c r="A3533" s="8">
        <v>39705</v>
      </c>
      <c r="B3533" t="str">
        <f>TEXT(Raw_Data!$A3533, "MMM")</f>
        <v>Sep</v>
      </c>
      <c r="C3533">
        <f>YEAR(Raw_Data!$A3533)</f>
        <v>2008</v>
      </c>
      <c r="D3533" t="s">
        <v>2446</v>
      </c>
      <c r="E3533" t="s">
        <v>32</v>
      </c>
      <c r="F3533" t="s">
        <v>16</v>
      </c>
      <c r="H3533">
        <v>1675</v>
      </c>
      <c r="I3533" s="1">
        <v>447107</v>
      </c>
      <c r="J3533" s="1">
        <f>Raw_Data!$I3533/Raw_Data!$H3533</f>
        <v>266.92955223880597</v>
      </c>
    </row>
    <row r="3534" spans="1:10" x14ac:dyDescent="0.3">
      <c r="A3534" s="9">
        <v>38644</v>
      </c>
      <c r="B3534" s="2" t="str">
        <f>TEXT(Raw_Data!$A3534, "MMM")</f>
        <v>Oct</v>
      </c>
      <c r="C3534" s="2">
        <f>YEAR(Raw_Data!$A3534)</f>
        <v>2005</v>
      </c>
      <c r="D3534" s="2" t="s">
        <v>1786</v>
      </c>
      <c r="E3534" s="2" t="s">
        <v>29</v>
      </c>
      <c r="F3534" s="2" t="s">
        <v>27</v>
      </c>
      <c r="G3534" s="2">
        <v>2</v>
      </c>
      <c r="H3534" s="2">
        <v>1531</v>
      </c>
      <c r="I3534" s="10">
        <v>825062</v>
      </c>
      <c r="J3534" s="10">
        <f>Raw_Data!$I3534/Raw_Data!$H3534</f>
        <v>538.90398432397126</v>
      </c>
    </row>
    <row r="3535" spans="1:10" x14ac:dyDescent="0.3">
      <c r="A3535" s="8">
        <v>37312</v>
      </c>
      <c r="B3535" t="str">
        <f>TEXT(Raw_Data!$A3535, "MMM")</f>
        <v>Feb</v>
      </c>
      <c r="C3535">
        <f>YEAR(Raw_Data!$A3535)</f>
        <v>2002</v>
      </c>
      <c r="D3535" t="s">
        <v>2447</v>
      </c>
      <c r="E3535" t="s">
        <v>23</v>
      </c>
      <c r="F3535" t="s">
        <v>16</v>
      </c>
      <c r="G3535">
        <v>5</v>
      </c>
      <c r="H3535">
        <v>1100</v>
      </c>
      <c r="I3535" s="1">
        <v>724976</v>
      </c>
      <c r="J3535" s="1">
        <f>Raw_Data!$I3535/Raw_Data!$H3535</f>
        <v>659.06909090909096</v>
      </c>
    </row>
    <row r="3536" spans="1:10" x14ac:dyDescent="0.3">
      <c r="A3536" s="9">
        <v>39991</v>
      </c>
      <c r="B3536" s="2" t="str">
        <f>TEXT(Raw_Data!$A3536, "MMM")</f>
        <v>Jun</v>
      </c>
      <c r="C3536" s="2">
        <f>YEAR(Raw_Data!$A3536)</f>
        <v>2009</v>
      </c>
      <c r="D3536" s="2" t="s">
        <v>538</v>
      </c>
      <c r="E3536" s="2" t="s">
        <v>15</v>
      </c>
      <c r="F3536" s="2" t="s">
        <v>27</v>
      </c>
      <c r="G3536" s="2">
        <v>2</v>
      </c>
      <c r="H3536" s="2">
        <v>1122</v>
      </c>
      <c r="I3536" s="10">
        <v>141321</v>
      </c>
      <c r="J3536" s="10">
        <f>Raw_Data!$I3536/Raw_Data!$H3536</f>
        <v>125.95454545454545</v>
      </c>
    </row>
    <row r="3537" spans="1:10" x14ac:dyDescent="0.3">
      <c r="A3537" s="8">
        <v>39776</v>
      </c>
      <c r="B3537" t="str">
        <f>TEXT(Raw_Data!$A3537, "MMM")</f>
        <v>Nov</v>
      </c>
      <c r="C3537">
        <f>YEAR(Raw_Data!$A3537)</f>
        <v>2008</v>
      </c>
      <c r="D3537" t="s">
        <v>1289</v>
      </c>
      <c r="E3537" t="s">
        <v>15</v>
      </c>
      <c r="F3537" t="s">
        <v>16</v>
      </c>
      <c r="G3537">
        <v>3</v>
      </c>
      <c r="H3537">
        <v>2532</v>
      </c>
      <c r="I3537" s="1">
        <v>155213</v>
      </c>
      <c r="J3537" s="1">
        <f>Raw_Data!$I3537/Raw_Data!$H3537</f>
        <v>61.300552922590839</v>
      </c>
    </row>
    <row r="3538" spans="1:10" x14ac:dyDescent="0.3">
      <c r="A3538" s="9">
        <v>43605</v>
      </c>
      <c r="B3538" s="2" t="str">
        <f>TEXT(Raw_Data!$A3538, "MMM")</f>
        <v>May</v>
      </c>
      <c r="C3538" s="2">
        <f>YEAR(Raw_Data!$A3538)</f>
        <v>2019</v>
      </c>
      <c r="D3538" s="2" t="s">
        <v>920</v>
      </c>
      <c r="E3538" s="2" t="s">
        <v>32</v>
      </c>
      <c r="F3538" s="2" t="s">
        <v>16</v>
      </c>
      <c r="G3538" s="2">
        <v>5</v>
      </c>
      <c r="H3538" s="2">
        <v>1676</v>
      </c>
      <c r="I3538" s="10">
        <v>522262</v>
      </c>
      <c r="J3538" s="10">
        <f>Raw_Data!$I3538/Raw_Data!$H3538</f>
        <v>311.61217183770884</v>
      </c>
    </row>
    <row r="3539" spans="1:10" x14ac:dyDescent="0.3">
      <c r="A3539" s="8">
        <v>40854</v>
      </c>
      <c r="B3539" t="str">
        <f>TEXT(Raw_Data!$A3539, "MMM")</f>
        <v>Nov</v>
      </c>
      <c r="C3539">
        <f>YEAR(Raw_Data!$A3539)</f>
        <v>2011</v>
      </c>
      <c r="D3539" t="s">
        <v>328</v>
      </c>
      <c r="E3539" t="s">
        <v>29</v>
      </c>
      <c r="F3539" t="s">
        <v>27</v>
      </c>
      <c r="H3539">
        <v>3324</v>
      </c>
      <c r="I3539" s="1">
        <v>883799</v>
      </c>
      <c r="J3539" s="1">
        <f>Raw_Data!$I3539/Raw_Data!$H3539</f>
        <v>265.8841756919374</v>
      </c>
    </row>
    <row r="3540" spans="1:10" x14ac:dyDescent="0.3">
      <c r="A3540" s="9">
        <v>37589</v>
      </c>
      <c r="B3540" s="2" t="str">
        <f>TEXT(Raw_Data!$A3540, "MMM")</f>
        <v>Nov</v>
      </c>
      <c r="C3540" s="2">
        <f>YEAR(Raw_Data!$A3540)</f>
        <v>2002</v>
      </c>
      <c r="D3540" s="2" t="s">
        <v>2364</v>
      </c>
      <c r="E3540" s="2" t="s">
        <v>25</v>
      </c>
      <c r="F3540" s="2" t="s">
        <v>18</v>
      </c>
      <c r="G3540" s="2">
        <v>4</v>
      </c>
      <c r="H3540" s="2">
        <v>2677</v>
      </c>
      <c r="I3540" s="10">
        <v>681893</v>
      </c>
      <c r="J3540" s="10">
        <f>Raw_Data!$I3540/Raw_Data!$H3540</f>
        <v>254.72282405677998</v>
      </c>
    </row>
    <row r="3541" spans="1:10" x14ac:dyDescent="0.3">
      <c r="A3541" s="8">
        <v>43300</v>
      </c>
      <c r="B3541" t="str">
        <f>TEXT(Raw_Data!$A3541, "MMM")</f>
        <v>Jul</v>
      </c>
      <c r="C3541">
        <f>YEAR(Raw_Data!$A3541)</f>
        <v>2018</v>
      </c>
      <c r="D3541" t="s">
        <v>562</v>
      </c>
      <c r="E3541" t="s">
        <v>15</v>
      </c>
      <c r="F3541" t="s">
        <v>27</v>
      </c>
      <c r="H3541">
        <v>3172</v>
      </c>
      <c r="I3541" s="1">
        <v>412121</v>
      </c>
      <c r="J3541" s="1">
        <f>Raw_Data!$I3541/Raw_Data!$H3541</f>
        <v>129.92465321563682</v>
      </c>
    </row>
    <row r="3542" spans="1:10" x14ac:dyDescent="0.3">
      <c r="A3542" s="9">
        <v>40638</v>
      </c>
      <c r="B3542" s="2" t="str">
        <f>TEXT(Raw_Data!$A3542, "MMM")</f>
        <v>Apr</v>
      </c>
      <c r="C3542" s="2">
        <f>YEAR(Raw_Data!$A3542)</f>
        <v>2011</v>
      </c>
      <c r="D3542" s="2" t="s">
        <v>559</v>
      </c>
      <c r="E3542" s="2" t="s">
        <v>32</v>
      </c>
      <c r="F3542" s="2" t="s">
        <v>11</v>
      </c>
      <c r="G3542" s="2">
        <v>5</v>
      </c>
      <c r="H3542" s="2">
        <v>3499</v>
      </c>
      <c r="I3542" s="10">
        <v>505513</v>
      </c>
      <c r="J3542" s="10">
        <f>Raw_Data!$I3542/Raw_Data!$H3542</f>
        <v>144.47356387539298</v>
      </c>
    </row>
    <row r="3543" spans="1:10" x14ac:dyDescent="0.3">
      <c r="A3543" s="8">
        <v>42182</v>
      </c>
      <c r="B3543" t="str">
        <f>TEXT(Raw_Data!$A3543, "MMM")</f>
        <v>Jun</v>
      </c>
      <c r="C3543">
        <f>YEAR(Raw_Data!$A3543)</f>
        <v>2015</v>
      </c>
      <c r="D3543" t="s">
        <v>2448</v>
      </c>
      <c r="E3543" t="s">
        <v>32</v>
      </c>
      <c r="F3543" t="s">
        <v>27</v>
      </c>
      <c r="G3543">
        <v>5</v>
      </c>
      <c r="H3543">
        <v>2605</v>
      </c>
      <c r="I3543" s="1">
        <v>467493</v>
      </c>
      <c r="J3543" s="1">
        <f>Raw_Data!$I3543/Raw_Data!$H3543</f>
        <v>179.45988483685221</v>
      </c>
    </row>
    <row r="3544" spans="1:10" x14ac:dyDescent="0.3">
      <c r="A3544" s="9">
        <v>41931</v>
      </c>
      <c r="B3544" s="2" t="str">
        <f>TEXT(Raw_Data!$A3544, "MMM")</f>
        <v>Oct</v>
      </c>
      <c r="C3544" s="2">
        <f>YEAR(Raw_Data!$A3544)</f>
        <v>2014</v>
      </c>
      <c r="D3544" s="2" t="s">
        <v>2421</v>
      </c>
      <c r="E3544" s="2" t="s">
        <v>15</v>
      </c>
      <c r="F3544" s="2" t="s">
        <v>11</v>
      </c>
      <c r="G3544" s="2">
        <v>5</v>
      </c>
      <c r="H3544" s="2">
        <v>1055</v>
      </c>
      <c r="I3544" s="10">
        <v>672217</v>
      </c>
      <c r="J3544" s="10">
        <f>Raw_Data!$I3544/Raw_Data!$H3544</f>
        <v>637.17251184834129</v>
      </c>
    </row>
    <row r="3545" spans="1:10" x14ac:dyDescent="0.3">
      <c r="A3545" s="8">
        <v>37702</v>
      </c>
      <c r="B3545" t="str">
        <f>TEXT(Raw_Data!$A3545, "MMM")</f>
        <v>Mar</v>
      </c>
      <c r="C3545">
        <f>YEAR(Raw_Data!$A3545)</f>
        <v>2003</v>
      </c>
      <c r="D3545" t="s">
        <v>2449</v>
      </c>
      <c r="E3545" t="s">
        <v>21</v>
      </c>
      <c r="F3545" t="s">
        <v>18</v>
      </c>
      <c r="G3545">
        <v>4</v>
      </c>
      <c r="H3545">
        <v>3006</v>
      </c>
      <c r="I3545" s="1">
        <v>876655</v>
      </c>
      <c r="J3545" s="1">
        <f>Raw_Data!$I3545/Raw_Data!$H3545</f>
        <v>291.63506320691948</v>
      </c>
    </row>
    <row r="3546" spans="1:10" x14ac:dyDescent="0.3">
      <c r="A3546" s="9">
        <v>43739</v>
      </c>
      <c r="B3546" s="2" t="str">
        <f>TEXT(Raw_Data!$A3546, "MMM")</f>
        <v>Oct</v>
      </c>
      <c r="C3546" s="2">
        <f>YEAR(Raw_Data!$A3546)</f>
        <v>2019</v>
      </c>
      <c r="D3546" s="2" t="s">
        <v>1868</v>
      </c>
      <c r="E3546" s="2" t="s">
        <v>21</v>
      </c>
      <c r="F3546" s="2" t="s">
        <v>11</v>
      </c>
      <c r="G3546" s="2"/>
      <c r="H3546" s="2">
        <v>2287</v>
      </c>
      <c r="I3546" s="10">
        <v>197843</v>
      </c>
      <c r="J3546" s="10">
        <f>Raw_Data!$I3546/Raw_Data!$H3546</f>
        <v>86.507651945780495</v>
      </c>
    </row>
    <row r="3547" spans="1:10" x14ac:dyDescent="0.3">
      <c r="A3547" s="8">
        <v>39937</v>
      </c>
      <c r="B3547" t="str">
        <f>TEXT(Raw_Data!$A3547, "MMM")</f>
        <v>May</v>
      </c>
      <c r="C3547">
        <f>YEAR(Raw_Data!$A3547)</f>
        <v>2009</v>
      </c>
      <c r="D3547" t="s">
        <v>2450</v>
      </c>
      <c r="E3547" t="s">
        <v>32</v>
      </c>
      <c r="F3547" t="s">
        <v>27</v>
      </c>
      <c r="G3547">
        <v>5</v>
      </c>
      <c r="H3547">
        <v>860</v>
      </c>
      <c r="I3547" s="1">
        <v>344943</v>
      </c>
      <c r="J3547" s="1">
        <f>Raw_Data!$I3547/Raw_Data!$H3547</f>
        <v>401.09651162790698</v>
      </c>
    </row>
    <row r="3548" spans="1:10" x14ac:dyDescent="0.3">
      <c r="A3548" s="9">
        <v>41635</v>
      </c>
      <c r="B3548" s="2" t="str">
        <f>TEXT(Raw_Data!$A3548, "MMM")</f>
        <v>Dec</v>
      </c>
      <c r="C3548" s="2">
        <f>YEAR(Raw_Data!$A3548)</f>
        <v>2013</v>
      </c>
      <c r="D3548" s="2" t="s">
        <v>672</v>
      </c>
      <c r="E3548" s="2" t="s">
        <v>23</v>
      </c>
      <c r="F3548" s="2" t="s">
        <v>16</v>
      </c>
      <c r="G3548" s="2"/>
      <c r="H3548" s="2">
        <v>2473</v>
      </c>
      <c r="I3548" s="10">
        <v>266904</v>
      </c>
      <c r="J3548" s="10">
        <f>Raw_Data!$I3548/Raw_Data!$H3548</f>
        <v>107.92721391023049</v>
      </c>
    </row>
    <row r="3549" spans="1:10" x14ac:dyDescent="0.3">
      <c r="A3549" s="8">
        <v>41573</v>
      </c>
      <c r="B3549" t="str">
        <f>TEXT(Raw_Data!$A3549, "MMM")</f>
        <v>Oct</v>
      </c>
      <c r="C3549">
        <f>YEAR(Raw_Data!$A3549)</f>
        <v>2013</v>
      </c>
      <c r="D3549" t="s">
        <v>2451</v>
      </c>
      <c r="E3549" t="s">
        <v>23</v>
      </c>
      <c r="F3549" t="s">
        <v>11</v>
      </c>
      <c r="G3549">
        <v>2</v>
      </c>
      <c r="H3549">
        <v>2367</v>
      </c>
      <c r="I3549" s="1">
        <v>481196</v>
      </c>
      <c r="J3549" s="1">
        <f>Raw_Data!$I3549/Raw_Data!$H3549</f>
        <v>203.29362061681454</v>
      </c>
    </row>
    <row r="3550" spans="1:10" x14ac:dyDescent="0.3">
      <c r="A3550" s="9">
        <v>40146</v>
      </c>
      <c r="B3550" s="2" t="str">
        <f>TEXT(Raw_Data!$A3550, "MMM")</f>
        <v>Nov</v>
      </c>
      <c r="C3550" s="2">
        <f>YEAR(Raw_Data!$A3550)</f>
        <v>2009</v>
      </c>
      <c r="D3550" s="2" t="s">
        <v>2452</v>
      </c>
      <c r="E3550" s="2" t="s">
        <v>15</v>
      </c>
      <c r="F3550" s="2" t="s">
        <v>27</v>
      </c>
      <c r="G3550" s="2">
        <v>5</v>
      </c>
      <c r="H3550" s="2">
        <v>2701</v>
      </c>
      <c r="I3550" s="10">
        <v>695623</v>
      </c>
      <c r="J3550" s="10">
        <f>Raw_Data!$I3550/Raw_Data!$H3550</f>
        <v>257.54276194002222</v>
      </c>
    </row>
    <row r="3551" spans="1:10" x14ac:dyDescent="0.3">
      <c r="A3551" s="8">
        <v>42811</v>
      </c>
      <c r="B3551" t="str">
        <f>TEXT(Raw_Data!$A3551, "MMM")</f>
        <v>Mar</v>
      </c>
      <c r="C3551">
        <f>YEAR(Raw_Data!$A3551)</f>
        <v>2017</v>
      </c>
      <c r="D3551" t="s">
        <v>2453</v>
      </c>
      <c r="E3551" t="s">
        <v>25</v>
      </c>
      <c r="F3551" t="s">
        <v>27</v>
      </c>
      <c r="G3551">
        <v>5</v>
      </c>
      <c r="H3551">
        <v>2830</v>
      </c>
      <c r="I3551" s="1">
        <v>101640</v>
      </c>
      <c r="J3551" s="1">
        <f>Raw_Data!$I3551/Raw_Data!$H3551</f>
        <v>35.915194346289752</v>
      </c>
    </row>
    <row r="3552" spans="1:10" x14ac:dyDescent="0.3">
      <c r="A3552" s="9">
        <v>40605</v>
      </c>
      <c r="B3552" s="2" t="str">
        <f>TEXT(Raw_Data!$A3552, "MMM")</f>
        <v>Mar</v>
      </c>
      <c r="C3552" s="2">
        <f>YEAR(Raw_Data!$A3552)</f>
        <v>2011</v>
      </c>
      <c r="D3552" s="2" t="s">
        <v>1393</v>
      </c>
      <c r="E3552" s="2" t="s">
        <v>23</v>
      </c>
      <c r="F3552" s="2" t="s">
        <v>18</v>
      </c>
      <c r="G3552" s="2"/>
      <c r="H3552" s="2">
        <v>2100</v>
      </c>
      <c r="I3552" s="10">
        <v>152221</v>
      </c>
      <c r="J3552" s="10">
        <f>Raw_Data!$I3552/Raw_Data!$H3552</f>
        <v>72.486190476190473</v>
      </c>
    </row>
    <row r="3553" spans="1:10" x14ac:dyDescent="0.3">
      <c r="A3553" s="8">
        <v>40139</v>
      </c>
      <c r="B3553" t="str">
        <f>TEXT(Raw_Data!$A3553, "MMM")</f>
        <v>Nov</v>
      </c>
      <c r="C3553">
        <f>YEAR(Raw_Data!$A3553)</f>
        <v>2009</v>
      </c>
      <c r="D3553" t="s">
        <v>50</v>
      </c>
      <c r="E3553" t="s">
        <v>29</v>
      </c>
      <c r="F3553" t="s">
        <v>18</v>
      </c>
      <c r="G3553">
        <v>4</v>
      </c>
      <c r="H3553">
        <v>1853</v>
      </c>
      <c r="I3553" s="1">
        <v>755959</v>
      </c>
      <c r="J3553" s="1">
        <f>Raw_Data!$I3553/Raw_Data!$H3553</f>
        <v>407.96492174851591</v>
      </c>
    </row>
    <row r="3554" spans="1:10" x14ac:dyDescent="0.3">
      <c r="A3554" s="9">
        <v>40251</v>
      </c>
      <c r="B3554" s="2" t="str">
        <f>TEXT(Raw_Data!$A3554, "MMM")</f>
        <v>Mar</v>
      </c>
      <c r="C3554" s="2">
        <f>YEAR(Raw_Data!$A3554)</f>
        <v>2010</v>
      </c>
      <c r="D3554" s="2" t="s">
        <v>1867</v>
      </c>
      <c r="E3554" s="2" t="s">
        <v>29</v>
      </c>
      <c r="F3554" s="2" t="s">
        <v>16</v>
      </c>
      <c r="G3554" s="2">
        <v>4</v>
      </c>
      <c r="H3554" s="2">
        <v>2460</v>
      </c>
      <c r="I3554" s="10">
        <v>398719</v>
      </c>
      <c r="J3554" s="10">
        <f>Raw_Data!$I3554/Raw_Data!$H3554</f>
        <v>162.0808943089431</v>
      </c>
    </row>
    <row r="3555" spans="1:10" x14ac:dyDescent="0.3">
      <c r="A3555" s="8">
        <v>38587</v>
      </c>
      <c r="B3555" t="str">
        <f>TEXT(Raw_Data!$A3555, "MMM")</f>
        <v>Aug</v>
      </c>
      <c r="C3555">
        <f>YEAR(Raw_Data!$A3555)</f>
        <v>2005</v>
      </c>
      <c r="D3555" t="s">
        <v>2226</v>
      </c>
      <c r="E3555" t="s">
        <v>21</v>
      </c>
      <c r="F3555" t="s">
        <v>18</v>
      </c>
      <c r="G3555">
        <v>4</v>
      </c>
      <c r="H3555">
        <v>2302</v>
      </c>
      <c r="I3555" s="1">
        <v>460494</v>
      </c>
      <c r="J3555" s="1">
        <f>Raw_Data!$I3555/Raw_Data!$H3555</f>
        <v>200.04083405734144</v>
      </c>
    </row>
    <row r="3556" spans="1:10" x14ac:dyDescent="0.3">
      <c r="A3556" s="9">
        <v>37028</v>
      </c>
      <c r="B3556" s="2" t="str">
        <f>TEXT(Raw_Data!$A3556, "MMM")</f>
        <v>May</v>
      </c>
      <c r="C3556" s="2">
        <f>YEAR(Raw_Data!$A3556)</f>
        <v>2001</v>
      </c>
      <c r="D3556" s="2" t="s">
        <v>2454</v>
      </c>
      <c r="E3556" s="2" t="s">
        <v>25</v>
      </c>
      <c r="F3556" s="2" t="s">
        <v>11</v>
      </c>
      <c r="G3556" s="2">
        <v>4</v>
      </c>
      <c r="H3556" s="2">
        <v>2839</v>
      </c>
      <c r="I3556" s="10">
        <v>788084</v>
      </c>
      <c r="J3556" s="10">
        <f>Raw_Data!$I3556/Raw_Data!$H3556</f>
        <v>277.59210989785134</v>
      </c>
    </row>
    <row r="3557" spans="1:10" x14ac:dyDescent="0.3">
      <c r="A3557" s="8">
        <v>40254</v>
      </c>
      <c r="B3557" t="str">
        <f>TEXT(Raw_Data!$A3557, "MMM")</f>
        <v>Mar</v>
      </c>
      <c r="C3557">
        <f>YEAR(Raw_Data!$A3557)</f>
        <v>2010</v>
      </c>
      <c r="D3557" t="s">
        <v>1407</v>
      </c>
      <c r="E3557" t="s">
        <v>13</v>
      </c>
      <c r="F3557" t="s">
        <v>11</v>
      </c>
      <c r="G3557">
        <v>2</v>
      </c>
      <c r="H3557">
        <v>3390</v>
      </c>
      <c r="I3557" s="1">
        <v>798667</v>
      </c>
      <c r="J3557" s="1">
        <f>Raw_Data!$I3557/Raw_Data!$H3557</f>
        <v>235.59498525073747</v>
      </c>
    </row>
    <row r="3558" spans="1:10" x14ac:dyDescent="0.3">
      <c r="A3558" s="9">
        <v>41952</v>
      </c>
      <c r="B3558" s="2" t="str">
        <f>TEXT(Raw_Data!$A3558, "MMM")</f>
        <v>Nov</v>
      </c>
      <c r="C3558" s="2">
        <f>YEAR(Raw_Data!$A3558)</f>
        <v>2014</v>
      </c>
      <c r="D3558" s="2" t="s">
        <v>743</v>
      </c>
      <c r="E3558" s="2" t="s">
        <v>13</v>
      </c>
      <c r="F3558" s="2" t="s">
        <v>27</v>
      </c>
      <c r="G3558" s="2">
        <v>3</v>
      </c>
      <c r="H3558" s="2">
        <v>953</v>
      </c>
      <c r="I3558" s="10">
        <v>396903</v>
      </c>
      <c r="J3558" s="10">
        <f>Raw_Data!$I3558/Raw_Data!$H3558</f>
        <v>416.47743966421825</v>
      </c>
    </row>
    <row r="3559" spans="1:10" x14ac:dyDescent="0.3">
      <c r="A3559" s="8">
        <v>43444</v>
      </c>
      <c r="B3559" t="str">
        <f>TEXT(Raw_Data!$A3559, "MMM")</f>
        <v>Dec</v>
      </c>
      <c r="C3559">
        <f>YEAR(Raw_Data!$A3559)</f>
        <v>2018</v>
      </c>
      <c r="D3559" t="s">
        <v>2293</v>
      </c>
      <c r="E3559" t="s">
        <v>23</v>
      </c>
      <c r="F3559" t="s">
        <v>11</v>
      </c>
      <c r="G3559">
        <v>3</v>
      </c>
      <c r="H3559">
        <v>3276</v>
      </c>
      <c r="I3559" s="1">
        <v>562695</v>
      </c>
      <c r="J3559" s="1">
        <f>Raw_Data!$I3559/Raw_Data!$H3559</f>
        <v>171.76282051282053</v>
      </c>
    </row>
    <row r="3560" spans="1:10" x14ac:dyDescent="0.3">
      <c r="A3560" s="9">
        <v>36967</v>
      </c>
      <c r="B3560" s="2" t="str">
        <f>TEXT(Raw_Data!$A3560, "MMM")</f>
        <v>Mar</v>
      </c>
      <c r="C3560" s="2">
        <f>YEAR(Raw_Data!$A3560)</f>
        <v>2001</v>
      </c>
      <c r="D3560" s="2" t="s">
        <v>334</v>
      </c>
      <c r="E3560" s="2" t="s">
        <v>25</v>
      </c>
      <c r="F3560" s="2" t="s">
        <v>11</v>
      </c>
      <c r="G3560" s="2"/>
      <c r="H3560" s="2">
        <v>3472</v>
      </c>
      <c r="I3560" s="10">
        <v>325373</v>
      </c>
      <c r="J3560" s="10">
        <f>Raw_Data!$I3560/Raw_Data!$H3560</f>
        <v>93.713421658986178</v>
      </c>
    </row>
    <row r="3561" spans="1:10" x14ac:dyDescent="0.3">
      <c r="A3561" s="8">
        <v>38349</v>
      </c>
      <c r="B3561" t="str">
        <f>TEXT(Raw_Data!$A3561, "MMM")</f>
        <v>Dec</v>
      </c>
      <c r="C3561">
        <f>YEAR(Raw_Data!$A3561)</f>
        <v>2004</v>
      </c>
      <c r="D3561" t="s">
        <v>296</v>
      </c>
      <c r="E3561" t="s">
        <v>25</v>
      </c>
      <c r="F3561" t="s">
        <v>18</v>
      </c>
      <c r="G3561">
        <v>5</v>
      </c>
      <c r="H3561">
        <v>1791</v>
      </c>
      <c r="I3561" s="1">
        <v>293965</v>
      </c>
      <c r="J3561" s="1">
        <f>Raw_Data!$I3561/Raw_Data!$H3561</f>
        <v>164.13456169737577</v>
      </c>
    </row>
    <row r="3562" spans="1:10" x14ac:dyDescent="0.3">
      <c r="A3562" s="9">
        <v>42705</v>
      </c>
      <c r="B3562" s="2" t="str">
        <f>TEXT(Raw_Data!$A3562, "MMM")</f>
        <v>Dec</v>
      </c>
      <c r="C3562" s="2">
        <f>YEAR(Raw_Data!$A3562)</f>
        <v>2016</v>
      </c>
      <c r="D3562" s="2" t="s">
        <v>2455</v>
      </c>
      <c r="E3562" s="2" t="s">
        <v>32</v>
      </c>
      <c r="F3562" s="2" t="s">
        <v>16</v>
      </c>
      <c r="G3562" s="2">
        <v>2</v>
      </c>
      <c r="H3562" s="2">
        <v>1736</v>
      </c>
      <c r="I3562" s="10">
        <v>656171</v>
      </c>
      <c r="J3562" s="10">
        <f>Raw_Data!$I3562/Raw_Data!$H3562</f>
        <v>377.97868663594471</v>
      </c>
    </row>
    <row r="3563" spans="1:10" x14ac:dyDescent="0.3">
      <c r="A3563" s="8">
        <v>40626</v>
      </c>
      <c r="B3563" t="str">
        <f>TEXT(Raw_Data!$A3563, "MMM")</f>
        <v>Mar</v>
      </c>
      <c r="C3563">
        <f>YEAR(Raw_Data!$A3563)</f>
        <v>2011</v>
      </c>
      <c r="D3563" t="s">
        <v>2456</v>
      </c>
      <c r="E3563" t="s">
        <v>13</v>
      </c>
      <c r="F3563" t="s">
        <v>27</v>
      </c>
      <c r="H3563">
        <v>3399</v>
      </c>
      <c r="I3563" s="1">
        <v>514849</v>
      </c>
      <c r="J3563" s="1">
        <f>Raw_Data!$I3563/Raw_Data!$H3563</f>
        <v>151.47072668431892</v>
      </c>
    </row>
    <row r="3564" spans="1:10" x14ac:dyDescent="0.3">
      <c r="A3564" s="9">
        <v>42166</v>
      </c>
      <c r="B3564" s="2" t="str">
        <f>TEXT(Raw_Data!$A3564, "MMM")</f>
        <v>Jun</v>
      </c>
      <c r="C3564" s="2">
        <f>YEAR(Raw_Data!$A3564)</f>
        <v>2015</v>
      </c>
      <c r="D3564" s="2" t="s">
        <v>260</v>
      </c>
      <c r="E3564" s="2" t="s">
        <v>23</v>
      </c>
      <c r="F3564" s="2" t="s">
        <v>11</v>
      </c>
      <c r="G3564" s="2"/>
      <c r="H3564" s="2">
        <v>3056</v>
      </c>
      <c r="I3564" s="10">
        <v>349611</v>
      </c>
      <c r="J3564" s="10">
        <f>Raw_Data!$I3564/Raw_Data!$H3564</f>
        <v>114.40150523560209</v>
      </c>
    </row>
    <row r="3565" spans="1:10" x14ac:dyDescent="0.3">
      <c r="A3565" s="8">
        <v>39136</v>
      </c>
      <c r="B3565" t="str">
        <f>TEXT(Raw_Data!$A3565, "MMM")</f>
        <v>Feb</v>
      </c>
      <c r="C3565">
        <f>YEAR(Raw_Data!$A3565)</f>
        <v>2007</v>
      </c>
      <c r="D3565" t="s">
        <v>2457</v>
      </c>
      <c r="E3565" t="s">
        <v>25</v>
      </c>
      <c r="F3565" t="s">
        <v>27</v>
      </c>
      <c r="H3565">
        <v>3174</v>
      </c>
      <c r="I3565" s="1">
        <v>210495</v>
      </c>
      <c r="J3565" s="1">
        <f>Raw_Data!$I3565/Raw_Data!$H3565</f>
        <v>66.318525519848777</v>
      </c>
    </row>
    <row r="3566" spans="1:10" x14ac:dyDescent="0.3">
      <c r="A3566" s="9">
        <v>39735</v>
      </c>
      <c r="B3566" s="2" t="str">
        <f>TEXT(Raw_Data!$A3566, "MMM")</f>
        <v>Oct</v>
      </c>
      <c r="C3566" s="2">
        <f>YEAR(Raw_Data!$A3566)</f>
        <v>2008</v>
      </c>
      <c r="D3566" s="2" t="s">
        <v>2458</v>
      </c>
      <c r="E3566" s="2" t="s">
        <v>23</v>
      </c>
      <c r="F3566" s="2" t="s">
        <v>11</v>
      </c>
      <c r="G3566" s="2">
        <v>3</v>
      </c>
      <c r="H3566" s="2">
        <v>1611</v>
      </c>
      <c r="I3566" s="10">
        <v>327652</v>
      </c>
      <c r="J3566" s="10">
        <f>Raw_Data!$I3566/Raw_Data!$H3566</f>
        <v>203.38423339540657</v>
      </c>
    </row>
    <row r="3567" spans="1:10" x14ac:dyDescent="0.3">
      <c r="A3567" s="8">
        <v>42704</v>
      </c>
      <c r="B3567" t="str">
        <f>TEXT(Raw_Data!$A3567, "MMM")</f>
        <v>Nov</v>
      </c>
      <c r="C3567">
        <f>YEAR(Raw_Data!$A3567)</f>
        <v>2016</v>
      </c>
      <c r="D3567" t="s">
        <v>2459</v>
      </c>
      <c r="E3567" t="s">
        <v>23</v>
      </c>
      <c r="F3567" t="s">
        <v>27</v>
      </c>
      <c r="G3567">
        <v>5</v>
      </c>
      <c r="H3567">
        <v>1131</v>
      </c>
      <c r="I3567" s="1">
        <v>310981</v>
      </c>
      <c r="J3567" s="1">
        <f>Raw_Data!$I3567/Raw_Data!$H3567</f>
        <v>274.96109637488945</v>
      </c>
    </row>
    <row r="3568" spans="1:10" x14ac:dyDescent="0.3">
      <c r="A3568" s="9">
        <v>43269</v>
      </c>
      <c r="B3568" s="2" t="str">
        <f>TEXT(Raw_Data!$A3568, "MMM")</f>
        <v>Jun</v>
      </c>
      <c r="C3568" s="2">
        <f>YEAR(Raw_Data!$A3568)</f>
        <v>2018</v>
      </c>
      <c r="D3568" s="2" t="s">
        <v>2135</v>
      </c>
      <c r="E3568" s="2" t="s">
        <v>21</v>
      </c>
      <c r="F3568" s="2" t="s">
        <v>18</v>
      </c>
      <c r="G3568" s="2">
        <v>5</v>
      </c>
      <c r="H3568" s="2">
        <v>1639</v>
      </c>
      <c r="I3568" s="10">
        <v>183816</v>
      </c>
      <c r="J3568" s="10">
        <f>Raw_Data!$I3568/Raw_Data!$H3568</f>
        <v>112.15131177547285</v>
      </c>
    </row>
    <row r="3569" spans="1:10" x14ac:dyDescent="0.3">
      <c r="A3569" s="8">
        <v>40339</v>
      </c>
      <c r="B3569" t="str">
        <f>TEXT(Raw_Data!$A3569, "MMM")</f>
        <v>Jun</v>
      </c>
      <c r="C3569">
        <f>YEAR(Raw_Data!$A3569)</f>
        <v>2010</v>
      </c>
      <c r="D3569" t="s">
        <v>2460</v>
      </c>
      <c r="E3569" t="s">
        <v>29</v>
      </c>
      <c r="F3569" t="s">
        <v>11</v>
      </c>
      <c r="G3569">
        <v>3</v>
      </c>
      <c r="H3569">
        <v>2832</v>
      </c>
      <c r="I3569" s="1">
        <v>514224</v>
      </c>
      <c r="J3569" s="1">
        <f>Raw_Data!$I3569/Raw_Data!$H3569</f>
        <v>181.57627118644066</v>
      </c>
    </row>
    <row r="3570" spans="1:10" x14ac:dyDescent="0.3">
      <c r="A3570" s="9">
        <v>43522</v>
      </c>
      <c r="B3570" s="2" t="str">
        <f>TEXT(Raw_Data!$A3570, "MMM")</f>
        <v>Feb</v>
      </c>
      <c r="C3570" s="2">
        <f>YEAR(Raw_Data!$A3570)</f>
        <v>2019</v>
      </c>
      <c r="D3570" s="2" t="s">
        <v>2461</v>
      </c>
      <c r="E3570" s="2" t="s">
        <v>32</v>
      </c>
      <c r="F3570" s="2" t="s">
        <v>27</v>
      </c>
      <c r="G3570" s="2"/>
      <c r="H3570" s="2">
        <v>1261</v>
      </c>
      <c r="I3570" s="10">
        <v>711904</v>
      </c>
      <c r="J3570" s="10">
        <f>Raw_Data!$I3570/Raw_Data!$H3570</f>
        <v>564.55511498810472</v>
      </c>
    </row>
    <row r="3571" spans="1:10" x14ac:dyDescent="0.3">
      <c r="A3571" s="8">
        <v>37698</v>
      </c>
      <c r="B3571" t="str">
        <f>TEXT(Raw_Data!$A3571, "MMM")</f>
        <v>Mar</v>
      </c>
      <c r="C3571">
        <f>YEAR(Raw_Data!$A3571)</f>
        <v>2003</v>
      </c>
      <c r="D3571" t="s">
        <v>709</v>
      </c>
      <c r="E3571" t="s">
        <v>15</v>
      </c>
      <c r="F3571" t="s">
        <v>16</v>
      </c>
      <c r="H3571">
        <v>2126</v>
      </c>
      <c r="I3571" s="1">
        <v>405833</v>
      </c>
      <c r="J3571" s="1">
        <f>Raw_Data!$I3571/Raw_Data!$H3571</f>
        <v>190.89040451552211</v>
      </c>
    </row>
    <row r="3572" spans="1:10" x14ac:dyDescent="0.3">
      <c r="A3572" s="9">
        <v>44144</v>
      </c>
      <c r="B3572" s="2" t="str">
        <f>TEXT(Raw_Data!$A3572, "MMM")</f>
        <v>Nov</v>
      </c>
      <c r="C3572" s="2">
        <f>YEAR(Raw_Data!$A3572)</f>
        <v>2020</v>
      </c>
      <c r="D3572" s="2" t="s">
        <v>999</v>
      </c>
      <c r="E3572" s="2" t="s">
        <v>21</v>
      </c>
      <c r="F3572" s="2" t="s">
        <v>16</v>
      </c>
      <c r="G3572" s="2">
        <v>2</v>
      </c>
      <c r="H3572" s="2">
        <v>938</v>
      </c>
      <c r="I3572" s="10">
        <v>511698</v>
      </c>
      <c r="J3572" s="10">
        <f>Raw_Data!$I3572/Raw_Data!$H3572</f>
        <v>545.52025586353943</v>
      </c>
    </row>
    <row r="3573" spans="1:10" x14ac:dyDescent="0.3">
      <c r="A3573" s="8">
        <v>42429</v>
      </c>
      <c r="B3573" t="str">
        <f>TEXT(Raw_Data!$A3573, "MMM")</f>
        <v>Feb</v>
      </c>
      <c r="C3573">
        <f>YEAR(Raw_Data!$A3573)</f>
        <v>2016</v>
      </c>
      <c r="D3573" t="s">
        <v>783</v>
      </c>
      <c r="E3573" t="s">
        <v>23</v>
      </c>
      <c r="F3573" t="s">
        <v>11</v>
      </c>
      <c r="H3573">
        <v>1816</v>
      </c>
      <c r="I3573" s="1">
        <v>219738</v>
      </c>
      <c r="J3573" s="1">
        <f>Raw_Data!$I3573/Raw_Data!$H3573</f>
        <v>121.00110132158591</v>
      </c>
    </row>
    <row r="3574" spans="1:10" x14ac:dyDescent="0.3">
      <c r="A3574" s="9">
        <v>38700</v>
      </c>
      <c r="B3574" s="2" t="str">
        <f>TEXT(Raw_Data!$A3574, "MMM")</f>
        <v>Dec</v>
      </c>
      <c r="C3574" s="2">
        <f>YEAR(Raw_Data!$A3574)</f>
        <v>2005</v>
      </c>
      <c r="D3574" s="2" t="s">
        <v>2462</v>
      </c>
      <c r="E3574" s="2" t="s">
        <v>13</v>
      </c>
      <c r="F3574" s="2" t="s">
        <v>27</v>
      </c>
      <c r="G3574" s="2">
        <v>5</v>
      </c>
      <c r="H3574" s="2">
        <v>977</v>
      </c>
      <c r="I3574" s="10">
        <v>855422</v>
      </c>
      <c r="J3574" s="10">
        <f>Raw_Data!$I3574/Raw_Data!$H3574</f>
        <v>875.55987717502558</v>
      </c>
    </row>
    <row r="3575" spans="1:10" x14ac:dyDescent="0.3">
      <c r="A3575" s="8">
        <v>40214</v>
      </c>
      <c r="B3575" t="str">
        <f>TEXT(Raw_Data!$A3575, "MMM")</f>
        <v>Feb</v>
      </c>
      <c r="C3575">
        <f>YEAR(Raw_Data!$A3575)</f>
        <v>2010</v>
      </c>
      <c r="D3575" t="s">
        <v>2463</v>
      </c>
      <c r="E3575" t="s">
        <v>32</v>
      </c>
      <c r="F3575" t="s">
        <v>11</v>
      </c>
      <c r="G3575">
        <v>5</v>
      </c>
      <c r="H3575">
        <v>1186</v>
      </c>
      <c r="I3575" s="1">
        <v>881052</v>
      </c>
      <c r="J3575" s="1">
        <f>Raw_Data!$I3575/Raw_Data!$H3575</f>
        <v>742.87689713322095</v>
      </c>
    </row>
    <row r="3576" spans="1:10" x14ac:dyDescent="0.3">
      <c r="A3576" s="9">
        <v>39871</v>
      </c>
      <c r="B3576" s="2" t="str">
        <f>TEXT(Raw_Data!$A3576, "MMM")</f>
        <v>Feb</v>
      </c>
      <c r="C3576" s="2">
        <f>YEAR(Raw_Data!$A3576)</f>
        <v>2009</v>
      </c>
      <c r="D3576" s="2" t="s">
        <v>1646</v>
      </c>
      <c r="E3576" s="2" t="s">
        <v>21</v>
      </c>
      <c r="F3576" s="2" t="s">
        <v>18</v>
      </c>
      <c r="G3576" s="2">
        <v>2</v>
      </c>
      <c r="H3576" s="2">
        <v>950</v>
      </c>
      <c r="I3576" s="10">
        <v>875273</v>
      </c>
      <c r="J3576" s="10">
        <f>Raw_Data!$I3576/Raw_Data!$H3576</f>
        <v>921.34</v>
      </c>
    </row>
    <row r="3577" spans="1:10" x14ac:dyDescent="0.3">
      <c r="A3577" s="8">
        <v>43864</v>
      </c>
      <c r="B3577" t="str">
        <f>TEXT(Raw_Data!$A3577, "MMM")</f>
        <v>Feb</v>
      </c>
      <c r="C3577">
        <f>YEAR(Raw_Data!$A3577)</f>
        <v>2020</v>
      </c>
      <c r="D3577" t="s">
        <v>2153</v>
      </c>
      <c r="E3577" t="s">
        <v>25</v>
      </c>
      <c r="F3577" t="s">
        <v>18</v>
      </c>
      <c r="G3577">
        <v>4</v>
      </c>
      <c r="H3577">
        <v>1591</v>
      </c>
      <c r="I3577" s="1">
        <v>210997</v>
      </c>
      <c r="J3577" s="1">
        <f>Raw_Data!$I3577/Raw_Data!$H3577</f>
        <v>132.61910747957259</v>
      </c>
    </row>
    <row r="3578" spans="1:10" x14ac:dyDescent="0.3">
      <c r="A3578" s="9">
        <v>42250</v>
      </c>
      <c r="B3578" s="2" t="str">
        <f>TEXT(Raw_Data!$A3578, "MMM")</f>
        <v>Sep</v>
      </c>
      <c r="C3578" s="2">
        <f>YEAR(Raw_Data!$A3578)</f>
        <v>2015</v>
      </c>
      <c r="D3578" s="2" t="s">
        <v>2464</v>
      </c>
      <c r="E3578" s="2" t="s">
        <v>25</v>
      </c>
      <c r="F3578" s="2" t="s">
        <v>27</v>
      </c>
      <c r="G3578" s="2"/>
      <c r="H3578" s="2">
        <v>3469</v>
      </c>
      <c r="I3578" s="10">
        <v>781779</v>
      </c>
      <c r="J3578" s="10">
        <f>Raw_Data!$I3578/Raw_Data!$H3578</f>
        <v>225.36148746036321</v>
      </c>
    </row>
    <row r="3579" spans="1:10" x14ac:dyDescent="0.3">
      <c r="A3579" s="8">
        <v>40542</v>
      </c>
      <c r="B3579" t="str">
        <f>TEXT(Raw_Data!$A3579, "MMM")</f>
        <v>Dec</v>
      </c>
      <c r="C3579">
        <f>YEAR(Raw_Data!$A3579)</f>
        <v>2010</v>
      </c>
      <c r="D3579" t="s">
        <v>2465</v>
      </c>
      <c r="E3579" t="s">
        <v>29</v>
      </c>
      <c r="F3579" t="s">
        <v>11</v>
      </c>
      <c r="G3579">
        <v>3</v>
      </c>
      <c r="H3579">
        <v>2943</v>
      </c>
      <c r="I3579" s="1">
        <v>176766</v>
      </c>
      <c r="J3579" s="1">
        <f>Raw_Data!$I3579/Raw_Data!$H3579</f>
        <v>60.06320081549439</v>
      </c>
    </row>
    <row r="3580" spans="1:10" x14ac:dyDescent="0.3">
      <c r="A3580" s="9">
        <v>39850</v>
      </c>
      <c r="B3580" s="2" t="str">
        <f>TEXT(Raw_Data!$A3580, "MMM")</f>
        <v>Feb</v>
      </c>
      <c r="C3580" s="2">
        <f>YEAR(Raw_Data!$A3580)</f>
        <v>2009</v>
      </c>
      <c r="D3580" s="2" t="s">
        <v>2466</v>
      </c>
      <c r="E3580" s="2" t="s">
        <v>23</v>
      </c>
      <c r="F3580" s="2" t="s">
        <v>18</v>
      </c>
      <c r="G3580" s="2">
        <v>4</v>
      </c>
      <c r="H3580" s="2">
        <v>1640</v>
      </c>
      <c r="I3580" s="10">
        <v>672051</v>
      </c>
      <c r="J3580" s="10">
        <f>Raw_Data!$I3580/Raw_Data!$H3580</f>
        <v>409.78719512195124</v>
      </c>
    </row>
    <row r="3581" spans="1:10" x14ac:dyDescent="0.3">
      <c r="A3581" s="8">
        <v>44006</v>
      </c>
      <c r="B3581" t="str">
        <f>TEXT(Raw_Data!$A3581, "MMM")</f>
        <v>Jun</v>
      </c>
      <c r="C3581">
        <f>YEAR(Raw_Data!$A3581)</f>
        <v>2020</v>
      </c>
      <c r="D3581" t="s">
        <v>2140</v>
      </c>
      <c r="E3581" t="s">
        <v>13</v>
      </c>
      <c r="F3581" t="s">
        <v>16</v>
      </c>
      <c r="G3581">
        <v>2</v>
      </c>
      <c r="H3581">
        <v>2516</v>
      </c>
      <c r="I3581" s="1">
        <v>691987</v>
      </c>
      <c r="J3581" s="1">
        <f>Raw_Data!$I3581/Raw_Data!$H3581</f>
        <v>275.03457869634337</v>
      </c>
    </row>
    <row r="3582" spans="1:10" x14ac:dyDescent="0.3">
      <c r="A3582" s="9">
        <v>42708</v>
      </c>
      <c r="B3582" s="2" t="str">
        <f>TEXT(Raw_Data!$A3582, "MMM")</f>
        <v>Dec</v>
      </c>
      <c r="C3582" s="2">
        <f>YEAR(Raw_Data!$A3582)</f>
        <v>2016</v>
      </c>
      <c r="D3582" s="2" t="s">
        <v>530</v>
      </c>
      <c r="E3582" s="2" t="s">
        <v>15</v>
      </c>
      <c r="F3582" s="2" t="s">
        <v>16</v>
      </c>
      <c r="G3582" s="2"/>
      <c r="H3582" s="2">
        <v>883</v>
      </c>
      <c r="I3582" s="10"/>
      <c r="J3582" s="10">
        <f>Raw_Data!$I3582/Raw_Data!$H3582</f>
        <v>0</v>
      </c>
    </row>
    <row r="3583" spans="1:10" x14ac:dyDescent="0.3">
      <c r="A3583" s="8">
        <v>40749</v>
      </c>
      <c r="B3583" t="str">
        <f>TEXT(Raw_Data!$A3583, "MMM")</f>
        <v>Jul</v>
      </c>
      <c r="C3583">
        <f>YEAR(Raw_Data!$A3583)</f>
        <v>2011</v>
      </c>
      <c r="D3583" t="s">
        <v>2467</v>
      </c>
      <c r="E3583" t="s">
        <v>23</v>
      </c>
      <c r="F3583" t="s">
        <v>16</v>
      </c>
      <c r="H3583">
        <v>3436</v>
      </c>
      <c r="I3583" s="1">
        <v>815658</v>
      </c>
      <c r="J3583" s="1">
        <f>Raw_Data!$I3583/Raw_Data!$H3583</f>
        <v>237.38591385331782</v>
      </c>
    </row>
    <row r="3584" spans="1:10" x14ac:dyDescent="0.3">
      <c r="A3584" s="9">
        <v>37140</v>
      </c>
      <c r="B3584" s="2" t="str">
        <f>TEXT(Raw_Data!$A3584, "MMM")</f>
        <v>Sep</v>
      </c>
      <c r="C3584" s="2">
        <f>YEAR(Raw_Data!$A3584)</f>
        <v>2001</v>
      </c>
      <c r="D3584" s="2" t="s">
        <v>1102</v>
      </c>
      <c r="E3584" s="2" t="s">
        <v>21</v>
      </c>
      <c r="F3584" s="2" t="s">
        <v>16</v>
      </c>
      <c r="G3584" s="2">
        <v>5</v>
      </c>
      <c r="H3584" s="2">
        <v>1910</v>
      </c>
      <c r="I3584" s="10">
        <v>402306</v>
      </c>
      <c r="J3584" s="10">
        <f>Raw_Data!$I3584/Raw_Data!$H3584</f>
        <v>210.63141361256544</v>
      </c>
    </row>
    <row r="3585" spans="1:10" x14ac:dyDescent="0.3">
      <c r="A3585" s="8">
        <v>40679</v>
      </c>
      <c r="B3585" t="str">
        <f>TEXT(Raw_Data!$A3585, "MMM")</f>
        <v>May</v>
      </c>
      <c r="C3585">
        <f>YEAR(Raw_Data!$A3585)</f>
        <v>2011</v>
      </c>
      <c r="D3585" t="s">
        <v>2468</v>
      </c>
      <c r="E3585" t="s">
        <v>15</v>
      </c>
      <c r="F3585" t="s">
        <v>11</v>
      </c>
      <c r="G3585">
        <v>3</v>
      </c>
      <c r="H3585">
        <v>3483</v>
      </c>
      <c r="I3585" s="1">
        <v>879414</v>
      </c>
      <c r="J3585" s="1">
        <f>Raw_Data!$I3585/Raw_Data!$H3585</f>
        <v>252.48751076658053</v>
      </c>
    </row>
    <row r="3586" spans="1:10" x14ac:dyDescent="0.3">
      <c r="A3586" s="9">
        <v>43223</v>
      </c>
      <c r="B3586" s="2" t="str">
        <f>TEXT(Raw_Data!$A3586, "MMM")</f>
        <v>May</v>
      </c>
      <c r="C3586" s="2">
        <f>YEAR(Raw_Data!$A3586)</f>
        <v>2018</v>
      </c>
      <c r="D3586" s="2" t="s">
        <v>2469</v>
      </c>
      <c r="E3586" s="2" t="s">
        <v>29</v>
      </c>
      <c r="F3586" s="2" t="s">
        <v>16</v>
      </c>
      <c r="G3586" s="2">
        <v>3</v>
      </c>
      <c r="H3586" s="2">
        <v>1775</v>
      </c>
      <c r="I3586" s="10">
        <v>731548</v>
      </c>
      <c r="J3586" s="10">
        <f>Raw_Data!$I3586/Raw_Data!$H3586</f>
        <v>412.13971830985918</v>
      </c>
    </row>
    <row r="3587" spans="1:10" x14ac:dyDescent="0.3">
      <c r="A3587" s="8">
        <v>37158</v>
      </c>
      <c r="B3587" t="str">
        <f>TEXT(Raw_Data!$A3587, "MMM")</f>
        <v>Sep</v>
      </c>
      <c r="C3587">
        <f>YEAR(Raw_Data!$A3587)</f>
        <v>2001</v>
      </c>
      <c r="D3587" t="s">
        <v>861</v>
      </c>
      <c r="E3587" t="s">
        <v>23</v>
      </c>
      <c r="F3587" t="s">
        <v>18</v>
      </c>
      <c r="H3587">
        <v>2194</v>
      </c>
      <c r="I3587" s="1">
        <v>610979</v>
      </c>
      <c r="J3587" s="1">
        <f>Raw_Data!$I3587/Raw_Data!$H3587</f>
        <v>278.47721057429351</v>
      </c>
    </row>
    <row r="3588" spans="1:10" x14ac:dyDescent="0.3">
      <c r="A3588" s="9">
        <v>39843</v>
      </c>
      <c r="B3588" s="2" t="str">
        <f>TEXT(Raw_Data!$A3588, "MMM")</f>
        <v>Jan</v>
      </c>
      <c r="C3588" s="2">
        <f>YEAR(Raw_Data!$A3588)</f>
        <v>2009</v>
      </c>
      <c r="D3588" s="2" t="s">
        <v>2470</v>
      </c>
      <c r="E3588" s="2" t="s">
        <v>15</v>
      </c>
      <c r="F3588" s="2" t="s">
        <v>16</v>
      </c>
      <c r="G3588" s="2">
        <v>3</v>
      </c>
      <c r="H3588" s="2">
        <v>2309</v>
      </c>
      <c r="I3588" s="10">
        <v>318418</v>
      </c>
      <c r="J3588" s="10">
        <f>Raw_Data!$I3588/Raw_Data!$H3588</f>
        <v>137.90298830662624</v>
      </c>
    </row>
    <row r="3589" spans="1:10" x14ac:dyDescent="0.3">
      <c r="A3589" s="8">
        <v>44015</v>
      </c>
      <c r="B3589" t="str">
        <f>TEXT(Raw_Data!$A3589, "MMM")</f>
        <v>Jul</v>
      </c>
      <c r="C3589">
        <f>YEAR(Raw_Data!$A3589)</f>
        <v>2020</v>
      </c>
      <c r="D3589" t="s">
        <v>2471</v>
      </c>
      <c r="E3589" t="s">
        <v>21</v>
      </c>
      <c r="F3589" t="s">
        <v>27</v>
      </c>
      <c r="G3589">
        <v>5</v>
      </c>
      <c r="H3589">
        <v>2154</v>
      </c>
      <c r="I3589" s="1">
        <v>714278</v>
      </c>
      <c r="J3589" s="1">
        <f>Raw_Data!$I3589/Raw_Data!$H3589</f>
        <v>331.60538532961931</v>
      </c>
    </row>
    <row r="3590" spans="1:10" x14ac:dyDescent="0.3">
      <c r="A3590" s="9">
        <v>41057</v>
      </c>
      <c r="B3590" s="2" t="str">
        <f>TEXT(Raw_Data!$A3590, "MMM")</f>
        <v>May</v>
      </c>
      <c r="C3590" s="2">
        <f>YEAR(Raw_Data!$A3590)</f>
        <v>2012</v>
      </c>
      <c r="D3590" s="2" t="s">
        <v>2472</v>
      </c>
      <c r="E3590" s="2" t="s">
        <v>21</v>
      </c>
      <c r="F3590" s="2" t="s">
        <v>11</v>
      </c>
      <c r="G3590" s="2">
        <v>2</v>
      </c>
      <c r="H3590" s="2">
        <v>1114</v>
      </c>
      <c r="I3590" s="10">
        <v>122353</v>
      </c>
      <c r="J3590" s="10">
        <f>Raw_Data!$I3590/Raw_Data!$H3590</f>
        <v>109.83213644524237</v>
      </c>
    </row>
    <row r="3591" spans="1:10" x14ac:dyDescent="0.3">
      <c r="A3591" s="8">
        <v>41987</v>
      </c>
      <c r="B3591" t="str">
        <f>TEXT(Raw_Data!$A3591, "MMM")</f>
        <v>Dec</v>
      </c>
      <c r="C3591">
        <f>YEAR(Raw_Data!$A3591)</f>
        <v>2014</v>
      </c>
      <c r="D3591" t="s">
        <v>742</v>
      </c>
      <c r="E3591" t="s">
        <v>23</v>
      </c>
      <c r="F3591" t="s">
        <v>27</v>
      </c>
      <c r="H3591">
        <v>2824</v>
      </c>
      <c r="I3591" s="1">
        <v>595049</v>
      </c>
      <c r="J3591" s="1">
        <f>Raw_Data!$I3591/Raw_Data!$H3591</f>
        <v>210.71140226628896</v>
      </c>
    </row>
    <row r="3592" spans="1:10" x14ac:dyDescent="0.3">
      <c r="A3592" s="9">
        <v>36996</v>
      </c>
      <c r="B3592" s="2" t="str">
        <f>TEXT(Raw_Data!$A3592, "MMM")</f>
        <v>Apr</v>
      </c>
      <c r="C3592" s="2">
        <f>YEAR(Raw_Data!$A3592)</f>
        <v>2001</v>
      </c>
      <c r="D3592" s="2" t="s">
        <v>2473</v>
      </c>
      <c r="E3592" s="2" t="s">
        <v>15</v>
      </c>
      <c r="F3592" s="2" t="s">
        <v>27</v>
      </c>
      <c r="G3592" s="2"/>
      <c r="H3592" s="2">
        <v>2313</v>
      </c>
      <c r="I3592" s="10">
        <v>453071</v>
      </c>
      <c r="J3592" s="10">
        <f>Raw_Data!$I3592/Raw_Data!$H3592</f>
        <v>195.88024210981411</v>
      </c>
    </row>
    <row r="3593" spans="1:10" x14ac:dyDescent="0.3">
      <c r="A3593" s="8">
        <v>43310</v>
      </c>
      <c r="B3593" t="str">
        <f>TEXT(Raw_Data!$A3593, "MMM")</f>
        <v>Jul</v>
      </c>
      <c r="C3593">
        <f>YEAR(Raw_Data!$A3593)</f>
        <v>2018</v>
      </c>
      <c r="D3593" t="s">
        <v>429</v>
      </c>
      <c r="E3593" t="s">
        <v>23</v>
      </c>
      <c r="F3593" t="s">
        <v>16</v>
      </c>
      <c r="H3593">
        <v>2173</v>
      </c>
      <c r="I3593" s="1">
        <v>791314</v>
      </c>
      <c r="J3593" s="1">
        <f>Raw_Data!$I3593/Raw_Data!$H3593</f>
        <v>364.15738610216289</v>
      </c>
    </row>
    <row r="3594" spans="1:10" x14ac:dyDescent="0.3">
      <c r="A3594" s="9">
        <v>42882</v>
      </c>
      <c r="B3594" s="2" t="str">
        <f>TEXT(Raw_Data!$A3594, "MMM")</f>
        <v>May</v>
      </c>
      <c r="C3594" s="2">
        <f>YEAR(Raw_Data!$A3594)</f>
        <v>2017</v>
      </c>
      <c r="D3594" s="2" t="s">
        <v>2474</v>
      </c>
      <c r="E3594" s="2" t="s">
        <v>32</v>
      </c>
      <c r="F3594" s="2" t="s">
        <v>11</v>
      </c>
      <c r="G3594" s="2"/>
      <c r="H3594" s="2">
        <v>2189</v>
      </c>
      <c r="I3594" s="10">
        <v>492249</v>
      </c>
      <c r="J3594" s="10">
        <f>Raw_Data!$I3594/Raw_Data!$H3594</f>
        <v>224.87391502969393</v>
      </c>
    </row>
    <row r="3595" spans="1:10" x14ac:dyDescent="0.3">
      <c r="A3595" s="8">
        <v>40376</v>
      </c>
      <c r="B3595" t="str">
        <f>TEXT(Raw_Data!$A3595, "MMM")</f>
        <v>Jul</v>
      </c>
      <c r="C3595">
        <f>YEAR(Raw_Data!$A3595)</f>
        <v>2010</v>
      </c>
      <c r="D3595" t="s">
        <v>2475</v>
      </c>
      <c r="E3595" t="s">
        <v>32</v>
      </c>
      <c r="F3595" t="s">
        <v>27</v>
      </c>
      <c r="G3595">
        <v>5</v>
      </c>
      <c r="H3595">
        <v>2907</v>
      </c>
      <c r="I3595" s="1"/>
      <c r="J3595" s="1">
        <f>Raw_Data!$I3595/Raw_Data!$H3595</f>
        <v>0</v>
      </c>
    </row>
    <row r="3596" spans="1:10" x14ac:dyDescent="0.3">
      <c r="A3596" s="9">
        <v>41736</v>
      </c>
      <c r="B3596" s="2" t="str">
        <f>TEXT(Raw_Data!$A3596, "MMM")</f>
        <v>Apr</v>
      </c>
      <c r="C3596" s="2">
        <f>YEAR(Raw_Data!$A3596)</f>
        <v>2014</v>
      </c>
      <c r="D3596" s="2" t="s">
        <v>154</v>
      </c>
      <c r="E3596" s="2" t="s">
        <v>25</v>
      </c>
      <c r="F3596" s="2" t="s">
        <v>16</v>
      </c>
      <c r="G3596" s="2">
        <v>3</v>
      </c>
      <c r="H3596" s="2">
        <v>3137</v>
      </c>
      <c r="I3596" s="10">
        <v>117412</v>
      </c>
      <c r="J3596" s="10">
        <f>Raw_Data!$I3596/Raw_Data!$H3596</f>
        <v>37.428116034427795</v>
      </c>
    </row>
    <row r="3597" spans="1:10" x14ac:dyDescent="0.3">
      <c r="A3597" s="8">
        <v>39103</v>
      </c>
      <c r="B3597" t="str">
        <f>TEXT(Raw_Data!$A3597, "MMM")</f>
        <v>Jan</v>
      </c>
      <c r="C3597">
        <f>YEAR(Raw_Data!$A3597)</f>
        <v>2007</v>
      </c>
      <c r="D3597" t="s">
        <v>1302</v>
      </c>
      <c r="E3597" t="s">
        <v>15</v>
      </c>
      <c r="F3597" t="s">
        <v>27</v>
      </c>
      <c r="G3597">
        <v>2</v>
      </c>
      <c r="H3597">
        <v>3328</v>
      </c>
      <c r="I3597" s="1">
        <v>839377</v>
      </c>
      <c r="J3597" s="1">
        <f>Raw_Data!$I3597/Raw_Data!$H3597</f>
        <v>252.21664663461539</v>
      </c>
    </row>
    <row r="3598" spans="1:10" x14ac:dyDescent="0.3">
      <c r="A3598" s="9">
        <v>40362</v>
      </c>
      <c r="B3598" s="2" t="str">
        <f>TEXT(Raw_Data!$A3598, "MMM")</f>
        <v>Jul</v>
      </c>
      <c r="C3598" s="2">
        <f>YEAR(Raw_Data!$A3598)</f>
        <v>2010</v>
      </c>
      <c r="D3598" s="2" t="s">
        <v>386</v>
      </c>
      <c r="E3598" s="2" t="s">
        <v>21</v>
      </c>
      <c r="F3598" s="2" t="s">
        <v>27</v>
      </c>
      <c r="G3598" s="2">
        <v>4</v>
      </c>
      <c r="H3598" s="2">
        <v>2898</v>
      </c>
      <c r="I3598" s="10">
        <v>327641</v>
      </c>
      <c r="J3598" s="10">
        <f>Raw_Data!$I3598/Raw_Data!$H3598</f>
        <v>113.05762594893029</v>
      </c>
    </row>
    <row r="3599" spans="1:10" x14ac:dyDescent="0.3">
      <c r="A3599" s="8">
        <v>40227</v>
      </c>
      <c r="B3599" t="str">
        <f>TEXT(Raw_Data!$A3599, "MMM")</f>
        <v>Feb</v>
      </c>
      <c r="C3599">
        <f>YEAR(Raw_Data!$A3599)</f>
        <v>2010</v>
      </c>
      <c r="D3599" t="s">
        <v>2476</v>
      </c>
      <c r="E3599" t="s">
        <v>25</v>
      </c>
      <c r="F3599" t="s">
        <v>27</v>
      </c>
      <c r="H3599">
        <v>3004</v>
      </c>
      <c r="I3599" s="1">
        <v>543149</v>
      </c>
      <c r="J3599" s="1">
        <f>Raw_Data!$I3599/Raw_Data!$H3599</f>
        <v>180.80858854860188</v>
      </c>
    </row>
    <row r="3600" spans="1:10" x14ac:dyDescent="0.3">
      <c r="A3600" s="9">
        <v>38666</v>
      </c>
      <c r="B3600" s="2" t="str">
        <f>TEXT(Raw_Data!$A3600, "MMM")</f>
        <v>Nov</v>
      </c>
      <c r="C3600" s="2">
        <f>YEAR(Raw_Data!$A3600)</f>
        <v>2005</v>
      </c>
      <c r="D3600" s="2" t="s">
        <v>2477</v>
      </c>
      <c r="E3600" s="2" t="s">
        <v>15</v>
      </c>
      <c r="F3600" s="2" t="s">
        <v>18</v>
      </c>
      <c r="G3600" s="2"/>
      <c r="H3600" s="2">
        <v>1837</v>
      </c>
      <c r="I3600" s="10">
        <v>543901</v>
      </c>
      <c r="J3600" s="10">
        <f>Raw_Data!$I3600/Raw_Data!$H3600</f>
        <v>296.08111050626019</v>
      </c>
    </row>
    <row r="3601" spans="1:10" x14ac:dyDescent="0.3">
      <c r="A3601" s="8">
        <v>40426</v>
      </c>
      <c r="B3601" t="str">
        <f>TEXT(Raw_Data!$A3601, "MMM")</f>
        <v>Sep</v>
      </c>
      <c r="C3601">
        <f>YEAR(Raw_Data!$A3601)</f>
        <v>2010</v>
      </c>
      <c r="D3601" t="s">
        <v>2478</v>
      </c>
      <c r="E3601" t="s">
        <v>32</v>
      </c>
      <c r="F3601" t="s">
        <v>16</v>
      </c>
      <c r="G3601">
        <v>3</v>
      </c>
      <c r="H3601">
        <v>1752</v>
      </c>
      <c r="I3601" s="1">
        <v>443546</v>
      </c>
      <c r="J3601" s="1">
        <f>Raw_Data!$I3601/Raw_Data!$H3601</f>
        <v>253.16552511415526</v>
      </c>
    </row>
    <row r="3602" spans="1:10" x14ac:dyDescent="0.3">
      <c r="A3602" s="9">
        <v>37884</v>
      </c>
      <c r="B3602" s="2" t="str">
        <f>TEXT(Raw_Data!$A3602, "MMM")</f>
        <v>Sep</v>
      </c>
      <c r="C3602" s="2">
        <f>YEAR(Raw_Data!$A3602)</f>
        <v>2003</v>
      </c>
      <c r="D3602" s="2" t="s">
        <v>1549</v>
      </c>
      <c r="E3602" s="2" t="s">
        <v>29</v>
      </c>
      <c r="F3602" s="2" t="s">
        <v>11</v>
      </c>
      <c r="G3602" s="2">
        <v>4</v>
      </c>
      <c r="H3602" s="2">
        <v>2522</v>
      </c>
      <c r="I3602" s="10">
        <v>750824</v>
      </c>
      <c r="J3602" s="10">
        <f>Raw_Data!$I3602/Raw_Data!$H3602</f>
        <v>297.70975416336239</v>
      </c>
    </row>
    <row r="3603" spans="1:10" x14ac:dyDescent="0.3">
      <c r="A3603" s="8">
        <v>40974</v>
      </c>
      <c r="B3603" t="str">
        <f>TEXT(Raw_Data!$A3603, "MMM")</f>
        <v>Mar</v>
      </c>
      <c r="C3603">
        <f>YEAR(Raw_Data!$A3603)</f>
        <v>2012</v>
      </c>
      <c r="D3603" t="s">
        <v>367</v>
      </c>
      <c r="E3603" t="s">
        <v>23</v>
      </c>
      <c r="F3603" t="s">
        <v>27</v>
      </c>
      <c r="G3603">
        <v>4</v>
      </c>
      <c r="H3603">
        <v>961</v>
      </c>
      <c r="I3603" s="1">
        <v>471022</v>
      </c>
      <c r="J3603" s="1">
        <f>Raw_Data!$I3603/Raw_Data!$H3603</f>
        <v>490.13735691987512</v>
      </c>
    </row>
    <row r="3604" spans="1:10" x14ac:dyDescent="0.3">
      <c r="A3604" s="9">
        <v>37355</v>
      </c>
      <c r="B3604" s="2" t="str">
        <f>TEXT(Raw_Data!$A3604, "MMM")</f>
        <v>Apr</v>
      </c>
      <c r="C3604" s="2">
        <f>YEAR(Raw_Data!$A3604)</f>
        <v>2002</v>
      </c>
      <c r="D3604" s="2" t="s">
        <v>2479</v>
      </c>
      <c r="E3604" s="2" t="s">
        <v>25</v>
      </c>
      <c r="F3604" s="2" t="s">
        <v>16</v>
      </c>
      <c r="G3604" s="2"/>
      <c r="H3604" s="2">
        <v>1187</v>
      </c>
      <c r="I3604" s="10">
        <v>501944</v>
      </c>
      <c r="J3604" s="10">
        <f>Raw_Data!$I3604/Raw_Data!$H3604</f>
        <v>422.8677337826453</v>
      </c>
    </row>
    <row r="3605" spans="1:10" x14ac:dyDescent="0.3">
      <c r="A3605" s="8">
        <v>43207</v>
      </c>
      <c r="B3605" t="str">
        <f>TEXT(Raw_Data!$A3605, "MMM")</f>
        <v>Apr</v>
      </c>
      <c r="C3605">
        <f>YEAR(Raw_Data!$A3605)</f>
        <v>2018</v>
      </c>
      <c r="D3605" t="s">
        <v>1545</v>
      </c>
      <c r="E3605" t="s">
        <v>15</v>
      </c>
      <c r="F3605" t="s">
        <v>16</v>
      </c>
      <c r="H3605">
        <v>1049</v>
      </c>
      <c r="I3605" s="1">
        <v>552077</v>
      </c>
      <c r="J3605" s="1">
        <f>Raw_Data!$I3605/Raw_Data!$H3605</f>
        <v>526.28884652049567</v>
      </c>
    </row>
    <row r="3606" spans="1:10" x14ac:dyDescent="0.3">
      <c r="A3606" s="9">
        <v>36893</v>
      </c>
      <c r="B3606" s="2" t="str">
        <f>TEXT(Raw_Data!$A3606, "MMM")</f>
        <v>Jan</v>
      </c>
      <c r="C3606" s="2">
        <f>YEAR(Raw_Data!$A3606)</f>
        <v>2001</v>
      </c>
      <c r="D3606" s="2" t="s">
        <v>693</v>
      </c>
      <c r="E3606" s="2" t="s">
        <v>32</v>
      </c>
      <c r="F3606" s="2" t="s">
        <v>16</v>
      </c>
      <c r="G3606" s="2"/>
      <c r="H3606" s="2">
        <v>1470</v>
      </c>
      <c r="I3606" s="10">
        <v>518517</v>
      </c>
      <c r="J3606" s="10">
        <f>Raw_Data!$I3606/Raw_Data!$H3606</f>
        <v>352.73265306122448</v>
      </c>
    </row>
    <row r="3607" spans="1:10" x14ac:dyDescent="0.3">
      <c r="A3607" s="8">
        <v>37800</v>
      </c>
      <c r="B3607" t="str">
        <f>TEXT(Raw_Data!$A3607, "MMM")</f>
        <v>Jun</v>
      </c>
      <c r="C3607">
        <f>YEAR(Raw_Data!$A3607)</f>
        <v>2003</v>
      </c>
      <c r="D3607" t="s">
        <v>2480</v>
      </c>
      <c r="E3607" t="s">
        <v>25</v>
      </c>
      <c r="F3607" t="s">
        <v>11</v>
      </c>
      <c r="H3607">
        <v>2274</v>
      </c>
      <c r="I3607" s="1">
        <v>828460</v>
      </c>
      <c r="J3607" s="1">
        <f>Raw_Data!$I3607/Raw_Data!$H3607</f>
        <v>364.31838170624451</v>
      </c>
    </row>
    <row r="3608" spans="1:10" x14ac:dyDescent="0.3">
      <c r="A3608" s="9">
        <v>42553</v>
      </c>
      <c r="B3608" s="2" t="str">
        <f>TEXT(Raw_Data!$A3608, "MMM")</f>
        <v>Jul</v>
      </c>
      <c r="C3608" s="2">
        <f>YEAR(Raw_Data!$A3608)</f>
        <v>2016</v>
      </c>
      <c r="D3608" s="2" t="s">
        <v>2481</v>
      </c>
      <c r="E3608" s="2" t="s">
        <v>25</v>
      </c>
      <c r="F3608" s="2" t="s">
        <v>27</v>
      </c>
      <c r="G3608" s="2">
        <v>2</v>
      </c>
      <c r="H3608" s="2">
        <v>965</v>
      </c>
      <c r="I3608" s="10">
        <v>569289</v>
      </c>
      <c r="J3608" s="10">
        <f>Raw_Data!$I3608/Raw_Data!$H3608</f>
        <v>589.93678756476686</v>
      </c>
    </row>
    <row r="3609" spans="1:10" x14ac:dyDescent="0.3">
      <c r="A3609" s="8">
        <v>39579</v>
      </c>
      <c r="B3609" t="str">
        <f>TEXT(Raw_Data!$A3609, "MMM")</f>
        <v>May</v>
      </c>
      <c r="C3609">
        <f>YEAR(Raw_Data!$A3609)</f>
        <v>2008</v>
      </c>
      <c r="D3609" t="s">
        <v>2482</v>
      </c>
      <c r="E3609" t="s">
        <v>25</v>
      </c>
      <c r="F3609" t="s">
        <v>16</v>
      </c>
      <c r="G3609">
        <v>2</v>
      </c>
      <c r="H3609">
        <v>2740</v>
      </c>
      <c r="I3609" s="1">
        <v>748783</v>
      </c>
      <c r="J3609" s="1">
        <f>Raw_Data!$I3609/Raw_Data!$H3609</f>
        <v>273.27846715328468</v>
      </c>
    </row>
    <row r="3610" spans="1:10" x14ac:dyDescent="0.3">
      <c r="A3610" s="9">
        <v>37597</v>
      </c>
      <c r="B3610" s="2" t="str">
        <f>TEXT(Raw_Data!$A3610, "MMM")</f>
        <v>Dec</v>
      </c>
      <c r="C3610" s="2">
        <f>YEAR(Raw_Data!$A3610)</f>
        <v>2002</v>
      </c>
      <c r="D3610" s="2" t="s">
        <v>1711</v>
      </c>
      <c r="E3610" s="2" t="s">
        <v>13</v>
      </c>
      <c r="F3610" s="2" t="s">
        <v>16</v>
      </c>
      <c r="G3610" s="2">
        <v>2</v>
      </c>
      <c r="H3610" s="2">
        <v>3186</v>
      </c>
      <c r="I3610" s="10">
        <v>872029</v>
      </c>
      <c r="J3610" s="10">
        <f>Raw_Data!$I3610/Raw_Data!$H3610</f>
        <v>273.70652856246079</v>
      </c>
    </row>
    <row r="3611" spans="1:10" x14ac:dyDescent="0.3">
      <c r="A3611" s="8">
        <v>42275</v>
      </c>
      <c r="B3611" t="str">
        <f>TEXT(Raw_Data!$A3611, "MMM")</f>
        <v>Sep</v>
      </c>
      <c r="C3611">
        <f>YEAR(Raw_Data!$A3611)</f>
        <v>2015</v>
      </c>
      <c r="D3611" t="s">
        <v>1897</v>
      </c>
      <c r="E3611" t="s">
        <v>32</v>
      </c>
      <c r="F3611" t="s">
        <v>11</v>
      </c>
      <c r="H3611">
        <v>3312</v>
      </c>
      <c r="I3611" s="1">
        <v>322966</v>
      </c>
      <c r="J3611" s="1">
        <f>Raw_Data!$I3611/Raw_Data!$H3611</f>
        <v>97.513888888888886</v>
      </c>
    </row>
    <row r="3612" spans="1:10" x14ac:dyDescent="0.3">
      <c r="A3612" s="9">
        <v>42722</v>
      </c>
      <c r="B3612" s="2" t="str">
        <f>TEXT(Raw_Data!$A3612, "MMM")</f>
        <v>Dec</v>
      </c>
      <c r="C3612" s="2">
        <f>YEAR(Raw_Data!$A3612)</f>
        <v>2016</v>
      </c>
      <c r="D3612" s="2" t="s">
        <v>2483</v>
      </c>
      <c r="E3612" s="2" t="s">
        <v>25</v>
      </c>
      <c r="F3612" s="2" t="s">
        <v>27</v>
      </c>
      <c r="G3612" s="2">
        <v>2</v>
      </c>
      <c r="H3612" s="2">
        <v>2842</v>
      </c>
      <c r="I3612" s="10">
        <v>476339</v>
      </c>
      <c r="J3612" s="10">
        <f>Raw_Data!$I3612/Raw_Data!$H3612</f>
        <v>167.60696692470091</v>
      </c>
    </row>
    <row r="3613" spans="1:10" x14ac:dyDescent="0.3">
      <c r="A3613" s="8">
        <v>43190</v>
      </c>
      <c r="B3613" t="str">
        <f>TEXT(Raw_Data!$A3613, "MMM")</f>
        <v>Mar</v>
      </c>
      <c r="C3613">
        <f>YEAR(Raw_Data!$A3613)</f>
        <v>2018</v>
      </c>
      <c r="D3613" t="s">
        <v>2484</v>
      </c>
      <c r="E3613" t="s">
        <v>25</v>
      </c>
      <c r="F3613" t="s">
        <v>16</v>
      </c>
      <c r="H3613">
        <v>3281</v>
      </c>
      <c r="I3613" s="1">
        <v>530008</v>
      </c>
      <c r="J3613" s="1">
        <f>Raw_Data!$I3613/Raw_Data!$H3613</f>
        <v>161.53855531850047</v>
      </c>
    </row>
    <row r="3614" spans="1:10" x14ac:dyDescent="0.3">
      <c r="A3614" s="9">
        <v>39937</v>
      </c>
      <c r="B3614" s="2" t="str">
        <f>TEXT(Raw_Data!$A3614, "MMM")</f>
        <v>May</v>
      </c>
      <c r="C3614" s="2">
        <f>YEAR(Raw_Data!$A3614)</f>
        <v>2009</v>
      </c>
      <c r="D3614" s="2" t="s">
        <v>1164</v>
      </c>
      <c r="E3614" s="2" t="s">
        <v>25</v>
      </c>
      <c r="F3614" s="2" t="s">
        <v>27</v>
      </c>
      <c r="G3614" s="2">
        <v>3</v>
      </c>
      <c r="H3614" s="2">
        <v>2659</v>
      </c>
      <c r="I3614" s="10">
        <v>542755</v>
      </c>
      <c r="J3614" s="10">
        <f>Raw_Data!$I3614/Raw_Data!$H3614</f>
        <v>204.11996991350131</v>
      </c>
    </row>
    <row r="3615" spans="1:10" x14ac:dyDescent="0.3">
      <c r="A3615" s="8">
        <v>39029</v>
      </c>
      <c r="B3615" t="str">
        <f>TEXT(Raw_Data!$A3615, "MMM")</f>
        <v>Nov</v>
      </c>
      <c r="C3615">
        <f>YEAR(Raw_Data!$A3615)</f>
        <v>2006</v>
      </c>
      <c r="D3615" t="s">
        <v>1613</v>
      </c>
      <c r="E3615" t="s">
        <v>15</v>
      </c>
      <c r="F3615" t="s">
        <v>16</v>
      </c>
      <c r="G3615">
        <v>3</v>
      </c>
      <c r="H3615">
        <v>1723</v>
      </c>
      <c r="I3615" s="1">
        <v>596704</v>
      </c>
      <c r="J3615" s="1">
        <f>Raw_Data!$I3615/Raw_Data!$H3615</f>
        <v>346.3168891468369</v>
      </c>
    </row>
    <row r="3616" spans="1:10" x14ac:dyDescent="0.3">
      <c r="A3616" s="9">
        <v>38324</v>
      </c>
      <c r="B3616" s="2" t="str">
        <f>TEXT(Raw_Data!$A3616, "MMM")</f>
        <v>Dec</v>
      </c>
      <c r="C3616" s="2">
        <f>YEAR(Raw_Data!$A3616)</f>
        <v>2004</v>
      </c>
      <c r="D3616" s="2" t="s">
        <v>927</v>
      </c>
      <c r="E3616" s="2" t="s">
        <v>15</v>
      </c>
      <c r="F3616" s="2" t="s">
        <v>27</v>
      </c>
      <c r="G3616" s="2"/>
      <c r="H3616" s="2">
        <v>2567</v>
      </c>
      <c r="I3616" s="10">
        <v>416634</v>
      </c>
      <c r="J3616" s="10">
        <f>Raw_Data!$I3616/Raw_Data!$H3616</f>
        <v>162.30385664199454</v>
      </c>
    </row>
    <row r="3617" spans="1:10" x14ac:dyDescent="0.3">
      <c r="A3617" s="8">
        <v>41761</v>
      </c>
      <c r="B3617" t="str">
        <f>TEXT(Raw_Data!$A3617, "MMM")</f>
        <v>May</v>
      </c>
      <c r="C3617">
        <f>YEAR(Raw_Data!$A3617)</f>
        <v>2014</v>
      </c>
      <c r="D3617" t="s">
        <v>649</v>
      </c>
      <c r="E3617" t="s">
        <v>25</v>
      </c>
      <c r="F3617" t="s">
        <v>27</v>
      </c>
      <c r="G3617">
        <v>3</v>
      </c>
      <c r="H3617">
        <v>802</v>
      </c>
      <c r="I3617" s="1">
        <v>825400</v>
      </c>
      <c r="J3617" s="1">
        <f>Raw_Data!$I3617/Raw_Data!$H3617</f>
        <v>1029.1770573566084</v>
      </c>
    </row>
    <row r="3618" spans="1:10" x14ac:dyDescent="0.3">
      <c r="A3618" s="9">
        <v>37068</v>
      </c>
      <c r="B3618" s="2" t="str">
        <f>TEXT(Raw_Data!$A3618, "MMM")</f>
        <v>Jun</v>
      </c>
      <c r="C3618" s="2">
        <f>YEAR(Raw_Data!$A3618)</f>
        <v>2001</v>
      </c>
      <c r="D3618" s="2" t="s">
        <v>2485</v>
      </c>
      <c r="E3618" s="2" t="s">
        <v>32</v>
      </c>
      <c r="F3618" s="2" t="s">
        <v>11</v>
      </c>
      <c r="G3618" s="2"/>
      <c r="H3618" s="2">
        <v>3112</v>
      </c>
      <c r="I3618" s="10">
        <v>693745</v>
      </c>
      <c r="J3618" s="10">
        <f>Raw_Data!$I3618/Raw_Data!$H3618</f>
        <v>222.92577120822622</v>
      </c>
    </row>
    <row r="3619" spans="1:10" x14ac:dyDescent="0.3">
      <c r="A3619" s="8">
        <v>42270</v>
      </c>
      <c r="B3619" t="str">
        <f>TEXT(Raw_Data!$A3619, "MMM")</f>
        <v>Sep</v>
      </c>
      <c r="C3619">
        <f>YEAR(Raw_Data!$A3619)</f>
        <v>2015</v>
      </c>
      <c r="D3619" t="s">
        <v>2486</v>
      </c>
      <c r="E3619" t="s">
        <v>15</v>
      </c>
      <c r="F3619" t="s">
        <v>27</v>
      </c>
      <c r="H3619">
        <v>2918</v>
      </c>
      <c r="I3619" s="1">
        <v>465379</v>
      </c>
      <c r="J3619" s="1">
        <f>Raw_Data!$I3619/Raw_Data!$H3619</f>
        <v>159.48560657984922</v>
      </c>
    </row>
    <row r="3620" spans="1:10" x14ac:dyDescent="0.3">
      <c r="A3620" s="9">
        <v>38232</v>
      </c>
      <c r="B3620" s="2" t="str">
        <f>TEXT(Raw_Data!$A3620, "MMM")</f>
        <v>Sep</v>
      </c>
      <c r="C3620" s="2">
        <f>YEAR(Raw_Data!$A3620)</f>
        <v>2004</v>
      </c>
      <c r="D3620" s="2" t="s">
        <v>1114</v>
      </c>
      <c r="E3620" s="2" t="s">
        <v>13</v>
      </c>
      <c r="F3620" s="2" t="s">
        <v>11</v>
      </c>
      <c r="G3620" s="2">
        <v>4</v>
      </c>
      <c r="H3620" s="2">
        <v>815</v>
      </c>
      <c r="I3620" s="10">
        <v>483986</v>
      </c>
      <c r="J3620" s="10">
        <f>Raw_Data!$I3620/Raw_Data!$H3620</f>
        <v>593.84785276073615</v>
      </c>
    </row>
    <row r="3621" spans="1:10" x14ac:dyDescent="0.3">
      <c r="A3621" s="8">
        <v>37980</v>
      </c>
      <c r="B3621" t="str">
        <f>TEXT(Raw_Data!$A3621, "MMM")</f>
        <v>Dec</v>
      </c>
      <c r="C3621">
        <f>YEAR(Raw_Data!$A3621)</f>
        <v>2003</v>
      </c>
      <c r="D3621" t="s">
        <v>708</v>
      </c>
      <c r="E3621" t="s">
        <v>25</v>
      </c>
      <c r="F3621" t="s">
        <v>11</v>
      </c>
      <c r="H3621">
        <v>1468</v>
      </c>
      <c r="I3621" s="1">
        <v>318664</v>
      </c>
      <c r="J3621" s="1">
        <f>Raw_Data!$I3621/Raw_Data!$H3621</f>
        <v>217.07356948228883</v>
      </c>
    </row>
    <row r="3622" spans="1:10" x14ac:dyDescent="0.3">
      <c r="A3622" s="9">
        <v>38366</v>
      </c>
      <c r="B3622" s="2" t="str">
        <f>TEXT(Raw_Data!$A3622, "MMM")</f>
        <v>Jan</v>
      </c>
      <c r="C3622" s="2">
        <f>YEAR(Raw_Data!$A3622)</f>
        <v>2005</v>
      </c>
      <c r="D3622" s="2" t="s">
        <v>427</v>
      </c>
      <c r="E3622" s="2" t="s">
        <v>32</v>
      </c>
      <c r="F3622" s="2" t="s">
        <v>11</v>
      </c>
      <c r="G3622" s="2">
        <v>2</v>
      </c>
      <c r="H3622" s="2">
        <v>1462</v>
      </c>
      <c r="I3622" s="10">
        <v>161692</v>
      </c>
      <c r="J3622" s="10">
        <f>Raw_Data!$I3622/Raw_Data!$H3622</f>
        <v>110.59644322845418</v>
      </c>
    </row>
    <row r="3623" spans="1:10" x14ac:dyDescent="0.3">
      <c r="A3623" s="8">
        <v>42595</v>
      </c>
      <c r="B3623" t="str">
        <f>TEXT(Raw_Data!$A3623, "MMM")</f>
        <v>Aug</v>
      </c>
      <c r="C3623">
        <f>YEAR(Raw_Data!$A3623)</f>
        <v>2016</v>
      </c>
      <c r="D3623" t="s">
        <v>2487</v>
      </c>
      <c r="E3623" t="s">
        <v>25</v>
      </c>
      <c r="F3623" t="s">
        <v>18</v>
      </c>
      <c r="G3623">
        <v>5</v>
      </c>
      <c r="H3623">
        <v>1433</v>
      </c>
      <c r="I3623" s="1">
        <v>394944</v>
      </c>
      <c r="J3623" s="1">
        <f>Raw_Data!$I3623/Raw_Data!$H3623</f>
        <v>275.60642009769714</v>
      </c>
    </row>
    <row r="3624" spans="1:10" x14ac:dyDescent="0.3">
      <c r="A3624" s="9">
        <v>41758</v>
      </c>
      <c r="B3624" s="2" t="str">
        <f>TEXT(Raw_Data!$A3624, "MMM")</f>
        <v>Apr</v>
      </c>
      <c r="C3624" s="2">
        <f>YEAR(Raw_Data!$A3624)</f>
        <v>2014</v>
      </c>
      <c r="D3624" s="2" t="s">
        <v>2488</v>
      </c>
      <c r="E3624" s="2" t="s">
        <v>15</v>
      </c>
      <c r="F3624" s="2" t="s">
        <v>18</v>
      </c>
      <c r="G3624" s="2">
        <v>3</v>
      </c>
      <c r="H3624" s="2">
        <v>1536</v>
      </c>
      <c r="I3624" s="10">
        <v>369810</v>
      </c>
      <c r="J3624" s="10">
        <f>Raw_Data!$I3624/Raw_Data!$H3624</f>
        <v>240.76171875</v>
      </c>
    </row>
    <row r="3625" spans="1:10" x14ac:dyDescent="0.3">
      <c r="A3625" s="8">
        <v>39578</v>
      </c>
      <c r="B3625" t="str">
        <f>TEXT(Raw_Data!$A3625, "MMM")</f>
        <v>May</v>
      </c>
      <c r="C3625">
        <f>YEAR(Raw_Data!$A3625)</f>
        <v>2008</v>
      </c>
      <c r="D3625" t="s">
        <v>1341</v>
      </c>
      <c r="E3625" t="s">
        <v>32</v>
      </c>
      <c r="F3625" t="s">
        <v>18</v>
      </c>
      <c r="G3625">
        <v>3</v>
      </c>
      <c r="H3625">
        <v>2784</v>
      </c>
      <c r="I3625" s="1">
        <v>842538</v>
      </c>
      <c r="J3625" s="1">
        <f>Raw_Data!$I3625/Raw_Data!$H3625</f>
        <v>302.63577586206895</v>
      </c>
    </row>
    <row r="3626" spans="1:10" x14ac:dyDescent="0.3">
      <c r="A3626" s="9">
        <v>43900</v>
      </c>
      <c r="B3626" s="2" t="str">
        <f>TEXT(Raw_Data!$A3626, "MMM")</f>
        <v>Mar</v>
      </c>
      <c r="C3626" s="2">
        <f>YEAR(Raw_Data!$A3626)</f>
        <v>2020</v>
      </c>
      <c r="D3626" s="2" t="s">
        <v>1907</v>
      </c>
      <c r="E3626" s="2" t="s">
        <v>32</v>
      </c>
      <c r="F3626" s="2" t="s">
        <v>11</v>
      </c>
      <c r="G3626" s="2">
        <v>3</v>
      </c>
      <c r="H3626" s="2">
        <v>2256</v>
      </c>
      <c r="I3626" s="10">
        <v>871367</v>
      </c>
      <c r="J3626" s="10">
        <f>Raw_Data!$I3626/Raw_Data!$H3626</f>
        <v>386.24423758865248</v>
      </c>
    </row>
    <row r="3627" spans="1:10" x14ac:dyDescent="0.3">
      <c r="A3627" s="8">
        <v>37805</v>
      </c>
      <c r="B3627" t="str">
        <f>TEXT(Raw_Data!$A3627, "MMM")</f>
        <v>Jul</v>
      </c>
      <c r="C3627">
        <f>YEAR(Raw_Data!$A3627)</f>
        <v>2003</v>
      </c>
      <c r="D3627" t="s">
        <v>2489</v>
      </c>
      <c r="E3627" t="s">
        <v>25</v>
      </c>
      <c r="F3627" t="s">
        <v>18</v>
      </c>
      <c r="G3627">
        <v>4</v>
      </c>
      <c r="H3627">
        <v>3326</v>
      </c>
      <c r="I3627" s="1">
        <v>253597</v>
      </c>
      <c r="J3627" s="1">
        <f>Raw_Data!$I3627/Raw_Data!$H3627</f>
        <v>76.246843054720387</v>
      </c>
    </row>
    <row r="3628" spans="1:10" x14ac:dyDescent="0.3">
      <c r="A3628" s="9">
        <v>37721</v>
      </c>
      <c r="B3628" s="2" t="str">
        <f>TEXT(Raw_Data!$A3628, "MMM")</f>
        <v>Apr</v>
      </c>
      <c r="C3628" s="2">
        <f>YEAR(Raw_Data!$A3628)</f>
        <v>2003</v>
      </c>
      <c r="D3628" s="2" t="s">
        <v>1873</v>
      </c>
      <c r="E3628" s="2" t="s">
        <v>25</v>
      </c>
      <c r="F3628" s="2" t="s">
        <v>11</v>
      </c>
      <c r="G3628" s="2">
        <v>2</v>
      </c>
      <c r="H3628" s="2">
        <v>1617</v>
      </c>
      <c r="I3628" s="10">
        <v>440616</v>
      </c>
      <c r="J3628" s="10">
        <f>Raw_Data!$I3628/Raw_Data!$H3628</f>
        <v>272.48979591836735</v>
      </c>
    </row>
    <row r="3629" spans="1:10" x14ac:dyDescent="0.3">
      <c r="A3629" s="8">
        <v>36911</v>
      </c>
      <c r="B3629" t="str">
        <f>TEXT(Raw_Data!$A3629, "MMM")</f>
        <v>Jan</v>
      </c>
      <c r="C3629">
        <f>YEAR(Raw_Data!$A3629)</f>
        <v>2001</v>
      </c>
      <c r="D3629" t="s">
        <v>2490</v>
      </c>
      <c r="E3629" t="s">
        <v>32</v>
      </c>
      <c r="F3629" t="s">
        <v>27</v>
      </c>
      <c r="H3629">
        <v>3461</v>
      </c>
      <c r="I3629" s="1">
        <v>442337</v>
      </c>
      <c r="J3629" s="1">
        <f>Raw_Data!$I3629/Raw_Data!$H3629</f>
        <v>127.80612539728402</v>
      </c>
    </row>
    <row r="3630" spans="1:10" x14ac:dyDescent="0.3">
      <c r="A3630" s="9">
        <v>38862</v>
      </c>
      <c r="B3630" s="2" t="str">
        <f>TEXT(Raw_Data!$A3630, "MMM")</f>
        <v>May</v>
      </c>
      <c r="C3630" s="2">
        <f>YEAR(Raw_Data!$A3630)</f>
        <v>2006</v>
      </c>
      <c r="D3630" s="2" t="s">
        <v>1754</v>
      </c>
      <c r="E3630" s="2" t="s">
        <v>25</v>
      </c>
      <c r="F3630" s="2" t="s">
        <v>16</v>
      </c>
      <c r="G3630" s="2">
        <v>3</v>
      </c>
      <c r="H3630" s="2">
        <v>2075</v>
      </c>
      <c r="I3630" s="10">
        <v>485857</v>
      </c>
      <c r="J3630" s="10">
        <f>Raw_Data!$I3630/Raw_Data!$H3630</f>
        <v>234.14795180722891</v>
      </c>
    </row>
    <row r="3631" spans="1:10" x14ac:dyDescent="0.3">
      <c r="A3631" s="8">
        <v>41983</v>
      </c>
      <c r="B3631" t="str">
        <f>TEXT(Raw_Data!$A3631, "MMM")</f>
        <v>Dec</v>
      </c>
      <c r="C3631">
        <f>YEAR(Raw_Data!$A3631)</f>
        <v>2014</v>
      </c>
      <c r="D3631" t="s">
        <v>1221</v>
      </c>
      <c r="E3631" t="s">
        <v>15</v>
      </c>
      <c r="F3631" t="s">
        <v>11</v>
      </c>
      <c r="G3631">
        <v>5</v>
      </c>
      <c r="H3631">
        <v>953</v>
      </c>
      <c r="I3631" s="1">
        <v>870900</v>
      </c>
      <c r="J3631" s="1">
        <f>Raw_Data!$I3631/Raw_Data!$H3631</f>
        <v>913.85099685204614</v>
      </c>
    </row>
    <row r="3632" spans="1:10" x14ac:dyDescent="0.3">
      <c r="A3632" s="9">
        <v>41160</v>
      </c>
      <c r="B3632" s="2" t="str">
        <f>TEXT(Raw_Data!$A3632, "MMM")</f>
        <v>Sep</v>
      </c>
      <c r="C3632" s="2">
        <f>YEAR(Raw_Data!$A3632)</f>
        <v>2012</v>
      </c>
      <c r="D3632" s="2" t="s">
        <v>533</v>
      </c>
      <c r="E3632" s="2" t="s">
        <v>32</v>
      </c>
      <c r="F3632" s="2" t="s">
        <v>18</v>
      </c>
      <c r="G3632" s="2">
        <v>2</v>
      </c>
      <c r="H3632" s="2">
        <v>2338</v>
      </c>
      <c r="I3632" s="10">
        <v>559747</v>
      </c>
      <c r="J3632" s="10">
        <f>Raw_Data!$I3632/Raw_Data!$H3632</f>
        <v>239.41274593669803</v>
      </c>
    </row>
    <row r="3633" spans="1:10" x14ac:dyDescent="0.3">
      <c r="A3633" s="8">
        <v>43388</v>
      </c>
      <c r="B3633" t="str">
        <f>TEXT(Raw_Data!$A3633, "MMM")</f>
        <v>Oct</v>
      </c>
      <c r="C3633">
        <f>YEAR(Raw_Data!$A3633)</f>
        <v>2018</v>
      </c>
      <c r="D3633" t="s">
        <v>1470</v>
      </c>
      <c r="E3633" t="s">
        <v>29</v>
      </c>
      <c r="F3633" t="s">
        <v>11</v>
      </c>
      <c r="H3633">
        <v>1132</v>
      </c>
      <c r="I3633" s="1">
        <v>687913</v>
      </c>
      <c r="J3633" s="1">
        <f>Raw_Data!$I3633/Raw_Data!$H3633</f>
        <v>607.69699646643107</v>
      </c>
    </row>
    <row r="3634" spans="1:10" x14ac:dyDescent="0.3">
      <c r="A3634" s="9">
        <v>40598</v>
      </c>
      <c r="B3634" s="2" t="str">
        <f>TEXT(Raw_Data!$A3634, "MMM")</f>
        <v>Feb</v>
      </c>
      <c r="C3634" s="2">
        <f>YEAR(Raw_Data!$A3634)</f>
        <v>2011</v>
      </c>
      <c r="D3634" s="2" t="s">
        <v>2491</v>
      </c>
      <c r="E3634" s="2" t="s">
        <v>15</v>
      </c>
      <c r="F3634" s="2" t="s">
        <v>18</v>
      </c>
      <c r="G3634" s="2">
        <v>4</v>
      </c>
      <c r="H3634" s="2">
        <v>1442</v>
      </c>
      <c r="I3634" s="10">
        <v>489274</v>
      </c>
      <c r="J3634" s="10">
        <f>Raw_Data!$I3634/Raw_Data!$H3634</f>
        <v>339.30235783633844</v>
      </c>
    </row>
    <row r="3635" spans="1:10" x14ac:dyDescent="0.3">
      <c r="A3635" s="8">
        <v>40818</v>
      </c>
      <c r="B3635" t="str">
        <f>TEXT(Raw_Data!$A3635, "MMM")</f>
        <v>Oct</v>
      </c>
      <c r="C3635">
        <f>YEAR(Raw_Data!$A3635)</f>
        <v>2011</v>
      </c>
      <c r="D3635" t="s">
        <v>1599</v>
      </c>
      <c r="E3635" t="s">
        <v>13</v>
      </c>
      <c r="F3635" t="s">
        <v>11</v>
      </c>
      <c r="H3635">
        <v>2206</v>
      </c>
      <c r="I3635" s="1">
        <v>734797</v>
      </c>
      <c r="J3635" s="1">
        <f>Raw_Data!$I3635/Raw_Data!$H3635</f>
        <v>333.09020852221215</v>
      </c>
    </row>
    <row r="3636" spans="1:10" x14ac:dyDescent="0.3">
      <c r="A3636" s="9">
        <v>38714</v>
      </c>
      <c r="B3636" s="2" t="str">
        <f>TEXT(Raw_Data!$A3636, "MMM")</f>
        <v>Dec</v>
      </c>
      <c r="C3636" s="2">
        <f>YEAR(Raw_Data!$A3636)</f>
        <v>2005</v>
      </c>
      <c r="D3636" s="2" t="s">
        <v>1872</v>
      </c>
      <c r="E3636" s="2" t="s">
        <v>32</v>
      </c>
      <c r="F3636" s="2" t="s">
        <v>27</v>
      </c>
      <c r="G3636" s="2"/>
      <c r="H3636" s="2">
        <v>2966</v>
      </c>
      <c r="I3636" s="10">
        <v>495963</v>
      </c>
      <c r="J3636" s="10">
        <f>Raw_Data!$I3636/Raw_Data!$H3636</f>
        <v>167.21611598111934</v>
      </c>
    </row>
    <row r="3637" spans="1:10" x14ac:dyDescent="0.3">
      <c r="A3637" s="8">
        <v>39728</v>
      </c>
      <c r="B3637" t="str">
        <f>TEXT(Raw_Data!$A3637, "MMM")</f>
        <v>Oct</v>
      </c>
      <c r="C3637">
        <f>YEAR(Raw_Data!$A3637)</f>
        <v>2008</v>
      </c>
      <c r="D3637" t="s">
        <v>452</v>
      </c>
      <c r="E3637" t="s">
        <v>13</v>
      </c>
      <c r="F3637" t="s">
        <v>27</v>
      </c>
      <c r="G3637">
        <v>3</v>
      </c>
      <c r="H3637">
        <v>1816</v>
      </c>
      <c r="I3637" s="1">
        <v>765805</v>
      </c>
      <c r="J3637" s="1">
        <f>Raw_Data!$I3637/Raw_Data!$H3637</f>
        <v>421.69878854625551</v>
      </c>
    </row>
    <row r="3638" spans="1:10" x14ac:dyDescent="0.3">
      <c r="A3638" s="9">
        <v>42640</v>
      </c>
      <c r="B3638" s="2" t="str">
        <f>TEXT(Raw_Data!$A3638, "MMM")</f>
        <v>Sep</v>
      </c>
      <c r="C3638" s="2">
        <f>YEAR(Raw_Data!$A3638)</f>
        <v>2016</v>
      </c>
      <c r="D3638" s="2" t="s">
        <v>151</v>
      </c>
      <c r="E3638" s="2" t="s">
        <v>13</v>
      </c>
      <c r="F3638" s="2" t="s">
        <v>16</v>
      </c>
      <c r="G3638" s="2">
        <v>2</v>
      </c>
      <c r="H3638" s="2">
        <v>2711</v>
      </c>
      <c r="I3638" s="10">
        <v>344365</v>
      </c>
      <c r="J3638" s="10">
        <f>Raw_Data!$I3638/Raw_Data!$H3638</f>
        <v>127.02508299520473</v>
      </c>
    </row>
    <row r="3639" spans="1:10" x14ac:dyDescent="0.3">
      <c r="A3639" s="8">
        <v>38322</v>
      </c>
      <c r="B3639" t="str">
        <f>TEXT(Raw_Data!$A3639, "MMM")</f>
        <v>Dec</v>
      </c>
      <c r="C3639">
        <f>YEAR(Raw_Data!$A3639)</f>
        <v>2004</v>
      </c>
      <c r="D3639" t="s">
        <v>1602</v>
      </c>
      <c r="E3639" t="s">
        <v>32</v>
      </c>
      <c r="F3639" t="s">
        <v>27</v>
      </c>
      <c r="G3639">
        <v>5</v>
      </c>
      <c r="H3639">
        <v>3436</v>
      </c>
      <c r="I3639" s="1">
        <v>668482</v>
      </c>
      <c r="J3639" s="1">
        <f>Raw_Data!$I3639/Raw_Data!$H3639</f>
        <v>194.5523864959255</v>
      </c>
    </row>
    <row r="3640" spans="1:10" x14ac:dyDescent="0.3">
      <c r="A3640" s="9">
        <v>42012</v>
      </c>
      <c r="B3640" s="2" t="str">
        <f>TEXT(Raw_Data!$A3640, "MMM")</f>
        <v>Jan</v>
      </c>
      <c r="C3640" s="2">
        <f>YEAR(Raw_Data!$A3640)</f>
        <v>2015</v>
      </c>
      <c r="D3640" s="2" t="s">
        <v>2492</v>
      </c>
      <c r="E3640" s="2" t="s">
        <v>13</v>
      </c>
      <c r="F3640" s="2" t="s">
        <v>11</v>
      </c>
      <c r="G3640" s="2">
        <v>2</v>
      </c>
      <c r="H3640" s="2">
        <v>2546</v>
      </c>
      <c r="I3640" s="10">
        <v>112832</v>
      </c>
      <c r="J3640" s="10">
        <f>Raw_Data!$I3640/Raw_Data!$H3640</f>
        <v>44.317360565593084</v>
      </c>
    </row>
    <row r="3641" spans="1:10" x14ac:dyDescent="0.3">
      <c r="A3641" s="8">
        <v>42324</v>
      </c>
      <c r="B3641" t="str">
        <f>TEXT(Raw_Data!$A3641, "MMM")</f>
        <v>Nov</v>
      </c>
      <c r="C3641">
        <f>YEAR(Raw_Data!$A3641)</f>
        <v>2015</v>
      </c>
      <c r="D3641" t="s">
        <v>2493</v>
      </c>
      <c r="E3641" t="s">
        <v>29</v>
      </c>
      <c r="F3641" t="s">
        <v>18</v>
      </c>
      <c r="G3641">
        <v>5</v>
      </c>
      <c r="H3641">
        <v>2653</v>
      </c>
      <c r="I3641" s="1">
        <v>590745</v>
      </c>
      <c r="J3641" s="1">
        <f>Raw_Data!$I3641/Raw_Data!$H3641</f>
        <v>222.67056162834527</v>
      </c>
    </row>
    <row r="3642" spans="1:10" x14ac:dyDescent="0.3">
      <c r="A3642" s="9">
        <v>37002</v>
      </c>
      <c r="B3642" s="2" t="str">
        <f>TEXT(Raw_Data!$A3642, "MMM")</f>
        <v>Apr</v>
      </c>
      <c r="C3642" s="2">
        <f>YEAR(Raw_Data!$A3642)</f>
        <v>2001</v>
      </c>
      <c r="D3642" s="2" t="s">
        <v>2494</v>
      </c>
      <c r="E3642" s="2" t="s">
        <v>29</v>
      </c>
      <c r="F3642" s="2" t="s">
        <v>18</v>
      </c>
      <c r="G3642" s="2"/>
      <c r="H3642" s="2">
        <v>2549</v>
      </c>
      <c r="I3642" s="10">
        <v>650014</v>
      </c>
      <c r="J3642" s="10">
        <f>Raw_Data!$I3642/Raw_Data!$H3642</f>
        <v>255.00745390349155</v>
      </c>
    </row>
    <row r="3643" spans="1:10" x14ac:dyDescent="0.3">
      <c r="A3643" s="8">
        <v>40240</v>
      </c>
      <c r="B3643" t="str">
        <f>TEXT(Raw_Data!$A3643, "MMM")</f>
        <v>Mar</v>
      </c>
      <c r="C3643">
        <f>YEAR(Raw_Data!$A3643)</f>
        <v>2010</v>
      </c>
      <c r="D3643" t="s">
        <v>1005</v>
      </c>
      <c r="E3643" t="s">
        <v>25</v>
      </c>
      <c r="F3643" t="s">
        <v>18</v>
      </c>
      <c r="H3643">
        <v>2475</v>
      </c>
      <c r="I3643" s="1"/>
      <c r="J3643" s="1">
        <f>Raw_Data!$I3643/Raw_Data!$H3643</f>
        <v>0</v>
      </c>
    </row>
    <row r="3644" spans="1:10" x14ac:dyDescent="0.3">
      <c r="A3644" s="9">
        <v>42213</v>
      </c>
      <c r="B3644" s="2" t="str">
        <f>TEXT(Raw_Data!$A3644, "MMM")</f>
        <v>Jul</v>
      </c>
      <c r="C3644" s="2">
        <f>YEAR(Raw_Data!$A3644)</f>
        <v>2015</v>
      </c>
      <c r="D3644" s="2" t="s">
        <v>1410</v>
      </c>
      <c r="E3644" s="2" t="s">
        <v>23</v>
      </c>
      <c r="F3644" s="2" t="s">
        <v>27</v>
      </c>
      <c r="G3644" s="2"/>
      <c r="H3644" s="2">
        <v>2155</v>
      </c>
      <c r="I3644" s="10">
        <v>198156</v>
      </c>
      <c r="J3644" s="10">
        <f>Raw_Data!$I3644/Raw_Data!$H3644</f>
        <v>91.95174013921114</v>
      </c>
    </row>
    <row r="3645" spans="1:10" x14ac:dyDescent="0.3">
      <c r="A3645" s="8">
        <v>43835</v>
      </c>
      <c r="B3645" t="str">
        <f>TEXT(Raw_Data!$A3645, "MMM")</f>
        <v>Jan</v>
      </c>
      <c r="C3645">
        <f>YEAR(Raw_Data!$A3645)</f>
        <v>2020</v>
      </c>
      <c r="D3645" t="s">
        <v>1041</v>
      </c>
      <c r="E3645" t="s">
        <v>15</v>
      </c>
      <c r="F3645" t="s">
        <v>16</v>
      </c>
      <c r="G3645">
        <v>4</v>
      </c>
      <c r="H3645">
        <v>2632</v>
      </c>
      <c r="I3645" s="1">
        <v>669017</v>
      </c>
      <c r="J3645" s="1">
        <f>Raw_Data!$I3645/Raw_Data!$H3645</f>
        <v>254.18579027355622</v>
      </c>
    </row>
    <row r="3646" spans="1:10" x14ac:dyDescent="0.3">
      <c r="A3646" s="9">
        <v>43866</v>
      </c>
      <c r="B3646" s="2" t="str">
        <f>TEXT(Raw_Data!$A3646, "MMM")</f>
        <v>Feb</v>
      </c>
      <c r="C3646" s="2">
        <f>YEAR(Raw_Data!$A3646)</f>
        <v>2020</v>
      </c>
      <c r="D3646" s="2" t="s">
        <v>853</v>
      </c>
      <c r="E3646" s="2" t="s">
        <v>21</v>
      </c>
      <c r="F3646" s="2" t="s">
        <v>11</v>
      </c>
      <c r="G3646" s="2"/>
      <c r="H3646" s="2">
        <v>2267</v>
      </c>
      <c r="I3646" s="10">
        <v>623348</v>
      </c>
      <c r="J3646" s="10">
        <f>Raw_Data!$I3646/Raw_Data!$H3646</f>
        <v>274.96603440670492</v>
      </c>
    </row>
    <row r="3647" spans="1:10" x14ac:dyDescent="0.3">
      <c r="A3647" s="8">
        <v>41561</v>
      </c>
      <c r="B3647" t="str">
        <f>TEXT(Raw_Data!$A3647, "MMM")</f>
        <v>Oct</v>
      </c>
      <c r="C3647">
        <f>YEAR(Raw_Data!$A3647)</f>
        <v>2013</v>
      </c>
      <c r="D3647" t="s">
        <v>2495</v>
      </c>
      <c r="E3647" t="s">
        <v>32</v>
      </c>
      <c r="F3647" t="s">
        <v>18</v>
      </c>
      <c r="G3647">
        <v>3</v>
      </c>
      <c r="H3647">
        <v>1556</v>
      </c>
      <c r="I3647" s="1">
        <v>352263</v>
      </c>
      <c r="J3647" s="1">
        <f>Raw_Data!$I3647/Raw_Data!$H3647</f>
        <v>226.39010282776349</v>
      </c>
    </row>
    <row r="3648" spans="1:10" x14ac:dyDescent="0.3">
      <c r="A3648" s="9">
        <v>42612</v>
      </c>
      <c r="B3648" s="2" t="str">
        <f>TEXT(Raw_Data!$A3648, "MMM")</f>
        <v>Aug</v>
      </c>
      <c r="C3648" s="2">
        <f>YEAR(Raw_Data!$A3648)</f>
        <v>2016</v>
      </c>
      <c r="D3648" s="2" t="s">
        <v>642</v>
      </c>
      <c r="E3648" s="2" t="s">
        <v>21</v>
      </c>
      <c r="F3648" s="2" t="s">
        <v>11</v>
      </c>
      <c r="G3648" s="2"/>
      <c r="H3648" s="2">
        <v>1292</v>
      </c>
      <c r="I3648" s="10">
        <v>634568</v>
      </c>
      <c r="J3648" s="10">
        <f>Raw_Data!$I3648/Raw_Data!$H3648</f>
        <v>491.15170278637771</v>
      </c>
    </row>
    <row r="3649" spans="1:10" x14ac:dyDescent="0.3">
      <c r="A3649" s="8">
        <v>39410</v>
      </c>
      <c r="B3649" t="str">
        <f>TEXT(Raw_Data!$A3649, "MMM")</f>
        <v>Nov</v>
      </c>
      <c r="C3649">
        <f>YEAR(Raw_Data!$A3649)</f>
        <v>2007</v>
      </c>
      <c r="D3649" t="s">
        <v>2190</v>
      </c>
      <c r="E3649" t="s">
        <v>15</v>
      </c>
      <c r="F3649" t="s">
        <v>18</v>
      </c>
      <c r="G3649">
        <v>3</v>
      </c>
      <c r="H3649">
        <v>1234</v>
      </c>
      <c r="I3649" s="1">
        <v>225326</v>
      </c>
      <c r="J3649" s="1">
        <f>Raw_Data!$I3649/Raw_Data!$H3649</f>
        <v>182.59805510534846</v>
      </c>
    </row>
    <row r="3650" spans="1:10" x14ac:dyDescent="0.3">
      <c r="A3650" s="9">
        <v>38654</v>
      </c>
      <c r="B3650" s="2" t="str">
        <f>TEXT(Raw_Data!$A3650, "MMM")</f>
        <v>Oct</v>
      </c>
      <c r="C3650" s="2">
        <f>YEAR(Raw_Data!$A3650)</f>
        <v>2005</v>
      </c>
      <c r="D3650" s="2" t="s">
        <v>1679</v>
      </c>
      <c r="E3650" s="2" t="s">
        <v>32</v>
      </c>
      <c r="F3650" s="2" t="s">
        <v>27</v>
      </c>
      <c r="G3650" s="2">
        <v>4</v>
      </c>
      <c r="H3650" s="2">
        <v>1004</v>
      </c>
      <c r="I3650" s="10">
        <v>679001</v>
      </c>
      <c r="J3650" s="10">
        <f>Raw_Data!$I3650/Raw_Data!$H3650</f>
        <v>676.29581673306768</v>
      </c>
    </row>
    <row r="3651" spans="1:10" x14ac:dyDescent="0.3">
      <c r="A3651" s="8">
        <v>38283</v>
      </c>
      <c r="B3651" t="str">
        <f>TEXT(Raw_Data!$A3651, "MMM")</f>
        <v>Oct</v>
      </c>
      <c r="C3651">
        <f>YEAR(Raw_Data!$A3651)</f>
        <v>2004</v>
      </c>
      <c r="D3651" t="s">
        <v>2496</v>
      </c>
      <c r="E3651" t="s">
        <v>25</v>
      </c>
      <c r="F3651" t="s">
        <v>16</v>
      </c>
      <c r="H3651">
        <v>1807</v>
      </c>
      <c r="I3651" s="1">
        <v>122951</v>
      </c>
      <c r="J3651" s="1">
        <f>Raw_Data!$I3651/Raw_Data!$H3651</f>
        <v>68.041505257332602</v>
      </c>
    </row>
    <row r="3652" spans="1:10" x14ac:dyDescent="0.3">
      <c r="A3652" s="9">
        <v>42355</v>
      </c>
      <c r="B3652" s="2" t="str">
        <f>TEXT(Raw_Data!$A3652, "MMM")</f>
        <v>Dec</v>
      </c>
      <c r="C3652" s="2">
        <f>YEAR(Raw_Data!$A3652)</f>
        <v>2015</v>
      </c>
      <c r="D3652" s="2" t="s">
        <v>2497</v>
      </c>
      <c r="E3652" s="2" t="s">
        <v>21</v>
      </c>
      <c r="F3652" s="2" t="s">
        <v>16</v>
      </c>
      <c r="G3652" s="2"/>
      <c r="H3652" s="2">
        <v>1062</v>
      </c>
      <c r="I3652" s="10">
        <v>790583</v>
      </c>
      <c r="J3652" s="10">
        <f>Raw_Data!$I3652/Raw_Data!$H3652</f>
        <v>744.42843691148778</v>
      </c>
    </row>
    <row r="3653" spans="1:10" x14ac:dyDescent="0.3">
      <c r="A3653" s="8">
        <v>43376</v>
      </c>
      <c r="B3653" t="str">
        <f>TEXT(Raw_Data!$A3653, "MMM")</f>
        <v>Oct</v>
      </c>
      <c r="C3653">
        <f>YEAR(Raw_Data!$A3653)</f>
        <v>2018</v>
      </c>
      <c r="D3653" t="s">
        <v>1439</v>
      </c>
      <c r="E3653" t="s">
        <v>32</v>
      </c>
      <c r="F3653" t="s">
        <v>27</v>
      </c>
      <c r="G3653">
        <v>4</v>
      </c>
      <c r="H3653">
        <v>1266</v>
      </c>
      <c r="I3653" s="1">
        <v>154187</v>
      </c>
      <c r="J3653" s="1">
        <f>Raw_Data!$I3653/Raw_Data!$H3653</f>
        <v>121.79067930489731</v>
      </c>
    </row>
    <row r="3654" spans="1:10" x14ac:dyDescent="0.3">
      <c r="A3654" s="9">
        <v>39939</v>
      </c>
      <c r="B3654" s="2" t="str">
        <f>TEXT(Raw_Data!$A3654, "MMM")</f>
        <v>May</v>
      </c>
      <c r="C3654" s="2">
        <f>YEAR(Raw_Data!$A3654)</f>
        <v>2009</v>
      </c>
      <c r="D3654" s="2" t="s">
        <v>1366</v>
      </c>
      <c r="E3654" s="2" t="s">
        <v>29</v>
      </c>
      <c r="F3654" s="2" t="s">
        <v>18</v>
      </c>
      <c r="G3654" s="2">
        <v>3</v>
      </c>
      <c r="H3654" s="2">
        <v>2331</v>
      </c>
      <c r="I3654" s="10">
        <v>553098</v>
      </c>
      <c r="J3654" s="10">
        <f>Raw_Data!$I3654/Raw_Data!$H3654</f>
        <v>237.27927927927928</v>
      </c>
    </row>
    <row r="3655" spans="1:10" x14ac:dyDescent="0.3">
      <c r="A3655" s="8">
        <v>37847</v>
      </c>
      <c r="B3655" t="str">
        <f>TEXT(Raw_Data!$A3655, "MMM")</f>
        <v>Aug</v>
      </c>
      <c r="C3655">
        <f>YEAR(Raw_Data!$A3655)</f>
        <v>2003</v>
      </c>
      <c r="D3655" t="s">
        <v>318</v>
      </c>
      <c r="E3655" t="s">
        <v>32</v>
      </c>
      <c r="F3655" t="s">
        <v>18</v>
      </c>
      <c r="G3655">
        <v>2</v>
      </c>
      <c r="H3655">
        <v>3375</v>
      </c>
      <c r="I3655" s="1">
        <v>423374</v>
      </c>
      <c r="J3655" s="1">
        <f>Raw_Data!$I3655/Raw_Data!$H3655</f>
        <v>125.44414814814814</v>
      </c>
    </row>
    <row r="3656" spans="1:10" x14ac:dyDescent="0.3">
      <c r="A3656" s="9">
        <v>43148</v>
      </c>
      <c r="B3656" s="2" t="str">
        <f>TEXT(Raw_Data!$A3656, "MMM")</f>
        <v>Feb</v>
      </c>
      <c r="C3656" s="2">
        <f>YEAR(Raw_Data!$A3656)</f>
        <v>2018</v>
      </c>
      <c r="D3656" s="2" t="s">
        <v>2498</v>
      </c>
      <c r="E3656" s="2" t="s">
        <v>13</v>
      </c>
      <c r="F3656" s="2" t="s">
        <v>11</v>
      </c>
      <c r="G3656" s="2"/>
      <c r="H3656" s="2">
        <v>1385</v>
      </c>
      <c r="I3656" s="10">
        <v>752941</v>
      </c>
      <c r="J3656" s="10">
        <f>Raw_Data!$I3656/Raw_Data!$H3656</f>
        <v>543.63971119133578</v>
      </c>
    </row>
    <row r="3657" spans="1:10" x14ac:dyDescent="0.3">
      <c r="A3657" s="8">
        <v>36997</v>
      </c>
      <c r="B3657" t="str">
        <f>TEXT(Raw_Data!$A3657, "MMM")</f>
        <v>Apr</v>
      </c>
      <c r="C3657">
        <f>YEAR(Raw_Data!$A3657)</f>
        <v>2001</v>
      </c>
      <c r="D3657" t="s">
        <v>2499</v>
      </c>
      <c r="E3657" t="s">
        <v>23</v>
      </c>
      <c r="F3657" t="s">
        <v>27</v>
      </c>
      <c r="G3657">
        <v>4</v>
      </c>
      <c r="H3657">
        <v>1283</v>
      </c>
      <c r="I3657" s="1">
        <v>793245</v>
      </c>
      <c r="J3657" s="1">
        <f>Raw_Data!$I3657/Raw_Data!$H3657</f>
        <v>618.27357755261107</v>
      </c>
    </row>
    <row r="3658" spans="1:10" x14ac:dyDescent="0.3">
      <c r="A3658" s="9">
        <v>40591</v>
      </c>
      <c r="B3658" s="2" t="str">
        <f>TEXT(Raw_Data!$A3658, "MMM")</f>
        <v>Feb</v>
      </c>
      <c r="C3658" s="2">
        <f>YEAR(Raw_Data!$A3658)</f>
        <v>2011</v>
      </c>
      <c r="D3658" s="2" t="s">
        <v>2500</v>
      </c>
      <c r="E3658" s="2" t="s">
        <v>32</v>
      </c>
      <c r="F3658" s="2" t="s">
        <v>16</v>
      </c>
      <c r="G3658" s="2"/>
      <c r="H3658" s="2">
        <v>2815</v>
      </c>
      <c r="I3658" s="10">
        <v>581992</v>
      </c>
      <c r="J3658" s="10">
        <f>Raw_Data!$I3658/Raw_Data!$H3658</f>
        <v>206.74671403197158</v>
      </c>
    </row>
    <row r="3659" spans="1:10" x14ac:dyDescent="0.3">
      <c r="A3659" s="8">
        <v>44086</v>
      </c>
      <c r="B3659" t="str">
        <f>TEXT(Raw_Data!$A3659, "MMM")</f>
        <v>Sep</v>
      </c>
      <c r="C3659">
        <f>YEAR(Raw_Data!$A3659)</f>
        <v>2020</v>
      </c>
      <c r="D3659" t="s">
        <v>158</v>
      </c>
      <c r="E3659" t="s">
        <v>25</v>
      </c>
      <c r="F3659" t="s">
        <v>11</v>
      </c>
      <c r="H3659">
        <v>2422</v>
      </c>
      <c r="I3659" s="1">
        <v>605260</v>
      </c>
      <c r="J3659" s="1">
        <f>Raw_Data!$I3659/Raw_Data!$H3659</f>
        <v>249.9009083402147</v>
      </c>
    </row>
    <row r="3660" spans="1:10" x14ac:dyDescent="0.3">
      <c r="A3660" s="9">
        <v>41513</v>
      </c>
      <c r="B3660" s="2" t="str">
        <f>TEXT(Raw_Data!$A3660, "MMM")</f>
        <v>Aug</v>
      </c>
      <c r="C3660" s="2">
        <f>YEAR(Raw_Data!$A3660)</f>
        <v>2013</v>
      </c>
      <c r="D3660" s="2" t="s">
        <v>70</v>
      </c>
      <c r="E3660" s="2" t="s">
        <v>13</v>
      </c>
      <c r="F3660" s="2" t="s">
        <v>11</v>
      </c>
      <c r="G3660" s="2">
        <v>2</v>
      </c>
      <c r="H3660" s="2">
        <v>1225</v>
      </c>
      <c r="I3660" s="10">
        <v>240831</v>
      </c>
      <c r="J3660" s="10">
        <f>Raw_Data!$I3660/Raw_Data!$H3660</f>
        <v>196.59673469387755</v>
      </c>
    </row>
    <row r="3661" spans="1:10" x14ac:dyDescent="0.3">
      <c r="A3661" s="8">
        <v>37863</v>
      </c>
      <c r="B3661" t="str">
        <f>TEXT(Raw_Data!$A3661, "MMM")</f>
        <v>Aug</v>
      </c>
      <c r="C3661">
        <f>YEAR(Raw_Data!$A3661)</f>
        <v>2003</v>
      </c>
      <c r="D3661" t="s">
        <v>1875</v>
      </c>
      <c r="E3661" t="s">
        <v>13</v>
      </c>
      <c r="F3661" t="s">
        <v>16</v>
      </c>
      <c r="G3661">
        <v>2</v>
      </c>
      <c r="H3661">
        <v>2803</v>
      </c>
      <c r="I3661" s="1">
        <v>190264</v>
      </c>
      <c r="J3661" s="1">
        <f>Raw_Data!$I3661/Raw_Data!$H3661</f>
        <v>67.878701391366391</v>
      </c>
    </row>
    <row r="3662" spans="1:10" x14ac:dyDescent="0.3">
      <c r="A3662" s="9">
        <v>40681</v>
      </c>
      <c r="B3662" s="2" t="str">
        <f>TEXT(Raw_Data!$A3662, "MMM")</f>
        <v>May</v>
      </c>
      <c r="C3662" s="2">
        <f>YEAR(Raw_Data!$A3662)</f>
        <v>2011</v>
      </c>
      <c r="D3662" s="2" t="s">
        <v>2342</v>
      </c>
      <c r="E3662" s="2" t="s">
        <v>15</v>
      </c>
      <c r="F3662" s="2" t="s">
        <v>27</v>
      </c>
      <c r="G3662" s="2"/>
      <c r="H3662" s="2">
        <v>2185</v>
      </c>
      <c r="I3662" s="10">
        <v>639615</v>
      </c>
      <c r="J3662" s="10">
        <f>Raw_Data!$I3662/Raw_Data!$H3662</f>
        <v>292.72997711670479</v>
      </c>
    </row>
    <row r="3663" spans="1:10" x14ac:dyDescent="0.3">
      <c r="A3663" s="8">
        <v>42695</v>
      </c>
      <c r="B3663" t="str">
        <f>TEXT(Raw_Data!$A3663, "MMM")</f>
        <v>Nov</v>
      </c>
      <c r="C3663">
        <f>YEAR(Raw_Data!$A3663)</f>
        <v>2016</v>
      </c>
      <c r="D3663" t="s">
        <v>2501</v>
      </c>
      <c r="E3663" t="s">
        <v>15</v>
      </c>
      <c r="F3663" t="s">
        <v>16</v>
      </c>
      <c r="H3663">
        <v>3291</v>
      </c>
      <c r="I3663" s="1">
        <v>779505</v>
      </c>
      <c r="J3663" s="1">
        <f>Raw_Data!$I3663/Raw_Data!$H3663</f>
        <v>236.85961713764814</v>
      </c>
    </row>
    <row r="3664" spans="1:10" x14ac:dyDescent="0.3">
      <c r="A3664" s="9">
        <v>39908</v>
      </c>
      <c r="B3664" s="2" t="str">
        <f>TEXT(Raw_Data!$A3664, "MMM")</f>
        <v>Apr</v>
      </c>
      <c r="C3664" s="2">
        <f>YEAR(Raw_Data!$A3664)</f>
        <v>2009</v>
      </c>
      <c r="D3664" s="2" t="s">
        <v>1982</v>
      </c>
      <c r="E3664" s="2" t="s">
        <v>15</v>
      </c>
      <c r="F3664" s="2" t="s">
        <v>18</v>
      </c>
      <c r="G3664" s="2">
        <v>5</v>
      </c>
      <c r="H3664" s="2">
        <v>2491</v>
      </c>
      <c r="I3664" s="10">
        <v>161487</v>
      </c>
      <c r="J3664" s="10">
        <f>Raw_Data!$I3664/Raw_Data!$H3664</f>
        <v>64.828181453231636</v>
      </c>
    </row>
    <row r="3665" spans="1:10" x14ac:dyDescent="0.3">
      <c r="A3665" s="8">
        <v>38410</v>
      </c>
      <c r="B3665" t="str">
        <f>TEXT(Raw_Data!$A3665, "MMM")</f>
        <v>Feb</v>
      </c>
      <c r="C3665">
        <f>YEAR(Raw_Data!$A3665)</f>
        <v>2005</v>
      </c>
      <c r="D3665" t="s">
        <v>1359</v>
      </c>
      <c r="E3665" t="s">
        <v>15</v>
      </c>
      <c r="F3665" t="s">
        <v>16</v>
      </c>
      <c r="G3665">
        <v>2</v>
      </c>
      <c r="H3665">
        <v>3316</v>
      </c>
      <c r="I3665" s="1">
        <v>427836</v>
      </c>
      <c r="J3665" s="1">
        <f>Raw_Data!$I3665/Raw_Data!$H3665</f>
        <v>129.02171290711701</v>
      </c>
    </row>
    <row r="3666" spans="1:10" x14ac:dyDescent="0.3">
      <c r="A3666" s="9">
        <v>42738</v>
      </c>
      <c r="B3666" s="2" t="str">
        <f>TEXT(Raw_Data!$A3666, "MMM")</f>
        <v>Jan</v>
      </c>
      <c r="C3666" s="2">
        <f>YEAR(Raw_Data!$A3666)</f>
        <v>2017</v>
      </c>
      <c r="D3666" s="2" t="s">
        <v>1511</v>
      </c>
      <c r="E3666" s="2" t="s">
        <v>23</v>
      </c>
      <c r="F3666" s="2" t="s">
        <v>27</v>
      </c>
      <c r="G3666" s="2"/>
      <c r="H3666" s="2">
        <v>2602</v>
      </c>
      <c r="I3666" s="10">
        <v>337421</v>
      </c>
      <c r="J3666" s="10">
        <f>Raw_Data!$I3666/Raw_Data!$H3666</f>
        <v>129.67755572636435</v>
      </c>
    </row>
    <row r="3667" spans="1:10" x14ac:dyDescent="0.3">
      <c r="A3667" s="8">
        <v>42885</v>
      </c>
      <c r="B3667" t="str">
        <f>TEXT(Raw_Data!$A3667, "MMM")</f>
        <v>May</v>
      </c>
      <c r="C3667">
        <f>YEAR(Raw_Data!$A3667)</f>
        <v>2017</v>
      </c>
      <c r="D3667" t="s">
        <v>2502</v>
      </c>
      <c r="E3667" t="s">
        <v>15</v>
      </c>
      <c r="F3667" t="s">
        <v>27</v>
      </c>
      <c r="G3667">
        <v>5</v>
      </c>
      <c r="H3667">
        <v>1828</v>
      </c>
      <c r="I3667" s="1">
        <v>892518</v>
      </c>
      <c r="J3667" s="1">
        <f>Raw_Data!$I3667/Raw_Data!$H3667</f>
        <v>488.24835886214441</v>
      </c>
    </row>
    <row r="3668" spans="1:10" x14ac:dyDescent="0.3">
      <c r="A3668" s="9">
        <v>38246</v>
      </c>
      <c r="B3668" s="2" t="str">
        <f>TEXT(Raw_Data!$A3668, "MMM")</f>
        <v>Sep</v>
      </c>
      <c r="C3668" s="2">
        <f>YEAR(Raw_Data!$A3668)</f>
        <v>2004</v>
      </c>
      <c r="D3668" s="2" t="s">
        <v>2015</v>
      </c>
      <c r="E3668" s="2" t="s">
        <v>13</v>
      </c>
      <c r="F3668" s="2" t="s">
        <v>11</v>
      </c>
      <c r="G3668" s="2">
        <v>5</v>
      </c>
      <c r="H3668" s="2">
        <v>2493</v>
      </c>
      <c r="I3668" s="10">
        <v>605302</v>
      </c>
      <c r="J3668" s="10">
        <f>Raw_Data!$I3668/Raw_Data!$H3668</f>
        <v>242.80064179703169</v>
      </c>
    </row>
    <row r="3669" spans="1:10" x14ac:dyDescent="0.3">
      <c r="A3669" s="8">
        <v>40572</v>
      </c>
      <c r="B3669" t="str">
        <f>TEXT(Raw_Data!$A3669, "MMM")</f>
        <v>Jan</v>
      </c>
      <c r="C3669">
        <f>YEAR(Raw_Data!$A3669)</f>
        <v>2011</v>
      </c>
      <c r="D3669" t="s">
        <v>2503</v>
      </c>
      <c r="E3669" t="s">
        <v>23</v>
      </c>
      <c r="F3669" t="s">
        <v>18</v>
      </c>
      <c r="G3669">
        <v>4</v>
      </c>
      <c r="H3669">
        <v>3311</v>
      </c>
      <c r="I3669" s="1">
        <v>120716</v>
      </c>
      <c r="J3669" s="1">
        <f>Raw_Data!$I3669/Raw_Data!$H3669</f>
        <v>36.459075807913017</v>
      </c>
    </row>
    <row r="3670" spans="1:10" x14ac:dyDescent="0.3">
      <c r="A3670" s="9">
        <v>37143</v>
      </c>
      <c r="B3670" s="2" t="str">
        <f>TEXT(Raw_Data!$A3670, "MMM")</f>
        <v>Sep</v>
      </c>
      <c r="C3670" s="2">
        <f>YEAR(Raw_Data!$A3670)</f>
        <v>2001</v>
      </c>
      <c r="D3670" s="2" t="s">
        <v>212</v>
      </c>
      <c r="E3670" s="2" t="s">
        <v>23</v>
      </c>
      <c r="F3670" s="2" t="s">
        <v>18</v>
      </c>
      <c r="G3670" s="2">
        <v>5</v>
      </c>
      <c r="H3670" s="2">
        <v>3091</v>
      </c>
      <c r="I3670" s="10">
        <v>163915</v>
      </c>
      <c r="J3670" s="10">
        <f>Raw_Data!$I3670/Raw_Data!$H3670</f>
        <v>53.029763830475574</v>
      </c>
    </row>
    <row r="3671" spans="1:10" x14ac:dyDescent="0.3">
      <c r="A3671" s="8">
        <v>38904</v>
      </c>
      <c r="B3671" t="str">
        <f>TEXT(Raw_Data!$A3671, "MMM")</f>
        <v>Jul</v>
      </c>
      <c r="C3671">
        <f>YEAR(Raw_Data!$A3671)</f>
        <v>2006</v>
      </c>
      <c r="D3671" t="s">
        <v>2504</v>
      </c>
      <c r="E3671" t="s">
        <v>15</v>
      </c>
      <c r="F3671" t="s">
        <v>27</v>
      </c>
      <c r="G3671">
        <v>4</v>
      </c>
      <c r="H3671">
        <v>2328</v>
      </c>
      <c r="I3671" s="1">
        <v>136980</v>
      </c>
      <c r="J3671" s="1">
        <f>Raw_Data!$I3671/Raw_Data!$H3671</f>
        <v>58.840206185567013</v>
      </c>
    </row>
    <row r="3672" spans="1:10" x14ac:dyDescent="0.3">
      <c r="A3672" s="9">
        <v>44060</v>
      </c>
      <c r="B3672" s="2" t="str">
        <f>TEXT(Raw_Data!$A3672, "MMM")</f>
        <v>Aug</v>
      </c>
      <c r="C3672" s="2">
        <f>YEAR(Raw_Data!$A3672)</f>
        <v>2020</v>
      </c>
      <c r="D3672" s="2" t="s">
        <v>1968</v>
      </c>
      <c r="E3672" s="2" t="s">
        <v>13</v>
      </c>
      <c r="F3672" s="2" t="s">
        <v>11</v>
      </c>
      <c r="G3672" s="2">
        <v>3</v>
      </c>
      <c r="H3672" s="2">
        <v>888</v>
      </c>
      <c r="I3672" s="10">
        <v>219002</v>
      </c>
      <c r="J3672" s="10">
        <f>Raw_Data!$I3672/Raw_Data!$H3672</f>
        <v>246.62387387387386</v>
      </c>
    </row>
    <row r="3673" spans="1:10" x14ac:dyDescent="0.3">
      <c r="A3673" s="8">
        <v>38604</v>
      </c>
      <c r="B3673" t="str">
        <f>TEXT(Raw_Data!$A3673, "MMM")</f>
        <v>Sep</v>
      </c>
      <c r="C3673">
        <f>YEAR(Raw_Data!$A3673)</f>
        <v>2005</v>
      </c>
      <c r="D3673" t="s">
        <v>2505</v>
      </c>
      <c r="E3673" t="s">
        <v>15</v>
      </c>
      <c r="F3673" t="s">
        <v>18</v>
      </c>
      <c r="H3673">
        <v>3173</v>
      </c>
      <c r="I3673" s="1">
        <v>179467</v>
      </c>
      <c r="J3673" s="1">
        <f>Raw_Data!$I3673/Raw_Data!$H3673</f>
        <v>56.560668137409394</v>
      </c>
    </row>
    <row r="3674" spans="1:10" x14ac:dyDescent="0.3">
      <c r="A3674" s="9">
        <v>43878</v>
      </c>
      <c r="B3674" s="2" t="str">
        <f>TEXT(Raw_Data!$A3674, "MMM")</f>
        <v>Feb</v>
      </c>
      <c r="C3674" s="2">
        <f>YEAR(Raw_Data!$A3674)</f>
        <v>2020</v>
      </c>
      <c r="D3674" s="2" t="s">
        <v>2506</v>
      </c>
      <c r="E3674" s="2" t="s">
        <v>21</v>
      </c>
      <c r="F3674" s="2" t="s">
        <v>27</v>
      </c>
      <c r="G3674" s="2">
        <v>4</v>
      </c>
      <c r="H3674" s="2">
        <v>3054</v>
      </c>
      <c r="I3674" s="10">
        <v>401772</v>
      </c>
      <c r="J3674" s="10">
        <f>Raw_Data!$I3674/Raw_Data!$H3674</f>
        <v>131.55599214145383</v>
      </c>
    </row>
    <row r="3675" spans="1:10" x14ac:dyDescent="0.3">
      <c r="A3675" s="8">
        <v>43229</v>
      </c>
      <c r="B3675" t="str">
        <f>TEXT(Raw_Data!$A3675, "MMM")</f>
        <v>May</v>
      </c>
      <c r="C3675">
        <f>YEAR(Raw_Data!$A3675)</f>
        <v>2018</v>
      </c>
      <c r="D3675" t="s">
        <v>1657</v>
      </c>
      <c r="E3675" t="s">
        <v>13</v>
      </c>
      <c r="F3675" t="s">
        <v>11</v>
      </c>
      <c r="H3675">
        <v>997</v>
      </c>
      <c r="I3675" s="1">
        <v>101034</v>
      </c>
      <c r="J3675" s="1">
        <f>Raw_Data!$I3675/Raw_Data!$H3675</f>
        <v>101.33801404212637</v>
      </c>
    </row>
    <row r="3676" spans="1:10" x14ac:dyDescent="0.3">
      <c r="A3676" s="9">
        <v>37608</v>
      </c>
      <c r="B3676" s="2" t="str">
        <f>TEXT(Raw_Data!$A3676, "MMM")</f>
        <v>Dec</v>
      </c>
      <c r="C3676" s="2">
        <f>YEAR(Raw_Data!$A3676)</f>
        <v>2002</v>
      </c>
      <c r="D3676" s="2" t="s">
        <v>423</v>
      </c>
      <c r="E3676" s="2" t="s">
        <v>32</v>
      </c>
      <c r="F3676" s="2" t="s">
        <v>11</v>
      </c>
      <c r="G3676" s="2"/>
      <c r="H3676" s="2">
        <v>3241</v>
      </c>
      <c r="I3676" s="10">
        <v>353796</v>
      </c>
      <c r="J3676" s="10">
        <f>Raw_Data!$I3676/Raw_Data!$H3676</f>
        <v>109.16260413452638</v>
      </c>
    </row>
    <row r="3677" spans="1:10" x14ac:dyDescent="0.3">
      <c r="A3677" s="8">
        <v>41300</v>
      </c>
      <c r="B3677" t="str">
        <f>TEXT(Raw_Data!$A3677, "MMM")</f>
        <v>Jan</v>
      </c>
      <c r="C3677">
        <f>YEAR(Raw_Data!$A3677)</f>
        <v>2013</v>
      </c>
      <c r="D3677" t="s">
        <v>547</v>
      </c>
      <c r="E3677" t="s">
        <v>25</v>
      </c>
      <c r="F3677" t="s">
        <v>16</v>
      </c>
      <c r="G3677">
        <v>4</v>
      </c>
      <c r="H3677">
        <v>1176</v>
      </c>
      <c r="I3677" s="1">
        <v>373720</v>
      </c>
      <c r="J3677" s="1">
        <f>Raw_Data!$I3677/Raw_Data!$H3677</f>
        <v>317.78911564625849</v>
      </c>
    </row>
    <row r="3678" spans="1:10" x14ac:dyDescent="0.3">
      <c r="A3678" s="9">
        <v>40418</v>
      </c>
      <c r="B3678" s="2" t="str">
        <f>TEXT(Raw_Data!$A3678, "MMM")</f>
        <v>Aug</v>
      </c>
      <c r="C3678" s="2">
        <f>YEAR(Raw_Data!$A3678)</f>
        <v>2010</v>
      </c>
      <c r="D3678" s="2" t="s">
        <v>2442</v>
      </c>
      <c r="E3678" s="2" t="s">
        <v>13</v>
      </c>
      <c r="F3678" s="2" t="s">
        <v>16</v>
      </c>
      <c r="G3678" s="2">
        <v>5</v>
      </c>
      <c r="H3678" s="2">
        <v>2732</v>
      </c>
      <c r="I3678" s="10">
        <v>888724</v>
      </c>
      <c r="J3678" s="10">
        <f>Raw_Data!$I3678/Raw_Data!$H3678</f>
        <v>325.30161054172765</v>
      </c>
    </row>
    <row r="3679" spans="1:10" x14ac:dyDescent="0.3">
      <c r="A3679" s="8">
        <v>42613</v>
      </c>
      <c r="B3679" t="str">
        <f>TEXT(Raw_Data!$A3679, "MMM")</f>
        <v>Aug</v>
      </c>
      <c r="C3679">
        <f>YEAR(Raw_Data!$A3679)</f>
        <v>2016</v>
      </c>
      <c r="D3679" t="s">
        <v>2507</v>
      </c>
      <c r="E3679" t="s">
        <v>32</v>
      </c>
      <c r="F3679" t="s">
        <v>16</v>
      </c>
      <c r="G3679">
        <v>5</v>
      </c>
      <c r="H3679">
        <v>2416</v>
      </c>
      <c r="I3679" s="1">
        <v>260270</v>
      </c>
      <c r="J3679" s="1">
        <f>Raw_Data!$I3679/Raw_Data!$H3679</f>
        <v>107.72764900662251</v>
      </c>
    </row>
    <row r="3680" spans="1:10" x14ac:dyDescent="0.3">
      <c r="A3680" s="9">
        <v>39044</v>
      </c>
      <c r="B3680" s="2" t="str">
        <f>TEXT(Raw_Data!$A3680, "MMM")</f>
        <v>Nov</v>
      </c>
      <c r="C3680" s="2">
        <f>YEAR(Raw_Data!$A3680)</f>
        <v>2006</v>
      </c>
      <c r="D3680" s="2" t="s">
        <v>1989</v>
      </c>
      <c r="E3680" s="2" t="s">
        <v>32</v>
      </c>
      <c r="F3680" s="2" t="s">
        <v>16</v>
      </c>
      <c r="G3680" s="2"/>
      <c r="H3680" s="2">
        <v>2838</v>
      </c>
      <c r="I3680" s="10">
        <v>755936</v>
      </c>
      <c r="J3680" s="10">
        <f>Raw_Data!$I3680/Raw_Data!$H3680</f>
        <v>266.36222692036648</v>
      </c>
    </row>
    <row r="3681" spans="1:10" x14ac:dyDescent="0.3">
      <c r="A3681" s="8">
        <v>37178</v>
      </c>
      <c r="B3681" t="str">
        <f>TEXT(Raw_Data!$A3681, "MMM")</f>
        <v>Oct</v>
      </c>
      <c r="C3681">
        <f>YEAR(Raw_Data!$A3681)</f>
        <v>2001</v>
      </c>
      <c r="D3681" t="s">
        <v>2508</v>
      </c>
      <c r="E3681" t="s">
        <v>15</v>
      </c>
      <c r="F3681" t="s">
        <v>27</v>
      </c>
      <c r="G3681">
        <v>5</v>
      </c>
      <c r="H3681">
        <v>2794</v>
      </c>
      <c r="I3681" s="1">
        <v>433305</v>
      </c>
      <c r="J3681" s="1">
        <f>Raw_Data!$I3681/Raw_Data!$H3681</f>
        <v>155.08410880458123</v>
      </c>
    </row>
    <row r="3682" spans="1:10" x14ac:dyDescent="0.3">
      <c r="A3682" s="9">
        <v>42030</v>
      </c>
      <c r="B3682" s="2" t="str">
        <f>TEXT(Raw_Data!$A3682, "MMM")</f>
        <v>Jan</v>
      </c>
      <c r="C3682" s="2">
        <f>YEAR(Raw_Data!$A3682)</f>
        <v>2015</v>
      </c>
      <c r="D3682" s="2" t="s">
        <v>1556</v>
      </c>
      <c r="E3682" s="2" t="s">
        <v>15</v>
      </c>
      <c r="F3682" s="2" t="s">
        <v>18</v>
      </c>
      <c r="G3682" s="2">
        <v>5</v>
      </c>
      <c r="H3682" s="2">
        <v>1832</v>
      </c>
      <c r="I3682" s="10">
        <v>748916</v>
      </c>
      <c r="J3682" s="10">
        <f>Raw_Data!$I3682/Raw_Data!$H3682</f>
        <v>408.79694323144105</v>
      </c>
    </row>
    <row r="3683" spans="1:10" x14ac:dyDescent="0.3">
      <c r="A3683" s="8">
        <v>42602</v>
      </c>
      <c r="B3683" t="str">
        <f>TEXT(Raw_Data!$A3683, "MMM")</f>
        <v>Aug</v>
      </c>
      <c r="C3683">
        <f>YEAR(Raw_Data!$A3683)</f>
        <v>2016</v>
      </c>
      <c r="D3683" t="s">
        <v>2509</v>
      </c>
      <c r="E3683" t="s">
        <v>23</v>
      </c>
      <c r="F3683" t="s">
        <v>16</v>
      </c>
      <c r="G3683">
        <v>3</v>
      </c>
      <c r="H3683">
        <v>3118</v>
      </c>
      <c r="I3683" s="1">
        <v>768410</v>
      </c>
      <c r="J3683" s="1">
        <f>Raw_Data!$I3683/Raw_Data!$H3683</f>
        <v>246.44323284156511</v>
      </c>
    </row>
    <row r="3684" spans="1:10" x14ac:dyDescent="0.3">
      <c r="A3684" s="9">
        <v>38746</v>
      </c>
      <c r="B3684" s="2" t="str">
        <f>TEXT(Raw_Data!$A3684, "MMM")</f>
        <v>Jan</v>
      </c>
      <c r="C3684" s="2">
        <f>YEAR(Raw_Data!$A3684)</f>
        <v>2006</v>
      </c>
      <c r="D3684" s="2" t="s">
        <v>2510</v>
      </c>
      <c r="E3684" s="2" t="s">
        <v>29</v>
      </c>
      <c r="F3684" s="2" t="s">
        <v>27</v>
      </c>
      <c r="G3684" s="2">
        <v>2</v>
      </c>
      <c r="H3684" s="2">
        <v>2573</v>
      </c>
      <c r="I3684" s="10">
        <v>309640</v>
      </c>
      <c r="J3684" s="10">
        <f>Raw_Data!$I3684/Raw_Data!$H3684</f>
        <v>120.34201321414692</v>
      </c>
    </row>
    <row r="3685" spans="1:10" x14ac:dyDescent="0.3">
      <c r="A3685" s="8">
        <v>40443</v>
      </c>
      <c r="B3685" t="str">
        <f>TEXT(Raw_Data!$A3685, "MMM")</f>
        <v>Sep</v>
      </c>
      <c r="C3685">
        <f>YEAR(Raw_Data!$A3685)</f>
        <v>2010</v>
      </c>
      <c r="D3685" t="s">
        <v>2360</v>
      </c>
      <c r="E3685" t="s">
        <v>15</v>
      </c>
      <c r="F3685" t="s">
        <v>16</v>
      </c>
      <c r="H3685">
        <v>3173</v>
      </c>
      <c r="I3685" s="1">
        <v>529257</v>
      </c>
      <c r="J3685" s="1">
        <f>Raw_Data!$I3685/Raw_Data!$H3685</f>
        <v>166.80018909549324</v>
      </c>
    </row>
    <row r="3686" spans="1:10" x14ac:dyDescent="0.3">
      <c r="A3686" s="9">
        <v>41873</v>
      </c>
      <c r="B3686" s="2" t="str">
        <f>TEXT(Raw_Data!$A3686, "MMM")</f>
        <v>Aug</v>
      </c>
      <c r="C3686" s="2">
        <f>YEAR(Raw_Data!$A3686)</f>
        <v>2014</v>
      </c>
      <c r="D3686" s="2" t="s">
        <v>1061</v>
      </c>
      <c r="E3686" s="2" t="s">
        <v>25</v>
      </c>
      <c r="F3686" s="2" t="s">
        <v>27</v>
      </c>
      <c r="G3686" s="2"/>
      <c r="H3686" s="2">
        <v>1349</v>
      </c>
      <c r="I3686" s="10">
        <v>593772</v>
      </c>
      <c r="J3686" s="10">
        <f>Raw_Data!$I3686/Raw_Data!$H3686</f>
        <v>440.15715344699777</v>
      </c>
    </row>
    <row r="3687" spans="1:10" x14ac:dyDescent="0.3">
      <c r="A3687" s="8">
        <v>38783</v>
      </c>
      <c r="B3687" t="str">
        <f>TEXT(Raw_Data!$A3687, "MMM")</f>
        <v>Mar</v>
      </c>
      <c r="C3687">
        <f>YEAR(Raw_Data!$A3687)</f>
        <v>2006</v>
      </c>
      <c r="D3687" t="s">
        <v>2511</v>
      </c>
      <c r="E3687" t="s">
        <v>23</v>
      </c>
      <c r="F3687" t="s">
        <v>18</v>
      </c>
      <c r="H3687">
        <v>2049</v>
      </c>
      <c r="I3687" s="1">
        <v>186326</v>
      </c>
      <c r="J3687" s="1">
        <f>Raw_Data!$I3687/Raw_Data!$H3687</f>
        <v>90.935090287945343</v>
      </c>
    </row>
    <row r="3688" spans="1:10" x14ac:dyDescent="0.3">
      <c r="A3688" s="9">
        <v>39475</v>
      </c>
      <c r="B3688" s="2" t="str">
        <f>TEXT(Raw_Data!$A3688, "MMM")</f>
        <v>Jan</v>
      </c>
      <c r="C3688" s="2">
        <f>YEAR(Raw_Data!$A3688)</f>
        <v>2008</v>
      </c>
      <c r="D3688" s="2" t="s">
        <v>1086</v>
      </c>
      <c r="E3688" s="2" t="s">
        <v>25</v>
      </c>
      <c r="F3688" s="2" t="s">
        <v>18</v>
      </c>
      <c r="G3688" s="2"/>
      <c r="H3688" s="2">
        <v>1741</v>
      </c>
      <c r="I3688" s="10">
        <v>841160</v>
      </c>
      <c r="J3688" s="10">
        <f>Raw_Data!$I3688/Raw_Data!$H3688</f>
        <v>483.14761631246409</v>
      </c>
    </row>
    <row r="3689" spans="1:10" x14ac:dyDescent="0.3">
      <c r="A3689" s="8">
        <v>37636</v>
      </c>
      <c r="B3689" t="str">
        <f>TEXT(Raw_Data!$A3689, "MMM")</f>
        <v>Jan</v>
      </c>
      <c r="C3689">
        <f>YEAR(Raw_Data!$A3689)</f>
        <v>2003</v>
      </c>
      <c r="D3689" t="s">
        <v>2512</v>
      </c>
      <c r="E3689" t="s">
        <v>25</v>
      </c>
      <c r="F3689" t="s">
        <v>11</v>
      </c>
      <c r="H3689">
        <v>2613</v>
      </c>
      <c r="I3689" s="1">
        <v>486303</v>
      </c>
      <c r="J3689" s="1">
        <f>Raw_Data!$I3689/Raw_Data!$H3689</f>
        <v>186.10907003444316</v>
      </c>
    </row>
    <row r="3690" spans="1:10" x14ac:dyDescent="0.3">
      <c r="A3690" s="9">
        <v>41085</v>
      </c>
      <c r="B3690" s="2" t="str">
        <f>TEXT(Raw_Data!$A3690, "MMM")</f>
        <v>Jun</v>
      </c>
      <c r="C3690" s="2">
        <f>YEAR(Raw_Data!$A3690)</f>
        <v>2012</v>
      </c>
      <c r="D3690" s="2" t="s">
        <v>1925</v>
      </c>
      <c r="E3690" s="2" t="s">
        <v>29</v>
      </c>
      <c r="F3690" s="2" t="s">
        <v>11</v>
      </c>
      <c r="G3690" s="2"/>
      <c r="H3690" s="2">
        <v>2846</v>
      </c>
      <c r="I3690" s="10">
        <v>689888</v>
      </c>
      <c r="J3690" s="10">
        <f>Raw_Data!$I3690/Raw_Data!$H3690</f>
        <v>242.40618411806042</v>
      </c>
    </row>
    <row r="3691" spans="1:10" x14ac:dyDescent="0.3">
      <c r="A3691" s="8">
        <v>41892</v>
      </c>
      <c r="B3691" t="str">
        <f>TEXT(Raw_Data!$A3691, "MMM")</f>
        <v>Sep</v>
      </c>
      <c r="C3691">
        <f>YEAR(Raw_Data!$A3691)</f>
        <v>2014</v>
      </c>
      <c r="D3691" t="s">
        <v>2513</v>
      </c>
      <c r="E3691" t="s">
        <v>23</v>
      </c>
      <c r="F3691" t="s">
        <v>16</v>
      </c>
      <c r="G3691">
        <v>5</v>
      </c>
      <c r="H3691">
        <v>1954</v>
      </c>
      <c r="I3691" s="1">
        <v>675917</v>
      </c>
      <c r="J3691" s="1">
        <f>Raw_Data!$I3691/Raw_Data!$H3691</f>
        <v>345.91453428863866</v>
      </c>
    </row>
    <row r="3692" spans="1:10" x14ac:dyDescent="0.3">
      <c r="A3692" s="9">
        <v>39412</v>
      </c>
      <c r="B3692" s="2" t="str">
        <f>TEXT(Raw_Data!$A3692, "MMM")</f>
        <v>Nov</v>
      </c>
      <c r="C3692" s="2">
        <f>YEAR(Raw_Data!$A3692)</f>
        <v>2007</v>
      </c>
      <c r="D3692" s="2" t="s">
        <v>2259</v>
      </c>
      <c r="E3692" s="2" t="s">
        <v>15</v>
      </c>
      <c r="F3692" s="2" t="s">
        <v>16</v>
      </c>
      <c r="G3692" s="2">
        <v>5</v>
      </c>
      <c r="H3692" s="2">
        <v>3338</v>
      </c>
      <c r="I3692" s="10">
        <v>171968</v>
      </c>
      <c r="J3692" s="10">
        <f>Raw_Data!$I3692/Raw_Data!$H3692</f>
        <v>51.518274415817856</v>
      </c>
    </row>
    <row r="3693" spans="1:10" x14ac:dyDescent="0.3">
      <c r="A3693" s="8">
        <v>39308</v>
      </c>
      <c r="B3693" t="str">
        <f>TEXT(Raw_Data!$A3693, "MMM")</f>
        <v>Aug</v>
      </c>
      <c r="C3693">
        <f>YEAR(Raw_Data!$A3693)</f>
        <v>2007</v>
      </c>
      <c r="D3693" t="s">
        <v>2514</v>
      </c>
      <c r="E3693" t="s">
        <v>32</v>
      </c>
      <c r="F3693" t="s">
        <v>18</v>
      </c>
      <c r="H3693">
        <v>3336</v>
      </c>
      <c r="I3693" s="1">
        <v>606459</v>
      </c>
      <c r="J3693" s="1">
        <f>Raw_Data!$I3693/Raw_Data!$H3693</f>
        <v>181.79226618705036</v>
      </c>
    </row>
    <row r="3694" spans="1:10" x14ac:dyDescent="0.3">
      <c r="A3694" s="9">
        <v>40120</v>
      </c>
      <c r="B3694" s="2" t="str">
        <f>TEXT(Raw_Data!$A3694, "MMM")</f>
        <v>Nov</v>
      </c>
      <c r="C3694" s="2">
        <f>YEAR(Raw_Data!$A3694)</f>
        <v>2009</v>
      </c>
      <c r="D3694" s="2" t="s">
        <v>2515</v>
      </c>
      <c r="E3694" s="2" t="s">
        <v>25</v>
      </c>
      <c r="F3694" s="2" t="s">
        <v>18</v>
      </c>
      <c r="G3694" s="2"/>
      <c r="H3694" s="2">
        <v>2053</v>
      </c>
      <c r="I3694" s="10">
        <v>859018</v>
      </c>
      <c r="J3694" s="10">
        <f>Raw_Data!$I3694/Raw_Data!$H3694</f>
        <v>418.42084754018509</v>
      </c>
    </row>
    <row r="3695" spans="1:10" x14ac:dyDescent="0.3">
      <c r="A3695" s="8">
        <v>41092</v>
      </c>
      <c r="B3695" t="str">
        <f>TEXT(Raw_Data!$A3695, "MMM")</f>
        <v>Jul</v>
      </c>
      <c r="C3695">
        <f>YEAR(Raw_Data!$A3695)</f>
        <v>2012</v>
      </c>
      <c r="D3695" t="s">
        <v>369</v>
      </c>
      <c r="E3695" t="s">
        <v>32</v>
      </c>
      <c r="F3695" t="s">
        <v>18</v>
      </c>
      <c r="G3695">
        <v>4</v>
      </c>
      <c r="H3695">
        <v>2052</v>
      </c>
      <c r="I3695" s="1">
        <v>291641</v>
      </c>
      <c r="J3695" s="1">
        <f>Raw_Data!$I3695/Raw_Data!$H3695</f>
        <v>142.12524366471735</v>
      </c>
    </row>
    <row r="3696" spans="1:10" x14ac:dyDescent="0.3">
      <c r="A3696" s="9">
        <v>41741</v>
      </c>
      <c r="B3696" s="2" t="str">
        <f>TEXT(Raw_Data!$A3696, "MMM")</f>
        <v>Apr</v>
      </c>
      <c r="C3696" s="2">
        <f>YEAR(Raw_Data!$A3696)</f>
        <v>2014</v>
      </c>
      <c r="D3696" s="2" t="s">
        <v>1276</v>
      </c>
      <c r="E3696" s="2" t="s">
        <v>29</v>
      </c>
      <c r="F3696" s="2" t="s">
        <v>16</v>
      </c>
      <c r="G3696" s="2">
        <v>2</v>
      </c>
      <c r="H3696" s="2">
        <v>1253</v>
      </c>
      <c r="I3696" s="10">
        <v>511286</v>
      </c>
      <c r="J3696" s="10">
        <f>Raw_Data!$I3696/Raw_Data!$H3696</f>
        <v>408.04948124501198</v>
      </c>
    </row>
    <row r="3697" spans="1:10" x14ac:dyDescent="0.3">
      <c r="A3697" s="8">
        <v>42090</v>
      </c>
      <c r="B3697" t="str">
        <f>TEXT(Raw_Data!$A3697, "MMM")</f>
        <v>Mar</v>
      </c>
      <c r="C3697">
        <f>YEAR(Raw_Data!$A3697)</f>
        <v>2015</v>
      </c>
      <c r="D3697" t="s">
        <v>2516</v>
      </c>
      <c r="E3697" t="s">
        <v>25</v>
      </c>
      <c r="F3697" t="s">
        <v>27</v>
      </c>
      <c r="G3697">
        <v>5</v>
      </c>
      <c r="H3697">
        <v>3334</v>
      </c>
      <c r="I3697" s="1">
        <v>244086</v>
      </c>
      <c r="J3697" s="1">
        <f>Raw_Data!$I3697/Raw_Data!$H3697</f>
        <v>73.211157768446313</v>
      </c>
    </row>
    <row r="3698" spans="1:10" x14ac:dyDescent="0.3">
      <c r="A3698" s="9">
        <v>39490</v>
      </c>
      <c r="B3698" s="2" t="str">
        <f>TEXT(Raw_Data!$A3698, "MMM")</f>
        <v>Feb</v>
      </c>
      <c r="C3698" s="2">
        <f>YEAR(Raw_Data!$A3698)</f>
        <v>2008</v>
      </c>
      <c r="D3698" s="2" t="s">
        <v>1522</v>
      </c>
      <c r="E3698" s="2" t="s">
        <v>25</v>
      </c>
      <c r="F3698" s="2" t="s">
        <v>16</v>
      </c>
      <c r="G3698" s="2"/>
      <c r="H3698" s="2">
        <v>1717</v>
      </c>
      <c r="I3698" s="10">
        <v>493066</v>
      </c>
      <c r="J3698" s="10">
        <f>Raw_Data!$I3698/Raw_Data!$H3698</f>
        <v>287.16715200931856</v>
      </c>
    </row>
    <row r="3699" spans="1:10" x14ac:dyDescent="0.3">
      <c r="A3699" s="8">
        <v>38343</v>
      </c>
      <c r="B3699" t="str">
        <f>TEXT(Raw_Data!$A3699, "MMM")</f>
        <v>Dec</v>
      </c>
      <c r="C3699">
        <f>YEAR(Raw_Data!$A3699)</f>
        <v>2004</v>
      </c>
      <c r="D3699" t="s">
        <v>2517</v>
      </c>
      <c r="E3699" t="s">
        <v>29</v>
      </c>
      <c r="F3699" t="s">
        <v>27</v>
      </c>
      <c r="G3699">
        <v>4</v>
      </c>
      <c r="H3699">
        <v>3359</v>
      </c>
      <c r="I3699" s="1">
        <v>789392</v>
      </c>
      <c r="J3699" s="1">
        <f>Raw_Data!$I3699/Raw_Data!$H3699</f>
        <v>235.00803810657933</v>
      </c>
    </row>
    <row r="3700" spans="1:10" x14ac:dyDescent="0.3">
      <c r="A3700" s="9">
        <v>41529</v>
      </c>
      <c r="B3700" s="2" t="str">
        <f>TEXT(Raw_Data!$A3700, "MMM")</f>
        <v>Sep</v>
      </c>
      <c r="C3700" s="2">
        <f>YEAR(Raw_Data!$A3700)</f>
        <v>2013</v>
      </c>
      <c r="D3700" s="2" t="s">
        <v>2461</v>
      </c>
      <c r="E3700" s="2" t="s">
        <v>25</v>
      </c>
      <c r="F3700" s="2" t="s">
        <v>27</v>
      </c>
      <c r="G3700" s="2">
        <v>3</v>
      </c>
      <c r="H3700" s="2">
        <v>2943</v>
      </c>
      <c r="I3700" s="10">
        <v>370251</v>
      </c>
      <c r="J3700" s="10">
        <f>Raw_Data!$I3700/Raw_Data!$H3700</f>
        <v>125.80733944954129</v>
      </c>
    </row>
    <row r="3701" spans="1:10" x14ac:dyDescent="0.3">
      <c r="A3701" s="8">
        <v>38912</v>
      </c>
      <c r="B3701" t="str">
        <f>TEXT(Raw_Data!$A3701, "MMM")</f>
        <v>Jul</v>
      </c>
      <c r="C3701">
        <f>YEAR(Raw_Data!$A3701)</f>
        <v>2006</v>
      </c>
      <c r="D3701" t="s">
        <v>1061</v>
      </c>
      <c r="E3701" t="s">
        <v>15</v>
      </c>
      <c r="F3701" t="s">
        <v>27</v>
      </c>
      <c r="G3701">
        <v>5</v>
      </c>
      <c r="H3701">
        <v>2210</v>
      </c>
      <c r="I3701" s="1">
        <v>304141</v>
      </c>
      <c r="J3701" s="1">
        <f>Raw_Data!$I3701/Raw_Data!$H3701</f>
        <v>137.62036199095022</v>
      </c>
    </row>
    <row r="3702" spans="1:10" x14ac:dyDescent="0.3">
      <c r="A3702" s="9">
        <v>41464</v>
      </c>
      <c r="B3702" s="2" t="str">
        <f>TEXT(Raw_Data!$A3702, "MMM")</f>
        <v>Jul</v>
      </c>
      <c r="C3702" s="2">
        <f>YEAR(Raw_Data!$A3702)</f>
        <v>2013</v>
      </c>
      <c r="D3702" s="2" t="s">
        <v>2518</v>
      </c>
      <c r="E3702" s="2" t="s">
        <v>13</v>
      </c>
      <c r="F3702" s="2" t="s">
        <v>27</v>
      </c>
      <c r="G3702" s="2">
        <v>4</v>
      </c>
      <c r="H3702" s="2">
        <v>2513</v>
      </c>
      <c r="I3702" s="10"/>
      <c r="J3702" s="10">
        <f>Raw_Data!$I3702/Raw_Data!$H3702</f>
        <v>0</v>
      </c>
    </row>
    <row r="3703" spans="1:10" x14ac:dyDescent="0.3">
      <c r="A3703" s="8">
        <v>44122</v>
      </c>
      <c r="B3703" t="str">
        <f>TEXT(Raw_Data!$A3703, "MMM")</f>
        <v>Oct</v>
      </c>
      <c r="C3703">
        <f>YEAR(Raw_Data!$A3703)</f>
        <v>2020</v>
      </c>
      <c r="D3703" t="s">
        <v>2519</v>
      </c>
      <c r="E3703" t="s">
        <v>23</v>
      </c>
      <c r="F3703" t="s">
        <v>11</v>
      </c>
      <c r="G3703">
        <v>4</v>
      </c>
      <c r="H3703">
        <v>2450</v>
      </c>
      <c r="I3703" s="1">
        <v>840391</v>
      </c>
      <c r="J3703" s="1">
        <f>Raw_Data!$I3703/Raw_Data!$H3703</f>
        <v>343.01673469387754</v>
      </c>
    </row>
    <row r="3704" spans="1:10" x14ac:dyDescent="0.3">
      <c r="A3704" s="9">
        <v>43496</v>
      </c>
      <c r="B3704" s="2" t="str">
        <f>TEXT(Raw_Data!$A3704, "MMM")</f>
        <v>Jan</v>
      </c>
      <c r="C3704" s="2">
        <f>YEAR(Raw_Data!$A3704)</f>
        <v>2019</v>
      </c>
      <c r="D3704" s="2" t="s">
        <v>1047</v>
      </c>
      <c r="E3704" s="2" t="s">
        <v>15</v>
      </c>
      <c r="F3704" s="2" t="s">
        <v>27</v>
      </c>
      <c r="G3704" s="2">
        <v>2</v>
      </c>
      <c r="H3704" s="2">
        <v>2006</v>
      </c>
      <c r="I3704" s="10">
        <v>626956</v>
      </c>
      <c r="J3704" s="10">
        <f>Raw_Data!$I3704/Raw_Data!$H3704</f>
        <v>312.54037886340979</v>
      </c>
    </row>
    <row r="3705" spans="1:10" x14ac:dyDescent="0.3">
      <c r="A3705" s="8">
        <v>37561</v>
      </c>
      <c r="B3705" t="str">
        <f>TEXT(Raw_Data!$A3705, "MMM")</f>
        <v>Nov</v>
      </c>
      <c r="C3705">
        <f>YEAR(Raw_Data!$A3705)</f>
        <v>2002</v>
      </c>
      <c r="D3705" t="s">
        <v>2520</v>
      </c>
      <c r="E3705" t="s">
        <v>23</v>
      </c>
      <c r="F3705" t="s">
        <v>18</v>
      </c>
      <c r="G3705">
        <v>3</v>
      </c>
      <c r="H3705">
        <v>1090</v>
      </c>
      <c r="I3705" s="1">
        <v>693089</v>
      </c>
      <c r="J3705" s="1">
        <f>Raw_Data!$I3705/Raw_Data!$H3705</f>
        <v>635.86146788990823</v>
      </c>
    </row>
    <row r="3706" spans="1:10" x14ac:dyDescent="0.3">
      <c r="A3706" s="9">
        <v>43992</v>
      </c>
      <c r="B3706" s="2" t="str">
        <f>TEXT(Raw_Data!$A3706, "MMM")</f>
        <v>Jun</v>
      </c>
      <c r="C3706" s="2">
        <f>YEAR(Raw_Data!$A3706)</f>
        <v>2020</v>
      </c>
      <c r="D3706" s="2" t="s">
        <v>2521</v>
      </c>
      <c r="E3706" s="2" t="s">
        <v>23</v>
      </c>
      <c r="F3706" s="2" t="s">
        <v>27</v>
      </c>
      <c r="G3706" s="2"/>
      <c r="H3706" s="2">
        <v>3147</v>
      </c>
      <c r="I3706" s="10">
        <v>761785</v>
      </c>
      <c r="J3706" s="10">
        <f>Raw_Data!$I3706/Raw_Data!$H3706</f>
        <v>242.06704798220528</v>
      </c>
    </row>
    <row r="3707" spans="1:10" x14ac:dyDescent="0.3">
      <c r="A3707" s="8">
        <v>42327</v>
      </c>
      <c r="B3707" t="str">
        <f>TEXT(Raw_Data!$A3707, "MMM")</f>
        <v>Nov</v>
      </c>
      <c r="C3707">
        <f>YEAR(Raw_Data!$A3707)</f>
        <v>2015</v>
      </c>
      <c r="D3707" t="s">
        <v>2522</v>
      </c>
      <c r="E3707" t="s">
        <v>15</v>
      </c>
      <c r="F3707" t="s">
        <v>27</v>
      </c>
      <c r="H3707">
        <v>940</v>
      </c>
      <c r="I3707" s="1">
        <v>576968</v>
      </c>
      <c r="J3707" s="1">
        <f>Raw_Data!$I3707/Raw_Data!$H3707</f>
        <v>613.79574468085104</v>
      </c>
    </row>
    <row r="3708" spans="1:10" x14ac:dyDescent="0.3">
      <c r="A3708" s="9">
        <v>39293</v>
      </c>
      <c r="B3708" s="2" t="str">
        <f>TEXT(Raw_Data!$A3708, "MMM")</f>
        <v>Jul</v>
      </c>
      <c r="C3708" s="2">
        <f>YEAR(Raw_Data!$A3708)</f>
        <v>2007</v>
      </c>
      <c r="D3708" s="2" t="s">
        <v>2136</v>
      </c>
      <c r="E3708" s="2" t="s">
        <v>15</v>
      </c>
      <c r="F3708" s="2" t="s">
        <v>18</v>
      </c>
      <c r="G3708" s="2">
        <v>5</v>
      </c>
      <c r="H3708" s="2">
        <v>2646</v>
      </c>
      <c r="I3708" s="10">
        <v>145736</v>
      </c>
      <c r="J3708" s="10">
        <f>Raw_Data!$I3708/Raw_Data!$H3708</f>
        <v>55.077853363567648</v>
      </c>
    </row>
    <row r="3709" spans="1:10" x14ac:dyDescent="0.3">
      <c r="A3709" s="8">
        <v>39340</v>
      </c>
      <c r="B3709" t="str">
        <f>TEXT(Raw_Data!$A3709, "MMM")</f>
        <v>Sep</v>
      </c>
      <c r="C3709">
        <f>YEAR(Raw_Data!$A3709)</f>
        <v>2007</v>
      </c>
      <c r="D3709" t="s">
        <v>1076</v>
      </c>
      <c r="E3709" t="s">
        <v>21</v>
      </c>
      <c r="F3709" t="s">
        <v>27</v>
      </c>
      <c r="H3709">
        <v>3370</v>
      </c>
      <c r="I3709" s="1">
        <v>180188</v>
      </c>
      <c r="J3709" s="1">
        <f>Raw_Data!$I3709/Raw_Data!$H3709</f>
        <v>53.468249258160235</v>
      </c>
    </row>
    <row r="3710" spans="1:10" x14ac:dyDescent="0.3">
      <c r="A3710" s="9">
        <v>37571</v>
      </c>
      <c r="B3710" s="2" t="str">
        <f>TEXT(Raw_Data!$A3710, "MMM")</f>
        <v>Nov</v>
      </c>
      <c r="C3710" s="2">
        <f>YEAR(Raw_Data!$A3710)</f>
        <v>2002</v>
      </c>
      <c r="D3710" s="2" t="s">
        <v>2523</v>
      </c>
      <c r="E3710" s="2" t="s">
        <v>15</v>
      </c>
      <c r="F3710" s="2" t="s">
        <v>18</v>
      </c>
      <c r="G3710" s="2"/>
      <c r="H3710" s="2">
        <v>1895</v>
      </c>
      <c r="I3710" s="10">
        <v>606950</v>
      </c>
      <c r="J3710" s="10">
        <f>Raw_Data!$I3710/Raw_Data!$H3710</f>
        <v>320.29023746701847</v>
      </c>
    </row>
    <row r="3711" spans="1:10" x14ac:dyDescent="0.3">
      <c r="A3711" s="8">
        <v>42396</v>
      </c>
      <c r="B3711" t="str">
        <f>TEXT(Raw_Data!$A3711, "MMM")</f>
        <v>Jan</v>
      </c>
      <c r="C3711">
        <f>YEAR(Raw_Data!$A3711)</f>
        <v>2016</v>
      </c>
      <c r="D3711" t="s">
        <v>1918</v>
      </c>
      <c r="E3711" t="s">
        <v>25</v>
      </c>
      <c r="F3711" t="s">
        <v>27</v>
      </c>
      <c r="G3711">
        <v>2</v>
      </c>
      <c r="H3711">
        <v>1929</v>
      </c>
      <c r="I3711" s="1">
        <v>102879</v>
      </c>
      <c r="J3711" s="1">
        <f>Raw_Data!$I3711/Raw_Data!$H3711</f>
        <v>53.332814930015552</v>
      </c>
    </row>
    <row r="3712" spans="1:10" x14ac:dyDescent="0.3">
      <c r="A3712" s="9">
        <v>42859</v>
      </c>
      <c r="B3712" s="2" t="str">
        <f>TEXT(Raw_Data!$A3712, "MMM")</f>
        <v>May</v>
      </c>
      <c r="C3712" s="2">
        <f>YEAR(Raw_Data!$A3712)</f>
        <v>2017</v>
      </c>
      <c r="D3712" s="2" t="s">
        <v>2178</v>
      </c>
      <c r="E3712" s="2" t="s">
        <v>15</v>
      </c>
      <c r="F3712" s="2" t="s">
        <v>27</v>
      </c>
      <c r="G3712" s="2">
        <v>2</v>
      </c>
      <c r="H3712" s="2">
        <v>1812</v>
      </c>
      <c r="I3712" s="10">
        <v>689661</v>
      </c>
      <c r="J3712" s="10">
        <f>Raw_Data!$I3712/Raw_Data!$H3712</f>
        <v>380.60761589403972</v>
      </c>
    </row>
    <row r="3713" spans="1:10" x14ac:dyDescent="0.3">
      <c r="A3713" s="8">
        <v>38272</v>
      </c>
      <c r="B3713" t="str">
        <f>TEXT(Raw_Data!$A3713, "MMM")</f>
        <v>Oct</v>
      </c>
      <c r="C3713">
        <f>YEAR(Raw_Data!$A3713)</f>
        <v>2004</v>
      </c>
      <c r="D3713" t="s">
        <v>2524</v>
      </c>
      <c r="E3713" t="s">
        <v>13</v>
      </c>
      <c r="F3713" t="s">
        <v>16</v>
      </c>
      <c r="G3713">
        <v>3</v>
      </c>
      <c r="H3713">
        <v>2251</v>
      </c>
      <c r="I3713" s="1">
        <v>197863</v>
      </c>
      <c r="J3713" s="1">
        <f>Raw_Data!$I3713/Raw_Data!$H3713</f>
        <v>87.900044424700127</v>
      </c>
    </row>
    <row r="3714" spans="1:10" x14ac:dyDescent="0.3">
      <c r="A3714" s="9">
        <v>40565</v>
      </c>
      <c r="B3714" s="2" t="str">
        <f>TEXT(Raw_Data!$A3714, "MMM")</f>
        <v>Jan</v>
      </c>
      <c r="C3714" s="2">
        <f>YEAR(Raw_Data!$A3714)</f>
        <v>2011</v>
      </c>
      <c r="D3714" s="2" t="s">
        <v>2525</v>
      </c>
      <c r="E3714" s="2" t="s">
        <v>23</v>
      </c>
      <c r="F3714" s="2" t="s">
        <v>27</v>
      </c>
      <c r="G3714" s="2"/>
      <c r="H3714" s="2">
        <v>887</v>
      </c>
      <c r="I3714" s="10">
        <v>366856</v>
      </c>
      <c r="J3714" s="10">
        <f>Raw_Data!$I3714/Raw_Data!$H3714</f>
        <v>413.59188275084557</v>
      </c>
    </row>
    <row r="3715" spans="1:10" x14ac:dyDescent="0.3">
      <c r="A3715" s="8">
        <v>39437</v>
      </c>
      <c r="B3715" t="str">
        <f>TEXT(Raw_Data!$A3715, "MMM")</f>
        <v>Dec</v>
      </c>
      <c r="C3715">
        <f>YEAR(Raw_Data!$A3715)</f>
        <v>2007</v>
      </c>
      <c r="D3715" t="s">
        <v>2353</v>
      </c>
      <c r="E3715" t="s">
        <v>32</v>
      </c>
      <c r="F3715" t="s">
        <v>11</v>
      </c>
      <c r="G3715">
        <v>4</v>
      </c>
      <c r="H3715">
        <v>1093</v>
      </c>
      <c r="I3715" s="1">
        <v>599335</v>
      </c>
      <c r="J3715" s="1">
        <f>Raw_Data!$I3715/Raw_Data!$H3715</f>
        <v>548.33943275388833</v>
      </c>
    </row>
    <row r="3716" spans="1:10" x14ac:dyDescent="0.3">
      <c r="A3716" s="9">
        <v>40086</v>
      </c>
      <c r="B3716" s="2" t="str">
        <f>TEXT(Raw_Data!$A3716, "MMM")</f>
        <v>Sep</v>
      </c>
      <c r="C3716" s="2">
        <f>YEAR(Raw_Data!$A3716)</f>
        <v>2009</v>
      </c>
      <c r="D3716" s="2" t="s">
        <v>2526</v>
      </c>
      <c r="E3716" s="2" t="s">
        <v>32</v>
      </c>
      <c r="F3716" s="2" t="s">
        <v>16</v>
      </c>
      <c r="G3716" s="2">
        <v>2</v>
      </c>
      <c r="H3716" s="2">
        <v>925</v>
      </c>
      <c r="I3716" s="10">
        <v>570878</v>
      </c>
      <c r="J3716" s="10">
        <f>Raw_Data!$I3716/Raw_Data!$H3716</f>
        <v>617.16540540540541</v>
      </c>
    </row>
    <row r="3717" spans="1:10" x14ac:dyDescent="0.3">
      <c r="A3717" s="8">
        <v>43319</v>
      </c>
      <c r="B3717" t="str">
        <f>TEXT(Raw_Data!$A3717, "MMM")</f>
        <v>Aug</v>
      </c>
      <c r="C3717">
        <f>YEAR(Raw_Data!$A3717)</f>
        <v>2018</v>
      </c>
      <c r="D3717" t="s">
        <v>2527</v>
      </c>
      <c r="E3717" t="s">
        <v>29</v>
      </c>
      <c r="F3717" t="s">
        <v>18</v>
      </c>
      <c r="G3717">
        <v>3</v>
      </c>
      <c r="H3717">
        <v>1875</v>
      </c>
      <c r="I3717" s="1">
        <v>883085</v>
      </c>
      <c r="J3717" s="1">
        <f>Raw_Data!$I3717/Raw_Data!$H3717</f>
        <v>470.97866666666664</v>
      </c>
    </row>
    <row r="3718" spans="1:10" x14ac:dyDescent="0.3">
      <c r="A3718" s="9">
        <v>37189</v>
      </c>
      <c r="B3718" s="2" t="str">
        <f>TEXT(Raw_Data!$A3718, "MMM")</f>
        <v>Oct</v>
      </c>
      <c r="C3718" s="2">
        <f>YEAR(Raw_Data!$A3718)</f>
        <v>2001</v>
      </c>
      <c r="D3718" s="2" t="s">
        <v>465</v>
      </c>
      <c r="E3718" s="2" t="s">
        <v>15</v>
      </c>
      <c r="F3718" s="2" t="s">
        <v>11</v>
      </c>
      <c r="G3718" s="2">
        <v>2</v>
      </c>
      <c r="H3718" s="2">
        <v>3249</v>
      </c>
      <c r="I3718" s="10">
        <v>305768</v>
      </c>
      <c r="J3718" s="10">
        <f>Raw_Data!$I3718/Raw_Data!$H3718</f>
        <v>94.111418898122494</v>
      </c>
    </row>
    <row r="3719" spans="1:10" x14ac:dyDescent="0.3">
      <c r="A3719" s="8">
        <v>37483</v>
      </c>
      <c r="B3719" t="str">
        <f>TEXT(Raw_Data!$A3719, "MMM")</f>
        <v>Aug</v>
      </c>
      <c r="C3719">
        <f>YEAR(Raw_Data!$A3719)</f>
        <v>2002</v>
      </c>
      <c r="D3719" t="s">
        <v>1046</v>
      </c>
      <c r="E3719" t="s">
        <v>13</v>
      </c>
      <c r="F3719" t="s">
        <v>11</v>
      </c>
      <c r="G3719">
        <v>4</v>
      </c>
      <c r="H3719">
        <v>1554</v>
      </c>
      <c r="I3719" s="1">
        <v>333234</v>
      </c>
      <c r="J3719" s="1">
        <f>Raw_Data!$I3719/Raw_Data!$H3719</f>
        <v>214.43629343629343</v>
      </c>
    </row>
    <row r="3720" spans="1:10" x14ac:dyDescent="0.3">
      <c r="A3720" s="9">
        <v>39623</v>
      </c>
      <c r="B3720" s="2" t="str">
        <f>TEXT(Raw_Data!$A3720, "MMM")</f>
        <v>Jun</v>
      </c>
      <c r="C3720" s="2">
        <f>YEAR(Raw_Data!$A3720)</f>
        <v>2008</v>
      </c>
      <c r="D3720" s="2" t="s">
        <v>1744</v>
      </c>
      <c r="E3720" s="2" t="s">
        <v>25</v>
      </c>
      <c r="F3720" s="2" t="s">
        <v>11</v>
      </c>
      <c r="G3720" s="2"/>
      <c r="H3720" s="2">
        <v>2947</v>
      </c>
      <c r="I3720" s="10">
        <v>779902</v>
      </c>
      <c r="J3720" s="10">
        <f>Raw_Data!$I3720/Raw_Data!$H3720</f>
        <v>264.64268747879197</v>
      </c>
    </row>
    <row r="3721" spans="1:10" x14ac:dyDescent="0.3">
      <c r="A3721" s="8">
        <v>38727</v>
      </c>
      <c r="B3721" t="str">
        <f>TEXT(Raw_Data!$A3721, "MMM")</f>
        <v>Jan</v>
      </c>
      <c r="C3721">
        <f>YEAR(Raw_Data!$A3721)</f>
        <v>2006</v>
      </c>
      <c r="D3721" t="s">
        <v>1543</v>
      </c>
      <c r="E3721" t="s">
        <v>13</v>
      </c>
      <c r="F3721" t="s">
        <v>16</v>
      </c>
      <c r="H3721">
        <v>2692</v>
      </c>
      <c r="I3721" s="1">
        <v>488398</v>
      </c>
      <c r="J3721" s="1">
        <f>Raw_Data!$I3721/Raw_Data!$H3721</f>
        <v>181.42570579494799</v>
      </c>
    </row>
    <row r="3722" spans="1:10" x14ac:dyDescent="0.3">
      <c r="A3722" s="9">
        <v>38914</v>
      </c>
      <c r="B3722" s="2" t="str">
        <f>TEXT(Raw_Data!$A3722, "MMM")</f>
        <v>Jul</v>
      </c>
      <c r="C3722" s="2">
        <f>YEAR(Raw_Data!$A3722)</f>
        <v>2006</v>
      </c>
      <c r="D3722" s="2" t="s">
        <v>2393</v>
      </c>
      <c r="E3722" s="2" t="s">
        <v>15</v>
      </c>
      <c r="F3722" s="2" t="s">
        <v>27</v>
      </c>
      <c r="G3722" s="2">
        <v>5</v>
      </c>
      <c r="H3722" s="2">
        <v>3159</v>
      </c>
      <c r="I3722" s="10">
        <v>391739</v>
      </c>
      <c r="J3722" s="10">
        <f>Raw_Data!$I3722/Raw_Data!$H3722</f>
        <v>124.00728078505857</v>
      </c>
    </row>
    <row r="3723" spans="1:10" x14ac:dyDescent="0.3">
      <c r="A3723" s="8">
        <v>40634</v>
      </c>
      <c r="B3723" t="str">
        <f>TEXT(Raw_Data!$A3723, "MMM")</f>
        <v>Apr</v>
      </c>
      <c r="C3723">
        <f>YEAR(Raw_Data!$A3723)</f>
        <v>2011</v>
      </c>
      <c r="D3723" t="s">
        <v>2528</v>
      </c>
      <c r="E3723" t="s">
        <v>15</v>
      </c>
      <c r="F3723" t="s">
        <v>16</v>
      </c>
      <c r="G3723">
        <v>5</v>
      </c>
      <c r="H3723">
        <v>1028</v>
      </c>
      <c r="I3723" s="1">
        <v>355530</v>
      </c>
      <c r="J3723" s="1">
        <f>Raw_Data!$I3723/Raw_Data!$H3723</f>
        <v>345.8463035019455</v>
      </c>
    </row>
    <row r="3724" spans="1:10" x14ac:dyDescent="0.3">
      <c r="A3724" s="9">
        <v>38682</v>
      </c>
      <c r="B3724" s="2" t="str">
        <f>TEXT(Raw_Data!$A3724, "MMM")</f>
        <v>Nov</v>
      </c>
      <c r="C3724" s="2">
        <f>YEAR(Raw_Data!$A3724)</f>
        <v>2005</v>
      </c>
      <c r="D3724" s="2" t="s">
        <v>169</v>
      </c>
      <c r="E3724" s="2" t="s">
        <v>25</v>
      </c>
      <c r="F3724" s="2" t="s">
        <v>18</v>
      </c>
      <c r="G3724" s="2">
        <v>4</v>
      </c>
      <c r="H3724" s="2">
        <v>3268</v>
      </c>
      <c r="I3724" s="10">
        <v>697292</v>
      </c>
      <c r="J3724" s="10">
        <f>Raw_Data!$I3724/Raw_Data!$H3724</f>
        <v>213.36964504283966</v>
      </c>
    </row>
    <row r="3725" spans="1:10" x14ac:dyDescent="0.3">
      <c r="A3725" s="8">
        <v>38662</v>
      </c>
      <c r="B3725" t="str">
        <f>TEXT(Raw_Data!$A3725, "MMM")</f>
        <v>Nov</v>
      </c>
      <c r="C3725">
        <f>YEAR(Raw_Data!$A3725)</f>
        <v>2005</v>
      </c>
      <c r="D3725" t="s">
        <v>720</v>
      </c>
      <c r="E3725" t="s">
        <v>32</v>
      </c>
      <c r="F3725" t="s">
        <v>16</v>
      </c>
      <c r="G3725">
        <v>2</v>
      </c>
      <c r="H3725">
        <v>1133</v>
      </c>
      <c r="I3725" s="1">
        <v>840961</v>
      </c>
      <c r="J3725" s="1">
        <f>Raw_Data!$I3725/Raw_Data!$H3725</f>
        <v>742.242718446602</v>
      </c>
    </row>
    <row r="3726" spans="1:10" x14ac:dyDescent="0.3">
      <c r="A3726" s="9">
        <v>42346</v>
      </c>
      <c r="B3726" s="2" t="str">
        <f>TEXT(Raw_Data!$A3726, "MMM")</f>
        <v>Dec</v>
      </c>
      <c r="C3726" s="2">
        <f>YEAR(Raw_Data!$A3726)</f>
        <v>2015</v>
      </c>
      <c r="D3726" s="2" t="s">
        <v>2529</v>
      </c>
      <c r="E3726" s="2" t="s">
        <v>32</v>
      </c>
      <c r="F3726" s="2" t="s">
        <v>18</v>
      </c>
      <c r="G3726" s="2">
        <v>3</v>
      </c>
      <c r="H3726" s="2">
        <v>2623</v>
      </c>
      <c r="I3726" s="10">
        <v>186715</v>
      </c>
      <c r="J3726" s="10">
        <f>Raw_Data!$I3726/Raw_Data!$H3726</f>
        <v>71.183759054517722</v>
      </c>
    </row>
    <row r="3727" spans="1:10" x14ac:dyDescent="0.3">
      <c r="A3727" s="8">
        <v>43826</v>
      </c>
      <c r="B3727" t="str">
        <f>TEXT(Raw_Data!$A3727, "MMM")</f>
        <v>Dec</v>
      </c>
      <c r="C3727">
        <f>YEAR(Raw_Data!$A3727)</f>
        <v>2019</v>
      </c>
      <c r="D3727" t="s">
        <v>2295</v>
      </c>
      <c r="E3727" t="s">
        <v>32</v>
      </c>
      <c r="F3727" t="s">
        <v>11</v>
      </c>
      <c r="H3727">
        <v>1413</v>
      </c>
      <c r="I3727" s="1">
        <v>714657</v>
      </c>
      <c r="J3727" s="1">
        <f>Raw_Data!$I3727/Raw_Data!$H3727</f>
        <v>505.77282377919323</v>
      </c>
    </row>
    <row r="3728" spans="1:10" x14ac:dyDescent="0.3">
      <c r="A3728" s="9">
        <v>40589</v>
      </c>
      <c r="B3728" s="2" t="str">
        <f>TEXT(Raw_Data!$A3728, "MMM")</f>
        <v>Feb</v>
      </c>
      <c r="C3728" s="2">
        <f>YEAR(Raw_Data!$A3728)</f>
        <v>2011</v>
      </c>
      <c r="D3728" s="2" t="s">
        <v>2385</v>
      </c>
      <c r="E3728" s="2" t="s">
        <v>21</v>
      </c>
      <c r="F3728" s="2" t="s">
        <v>18</v>
      </c>
      <c r="G3728" s="2">
        <v>4</v>
      </c>
      <c r="H3728" s="2">
        <v>2647</v>
      </c>
      <c r="I3728" s="10">
        <v>789589</v>
      </c>
      <c r="J3728" s="10">
        <f>Raw_Data!$I3728/Raw_Data!$H3728</f>
        <v>298.29580657347941</v>
      </c>
    </row>
    <row r="3729" spans="1:10" x14ac:dyDescent="0.3">
      <c r="A3729" s="8">
        <v>39301</v>
      </c>
      <c r="B3729" t="str">
        <f>TEXT(Raw_Data!$A3729, "MMM")</f>
        <v>Aug</v>
      </c>
      <c r="C3729">
        <f>YEAR(Raw_Data!$A3729)</f>
        <v>2007</v>
      </c>
      <c r="D3729" t="s">
        <v>2530</v>
      </c>
      <c r="E3729" t="s">
        <v>15</v>
      </c>
      <c r="F3729" t="s">
        <v>16</v>
      </c>
      <c r="G3729">
        <v>3</v>
      </c>
      <c r="H3729">
        <v>1711</v>
      </c>
      <c r="I3729" s="1">
        <v>789512</v>
      </c>
      <c r="J3729" s="1">
        <f>Raw_Data!$I3729/Raw_Data!$H3729</f>
        <v>461.43308007013445</v>
      </c>
    </row>
    <row r="3730" spans="1:10" x14ac:dyDescent="0.3">
      <c r="A3730" s="9">
        <v>37300</v>
      </c>
      <c r="B3730" s="2" t="str">
        <f>TEXT(Raw_Data!$A3730, "MMM")</f>
        <v>Feb</v>
      </c>
      <c r="C3730" s="2">
        <f>YEAR(Raw_Data!$A3730)</f>
        <v>2002</v>
      </c>
      <c r="D3730" s="2" t="s">
        <v>1262</v>
      </c>
      <c r="E3730" s="2" t="s">
        <v>23</v>
      </c>
      <c r="F3730" s="2" t="s">
        <v>11</v>
      </c>
      <c r="G3730" s="2"/>
      <c r="H3730" s="2">
        <v>2456</v>
      </c>
      <c r="I3730" s="10">
        <v>667028</v>
      </c>
      <c r="J3730" s="10">
        <f>Raw_Data!$I3730/Raw_Data!$H3730</f>
        <v>271.59120521172639</v>
      </c>
    </row>
    <row r="3731" spans="1:10" x14ac:dyDescent="0.3">
      <c r="A3731" s="8">
        <v>41992</v>
      </c>
      <c r="B3731" t="str">
        <f>TEXT(Raw_Data!$A3731, "MMM")</f>
        <v>Dec</v>
      </c>
      <c r="C3731">
        <f>YEAR(Raw_Data!$A3731)</f>
        <v>2014</v>
      </c>
      <c r="D3731" t="s">
        <v>2531</v>
      </c>
      <c r="E3731" t="s">
        <v>25</v>
      </c>
      <c r="F3731" t="s">
        <v>18</v>
      </c>
      <c r="G3731">
        <v>5</v>
      </c>
      <c r="H3731">
        <v>2667</v>
      </c>
      <c r="I3731" s="1">
        <v>630734</v>
      </c>
      <c r="J3731" s="1">
        <f>Raw_Data!$I3731/Raw_Data!$H3731</f>
        <v>236.49568803899513</v>
      </c>
    </row>
    <row r="3732" spans="1:10" x14ac:dyDescent="0.3">
      <c r="A3732" s="9">
        <v>37550</v>
      </c>
      <c r="B3732" s="2" t="str">
        <f>TEXT(Raw_Data!$A3732, "MMM")</f>
        <v>Oct</v>
      </c>
      <c r="C3732" s="2">
        <f>YEAR(Raw_Data!$A3732)</f>
        <v>2002</v>
      </c>
      <c r="D3732" s="2" t="s">
        <v>2532</v>
      </c>
      <c r="E3732" s="2" t="s">
        <v>21</v>
      </c>
      <c r="F3732" s="2" t="s">
        <v>27</v>
      </c>
      <c r="G3732" s="2">
        <v>5</v>
      </c>
      <c r="H3732" s="2">
        <v>2112</v>
      </c>
      <c r="I3732" s="10">
        <v>480089</v>
      </c>
      <c r="J3732" s="10">
        <f>Raw_Data!$I3732/Raw_Data!$H3732</f>
        <v>227.31486742424244</v>
      </c>
    </row>
    <row r="3733" spans="1:10" x14ac:dyDescent="0.3">
      <c r="A3733" s="8">
        <v>39054</v>
      </c>
      <c r="B3733" t="str">
        <f>TEXT(Raw_Data!$A3733, "MMM")</f>
        <v>Dec</v>
      </c>
      <c r="C3733">
        <f>YEAR(Raw_Data!$A3733)</f>
        <v>2006</v>
      </c>
      <c r="D3733" t="s">
        <v>2533</v>
      </c>
      <c r="E3733" t="s">
        <v>23</v>
      </c>
      <c r="F3733" t="s">
        <v>27</v>
      </c>
      <c r="G3733">
        <v>3</v>
      </c>
      <c r="H3733">
        <v>876</v>
      </c>
      <c r="I3733" s="1">
        <v>870337</v>
      </c>
      <c r="J3733" s="1">
        <f>Raw_Data!$I3733/Raw_Data!$H3733</f>
        <v>993.53538812785393</v>
      </c>
    </row>
    <row r="3734" spans="1:10" x14ac:dyDescent="0.3">
      <c r="A3734" s="9">
        <v>42858</v>
      </c>
      <c r="B3734" s="2" t="str">
        <f>TEXT(Raw_Data!$A3734, "MMM")</f>
        <v>May</v>
      </c>
      <c r="C3734" s="2">
        <f>YEAR(Raw_Data!$A3734)</f>
        <v>2017</v>
      </c>
      <c r="D3734" s="2" t="s">
        <v>1647</v>
      </c>
      <c r="E3734" s="2" t="s">
        <v>15</v>
      </c>
      <c r="F3734" s="2" t="s">
        <v>18</v>
      </c>
      <c r="G3734" s="2">
        <v>2</v>
      </c>
      <c r="H3734" s="2">
        <v>2388</v>
      </c>
      <c r="I3734" s="10">
        <v>771294</v>
      </c>
      <c r="J3734" s="10">
        <f>Raw_Data!$I3734/Raw_Data!$H3734</f>
        <v>322.98743718592965</v>
      </c>
    </row>
    <row r="3735" spans="1:10" x14ac:dyDescent="0.3">
      <c r="A3735" s="8">
        <v>41729</v>
      </c>
      <c r="B3735" t="str">
        <f>TEXT(Raw_Data!$A3735, "MMM")</f>
        <v>Mar</v>
      </c>
      <c r="C3735">
        <f>YEAR(Raw_Data!$A3735)</f>
        <v>2014</v>
      </c>
      <c r="D3735" t="s">
        <v>1611</v>
      </c>
      <c r="E3735" t="s">
        <v>32</v>
      </c>
      <c r="F3735" t="s">
        <v>27</v>
      </c>
      <c r="H3735">
        <v>2579</v>
      </c>
      <c r="I3735" s="1">
        <v>394659</v>
      </c>
      <c r="J3735" s="1">
        <f>Raw_Data!$I3735/Raw_Data!$H3735</f>
        <v>153.02791779759596</v>
      </c>
    </row>
    <row r="3736" spans="1:10" x14ac:dyDescent="0.3">
      <c r="A3736" s="9">
        <v>38387</v>
      </c>
      <c r="B3736" s="2" t="str">
        <f>TEXT(Raw_Data!$A3736, "MMM")</f>
        <v>Feb</v>
      </c>
      <c r="C3736" s="2">
        <f>YEAR(Raw_Data!$A3736)</f>
        <v>2005</v>
      </c>
      <c r="D3736" s="2" t="s">
        <v>2534</v>
      </c>
      <c r="E3736" s="2" t="s">
        <v>15</v>
      </c>
      <c r="F3736" s="2" t="s">
        <v>11</v>
      </c>
      <c r="G3736" s="2"/>
      <c r="H3736" s="2">
        <v>1609</v>
      </c>
      <c r="I3736" s="10">
        <v>653152</v>
      </c>
      <c r="J3736" s="10">
        <f>Raw_Data!$I3736/Raw_Data!$H3736</f>
        <v>405.93660658794283</v>
      </c>
    </row>
    <row r="3737" spans="1:10" x14ac:dyDescent="0.3">
      <c r="A3737" s="8">
        <v>40652</v>
      </c>
      <c r="B3737" t="str">
        <f>TEXT(Raw_Data!$A3737, "MMM")</f>
        <v>Apr</v>
      </c>
      <c r="C3737">
        <f>YEAR(Raw_Data!$A3737)</f>
        <v>2011</v>
      </c>
      <c r="D3737" t="s">
        <v>1625</v>
      </c>
      <c r="E3737" t="s">
        <v>21</v>
      </c>
      <c r="F3737" t="s">
        <v>27</v>
      </c>
      <c r="G3737">
        <v>3</v>
      </c>
      <c r="H3737">
        <v>2379</v>
      </c>
      <c r="I3737" s="1">
        <v>408151</v>
      </c>
      <c r="J3737" s="1">
        <f>Raw_Data!$I3737/Raw_Data!$H3737</f>
        <v>171.56410256410257</v>
      </c>
    </row>
    <row r="3738" spans="1:10" x14ac:dyDescent="0.3">
      <c r="A3738" s="9">
        <v>43357</v>
      </c>
      <c r="B3738" s="2" t="str">
        <f>TEXT(Raw_Data!$A3738, "MMM")</f>
        <v>Sep</v>
      </c>
      <c r="C3738" s="2">
        <f>YEAR(Raw_Data!$A3738)</f>
        <v>2018</v>
      </c>
      <c r="D3738" s="2" t="s">
        <v>402</v>
      </c>
      <c r="E3738" s="2" t="s">
        <v>25</v>
      </c>
      <c r="F3738" s="2" t="s">
        <v>11</v>
      </c>
      <c r="G3738" s="2"/>
      <c r="H3738" s="2">
        <v>2131</v>
      </c>
      <c r="I3738" s="10">
        <v>496091</v>
      </c>
      <c r="J3738" s="10">
        <f>Raw_Data!$I3738/Raw_Data!$H3738</f>
        <v>232.7972782731112</v>
      </c>
    </row>
    <row r="3739" spans="1:10" x14ac:dyDescent="0.3">
      <c r="A3739" s="8">
        <v>38967</v>
      </c>
      <c r="B3739" t="str">
        <f>TEXT(Raw_Data!$A3739, "MMM")</f>
        <v>Sep</v>
      </c>
      <c r="C3739">
        <f>YEAR(Raw_Data!$A3739)</f>
        <v>2006</v>
      </c>
      <c r="D3739" t="s">
        <v>1944</v>
      </c>
      <c r="E3739" t="s">
        <v>32</v>
      </c>
      <c r="F3739" t="s">
        <v>11</v>
      </c>
      <c r="H3739">
        <v>2346</v>
      </c>
      <c r="I3739" s="1">
        <v>428096</v>
      </c>
      <c r="J3739" s="1">
        <f>Raw_Data!$I3739/Raw_Data!$H3739</f>
        <v>182.47911338448424</v>
      </c>
    </row>
    <row r="3740" spans="1:10" x14ac:dyDescent="0.3">
      <c r="A3740" s="9">
        <v>39743</v>
      </c>
      <c r="B3740" s="2" t="str">
        <f>TEXT(Raw_Data!$A3740, "MMM")</f>
        <v>Oct</v>
      </c>
      <c r="C3740" s="2">
        <f>YEAR(Raw_Data!$A3740)</f>
        <v>2008</v>
      </c>
      <c r="D3740" s="2" t="s">
        <v>2535</v>
      </c>
      <c r="E3740" s="2" t="s">
        <v>32</v>
      </c>
      <c r="F3740" s="2" t="s">
        <v>16</v>
      </c>
      <c r="G3740" s="2">
        <v>4</v>
      </c>
      <c r="H3740" s="2">
        <v>2788</v>
      </c>
      <c r="I3740" s="10">
        <v>276079</v>
      </c>
      <c r="J3740" s="10">
        <f>Raw_Data!$I3740/Raw_Data!$H3740</f>
        <v>99.024031563845057</v>
      </c>
    </row>
    <row r="3741" spans="1:10" x14ac:dyDescent="0.3">
      <c r="A3741" s="8">
        <v>40092</v>
      </c>
      <c r="B3741" t="str">
        <f>TEXT(Raw_Data!$A3741, "MMM")</f>
        <v>Oct</v>
      </c>
      <c r="C3741">
        <f>YEAR(Raw_Data!$A3741)</f>
        <v>2009</v>
      </c>
      <c r="D3741" t="s">
        <v>1149</v>
      </c>
      <c r="E3741" t="s">
        <v>21</v>
      </c>
      <c r="F3741" t="s">
        <v>27</v>
      </c>
      <c r="H3741">
        <v>1124</v>
      </c>
      <c r="I3741" s="1">
        <v>822585</v>
      </c>
      <c r="J3741" s="1">
        <f>Raw_Data!$I3741/Raw_Data!$H3741</f>
        <v>731.83718861209968</v>
      </c>
    </row>
    <row r="3742" spans="1:10" x14ac:dyDescent="0.3">
      <c r="A3742" s="9">
        <v>38771</v>
      </c>
      <c r="B3742" s="2" t="str">
        <f>TEXT(Raw_Data!$A3742, "MMM")</f>
        <v>Feb</v>
      </c>
      <c r="C3742" s="2">
        <f>YEAR(Raw_Data!$A3742)</f>
        <v>2006</v>
      </c>
      <c r="D3742" s="2" t="s">
        <v>2166</v>
      </c>
      <c r="E3742" s="2" t="s">
        <v>32</v>
      </c>
      <c r="F3742" s="2" t="s">
        <v>11</v>
      </c>
      <c r="G3742" s="2">
        <v>2</v>
      </c>
      <c r="H3742" s="2">
        <v>1430</v>
      </c>
      <c r="I3742" s="10">
        <v>676159</v>
      </c>
      <c r="J3742" s="10">
        <f>Raw_Data!$I3742/Raw_Data!$H3742</f>
        <v>472.83846153846156</v>
      </c>
    </row>
    <row r="3743" spans="1:10" x14ac:dyDescent="0.3">
      <c r="A3743" s="8">
        <v>37049</v>
      </c>
      <c r="B3743" t="str">
        <f>TEXT(Raw_Data!$A3743, "MMM")</f>
        <v>Jun</v>
      </c>
      <c r="C3743">
        <f>YEAR(Raw_Data!$A3743)</f>
        <v>2001</v>
      </c>
      <c r="D3743" t="s">
        <v>316</v>
      </c>
      <c r="E3743" t="s">
        <v>15</v>
      </c>
      <c r="F3743" t="s">
        <v>16</v>
      </c>
      <c r="G3743">
        <v>3</v>
      </c>
      <c r="H3743">
        <v>1427</v>
      </c>
      <c r="I3743" s="1">
        <v>312526</v>
      </c>
      <c r="J3743" s="1">
        <f>Raw_Data!$I3743/Raw_Data!$H3743</f>
        <v>219.00911002102313</v>
      </c>
    </row>
    <row r="3744" spans="1:10" x14ac:dyDescent="0.3">
      <c r="A3744" s="9">
        <v>37190</v>
      </c>
      <c r="B3744" s="2" t="str">
        <f>TEXT(Raw_Data!$A3744, "MMM")</f>
        <v>Oct</v>
      </c>
      <c r="C3744" s="2">
        <f>YEAR(Raw_Data!$A3744)</f>
        <v>2001</v>
      </c>
      <c r="D3744" s="2" t="s">
        <v>2536</v>
      </c>
      <c r="E3744" s="2" t="s">
        <v>32</v>
      </c>
      <c r="F3744" s="2" t="s">
        <v>16</v>
      </c>
      <c r="G3744" s="2"/>
      <c r="H3744" s="2">
        <v>1399</v>
      </c>
      <c r="I3744" s="10">
        <v>241329</v>
      </c>
      <c r="J3744" s="10">
        <f>Raw_Data!$I3744/Raw_Data!$H3744</f>
        <v>172.50107219442458</v>
      </c>
    </row>
    <row r="3745" spans="1:10" x14ac:dyDescent="0.3">
      <c r="A3745" s="8">
        <v>40221</v>
      </c>
      <c r="B3745" t="str">
        <f>TEXT(Raw_Data!$A3745, "MMM")</f>
        <v>Feb</v>
      </c>
      <c r="C3745">
        <f>YEAR(Raw_Data!$A3745)</f>
        <v>2010</v>
      </c>
      <c r="D3745" t="s">
        <v>1999</v>
      </c>
      <c r="E3745" t="s">
        <v>32</v>
      </c>
      <c r="F3745" t="s">
        <v>11</v>
      </c>
      <c r="G3745">
        <v>5</v>
      </c>
      <c r="H3745">
        <v>3237</v>
      </c>
      <c r="I3745" s="1">
        <v>719892</v>
      </c>
      <c r="J3745" s="1">
        <f>Raw_Data!$I3745/Raw_Data!$H3745</f>
        <v>222.39481000926784</v>
      </c>
    </row>
    <row r="3746" spans="1:10" x14ac:dyDescent="0.3">
      <c r="A3746" s="9">
        <v>37144</v>
      </c>
      <c r="B3746" s="2" t="str">
        <f>TEXT(Raw_Data!$A3746, "MMM")</f>
        <v>Sep</v>
      </c>
      <c r="C3746" s="2">
        <f>YEAR(Raw_Data!$A3746)</f>
        <v>2001</v>
      </c>
      <c r="D3746" s="2" t="s">
        <v>2514</v>
      </c>
      <c r="E3746" s="2" t="s">
        <v>32</v>
      </c>
      <c r="F3746" s="2" t="s">
        <v>18</v>
      </c>
      <c r="G3746" s="2">
        <v>4</v>
      </c>
      <c r="H3746" s="2">
        <v>2737</v>
      </c>
      <c r="I3746" s="10">
        <v>620970</v>
      </c>
      <c r="J3746" s="10">
        <f>Raw_Data!$I3746/Raw_Data!$H3746</f>
        <v>226.87979539641944</v>
      </c>
    </row>
    <row r="3747" spans="1:10" x14ac:dyDescent="0.3">
      <c r="A3747" s="8">
        <v>40615</v>
      </c>
      <c r="B3747" t="str">
        <f>TEXT(Raw_Data!$A3747, "MMM")</f>
        <v>Mar</v>
      </c>
      <c r="C3747">
        <f>YEAR(Raw_Data!$A3747)</f>
        <v>2011</v>
      </c>
      <c r="D3747" t="s">
        <v>2537</v>
      </c>
      <c r="E3747" t="s">
        <v>13</v>
      </c>
      <c r="F3747" t="s">
        <v>27</v>
      </c>
      <c r="H3747">
        <v>1716</v>
      </c>
      <c r="I3747" s="1">
        <v>281483</v>
      </c>
      <c r="J3747" s="1">
        <f>Raw_Data!$I3747/Raw_Data!$H3747</f>
        <v>164.03438228438227</v>
      </c>
    </row>
    <row r="3748" spans="1:10" x14ac:dyDescent="0.3">
      <c r="A3748" s="9">
        <v>39666</v>
      </c>
      <c r="B3748" s="2" t="str">
        <f>TEXT(Raw_Data!$A3748, "MMM")</f>
        <v>Aug</v>
      </c>
      <c r="C3748" s="2">
        <f>YEAR(Raw_Data!$A3748)</f>
        <v>2008</v>
      </c>
      <c r="D3748" s="2" t="s">
        <v>2538</v>
      </c>
      <c r="E3748" s="2" t="s">
        <v>32</v>
      </c>
      <c r="F3748" s="2" t="s">
        <v>16</v>
      </c>
      <c r="G3748" s="2"/>
      <c r="H3748" s="2">
        <v>2126</v>
      </c>
      <c r="I3748" s="10">
        <v>139906</v>
      </c>
      <c r="J3748" s="10">
        <f>Raw_Data!$I3748/Raw_Data!$H3748</f>
        <v>65.807149576669801</v>
      </c>
    </row>
    <row r="3749" spans="1:10" x14ac:dyDescent="0.3">
      <c r="A3749" s="8">
        <v>37201</v>
      </c>
      <c r="B3749" t="str">
        <f>TEXT(Raw_Data!$A3749, "MMM")</f>
        <v>Nov</v>
      </c>
      <c r="C3749">
        <f>YEAR(Raw_Data!$A3749)</f>
        <v>2001</v>
      </c>
      <c r="D3749" t="s">
        <v>642</v>
      </c>
      <c r="E3749" t="s">
        <v>25</v>
      </c>
      <c r="F3749" t="s">
        <v>16</v>
      </c>
      <c r="G3749">
        <v>3</v>
      </c>
      <c r="H3749">
        <v>2137</v>
      </c>
      <c r="I3749" s="1">
        <v>654887</v>
      </c>
      <c r="J3749" s="1">
        <f>Raw_Data!$I3749/Raw_Data!$H3749</f>
        <v>306.45156761815628</v>
      </c>
    </row>
    <row r="3750" spans="1:10" x14ac:dyDescent="0.3">
      <c r="A3750" s="9">
        <v>43511</v>
      </c>
      <c r="B3750" s="2" t="str">
        <f>TEXT(Raw_Data!$A3750, "MMM")</f>
        <v>Feb</v>
      </c>
      <c r="C3750" s="2">
        <f>YEAR(Raw_Data!$A3750)</f>
        <v>2019</v>
      </c>
      <c r="D3750" s="2" t="s">
        <v>2539</v>
      </c>
      <c r="E3750" s="2" t="s">
        <v>25</v>
      </c>
      <c r="F3750" s="2" t="s">
        <v>16</v>
      </c>
      <c r="G3750" s="2"/>
      <c r="H3750" s="2">
        <v>2340</v>
      </c>
      <c r="I3750" s="10">
        <v>228485</v>
      </c>
      <c r="J3750" s="10">
        <f>Raw_Data!$I3750/Raw_Data!$H3750</f>
        <v>97.643162393162399</v>
      </c>
    </row>
    <row r="3751" spans="1:10" x14ac:dyDescent="0.3">
      <c r="A3751" s="8">
        <v>43159</v>
      </c>
      <c r="B3751" t="str">
        <f>TEXT(Raw_Data!$A3751, "MMM")</f>
        <v>Feb</v>
      </c>
      <c r="C3751">
        <f>YEAR(Raw_Data!$A3751)</f>
        <v>2018</v>
      </c>
      <c r="D3751" t="s">
        <v>2540</v>
      </c>
      <c r="E3751" t="s">
        <v>13</v>
      </c>
      <c r="F3751" t="s">
        <v>18</v>
      </c>
      <c r="G3751">
        <v>4</v>
      </c>
      <c r="H3751">
        <v>1955</v>
      </c>
      <c r="I3751" s="1">
        <v>607743</v>
      </c>
      <c r="J3751" s="1">
        <f>Raw_Data!$I3751/Raw_Data!$H3751</f>
        <v>310.86598465473145</v>
      </c>
    </row>
    <row r="3752" spans="1:10" x14ac:dyDescent="0.3">
      <c r="A3752" s="9">
        <v>38357</v>
      </c>
      <c r="B3752" s="2" t="str">
        <f>TEXT(Raw_Data!$A3752, "MMM")</f>
        <v>Jan</v>
      </c>
      <c r="C3752" s="2">
        <f>YEAR(Raw_Data!$A3752)</f>
        <v>2005</v>
      </c>
      <c r="D3752" s="2" t="s">
        <v>2541</v>
      </c>
      <c r="E3752" s="2" t="s">
        <v>23</v>
      </c>
      <c r="F3752" s="2" t="s">
        <v>18</v>
      </c>
      <c r="G3752" s="2">
        <v>3</v>
      </c>
      <c r="H3752" s="2">
        <v>1187</v>
      </c>
      <c r="I3752" s="10">
        <v>118948</v>
      </c>
      <c r="J3752" s="10">
        <f>Raw_Data!$I3752/Raw_Data!$H3752</f>
        <v>100.2089300758214</v>
      </c>
    </row>
    <row r="3753" spans="1:10" x14ac:dyDescent="0.3">
      <c r="A3753" s="8">
        <v>38706</v>
      </c>
      <c r="B3753" t="str">
        <f>TEXT(Raw_Data!$A3753, "MMM")</f>
        <v>Dec</v>
      </c>
      <c r="C3753">
        <f>YEAR(Raw_Data!$A3753)</f>
        <v>2005</v>
      </c>
      <c r="D3753" t="s">
        <v>1368</v>
      </c>
      <c r="E3753" t="s">
        <v>21</v>
      </c>
      <c r="F3753" t="s">
        <v>27</v>
      </c>
      <c r="G3753">
        <v>4</v>
      </c>
      <c r="H3753">
        <v>1663</v>
      </c>
      <c r="I3753" s="1">
        <v>259267</v>
      </c>
      <c r="J3753" s="1">
        <f>Raw_Data!$I3753/Raw_Data!$H3753</f>
        <v>155.90318701142513</v>
      </c>
    </row>
    <row r="3754" spans="1:10" x14ac:dyDescent="0.3">
      <c r="A3754" s="9">
        <v>44023</v>
      </c>
      <c r="B3754" s="2" t="str">
        <f>TEXT(Raw_Data!$A3754, "MMM")</f>
        <v>Jul</v>
      </c>
      <c r="C3754" s="2">
        <f>YEAR(Raw_Data!$A3754)</f>
        <v>2020</v>
      </c>
      <c r="D3754" s="2" t="s">
        <v>2542</v>
      </c>
      <c r="E3754" s="2" t="s">
        <v>15</v>
      </c>
      <c r="F3754" s="2" t="s">
        <v>18</v>
      </c>
      <c r="G3754" s="2">
        <v>3</v>
      </c>
      <c r="H3754" s="2">
        <v>2971</v>
      </c>
      <c r="I3754" s="10">
        <v>664902</v>
      </c>
      <c r="J3754" s="10">
        <f>Raw_Data!$I3754/Raw_Data!$H3754</f>
        <v>223.79737462133963</v>
      </c>
    </row>
    <row r="3755" spans="1:10" x14ac:dyDescent="0.3">
      <c r="A3755" s="8">
        <v>37133</v>
      </c>
      <c r="B3755" t="str">
        <f>TEXT(Raw_Data!$A3755, "MMM")</f>
        <v>Aug</v>
      </c>
      <c r="C3755">
        <f>YEAR(Raw_Data!$A3755)</f>
        <v>2001</v>
      </c>
      <c r="D3755" t="s">
        <v>1381</v>
      </c>
      <c r="E3755" t="s">
        <v>25</v>
      </c>
      <c r="F3755" t="s">
        <v>16</v>
      </c>
      <c r="G3755">
        <v>4</v>
      </c>
      <c r="H3755">
        <v>1647</v>
      </c>
      <c r="I3755" s="1">
        <v>230390</v>
      </c>
      <c r="J3755" s="1">
        <f>Raw_Data!$I3755/Raw_Data!$H3755</f>
        <v>139.88463873709776</v>
      </c>
    </row>
    <row r="3756" spans="1:10" x14ac:dyDescent="0.3">
      <c r="A3756" s="9">
        <v>37773</v>
      </c>
      <c r="B3756" s="2" t="str">
        <f>TEXT(Raw_Data!$A3756, "MMM")</f>
        <v>Jun</v>
      </c>
      <c r="C3756" s="2">
        <f>YEAR(Raw_Data!$A3756)</f>
        <v>2003</v>
      </c>
      <c r="D3756" s="2" t="s">
        <v>369</v>
      </c>
      <c r="E3756" s="2" t="s">
        <v>15</v>
      </c>
      <c r="F3756" s="2" t="s">
        <v>11</v>
      </c>
      <c r="G3756" s="2">
        <v>4</v>
      </c>
      <c r="H3756" s="2">
        <v>1013</v>
      </c>
      <c r="I3756" s="10">
        <v>875279</v>
      </c>
      <c r="J3756" s="10">
        <f>Raw_Data!$I3756/Raw_Data!$H3756</f>
        <v>864.0463968410661</v>
      </c>
    </row>
    <row r="3757" spans="1:10" x14ac:dyDescent="0.3">
      <c r="A3757" s="8">
        <v>43683</v>
      </c>
      <c r="B3757" t="str">
        <f>TEXT(Raw_Data!$A3757, "MMM")</f>
        <v>Aug</v>
      </c>
      <c r="C3757">
        <f>YEAR(Raw_Data!$A3757)</f>
        <v>2019</v>
      </c>
      <c r="D3757" t="s">
        <v>2543</v>
      </c>
      <c r="E3757" t="s">
        <v>29</v>
      </c>
      <c r="F3757" t="s">
        <v>16</v>
      </c>
      <c r="G3757">
        <v>5</v>
      </c>
      <c r="H3757">
        <v>1815</v>
      </c>
      <c r="I3757" s="1">
        <v>812918</v>
      </c>
      <c r="J3757" s="1">
        <f>Raw_Data!$I3757/Raw_Data!$H3757</f>
        <v>447.88870523415977</v>
      </c>
    </row>
    <row r="3758" spans="1:10" x14ac:dyDescent="0.3">
      <c r="A3758" s="9">
        <v>41693</v>
      </c>
      <c r="B3758" s="2" t="str">
        <f>TEXT(Raw_Data!$A3758, "MMM")</f>
        <v>Feb</v>
      </c>
      <c r="C3758" s="2">
        <f>YEAR(Raw_Data!$A3758)</f>
        <v>2014</v>
      </c>
      <c r="D3758" s="2" t="s">
        <v>2102</v>
      </c>
      <c r="E3758" s="2" t="s">
        <v>32</v>
      </c>
      <c r="F3758" s="2" t="s">
        <v>18</v>
      </c>
      <c r="G3758" s="2">
        <v>3</v>
      </c>
      <c r="H3758" s="2">
        <v>1907</v>
      </c>
      <c r="I3758" s="10">
        <v>156964</v>
      </c>
      <c r="J3758" s="10">
        <f>Raw_Data!$I3758/Raw_Data!$H3758</f>
        <v>82.309386470896698</v>
      </c>
    </row>
    <row r="3759" spans="1:10" x14ac:dyDescent="0.3">
      <c r="A3759" s="8">
        <v>42629</v>
      </c>
      <c r="B3759" t="str">
        <f>TEXT(Raw_Data!$A3759, "MMM")</f>
        <v>Sep</v>
      </c>
      <c r="C3759">
        <f>YEAR(Raw_Data!$A3759)</f>
        <v>2016</v>
      </c>
      <c r="D3759" t="s">
        <v>204</v>
      </c>
      <c r="E3759" t="s">
        <v>21</v>
      </c>
      <c r="F3759" t="s">
        <v>18</v>
      </c>
      <c r="G3759">
        <v>4</v>
      </c>
      <c r="H3759">
        <v>1876</v>
      </c>
      <c r="I3759" s="1">
        <v>675364</v>
      </c>
      <c r="J3759" s="1">
        <f>Raw_Data!$I3759/Raw_Data!$H3759</f>
        <v>360.00213219616205</v>
      </c>
    </row>
    <row r="3760" spans="1:10" x14ac:dyDescent="0.3">
      <c r="A3760" s="9">
        <v>40681</v>
      </c>
      <c r="B3760" s="2" t="str">
        <f>TEXT(Raw_Data!$A3760, "MMM")</f>
        <v>May</v>
      </c>
      <c r="C3760" s="2">
        <f>YEAR(Raw_Data!$A3760)</f>
        <v>2011</v>
      </c>
      <c r="D3760" s="2" t="s">
        <v>252</v>
      </c>
      <c r="E3760" s="2" t="s">
        <v>13</v>
      </c>
      <c r="F3760" s="2" t="s">
        <v>11</v>
      </c>
      <c r="G3760" s="2">
        <v>5</v>
      </c>
      <c r="H3760" s="2">
        <v>2794</v>
      </c>
      <c r="I3760" s="10">
        <v>394131</v>
      </c>
      <c r="J3760" s="10">
        <f>Raw_Data!$I3760/Raw_Data!$H3760</f>
        <v>141.06335003579099</v>
      </c>
    </row>
    <row r="3761" spans="1:10" x14ac:dyDescent="0.3">
      <c r="A3761" s="8">
        <v>42240</v>
      </c>
      <c r="B3761" t="str">
        <f>TEXT(Raw_Data!$A3761, "MMM")</f>
        <v>Aug</v>
      </c>
      <c r="C3761">
        <f>YEAR(Raw_Data!$A3761)</f>
        <v>2015</v>
      </c>
      <c r="D3761" t="s">
        <v>1422</v>
      </c>
      <c r="E3761" t="s">
        <v>25</v>
      </c>
      <c r="F3761" t="s">
        <v>27</v>
      </c>
      <c r="G3761">
        <v>4</v>
      </c>
      <c r="H3761">
        <v>1671</v>
      </c>
      <c r="I3761" s="1">
        <v>518938</v>
      </c>
      <c r="J3761" s="1">
        <f>Raw_Data!$I3761/Raw_Data!$H3761</f>
        <v>310.55535607420705</v>
      </c>
    </row>
    <row r="3762" spans="1:10" x14ac:dyDescent="0.3">
      <c r="A3762" s="9">
        <v>42649</v>
      </c>
      <c r="B3762" s="2" t="str">
        <f>TEXT(Raw_Data!$A3762, "MMM")</f>
        <v>Oct</v>
      </c>
      <c r="C3762" s="2">
        <f>YEAR(Raw_Data!$A3762)</f>
        <v>2016</v>
      </c>
      <c r="D3762" s="2" t="s">
        <v>364</v>
      </c>
      <c r="E3762" s="2" t="s">
        <v>15</v>
      </c>
      <c r="F3762" s="2" t="s">
        <v>16</v>
      </c>
      <c r="G3762" s="2">
        <v>5</v>
      </c>
      <c r="H3762" s="2">
        <v>2240</v>
      </c>
      <c r="I3762" s="10">
        <v>805680</v>
      </c>
      <c r="J3762" s="10">
        <f>Raw_Data!$I3762/Raw_Data!$H3762</f>
        <v>359.67857142857144</v>
      </c>
    </row>
    <row r="3763" spans="1:10" x14ac:dyDescent="0.3">
      <c r="A3763" s="8">
        <v>37165</v>
      </c>
      <c r="B3763" t="str">
        <f>TEXT(Raw_Data!$A3763, "MMM")</f>
        <v>Oct</v>
      </c>
      <c r="C3763">
        <f>YEAR(Raw_Data!$A3763)</f>
        <v>2001</v>
      </c>
      <c r="D3763" t="s">
        <v>2544</v>
      </c>
      <c r="E3763" t="s">
        <v>15</v>
      </c>
      <c r="F3763" t="s">
        <v>18</v>
      </c>
      <c r="G3763">
        <v>3</v>
      </c>
      <c r="H3763">
        <v>815</v>
      </c>
      <c r="I3763" s="1">
        <v>401326</v>
      </c>
      <c r="J3763" s="1">
        <f>Raw_Data!$I3763/Raw_Data!$H3763</f>
        <v>492.42453987730062</v>
      </c>
    </row>
    <row r="3764" spans="1:10" x14ac:dyDescent="0.3">
      <c r="A3764" s="9">
        <v>38602</v>
      </c>
      <c r="B3764" s="2" t="str">
        <f>TEXT(Raw_Data!$A3764, "MMM")</f>
        <v>Sep</v>
      </c>
      <c r="C3764" s="2">
        <f>YEAR(Raw_Data!$A3764)</f>
        <v>2005</v>
      </c>
      <c r="D3764" s="2" t="s">
        <v>2545</v>
      </c>
      <c r="E3764" s="2" t="s">
        <v>25</v>
      </c>
      <c r="F3764" s="2" t="s">
        <v>27</v>
      </c>
      <c r="G3764" s="2">
        <v>2</v>
      </c>
      <c r="H3764" s="2">
        <v>3320</v>
      </c>
      <c r="I3764" s="10">
        <v>679459</v>
      </c>
      <c r="J3764" s="10">
        <f>Raw_Data!$I3764/Raw_Data!$H3764</f>
        <v>204.65632530120482</v>
      </c>
    </row>
    <row r="3765" spans="1:10" x14ac:dyDescent="0.3">
      <c r="A3765" s="8">
        <v>43620</v>
      </c>
      <c r="B3765" t="str">
        <f>TEXT(Raw_Data!$A3765, "MMM")</f>
        <v>Jun</v>
      </c>
      <c r="C3765">
        <f>YEAR(Raw_Data!$A3765)</f>
        <v>2019</v>
      </c>
      <c r="D3765" t="s">
        <v>935</v>
      </c>
      <c r="E3765" t="s">
        <v>29</v>
      </c>
      <c r="F3765" t="s">
        <v>27</v>
      </c>
      <c r="G3765">
        <v>3</v>
      </c>
      <c r="H3765">
        <v>2062</v>
      </c>
      <c r="I3765" s="1">
        <v>383440</v>
      </c>
      <c r="J3765" s="1">
        <f>Raw_Data!$I3765/Raw_Data!$H3765</f>
        <v>185.95538312318138</v>
      </c>
    </row>
    <row r="3766" spans="1:10" x14ac:dyDescent="0.3">
      <c r="A3766" s="9">
        <v>43639</v>
      </c>
      <c r="B3766" s="2" t="str">
        <f>TEXT(Raw_Data!$A3766, "MMM")</f>
        <v>Jun</v>
      </c>
      <c r="C3766" s="2">
        <f>YEAR(Raw_Data!$A3766)</f>
        <v>2019</v>
      </c>
      <c r="D3766" s="2" t="s">
        <v>201</v>
      </c>
      <c r="E3766" s="2" t="s">
        <v>32</v>
      </c>
      <c r="F3766" s="2" t="s">
        <v>18</v>
      </c>
      <c r="G3766" s="2"/>
      <c r="H3766" s="2">
        <v>2294</v>
      </c>
      <c r="I3766" s="10">
        <v>751275</v>
      </c>
      <c r="J3766" s="10">
        <f>Raw_Data!$I3766/Raw_Data!$H3766</f>
        <v>327.4956408020924</v>
      </c>
    </row>
    <row r="3767" spans="1:10" x14ac:dyDescent="0.3">
      <c r="A3767" s="8">
        <v>39758</v>
      </c>
      <c r="B3767" t="str">
        <f>TEXT(Raw_Data!$A3767, "MMM")</f>
        <v>Nov</v>
      </c>
      <c r="C3767">
        <f>YEAR(Raw_Data!$A3767)</f>
        <v>2008</v>
      </c>
      <c r="D3767" t="s">
        <v>2163</v>
      </c>
      <c r="E3767" t="s">
        <v>21</v>
      </c>
      <c r="F3767" t="s">
        <v>16</v>
      </c>
      <c r="G3767">
        <v>5</v>
      </c>
      <c r="H3767">
        <v>3176</v>
      </c>
      <c r="I3767" s="1">
        <v>529891</v>
      </c>
      <c r="J3767" s="1">
        <f>Raw_Data!$I3767/Raw_Data!$H3767</f>
        <v>166.84225440806046</v>
      </c>
    </row>
    <row r="3768" spans="1:10" x14ac:dyDescent="0.3">
      <c r="A3768" s="9">
        <v>38506</v>
      </c>
      <c r="B3768" s="2" t="str">
        <f>TEXT(Raw_Data!$A3768, "MMM")</f>
        <v>Jun</v>
      </c>
      <c r="C3768" s="2">
        <f>YEAR(Raw_Data!$A3768)</f>
        <v>2005</v>
      </c>
      <c r="D3768" s="2" t="s">
        <v>2546</v>
      </c>
      <c r="E3768" s="2" t="s">
        <v>32</v>
      </c>
      <c r="F3768" s="2" t="s">
        <v>18</v>
      </c>
      <c r="G3768" s="2">
        <v>4</v>
      </c>
      <c r="H3768" s="2">
        <v>3371</v>
      </c>
      <c r="I3768" s="10">
        <v>414429</v>
      </c>
      <c r="J3768" s="10">
        <f>Raw_Data!$I3768/Raw_Data!$H3768</f>
        <v>122.9394838326906</v>
      </c>
    </row>
    <row r="3769" spans="1:10" x14ac:dyDescent="0.3">
      <c r="A3769" s="8">
        <v>41108</v>
      </c>
      <c r="B3769" t="str">
        <f>TEXT(Raw_Data!$A3769, "MMM")</f>
        <v>Jul</v>
      </c>
      <c r="C3769">
        <f>YEAR(Raw_Data!$A3769)</f>
        <v>2012</v>
      </c>
      <c r="D3769" t="s">
        <v>2001</v>
      </c>
      <c r="E3769" t="s">
        <v>13</v>
      </c>
      <c r="F3769" t="s">
        <v>11</v>
      </c>
      <c r="G3769">
        <v>4</v>
      </c>
      <c r="H3769">
        <v>3169</v>
      </c>
      <c r="I3769" s="1">
        <v>507060</v>
      </c>
      <c r="J3769" s="1">
        <f>Raw_Data!$I3769/Raw_Data!$H3769</f>
        <v>160.00631113916063</v>
      </c>
    </row>
    <row r="3770" spans="1:10" x14ac:dyDescent="0.3">
      <c r="A3770" s="9">
        <v>38545</v>
      </c>
      <c r="B3770" s="2" t="str">
        <f>TEXT(Raw_Data!$A3770, "MMM")</f>
        <v>Jul</v>
      </c>
      <c r="C3770" s="2">
        <f>YEAR(Raw_Data!$A3770)</f>
        <v>2005</v>
      </c>
      <c r="D3770" s="2" t="s">
        <v>2156</v>
      </c>
      <c r="E3770" s="2" t="s">
        <v>32</v>
      </c>
      <c r="F3770" s="2" t="s">
        <v>27</v>
      </c>
      <c r="G3770" s="2">
        <v>2</v>
      </c>
      <c r="H3770" s="2">
        <v>2248</v>
      </c>
      <c r="I3770" s="10">
        <v>898104</v>
      </c>
      <c r="J3770" s="10">
        <f>Raw_Data!$I3770/Raw_Data!$H3770</f>
        <v>399.51245551601426</v>
      </c>
    </row>
    <row r="3771" spans="1:10" x14ac:dyDescent="0.3">
      <c r="A3771" s="8">
        <v>41403</v>
      </c>
      <c r="B3771" t="str">
        <f>TEXT(Raw_Data!$A3771, "MMM")</f>
        <v>May</v>
      </c>
      <c r="C3771">
        <f>YEAR(Raw_Data!$A3771)</f>
        <v>2013</v>
      </c>
      <c r="D3771" t="s">
        <v>969</v>
      </c>
      <c r="E3771" t="s">
        <v>32</v>
      </c>
      <c r="F3771" t="s">
        <v>27</v>
      </c>
      <c r="H3771">
        <v>2081</v>
      </c>
      <c r="I3771" s="1">
        <v>661813</v>
      </c>
      <c r="J3771" s="1">
        <f>Raw_Data!$I3771/Raw_Data!$H3771</f>
        <v>318.02642960115327</v>
      </c>
    </row>
    <row r="3772" spans="1:10" x14ac:dyDescent="0.3">
      <c r="A3772" s="9">
        <v>40277</v>
      </c>
      <c r="B3772" s="2" t="str">
        <f>TEXT(Raw_Data!$A3772, "MMM")</f>
        <v>Apr</v>
      </c>
      <c r="C3772" s="2">
        <f>YEAR(Raw_Data!$A3772)</f>
        <v>2010</v>
      </c>
      <c r="D3772" s="2" t="s">
        <v>1302</v>
      </c>
      <c r="E3772" s="2" t="s">
        <v>23</v>
      </c>
      <c r="F3772" s="2" t="s">
        <v>27</v>
      </c>
      <c r="G3772" s="2">
        <v>2</v>
      </c>
      <c r="H3772" s="2">
        <v>2144</v>
      </c>
      <c r="I3772" s="10">
        <v>556630</v>
      </c>
      <c r="J3772" s="10">
        <f>Raw_Data!$I3772/Raw_Data!$H3772</f>
        <v>259.62220149253733</v>
      </c>
    </row>
    <row r="3773" spans="1:10" x14ac:dyDescent="0.3">
      <c r="A3773" s="8">
        <v>38235</v>
      </c>
      <c r="B3773" t="str">
        <f>TEXT(Raw_Data!$A3773, "MMM")</f>
        <v>Sep</v>
      </c>
      <c r="C3773">
        <f>YEAR(Raw_Data!$A3773)</f>
        <v>2004</v>
      </c>
      <c r="D3773" t="s">
        <v>579</v>
      </c>
      <c r="E3773" t="s">
        <v>32</v>
      </c>
      <c r="F3773" t="s">
        <v>16</v>
      </c>
      <c r="G3773">
        <v>2</v>
      </c>
      <c r="H3773">
        <v>2803</v>
      </c>
      <c r="I3773" s="1">
        <v>571307</v>
      </c>
      <c r="J3773" s="1">
        <f>Raw_Data!$I3773/Raw_Data!$H3773</f>
        <v>203.81983589011773</v>
      </c>
    </row>
    <row r="3774" spans="1:10" x14ac:dyDescent="0.3">
      <c r="A3774" s="9">
        <v>43045</v>
      </c>
      <c r="B3774" s="2" t="str">
        <f>TEXT(Raw_Data!$A3774, "MMM")</f>
        <v>Nov</v>
      </c>
      <c r="C3774" s="2">
        <f>YEAR(Raw_Data!$A3774)</f>
        <v>2017</v>
      </c>
      <c r="D3774" s="2" t="s">
        <v>2507</v>
      </c>
      <c r="E3774" s="2" t="s">
        <v>32</v>
      </c>
      <c r="F3774" s="2" t="s">
        <v>11</v>
      </c>
      <c r="G3774" s="2">
        <v>5</v>
      </c>
      <c r="H3774" s="2">
        <v>2292</v>
      </c>
      <c r="I3774" s="10"/>
      <c r="J3774" s="10">
        <f>Raw_Data!$I3774/Raw_Data!$H3774</f>
        <v>0</v>
      </c>
    </row>
    <row r="3775" spans="1:10" x14ac:dyDescent="0.3">
      <c r="A3775" s="8">
        <v>40650</v>
      </c>
      <c r="B3775" t="str">
        <f>TEXT(Raw_Data!$A3775, "MMM")</f>
        <v>Apr</v>
      </c>
      <c r="C3775">
        <f>YEAR(Raw_Data!$A3775)</f>
        <v>2011</v>
      </c>
      <c r="D3775" t="s">
        <v>2547</v>
      </c>
      <c r="E3775" t="s">
        <v>15</v>
      </c>
      <c r="F3775" t="s">
        <v>16</v>
      </c>
      <c r="G3775">
        <v>5</v>
      </c>
      <c r="H3775">
        <v>1099</v>
      </c>
      <c r="I3775" s="1">
        <v>463337</v>
      </c>
      <c r="J3775" s="1">
        <f>Raw_Data!$I3775/Raw_Data!$H3775</f>
        <v>421.59872611464971</v>
      </c>
    </row>
    <row r="3776" spans="1:10" x14ac:dyDescent="0.3">
      <c r="A3776" s="9">
        <v>37863</v>
      </c>
      <c r="B3776" s="2" t="str">
        <f>TEXT(Raw_Data!$A3776, "MMM")</f>
        <v>Aug</v>
      </c>
      <c r="C3776" s="2">
        <f>YEAR(Raw_Data!$A3776)</f>
        <v>2003</v>
      </c>
      <c r="D3776" s="2" t="s">
        <v>1672</v>
      </c>
      <c r="E3776" s="2" t="s">
        <v>15</v>
      </c>
      <c r="F3776" s="2" t="s">
        <v>16</v>
      </c>
      <c r="G3776" s="2">
        <v>5</v>
      </c>
      <c r="H3776" s="2">
        <v>1046</v>
      </c>
      <c r="I3776" s="10">
        <v>455064</v>
      </c>
      <c r="J3776" s="10">
        <f>Raw_Data!$I3776/Raw_Data!$H3776</f>
        <v>435.05162523900572</v>
      </c>
    </row>
    <row r="3777" spans="1:10" x14ac:dyDescent="0.3">
      <c r="A3777" s="8">
        <v>42190</v>
      </c>
      <c r="B3777" t="str">
        <f>TEXT(Raw_Data!$A3777, "MMM")</f>
        <v>Jul</v>
      </c>
      <c r="C3777">
        <f>YEAR(Raw_Data!$A3777)</f>
        <v>2015</v>
      </c>
      <c r="D3777" t="s">
        <v>2548</v>
      </c>
      <c r="E3777" t="s">
        <v>25</v>
      </c>
      <c r="F3777" t="s">
        <v>16</v>
      </c>
      <c r="H3777">
        <v>2959</v>
      </c>
      <c r="I3777" s="1">
        <v>132612</v>
      </c>
      <c r="J3777" s="1">
        <f>Raw_Data!$I3777/Raw_Data!$H3777</f>
        <v>44.816492058127743</v>
      </c>
    </row>
    <row r="3778" spans="1:10" x14ac:dyDescent="0.3">
      <c r="A3778" s="9">
        <v>42939</v>
      </c>
      <c r="B3778" s="2" t="str">
        <f>TEXT(Raw_Data!$A3778, "MMM")</f>
        <v>Jul</v>
      </c>
      <c r="C3778" s="2">
        <f>YEAR(Raw_Data!$A3778)</f>
        <v>2017</v>
      </c>
      <c r="D3778" s="2" t="s">
        <v>91</v>
      </c>
      <c r="E3778" s="2" t="s">
        <v>15</v>
      </c>
      <c r="F3778" s="2" t="s">
        <v>11</v>
      </c>
      <c r="G3778" s="2">
        <v>3</v>
      </c>
      <c r="H3778" s="2">
        <v>2085</v>
      </c>
      <c r="I3778" s="10">
        <v>408847</v>
      </c>
      <c r="J3778" s="10">
        <f>Raw_Data!$I3778/Raw_Data!$H3778</f>
        <v>196.08968824940047</v>
      </c>
    </row>
    <row r="3779" spans="1:10" x14ac:dyDescent="0.3">
      <c r="A3779" s="8">
        <v>40457</v>
      </c>
      <c r="B3779" t="str">
        <f>TEXT(Raw_Data!$A3779, "MMM")</f>
        <v>Oct</v>
      </c>
      <c r="C3779">
        <f>YEAR(Raw_Data!$A3779)</f>
        <v>2010</v>
      </c>
      <c r="D3779" t="s">
        <v>2549</v>
      </c>
      <c r="E3779" t="s">
        <v>15</v>
      </c>
      <c r="F3779" t="s">
        <v>11</v>
      </c>
      <c r="H3779">
        <v>2207</v>
      </c>
      <c r="I3779" s="1">
        <v>526488</v>
      </c>
      <c r="J3779" s="1">
        <f>Raw_Data!$I3779/Raw_Data!$H3779</f>
        <v>238.55369279565019</v>
      </c>
    </row>
    <row r="3780" spans="1:10" x14ac:dyDescent="0.3">
      <c r="A3780" s="9">
        <v>37496</v>
      </c>
      <c r="B3780" s="2" t="str">
        <f>TEXT(Raw_Data!$A3780, "MMM")</f>
        <v>Aug</v>
      </c>
      <c r="C3780" s="2">
        <f>YEAR(Raw_Data!$A3780)</f>
        <v>2002</v>
      </c>
      <c r="D3780" s="2" t="s">
        <v>2550</v>
      </c>
      <c r="E3780" s="2" t="s">
        <v>29</v>
      </c>
      <c r="F3780" s="2" t="s">
        <v>16</v>
      </c>
      <c r="G3780" s="2">
        <v>5</v>
      </c>
      <c r="H3780" s="2">
        <v>3131</v>
      </c>
      <c r="I3780" s="10">
        <v>614381</v>
      </c>
      <c r="J3780" s="10">
        <f>Raw_Data!$I3780/Raw_Data!$H3780</f>
        <v>196.22516767805814</v>
      </c>
    </row>
    <row r="3781" spans="1:10" x14ac:dyDescent="0.3">
      <c r="A3781" s="8">
        <v>43065</v>
      </c>
      <c r="B3781" t="str">
        <f>TEXT(Raw_Data!$A3781, "MMM")</f>
        <v>Nov</v>
      </c>
      <c r="C3781">
        <f>YEAR(Raw_Data!$A3781)</f>
        <v>2017</v>
      </c>
      <c r="D3781" t="s">
        <v>111</v>
      </c>
      <c r="E3781" t="s">
        <v>25</v>
      </c>
      <c r="F3781" t="s">
        <v>11</v>
      </c>
      <c r="H3781">
        <v>1209</v>
      </c>
      <c r="I3781" s="1">
        <v>735218</v>
      </c>
      <c r="J3781" s="1">
        <f>Raw_Data!$I3781/Raw_Data!$H3781</f>
        <v>608.12076095947066</v>
      </c>
    </row>
    <row r="3782" spans="1:10" x14ac:dyDescent="0.3">
      <c r="A3782" s="9">
        <v>37705</v>
      </c>
      <c r="B3782" s="2" t="str">
        <f>TEXT(Raw_Data!$A3782, "MMM")</f>
        <v>Mar</v>
      </c>
      <c r="C3782" s="2">
        <f>YEAR(Raw_Data!$A3782)</f>
        <v>2003</v>
      </c>
      <c r="D3782" s="2" t="s">
        <v>1111</v>
      </c>
      <c r="E3782" s="2" t="s">
        <v>25</v>
      </c>
      <c r="F3782" s="2" t="s">
        <v>16</v>
      </c>
      <c r="G3782" s="2"/>
      <c r="H3782" s="2">
        <v>2869</v>
      </c>
      <c r="I3782" s="10">
        <v>176454</v>
      </c>
      <c r="J3782" s="10">
        <f>Raw_Data!$I3782/Raw_Data!$H3782</f>
        <v>61.503659811781105</v>
      </c>
    </row>
    <row r="3783" spans="1:10" x14ac:dyDescent="0.3">
      <c r="A3783" s="8">
        <v>43624</v>
      </c>
      <c r="B3783" t="str">
        <f>TEXT(Raw_Data!$A3783, "MMM")</f>
        <v>Jun</v>
      </c>
      <c r="C3783">
        <f>YEAR(Raw_Data!$A3783)</f>
        <v>2019</v>
      </c>
      <c r="D3783" t="s">
        <v>2551</v>
      </c>
      <c r="E3783" t="s">
        <v>13</v>
      </c>
      <c r="F3783" t="s">
        <v>18</v>
      </c>
      <c r="H3783">
        <v>2706</v>
      </c>
      <c r="I3783" s="1">
        <v>735044</v>
      </c>
      <c r="J3783" s="1">
        <f>Raw_Data!$I3783/Raw_Data!$H3783</f>
        <v>271.63488543976348</v>
      </c>
    </row>
    <row r="3784" spans="1:10" x14ac:dyDescent="0.3">
      <c r="A3784" s="9">
        <v>40446</v>
      </c>
      <c r="B3784" s="2" t="str">
        <f>TEXT(Raw_Data!$A3784, "MMM")</f>
        <v>Sep</v>
      </c>
      <c r="C3784" s="2">
        <f>YEAR(Raw_Data!$A3784)</f>
        <v>2010</v>
      </c>
      <c r="D3784" s="2" t="s">
        <v>2552</v>
      </c>
      <c r="E3784" s="2" t="s">
        <v>15</v>
      </c>
      <c r="F3784" s="2" t="s">
        <v>27</v>
      </c>
      <c r="G3784" s="2">
        <v>4</v>
      </c>
      <c r="H3784" s="2">
        <v>2954</v>
      </c>
      <c r="I3784" s="10">
        <v>378270</v>
      </c>
      <c r="J3784" s="10">
        <f>Raw_Data!$I3784/Raw_Data!$H3784</f>
        <v>128.05348679756261</v>
      </c>
    </row>
    <row r="3785" spans="1:10" x14ac:dyDescent="0.3">
      <c r="A3785" s="8">
        <v>42547</v>
      </c>
      <c r="B3785" t="str">
        <f>TEXT(Raw_Data!$A3785, "MMM")</f>
        <v>Jun</v>
      </c>
      <c r="C3785">
        <f>YEAR(Raw_Data!$A3785)</f>
        <v>2016</v>
      </c>
      <c r="D3785" t="s">
        <v>2553</v>
      </c>
      <c r="E3785" t="s">
        <v>25</v>
      </c>
      <c r="F3785" t="s">
        <v>11</v>
      </c>
      <c r="H3785">
        <v>3291</v>
      </c>
      <c r="I3785" s="1">
        <v>345940</v>
      </c>
      <c r="J3785" s="1">
        <f>Raw_Data!$I3785/Raw_Data!$H3785</f>
        <v>105.11698571862655</v>
      </c>
    </row>
    <row r="3786" spans="1:10" x14ac:dyDescent="0.3">
      <c r="A3786" s="9">
        <v>39500</v>
      </c>
      <c r="B3786" s="2" t="str">
        <f>TEXT(Raw_Data!$A3786, "MMM")</f>
        <v>Feb</v>
      </c>
      <c r="C3786" s="2">
        <f>YEAR(Raw_Data!$A3786)</f>
        <v>2008</v>
      </c>
      <c r="D3786" s="2" t="s">
        <v>2554</v>
      </c>
      <c r="E3786" s="2" t="s">
        <v>25</v>
      </c>
      <c r="F3786" s="2" t="s">
        <v>18</v>
      </c>
      <c r="G3786" s="2"/>
      <c r="H3786" s="2">
        <v>2462</v>
      </c>
      <c r="I3786" s="10">
        <v>229509</v>
      </c>
      <c r="J3786" s="10">
        <f>Raw_Data!$I3786/Raw_Data!$H3786</f>
        <v>93.220552396425674</v>
      </c>
    </row>
    <row r="3787" spans="1:10" x14ac:dyDescent="0.3">
      <c r="A3787" s="8">
        <v>42065</v>
      </c>
      <c r="B3787" t="str">
        <f>TEXT(Raw_Data!$A3787, "MMM")</f>
        <v>Mar</v>
      </c>
      <c r="C3787">
        <f>YEAR(Raw_Data!$A3787)</f>
        <v>2015</v>
      </c>
      <c r="D3787" t="s">
        <v>2555</v>
      </c>
      <c r="E3787" t="s">
        <v>23</v>
      </c>
      <c r="F3787" t="s">
        <v>11</v>
      </c>
      <c r="H3787">
        <v>1726</v>
      </c>
      <c r="I3787" s="1">
        <v>626027</v>
      </c>
      <c r="J3787" s="1">
        <f>Raw_Data!$I3787/Raw_Data!$H3787</f>
        <v>362.70393974507533</v>
      </c>
    </row>
    <row r="3788" spans="1:10" x14ac:dyDescent="0.3">
      <c r="A3788" s="9">
        <v>44091</v>
      </c>
      <c r="B3788" s="2" t="str">
        <f>TEXT(Raw_Data!$A3788, "MMM")</f>
        <v>Sep</v>
      </c>
      <c r="C3788" s="2">
        <f>YEAR(Raw_Data!$A3788)</f>
        <v>2020</v>
      </c>
      <c r="D3788" s="2" t="s">
        <v>2556</v>
      </c>
      <c r="E3788" s="2" t="s">
        <v>21</v>
      </c>
      <c r="F3788" s="2" t="s">
        <v>27</v>
      </c>
      <c r="G3788" s="2"/>
      <c r="H3788" s="2">
        <v>1455</v>
      </c>
      <c r="I3788" s="10">
        <v>408957</v>
      </c>
      <c r="J3788" s="10">
        <f>Raw_Data!$I3788/Raw_Data!$H3788</f>
        <v>281.07010309278348</v>
      </c>
    </row>
    <row r="3789" spans="1:10" x14ac:dyDescent="0.3">
      <c r="A3789" s="8">
        <v>44144</v>
      </c>
      <c r="B3789" t="str">
        <f>TEXT(Raw_Data!$A3789, "MMM")</f>
        <v>Nov</v>
      </c>
      <c r="C3789">
        <f>YEAR(Raw_Data!$A3789)</f>
        <v>2020</v>
      </c>
      <c r="D3789" t="s">
        <v>2557</v>
      </c>
      <c r="E3789" t="s">
        <v>23</v>
      </c>
      <c r="F3789" t="s">
        <v>16</v>
      </c>
      <c r="G3789">
        <v>2</v>
      </c>
      <c r="H3789">
        <v>1245</v>
      </c>
      <c r="I3789" s="1">
        <v>476355</v>
      </c>
      <c r="J3789" s="1">
        <f>Raw_Data!$I3789/Raw_Data!$H3789</f>
        <v>382.6144578313253</v>
      </c>
    </row>
    <row r="3790" spans="1:10" x14ac:dyDescent="0.3">
      <c r="A3790" s="9">
        <v>42015</v>
      </c>
      <c r="B3790" s="2" t="str">
        <f>TEXT(Raw_Data!$A3790, "MMM")</f>
        <v>Jan</v>
      </c>
      <c r="C3790" s="2">
        <f>YEAR(Raw_Data!$A3790)</f>
        <v>2015</v>
      </c>
      <c r="D3790" s="2" t="s">
        <v>2558</v>
      </c>
      <c r="E3790" s="2" t="s">
        <v>15</v>
      </c>
      <c r="F3790" s="2" t="s">
        <v>18</v>
      </c>
      <c r="G3790" s="2">
        <v>5</v>
      </c>
      <c r="H3790" s="2">
        <v>1896</v>
      </c>
      <c r="I3790" s="10">
        <v>115039</v>
      </c>
      <c r="J3790" s="10">
        <f>Raw_Data!$I3790/Raw_Data!$H3790</f>
        <v>60.674578059071727</v>
      </c>
    </row>
    <row r="3791" spans="1:10" x14ac:dyDescent="0.3">
      <c r="A3791" s="8">
        <v>43524</v>
      </c>
      <c r="B3791" t="str">
        <f>TEXT(Raw_Data!$A3791, "MMM")</f>
        <v>Feb</v>
      </c>
      <c r="C3791">
        <f>YEAR(Raw_Data!$A3791)</f>
        <v>2019</v>
      </c>
      <c r="D3791" t="s">
        <v>2559</v>
      </c>
      <c r="E3791" t="s">
        <v>25</v>
      </c>
      <c r="F3791" t="s">
        <v>16</v>
      </c>
      <c r="G3791">
        <v>5</v>
      </c>
      <c r="H3791">
        <v>2191</v>
      </c>
      <c r="I3791" s="1">
        <v>145054</v>
      </c>
      <c r="J3791" s="1">
        <f>Raw_Data!$I3791/Raw_Data!$H3791</f>
        <v>66.204472843450475</v>
      </c>
    </row>
    <row r="3792" spans="1:10" x14ac:dyDescent="0.3">
      <c r="A3792" s="9">
        <v>38736</v>
      </c>
      <c r="B3792" s="2" t="str">
        <f>TEXT(Raw_Data!$A3792, "MMM")</f>
        <v>Jan</v>
      </c>
      <c r="C3792" s="2">
        <f>YEAR(Raw_Data!$A3792)</f>
        <v>2006</v>
      </c>
      <c r="D3792" s="2" t="s">
        <v>2097</v>
      </c>
      <c r="E3792" s="2" t="s">
        <v>25</v>
      </c>
      <c r="F3792" s="2" t="s">
        <v>27</v>
      </c>
      <c r="G3792" s="2"/>
      <c r="H3792" s="2">
        <v>3467</v>
      </c>
      <c r="I3792" s="10">
        <v>525941</v>
      </c>
      <c r="J3792" s="10">
        <f>Raw_Data!$I3792/Raw_Data!$H3792</f>
        <v>151.69916354196712</v>
      </c>
    </row>
    <row r="3793" spans="1:10" x14ac:dyDescent="0.3">
      <c r="A3793" s="8">
        <v>44028</v>
      </c>
      <c r="B3793" t="str">
        <f>TEXT(Raw_Data!$A3793, "MMM")</f>
        <v>Jul</v>
      </c>
      <c r="C3793">
        <f>YEAR(Raw_Data!$A3793)</f>
        <v>2020</v>
      </c>
      <c r="D3793" t="s">
        <v>545</v>
      </c>
      <c r="E3793" t="s">
        <v>29</v>
      </c>
      <c r="F3793" t="s">
        <v>11</v>
      </c>
      <c r="G3793">
        <v>2</v>
      </c>
      <c r="H3793">
        <v>1865</v>
      </c>
      <c r="I3793" s="1">
        <v>668236</v>
      </c>
      <c r="J3793" s="1">
        <f>Raw_Data!$I3793/Raw_Data!$H3793</f>
        <v>358.30348525469168</v>
      </c>
    </row>
    <row r="3794" spans="1:10" x14ac:dyDescent="0.3">
      <c r="A3794" s="9">
        <v>42680</v>
      </c>
      <c r="B3794" s="2" t="str">
        <f>TEXT(Raw_Data!$A3794, "MMM")</f>
        <v>Nov</v>
      </c>
      <c r="C3794" s="2">
        <f>YEAR(Raw_Data!$A3794)</f>
        <v>2016</v>
      </c>
      <c r="D3794" s="2" t="s">
        <v>2560</v>
      </c>
      <c r="E3794" s="2" t="s">
        <v>25</v>
      </c>
      <c r="F3794" s="2" t="s">
        <v>27</v>
      </c>
      <c r="G3794" s="2"/>
      <c r="H3794" s="2">
        <v>2398</v>
      </c>
      <c r="I3794" s="10">
        <v>299520</v>
      </c>
      <c r="J3794" s="10">
        <f>Raw_Data!$I3794/Raw_Data!$H3794</f>
        <v>124.90408673894912</v>
      </c>
    </row>
    <row r="3795" spans="1:10" x14ac:dyDescent="0.3">
      <c r="A3795" s="8">
        <v>39879</v>
      </c>
      <c r="B3795" t="str">
        <f>TEXT(Raw_Data!$A3795, "MMM")</f>
        <v>Mar</v>
      </c>
      <c r="C3795">
        <f>YEAR(Raw_Data!$A3795)</f>
        <v>2009</v>
      </c>
      <c r="D3795" t="s">
        <v>2561</v>
      </c>
      <c r="E3795" t="s">
        <v>13</v>
      </c>
      <c r="F3795" t="s">
        <v>11</v>
      </c>
      <c r="G3795">
        <v>5</v>
      </c>
      <c r="H3795">
        <v>2227</v>
      </c>
      <c r="I3795" s="1">
        <v>837795</v>
      </c>
      <c r="J3795" s="1">
        <f>Raw_Data!$I3795/Raw_Data!$H3795</f>
        <v>376.1989223170184</v>
      </c>
    </row>
    <row r="3796" spans="1:10" x14ac:dyDescent="0.3">
      <c r="A3796" s="9">
        <v>41605</v>
      </c>
      <c r="B3796" s="2" t="str">
        <f>TEXT(Raw_Data!$A3796, "MMM")</f>
        <v>Nov</v>
      </c>
      <c r="C3796" s="2">
        <f>YEAR(Raw_Data!$A3796)</f>
        <v>2013</v>
      </c>
      <c r="D3796" s="2" t="s">
        <v>2562</v>
      </c>
      <c r="E3796" s="2" t="s">
        <v>21</v>
      </c>
      <c r="F3796" s="2" t="s">
        <v>11</v>
      </c>
      <c r="G3796" s="2">
        <v>2</v>
      </c>
      <c r="H3796" s="2">
        <v>2379</v>
      </c>
      <c r="I3796" s="10">
        <v>383079</v>
      </c>
      <c r="J3796" s="10">
        <f>Raw_Data!$I3796/Raw_Data!$H3796</f>
        <v>161.0252206809584</v>
      </c>
    </row>
    <row r="3797" spans="1:10" x14ac:dyDescent="0.3">
      <c r="A3797" s="8">
        <v>39166</v>
      </c>
      <c r="B3797" t="str">
        <f>TEXT(Raw_Data!$A3797, "MMM")</f>
        <v>Mar</v>
      </c>
      <c r="C3797">
        <f>YEAR(Raw_Data!$A3797)</f>
        <v>2007</v>
      </c>
      <c r="D3797" t="s">
        <v>47</v>
      </c>
      <c r="E3797" t="s">
        <v>23</v>
      </c>
      <c r="F3797" t="s">
        <v>16</v>
      </c>
      <c r="H3797">
        <v>2200</v>
      </c>
      <c r="I3797" s="1">
        <v>253505</v>
      </c>
      <c r="J3797" s="1">
        <f>Raw_Data!$I3797/Raw_Data!$H3797</f>
        <v>115.22954545454546</v>
      </c>
    </row>
    <row r="3798" spans="1:10" x14ac:dyDescent="0.3">
      <c r="A3798" s="9">
        <v>42619</v>
      </c>
      <c r="B3798" s="2" t="str">
        <f>TEXT(Raw_Data!$A3798, "MMM")</f>
        <v>Sep</v>
      </c>
      <c r="C3798" s="2">
        <f>YEAR(Raw_Data!$A3798)</f>
        <v>2016</v>
      </c>
      <c r="D3798" s="2" t="s">
        <v>2335</v>
      </c>
      <c r="E3798" s="2" t="s">
        <v>15</v>
      </c>
      <c r="F3798" s="2" t="s">
        <v>27</v>
      </c>
      <c r="G3798" s="2"/>
      <c r="H3798" s="2">
        <v>2221</v>
      </c>
      <c r="I3798" s="10">
        <v>409980</v>
      </c>
      <c r="J3798" s="10">
        <f>Raw_Data!$I3798/Raw_Data!$H3798</f>
        <v>184.59252588923908</v>
      </c>
    </row>
    <row r="3799" spans="1:10" x14ac:dyDescent="0.3">
      <c r="A3799" s="8">
        <v>38969</v>
      </c>
      <c r="B3799" t="str">
        <f>TEXT(Raw_Data!$A3799, "MMM")</f>
        <v>Sep</v>
      </c>
      <c r="C3799">
        <f>YEAR(Raw_Data!$A3799)</f>
        <v>2006</v>
      </c>
      <c r="D3799" t="s">
        <v>1087</v>
      </c>
      <c r="E3799" t="s">
        <v>21</v>
      </c>
      <c r="F3799" t="s">
        <v>27</v>
      </c>
      <c r="G3799">
        <v>3</v>
      </c>
      <c r="H3799">
        <v>1298</v>
      </c>
      <c r="I3799" s="1">
        <v>845971</v>
      </c>
      <c r="J3799" s="1">
        <f>Raw_Data!$I3799/Raw_Data!$H3799</f>
        <v>651.74961479198771</v>
      </c>
    </row>
    <row r="3800" spans="1:10" x14ac:dyDescent="0.3">
      <c r="A3800" s="9">
        <v>43113</v>
      </c>
      <c r="B3800" s="2" t="str">
        <f>TEXT(Raw_Data!$A3800, "MMM")</f>
        <v>Jan</v>
      </c>
      <c r="C3800" s="2">
        <f>YEAR(Raw_Data!$A3800)</f>
        <v>2018</v>
      </c>
      <c r="D3800" s="2" t="s">
        <v>2563</v>
      </c>
      <c r="E3800" s="2" t="s">
        <v>32</v>
      </c>
      <c r="F3800" s="2" t="s">
        <v>27</v>
      </c>
      <c r="G3800" s="2">
        <v>4</v>
      </c>
      <c r="H3800" s="2">
        <v>1775</v>
      </c>
      <c r="I3800" s="10">
        <v>486656</v>
      </c>
      <c r="J3800" s="10">
        <f>Raw_Data!$I3800/Raw_Data!$H3800</f>
        <v>274.17239436619718</v>
      </c>
    </row>
    <row r="3801" spans="1:10" x14ac:dyDescent="0.3">
      <c r="A3801" s="8">
        <v>38464</v>
      </c>
      <c r="B3801" t="str">
        <f>TEXT(Raw_Data!$A3801, "MMM")</f>
        <v>Apr</v>
      </c>
      <c r="C3801">
        <f>YEAR(Raw_Data!$A3801)</f>
        <v>2005</v>
      </c>
      <c r="D3801" t="s">
        <v>833</v>
      </c>
      <c r="E3801" t="s">
        <v>15</v>
      </c>
      <c r="F3801" t="s">
        <v>27</v>
      </c>
      <c r="G3801">
        <v>2</v>
      </c>
      <c r="H3801">
        <v>2983</v>
      </c>
      <c r="I3801" s="1">
        <v>306131</v>
      </c>
      <c r="J3801" s="1">
        <f>Raw_Data!$I3801/Raw_Data!$H3801</f>
        <v>102.62520952061683</v>
      </c>
    </row>
    <row r="3802" spans="1:10" x14ac:dyDescent="0.3">
      <c r="A3802" s="9">
        <v>40631</v>
      </c>
      <c r="B3802" s="2" t="str">
        <f>TEXT(Raw_Data!$A3802, "MMM")</f>
        <v>Mar</v>
      </c>
      <c r="C3802" s="2">
        <f>YEAR(Raw_Data!$A3802)</f>
        <v>2011</v>
      </c>
      <c r="D3802" s="2" t="s">
        <v>2564</v>
      </c>
      <c r="E3802" s="2" t="s">
        <v>15</v>
      </c>
      <c r="F3802" s="2" t="s">
        <v>16</v>
      </c>
      <c r="G3802" s="2"/>
      <c r="H3802" s="2">
        <v>2710</v>
      </c>
      <c r="I3802" s="10">
        <v>158192</v>
      </c>
      <c r="J3802" s="10">
        <f>Raw_Data!$I3802/Raw_Data!$H3802</f>
        <v>58.373431734317343</v>
      </c>
    </row>
    <row r="3803" spans="1:10" x14ac:dyDescent="0.3">
      <c r="A3803" s="8">
        <v>41631</v>
      </c>
      <c r="B3803" t="str">
        <f>TEXT(Raw_Data!$A3803, "MMM")</f>
        <v>Dec</v>
      </c>
      <c r="C3803">
        <f>YEAR(Raw_Data!$A3803)</f>
        <v>2013</v>
      </c>
      <c r="D3803" t="s">
        <v>2565</v>
      </c>
      <c r="E3803" t="s">
        <v>32</v>
      </c>
      <c r="F3803" t="s">
        <v>16</v>
      </c>
      <c r="H3803">
        <v>3268</v>
      </c>
      <c r="I3803" s="1">
        <v>274636</v>
      </c>
      <c r="J3803" s="1">
        <f>Raw_Data!$I3803/Raw_Data!$H3803</f>
        <v>84.037943696450427</v>
      </c>
    </row>
    <row r="3804" spans="1:10" x14ac:dyDescent="0.3">
      <c r="A3804" s="9">
        <v>38582</v>
      </c>
      <c r="B3804" s="2" t="str">
        <f>TEXT(Raw_Data!$A3804, "MMM")</f>
        <v>Aug</v>
      </c>
      <c r="C3804" s="2">
        <f>YEAR(Raw_Data!$A3804)</f>
        <v>2005</v>
      </c>
      <c r="D3804" s="2" t="s">
        <v>131</v>
      </c>
      <c r="E3804" s="2" t="s">
        <v>21</v>
      </c>
      <c r="F3804" s="2" t="s">
        <v>18</v>
      </c>
      <c r="G3804" s="2">
        <v>5</v>
      </c>
      <c r="H3804" s="2">
        <v>1239</v>
      </c>
      <c r="I3804" s="10">
        <v>353231</v>
      </c>
      <c r="J3804" s="10">
        <f>Raw_Data!$I3804/Raw_Data!$H3804</f>
        <v>285.09362389023408</v>
      </c>
    </row>
    <row r="3805" spans="1:10" x14ac:dyDescent="0.3">
      <c r="A3805" s="8">
        <v>41534</v>
      </c>
      <c r="B3805" t="str">
        <f>TEXT(Raw_Data!$A3805, "MMM")</f>
        <v>Sep</v>
      </c>
      <c r="C3805">
        <f>YEAR(Raw_Data!$A3805)</f>
        <v>2013</v>
      </c>
      <c r="D3805" t="s">
        <v>157</v>
      </c>
      <c r="E3805" t="s">
        <v>32</v>
      </c>
      <c r="F3805" t="s">
        <v>11</v>
      </c>
      <c r="H3805">
        <v>2610</v>
      </c>
      <c r="I3805" s="1">
        <v>523686</v>
      </c>
      <c r="J3805" s="1">
        <f>Raw_Data!$I3805/Raw_Data!$H3805</f>
        <v>200.64597701149424</v>
      </c>
    </row>
    <row r="3806" spans="1:10" x14ac:dyDescent="0.3">
      <c r="A3806" s="9">
        <v>43654</v>
      </c>
      <c r="B3806" s="2" t="str">
        <f>TEXT(Raw_Data!$A3806, "MMM")</f>
        <v>Jul</v>
      </c>
      <c r="C3806" s="2">
        <f>YEAR(Raw_Data!$A3806)</f>
        <v>2019</v>
      </c>
      <c r="D3806" s="2" t="s">
        <v>1074</v>
      </c>
      <c r="E3806" s="2" t="s">
        <v>15</v>
      </c>
      <c r="F3806" s="2" t="s">
        <v>18</v>
      </c>
      <c r="G3806" s="2">
        <v>4</v>
      </c>
      <c r="H3806" s="2">
        <v>2550</v>
      </c>
      <c r="I3806" s="10">
        <v>748182</v>
      </c>
      <c r="J3806" s="10">
        <f>Raw_Data!$I3806/Raw_Data!$H3806</f>
        <v>293.40470588235291</v>
      </c>
    </row>
    <row r="3807" spans="1:10" x14ac:dyDescent="0.3">
      <c r="A3807" s="8">
        <v>43842</v>
      </c>
      <c r="B3807" t="str">
        <f>TEXT(Raw_Data!$A3807, "MMM")</f>
        <v>Jan</v>
      </c>
      <c r="C3807">
        <f>YEAR(Raw_Data!$A3807)</f>
        <v>2020</v>
      </c>
      <c r="D3807" t="s">
        <v>2183</v>
      </c>
      <c r="E3807" t="s">
        <v>25</v>
      </c>
      <c r="F3807" t="s">
        <v>11</v>
      </c>
      <c r="G3807">
        <v>4</v>
      </c>
      <c r="H3807">
        <v>3324</v>
      </c>
      <c r="I3807" s="1">
        <v>132829</v>
      </c>
      <c r="J3807" s="1">
        <f>Raw_Data!$I3807/Raw_Data!$H3807</f>
        <v>39.960589651022865</v>
      </c>
    </row>
    <row r="3808" spans="1:10" x14ac:dyDescent="0.3">
      <c r="A3808" s="9">
        <v>42252</v>
      </c>
      <c r="B3808" s="2" t="str">
        <f>TEXT(Raw_Data!$A3808, "MMM")</f>
        <v>Sep</v>
      </c>
      <c r="C3808" s="2">
        <f>YEAR(Raw_Data!$A3808)</f>
        <v>2015</v>
      </c>
      <c r="D3808" s="2" t="s">
        <v>2566</v>
      </c>
      <c r="E3808" s="2" t="s">
        <v>13</v>
      </c>
      <c r="F3808" s="2" t="s">
        <v>27</v>
      </c>
      <c r="G3808" s="2">
        <v>2</v>
      </c>
      <c r="H3808" s="2">
        <v>1039</v>
      </c>
      <c r="I3808" s="10">
        <v>649352</v>
      </c>
      <c r="J3808" s="10">
        <f>Raw_Data!$I3808/Raw_Data!$H3808</f>
        <v>624.97786333012516</v>
      </c>
    </row>
    <row r="3809" spans="1:10" x14ac:dyDescent="0.3">
      <c r="A3809" s="8">
        <v>43800</v>
      </c>
      <c r="B3809" t="str">
        <f>TEXT(Raw_Data!$A3809, "MMM")</f>
        <v>Dec</v>
      </c>
      <c r="C3809">
        <f>YEAR(Raw_Data!$A3809)</f>
        <v>2019</v>
      </c>
      <c r="D3809" t="s">
        <v>509</v>
      </c>
      <c r="E3809" t="s">
        <v>13</v>
      </c>
      <c r="F3809" t="s">
        <v>11</v>
      </c>
      <c r="G3809">
        <v>3</v>
      </c>
      <c r="H3809">
        <v>3033</v>
      </c>
      <c r="I3809" s="1">
        <v>671594</v>
      </c>
      <c r="J3809" s="1">
        <f>Raw_Data!$I3809/Raw_Data!$H3809</f>
        <v>221.42894823606989</v>
      </c>
    </row>
    <row r="3810" spans="1:10" x14ac:dyDescent="0.3">
      <c r="A3810" s="9">
        <v>37849</v>
      </c>
      <c r="B3810" s="2" t="str">
        <f>TEXT(Raw_Data!$A3810, "MMM")</f>
        <v>Aug</v>
      </c>
      <c r="C3810" s="2">
        <f>YEAR(Raw_Data!$A3810)</f>
        <v>2003</v>
      </c>
      <c r="D3810" s="2" t="s">
        <v>1056</v>
      </c>
      <c r="E3810" s="2" t="s">
        <v>25</v>
      </c>
      <c r="F3810" s="2" t="s">
        <v>18</v>
      </c>
      <c r="G3810" s="2">
        <v>5</v>
      </c>
      <c r="H3810" s="2">
        <v>3071</v>
      </c>
      <c r="I3810" s="10">
        <v>684885</v>
      </c>
      <c r="J3810" s="10">
        <f>Raw_Data!$I3810/Raw_Data!$H3810</f>
        <v>223.01693259524586</v>
      </c>
    </row>
    <row r="3811" spans="1:10" x14ac:dyDescent="0.3">
      <c r="A3811" s="8">
        <v>38206</v>
      </c>
      <c r="B3811" t="str">
        <f>TEXT(Raw_Data!$A3811, "MMM")</f>
        <v>Aug</v>
      </c>
      <c r="C3811">
        <f>YEAR(Raw_Data!$A3811)</f>
        <v>2004</v>
      </c>
      <c r="D3811" t="s">
        <v>2041</v>
      </c>
      <c r="E3811" t="s">
        <v>32</v>
      </c>
      <c r="F3811" t="s">
        <v>18</v>
      </c>
      <c r="G3811">
        <v>2</v>
      </c>
      <c r="H3811">
        <v>1373</v>
      </c>
      <c r="I3811" s="1">
        <v>503387</v>
      </c>
      <c r="J3811" s="1">
        <f>Raw_Data!$I3811/Raw_Data!$H3811</f>
        <v>366.63292061179897</v>
      </c>
    </row>
    <row r="3812" spans="1:10" x14ac:dyDescent="0.3">
      <c r="A3812" s="9">
        <v>42670</v>
      </c>
      <c r="B3812" s="2" t="str">
        <f>TEXT(Raw_Data!$A3812, "MMM")</f>
        <v>Oct</v>
      </c>
      <c r="C3812" s="2">
        <f>YEAR(Raw_Data!$A3812)</f>
        <v>2016</v>
      </c>
      <c r="D3812" s="2" t="s">
        <v>2567</v>
      </c>
      <c r="E3812" s="2" t="s">
        <v>15</v>
      </c>
      <c r="F3812" s="2" t="s">
        <v>11</v>
      </c>
      <c r="G3812" s="2"/>
      <c r="H3812" s="2">
        <v>1656</v>
      </c>
      <c r="I3812" s="10">
        <v>627879</v>
      </c>
      <c r="J3812" s="10">
        <f>Raw_Data!$I3812/Raw_Data!$H3812</f>
        <v>379.15398550724638</v>
      </c>
    </row>
    <row r="3813" spans="1:10" x14ac:dyDescent="0.3">
      <c r="A3813" s="8">
        <v>37895</v>
      </c>
      <c r="B3813" t="str">
        <f>TEXT(Raw_Data!$A3813, "MMM")</f>
        <v>Oct</v>
      </c>
      <c r="C3813">
        <f>YEAR(Raw_Data!$A3813)</f>
        <v>2003</v>
      </c>
      <c r="D3813" t="s">
        <v>869</v>
      </c>
      <c r="E3813" t="s">
        <v>29</v>
      </c>
      <c r="F3813" t="s">
        <v>27</v>
      </c>
      <c r="H3813">
        <v>1808</v>
      </c>
      <c r="I3813" s="1">
        <v>735576</v>
      </c>
      <c r="J3813" s="1">
        <f>Raw_Data!$I3813/Raw_Data!$H3813</f>
        <v>406.84513274336285</v>
      </c>
    </row>
    <row r="3814" spans="1:10" x14ac:dyDescent="0.3">
      <c r="A3814" s="9">
        <v>39562</v>
      </c>
      <c r="B3814" s="2" t="str">
        <f>TEXT(Raw_Data!$A3814, "MMM")</f>
        <v>Apr</v>
      </c>
      <c r="C3814" s="2">
        <f>YEAR(Raw_Data!$A3814)</f>
        <v>2008</v>
      </c>
      <c r="D3814" s="2" t="s">
        <v>1568</v>
      </c>
      <c r="E3814" s="2" t="s">
        <v>13</v>
      </c>
      <c r="F3814" s="2" t="s">
        <v>27</v>
      </c>
      <c r="G3814" s="2">
        <v>3</v>
      </c>
      <c r="H3814" s="2">
        <v>3085</v>
      </c>
      <c r="I3814" s="10">
        <v>840465</v>
      </c>
      <c r="J3814" s="10">
        <f>Raw_Data!$I3814/Raw_Data!$H3814</f>
        <v>272.43598055105349</v>
      </c>
    </row>
    <row r="3815" spans="1:10" x14ac:dyDescent="0.3">
      <c r="A3815" s="8">
        <v>43441</v>
      </c>
      <c r="B3815" t="str">
        <f>TEXT(Raw_Data!$A3815, "MMM")</f>
        <v>Dec</v>
      </c>
      <c r="C3815">
        <f>YEAR(Raw_Data!$A3815)</f>
        <v>2018</v>
      </c>
      <c r="D3815" t="s">
        <v>2568</v>
      </c>
      <c r="E3815" t="s">
        <v>25</v>
      </c>
      <c r="F3815" t="s">
        <v>27</v>
      </c>
      <c r="H3815">
        <v>2282</v>
      </c>
      <c r="I3815" s="1">
        <v>768182</v>
      </c>
      <c r="J3815" s="1">
        <f>Raw_Data!$I3815/Raw_Data!$H3815</f>
        <v>336.62664329535494</v>
      </c>
    </row>
    <row r="3816" spans="1:10" x14ac:dyDescent="0.3">
      <c r="A3816" s="9">
        <v>37686</v>
      </c>
      <c r="B3816" s="2" t="str">
        <f>TEXT(Raw_Data!$A3816, "MMM")</f>
        <v>Mar</v>
      </c>
      <c r="C3816" s="2">
        <f>YEAR(Raw_Data!$A3816)</f>
        <v>2003</v>
      </c>
      <c r="D3816" s="2" t="s">
        <v>2139</v>
      </c>
      <c r="E3816" s="2" t="s">
        <v>32</v>
      </c>
      <c r="F3816" s="2" t="s">
        <v>16</v>
      </c>
      <c r="G3816" s="2">
        <v>3</v>
      </c>
      <c r="H3816" s="2">
        <v>2263</v>
      </c>
      <c r="I3816" s="10">
        <v>538522</v>
      </c>
      <c r="J3816" s="10">
        <f>Raw_Data!$I3816/Raw_Data!$H3816</f>
        <v>237.96818382677861</v>
      </c>
    </row>
    <row r="3817" spans="1:10" x14ac:dyDescent="0.3">
      <c r="A3817" s="8">
        <v>40012</v>
      </c>
      <c r="B3817" t="str">
        <f>TEXT(Raw_Data!$A3817, "MMM")</f>
        <v>Jul</v>
      </c>
      <c r="C3817">
        <f>YEAR(Raw_Data!$A3817)</f>
        <v>2009</v>
      </c>
      <c r="D3817" t="s">
        <v>2569</v>
      </c>
      <c r="E3817" t="s">
        <v>25</v>
      </c>
      <c r="F3817" t="s">
        <v>11</v>
      </c>
      <c r="G3817">
        <v>2</v>
      </c>
      <c r="H3817">
        <v>2410</v>
      </c>
      <c r="I3817" s="1">
        <v>711228</v>
      </c>
      <c r="J3817" s="1">
        <f>Raw_Data!$I3817/Raw_Data!$H3817</f>
        <v>295.11535269709543</v>
      </c>
    </row>
    <row r="3818" spans="1:10" x14ac:dyDescent="0.3">
      <c r="A3818" s="9">
        <v>42513</v>
      </c>
      <c r="B3818" s="2" t="str">
        <f>TEXT(Raw_Data!$A3818, "MMM")</f>
        <v>May</v>
      </c>
      <c r="C3818" s="2">
        <f>YEAR(Raw_Data!$A3818)</f>
        <v>2016</v>
      </c>
      <c r="D3818" s="2" t="s">
        <v>548</v>
      </c>
      <c r="E3818" s="2" t="s">
        <v>13</v>
      </c>
      <c r="F3818" s="2" t="s">
        <v>16</v>
      </c>
      <c r="G3818" s="2">
        <v>2</v>
      </c>
      <c r="H3818" s="2">
        <v>1679</v>
      </c>
      <c r="I3818" s="10">
        <v>561108</v>
      </c>
      <c r="J3818" s="10">
        <f>Raw_Data!$I3818/Raw_Data!$H3818</f>
        <v>334.1917808219178</v>
      </c>
    </row>
    <row r="3819" spans="1:10" x14ac:dyDescent="0.3">
      <c r="A3819" s="8">
        <v>40018</v>
      </c>
      <c r="B3819" t="str">
        <f>TEXT(Raw_Data!$A3819, "MMM")</f>
        <v>Jul</v>
      </c>
      <c r="C3819">
        <f>YEAR(Raw_Data!$A3819)</f>
        <v>2009</v>
      </c>
      <c r="D3819" t="s">
        <v>2570</v>
      </c>
      <c r="E3819" t="s">
        <v>15</v>
      </c>
      <c r="F3819" t="s">
        <v>27</v>
      </c>
      <c r="G3819">
        <v>5</v>
      </c>
      <c r="H3819">
        <v>1606</v>
      </c>
      <c r="I3819" s="1">
        <v>627593</v>
      </c>
      <c r="J3819" s="1">
        <f>Raw_Data!$I3819/Raw_Data!$H3819</f>
        <v>390.78019925280199</v>
      </c>
    </row>
    <row r="3820" spans="1:10" x14ac:dyDescent="0.3">
      <c r="A3820" s="9">
        <v>40710</v>
      </c>
      <c r="B3820" s="2" t="str">
        <f>TEXT(Raw_Data!$A3820, "MMM")</f>
        <v>Jun</v>
      </c>
      <c r="C3820" s="2">
        <f>YEAR(Raw_Data!$A3820)</f>
        <v>2011</v>
      </c>
      <c r="D3820" s="2" t="s">
        <v>1067</v>
      </c>
      <c r="E3820" s="2" t="s">
        <v>25</v>
      </c>
      <c r="F3820" s="2" t="s">
        <v>18</v>
      </c>
      <c r="G3820" s="2">
        <v>5</v>
      </c>
      <c r="H3820" s="2">
        <v>2982</v>
      </c>
      <c r="I3820" s="10">
        <v>298009</v>
      </c>
      <c r="J3820" s="10">
        <f>Raw_Data!$I3820/Raw_Data!$H3820</f>
        <v>99.935949027498324</v>
      </c>
    </row>
    <row r="3821" spans="1:10" x14ac:dyDescent="0.3">
      <c r="A3821" s="8">
        <v>38015</v>
      </c>
      <c r="B3821" t="str">
        <f>TEXT(Raw_Data!$A3821, "MMM")</f>
        <v>Jan</v>
      </c>
      <c r="C3821">
        <f>YEAR(Raw_Data!$A3821)</f>
        <v>2004</v>
      </c>
      <c r="D3821" t="s">
        <v>936</v>
      </c>
      <c r="E3821" t="s">
        <v>25</v>
      </c>
      <c r="F3821" t="s">
        <v>18</v>
      </c>
      <c r="G3821">
        <v>2</v>
      </c>
      <c r="H3821">
        <v>1357</v>
      </c>
      <c r="I3821" s="1">
        <v>635810</v>
      </c>
      <c r="J3821" s="1">
        <f>Raw_Data!$I3821/Raw_Data!$H3821</f>
        <v>468.54089904200441</v>
      </c>
    </row>
    <row r="3822" spans="1:10" x14ac:dyDescent="0.3">
      <c r="A3822" s="9">
        <v>43737</v>
      </c>
      <c r="B3822" s="2" t="str">
        <f>TEXT(Raw_Data!$A3822, "MMM")</f>
        <v>Sep</v>
      </c>
      <c r="C3822" s="2">
        <f>YEAR(Raw_Data!$A3822)</f>
        <v>2019</v>
      </c>
      <c r="D3822" s="2" t="s">
        <v>1039</v>
      </c>
      <c r="E3822" s="2" t="s">
        <v>21</v>
      </c>
      <c r="F3822" s="2" t="s">
        <v>27</v>
      </c>
      <c r="G3822" s="2"/>
      <c r="H3822" s="2">
        <v>937</v>
      </c>
      <c r="I3822" s="10">
        <v>324518</v>
      </c>
      <c r="J3822" s="10">
        <f>Raw_Data!$I3822/Raw_Data!$H3822</f>
        <v>346.33724653148346</v>
      </c>
    </row>
    <row r="3823" spans="1:10" x14ac:dyDescent="0.3">
      <c r="A3823" s="8">
        <v>37328</v>
      </c>
      <c r="B3823" t="str">
        <f>TEXT(Raw_Data!$A3823, "MMM")</f>
        <v>Mar</v>
      </c>
      <c r="C3823">
        <f>YEAR(Raw_Data!$A3823)</f>
        <v>2002</v>
      </c>
      <c r="D3823" t="s">
        <v>2571</v>
      </c>
      <c r="E3823" t="s">
        <v>25</v>
      </c>
      <c r="F3823" t="s">
        <v>18</v>
      </c>
      <c r="H3823">
        <v>2087</v>
      </c>
      <c r="I3823" s="1">
        <v>193484</v>
      </c>
      <c r="J3823" s="1">
        <f>Raw_Data!$I3823/Raw_Data!$H3823</f>
        <v>92.709151892668899</v>
      </c>
    </row>
    <row r="3824" spans="1:10" x14ac:dyDescent="0.3">
      <c r="A3824" s="9">
        <v>40330</v>
      </c>
      <c r="B3824" s="2" t="str">
        <f>TEXT(Raw_Data!$A3824, "MMM")</f>
        <v>Jun</v>
      </c>
      <c r="C3824" s="2">
        <f>YEAR(Raw_Data!$A3824)</f>
        <v>2010</v>
      </c>
      <c r="D3824" s="2" t="s">
        <v>2572</v>
      </c>
      <c r="E3824" s="2" t="s">
        <v>25</v>
      </c>
      <c r="F3824" s="2" t="s">
        <v>11</v>
      </c>
      <c r="G3824" s="2">
        <v>4</v>
      </c>
      <c r="H3824" s="2">
        <v>2693</v>
      </c>
      <c r="I3824" s="10">
        <v>308914</v>
      </c>
      <c r="J3824" s="10">
        <f>Raw_Data!$I3824/Raw_Data!$H3824</f>
        <v>114.70998886000743</v>
      </c>
    </row>
    <row r="3825" spans="1:10" x14ac:dyDescent="0.3">
      <c r="A3825" s="8">
        <v>40738</v>
      </c>
      <c r="B3825" t="str">
        <f>TEXT(Raw_Data!$A3825, "MMM")</f>
        <v>Jul</v>
      </c>
      <c r="C3825">
        <f>YEAR(Raw_Data!$A3825)</f>
        <v>2011</v>
      </c>
      <c r="D3825" t="s">
        <v>2573</v>
      </c>
      <c r="E3825" t="s">
        <v>13</v>
      </c>
      <c r="F3825" t="s">
        <v>11</v>
      </c>
      <c r="G3825">
        <v>5</v>
      </c>
      <c r="H3825">
        <v>966</v>
      </c>
      <c r="I3825" s="1">
        <v>373785</v>
      </c>
      <c r="J3825" s="1">
        <f>Raw_Data!$I3825/Raw_Data!$H3825</f>
        <v>386.94099378881987</v>
      </c>
    </row>
    <row r="3826" spans="1:10" x14ac:dyDescent="0.3">
      <c r="A3826" s="9">
        <v>43266</v>
      </c>
      <c r="B3826" s="2" t="str">
        <f>TEXT(Raw_Data!$A3826, "MMM")</f>
        <v>Jun</v>
      </c>
      <c r="C3826" s="2">
        <f>YEAR(Raw_Data!$A3826)</f>
        <v>2018</v>
      </c>
      <c r="D3826" s="2" t="s">
        <v>2268</v>
      </c>
      <c r="E3826" s="2" t="s">
        <v>29</v>
      </c>
      <c r="F3826" s="2" t="s">
        <v>18</v>
      </c>
      <c r="G3826" s="2">
        <v>5</v>
      </c>
      <c r="H3826" s="2">
        <v>971</v>
      </c>
      <c r="I3826" s="10">
        <v>543383</v>
      </c>
      <c r="J3826" s="10">
        <f>Raw_Data!$I3826/Raw_Data!$H3826</f>
        <v>559.61174047373845</v>
      </c>
    </row>
    <row r="3827" spans="1:10" x14ac:dyDescent="0.3">
      <c r="A3827" s="8">
        <v>42282</v>
      </c>
      <c r="B3827" t="str">
        <f>TEXT(Raw_Data!$A3827, "MMM")</f>
        <v>Oct</v>
      </c>
      <c r="C3827">
        <f>YEAR(Raw_Data!$A3827)</f>
        <v>2015</v>
      </c>
      <c r="D3827" t="s">
        <v>1016</v>
      </c>
      <c r="E3827" t="s">
        <v>23</v>
      </c>
      <c r="F3827" t="s">
        <v>11</v>
      </c>
      <c r="H3827">
        <v>1352</v>
      </c>
      <c r="I3827" s="1">
        <v>837856</v>
      </c>
      <c r="J3827" s="1">
        <f>Raw_Data!$I3827/Raw_Data!$H3827</f>
        <v>619.71597633136093</v>
      </c>
    </row>
    <row r="3828" spans="1:10" x14ac:dyDescent="0.3">
      <c r="A3828" s="9">
        <v>37703</v>
      </c>
      <c r="B3828" s="2" t="str">
        <f>TEXT(Raw_Data!$A3828, "MMM")</f>
        <v>Mar</v>
      </c>
      <c r="C3828" s="2">
        <f>YEAR(Raw_Data!$A3828)</f>
        <v>2003</v>
      </c>
      <c r="D3828" s="2" t="s">
        <v>2574</v>
      </c>
      <c r="E3828" s="2" t="s">
        <v>25</v>
      </c>
      <c r="F3828" s="2" t="s">
        <v>27</v>
      </c>
      <c r="G3828" s="2">
        <v>5</v>
      </c>
      <c r="H3828" s="2">
        <v>1714</v>
      </c>
      <c r="I3828" s="10">
        <v>258211</v>
      </c>
      <c r="J3828" s="10">
        <f>Raw_Data!$I3828/Raw_Data!$H3828</f>
        <v>150.64819136522755</v>
      </c>
    </row>
    <row r="3829" spans="1:10" x14ac:dyDescent="0.3">
      <c r="A3829" s="8">
        <v>38400</v>
      </c>
      <c r="B3829" t="str">
        <f>TEXT(Raw_Data!$A3829, "MMM")</f>
        <v>Feb</v>
      </c>
      <c r="C3829">
        <f>YEAR(Raw_Data!$A3829)</f>
        <v>2005</v>
      </c>
      <c r="D3829" t="s">
        <v>401</v>
      </c>
      <c r="E3829" t="s">
        <v>25</v>
      </c>
      <c r="F3829" t="s">
        <v>27</v>
      </c>
      <c r="H3829">
        <v>2691</v>
      </c>
      <c r="I3829" s="1">
        <v>404241</v>
      </c>
      <c r="J3829" s="1">
        <f>Raw_Data!$I3829/Raw_Data!$H3829</f>
        <v>150.21962095875139</v>
      </c>
    </row>
    <row r="3830" spans="1:10" x14ac:dyDescent="0.3">
      <c r="A3830" s="9">
        <v>39504</v>
      </c>
      <c r="B3830" s="2" t="str">
        <f>TEXT(Raw_Data!$A3830, "MMM")</f>
        <v>Feb</v>
      </c>
      <c r="C3830" s="2">
        <f>YEAR(Raw_Data!$A3830)</f>
        <v>2008</v>
      </c>
      <c r="D3830" s="2" t="s">
        <v>2575</v>
      </c>
      <c r="E3830" s="2" t="s">
        <v>32</v>
      </c>
      <c r="F3830" s="2" t="s">
        <v>11</v>
      </c>
      <c r="G3830" s="2">
        <v>4</v>
      </c>
      <c r="H3830" s="2">
        <v>1649</v>
      </c>
      <c r="I3830" s="10">
        <v>733440</v>
      </c>
      <c r="J3830" s="10">
        <f>Raw_Data!$I3830/Raw_Data!$H3830</f>
        <v>444.77865372953306</v>
      </c>
    </row>
    <row r="3831" spans="1:10" x14ac:dyDescent="0.3">
      <c r="A3831" s="8">
        <v>39613</v>
      </c>
      <c r="B3831" t="str">
        <f>TEXT(Raw_Data!$A3831, "MMM")</f>
        <v>Jun</v>
      </c>
      <c r="C3831">
        <f>YEAR(Raw_Data!$A3831)</f>
        <v>2008</v>
      </c>
      <c r="D3831" t="s">
        <v>2576</v>
      </c>
      <c r="E3831" t="s">
        <v>29</v>
      </c>
      <c r="F3831" t="s">
        <v>11</v>
      </c>
      <c r="G3831">
        <v>5</v>
      </c>
      <c r="H3831">
        <v>2569</v>
      </c>
      <c r="I3831" s="1">
        <v>632022</v>
      </c>
      <c r="J3831" s="1">
        <f>Raw_Data!$I3831/Raw_Data!$H3831</f>
        <v>246.01868431296225</v>
      </c>
    </row>
    <row r="3832" spans="1:10" x14ac:dyDescent="0.3">
      <c r="A3832" s="9">
        <v>37280</v>
      </c>
      <c r="B3832" s="2" t="str">
        <f>TEXT(Raw_Data!$A3832, "MMM")</f>
        <v>Jan</v>
      </c>
      <c r="C3832" s="2">
        <f>YEAR(Raw_Data!$A3832)</f>
        <v>2002</v>
      </c>
      <c r="D3832" s="2" t="s">
        <v>1203</v>
      </c>
      <c r="E3832" s="2" t="s">
        <v>23</v>
      </c>
      <c r="F3832" s="2" t="s">
        <v>18</v>
      </c>
      <c r="G3832" s="2"/>
      <c r="H3832" s="2">
        <v>1682</v>
      </c>
      <c r="I3832" s="10">
        <v>181067</v>
      </c>
      <c r="J3832" s="10">
        <f>Raw_Data!$I3832/Raw_Data!$H3832</f>
        <v>107.64982164090368</v>
      </c>
    </row>
    <row r="3833" spans="1:10" x14ac:dyDescent="0.3">
      <c r="A3833" s="8">
        <v>37516</v>
      </c>
      <c r="B3833" t="str">
        <f>TEXT(Raw_Data!$A3833, "MMM")</f>
        <v>Sep</v>
      </c>
      <c r="C3833">
        <f>YEAR(Raw_Data!$A3833)</f>
        <v>2002</v>
      </c>
      <c r="D3833" t="s">
        <v>2577</v>
      </c>
      <c r="E3833" t="s">
        <v>29</v>
      </c>
      <c r="F3833" t="s">
        <v>18</v>
      </c>
      <c r="G3833">
        <v>4</v>
      </c>
      <c r="H3833">
        <v>2895</v>
      </c>
      <c r="I3833" s="1">
        <v>607415</v>
      </c>
      <c r="J3833" s="1">
        <f>Raw_Data!$I3833/Raw_Data!$H3833</f>
        <v>209.81519861830742</v>
      </c>
    </row>
    <row r="3834" spans="1:10" x14ac:dyDescent="0.3">
      <c r="A3834" s="9">
        <v>38517</v>
      </c>
      <c r="B3834" s="2" t="str">
        <f>TEXT(Raw_Data!$A3834, "MMM")</f>
        <v>Jun</v>
      </c>
      <c r="C3834" s="2">
        <f>YEAR(Raw_Data!$A3834)</f>
        <v>2005</v>
      </c>
      <c r="D3834" s="2" t="s">
        <v>2578</v>
      </c>
      <c r="E3834" s="2" t="s">
        <v>23</v>
      </c>
      <c r="F3834" s="2" t="s">
        <v>27</v>
      </c>
      <c r="G3834" s="2">
        <v>4</v>
      </c>
      <c r="H3834" s="2">
        <v>958</v>
      </c>
      <c r="I3834" s="10">
        <v>311368</v>
      </c>
      <c r="J3834" s="10">
        <f>Raw_Data!$I3834/Raw_Data!$H3834</f>
        <v>325.01878914405012</v>
      </c>
    </row>
    <row r="3835" spans="1:10" x14ac:dyDescent="0.3">
      <c r="A3835" s="8">
        <v>40918</v>
      </c>
      <c r="B3835" t="str">
        <f>TEXT(Raw_Data!$A3835, "MMM")</f>
        <v>Jan</v>
      </c>
      <c r="C3835">
        <f>YEAR(Raw_Data!$A3835)</f>
        <v>2012</v>
      </c>
      <c r="D3835" t="s">
        <v>482</v>
      </c>
      <c r="E3835" t="s">
        <v>25</v>
      </c>
      <c r="F3835" t="s">
        <v>16</v>
      </c>
      <c r="H3835">
        <v>2664</v>
      </c>
      <c r="I3835" s="1">
        <v>285696</v>
      </c>
      <c r="J3835" s="1">
        <f>Raw_Data!$I3835/Raw_Data!$H3835</f>
        <v>107.24324324324324</v>
      </c>
    </row>
    <row r="3836" spans="1:10" x14ac:dyDescent="0.3">
      <c r="A3836" s="9">
        <v>41268</v>
      </c>
      <c r="B3836" s="2" t="str">
        <f>TEXT(Raw_Data!$A3836, "MMM")</f>
        <v>Dec</v>
      </c>
      <c r="C3836" s="2">
        <f>YEAR(Raw_Data!$A3836)</f>
        <v>2012</v>
      </c>
      <c r="D3836" s="2" t="s">
        <v>705</v>
      </c>
      <c r="E3836" s="2" t="s">
        <v>15</v>
      </c>
      <c r="F3836" s="2" t="s">
        <v>16</v>
      </c>
      <c r="G3836" s="2">
        <v>5</v>
      </c>
      <c r="H3836" s="2">
        <v>1355</v>
      </c>
      <c r="I3836" s="10">
        <v>537379</v>
      </c>
      <c r="J3836" s="10">
        <f>Raw_Data!$I3836/Raw_Data!$H3836</f>
        <v>396.58966789667898</v>
      </c>
    </row>
    <row r="3837" spans="1:10" x14ac:dyDescent="0.3">
      <c r="A3837" s="8">
        <v>37208</v>
      </c>
      <c r="B3837" t="str">
        <f>TEXT(Raw_Data!$A3837, "MMM")</f>
        <v>Nov</v>
      </c>
      <c r="C3837">
        <f>YEAR(Raw_Data!$A3837)</f>
        <v>2001</v>
      </c>
      <c r="D3837" t="s">
        <v>2280</v>
      </c>
      <c r="E3837" t="s">
        <v>15</v>
      </c>
      <c r="F3837" t="s">
        <v>16</v>
      </c>
      <c r="G3837">
        <v>4</v>
      </c>
      <c r="H3837">
        <v>2445</v>
      </c>
      <c r="I3837" s="1">
        <v>580979</v>
      </c>
      <c r="J3837" s="1">
        <f>Raw_Data!$I3837/Raw_Data!$H3837</f>
        <v>237.61922290388549</v>
      </c>
    </row>
    <row r="3838" spans="1:10" x14ac:dyDescent="0.3">
      <c r="A3838" s="9">
        <v>39314</v>
      </c>
      <c r="B3838" s="2" t="str">
        <f>TEXT(Raw_Data!$A3838, "MMM")</f>
        <v>Aug</v>
      </c>
      <c r="C3838" s="2">
        <f>YEAR(Raw_Data!$A3838)</f>
        <v>2007</v>
      </c>
      <c r="D3838" s="2" t="s">
        <v>1254</v>
      </c>
      <c r="E3838" s="2" t="s">
        <v>25</v>
      </c>
      <c r="F3838" s="2" t="s">
        <v>16</v>
      </c>
      <c r="G3838" s="2"/>
      <c r="H3838" s="2">
        <v>2000</v>
      </c>
      <c r="I3838" s="10">
        <v>169080</v>
      </c>
      <c r="J3838" s="10">
        <f>Raw_Data!$I3838/Raw_Data!$H3838</f>
        <v>84.54</v>
      </c>
    </row>
    <row r="3839" spans="1:10" x14ac:dyDescent="0.3">
      <c r="A3839" s="8">
        <v>38896</v>
      </c>
      <c r="B3839" t="str">
        <f>TEXT(Raw_Data!$A3839, "MMM")</f>
        <v>Jun</v>
      </c>
      <c r="C3839">
        <f>YEAR(Raw_Data!$A3839)</f>
        <v>2006</v>
      </c>
      <c r="D3839" t="s">
        <v>2579</v>
      </c>
      <c r="E3839" t="s">
        <v>13</v>
      </c>
      <c r="F3839" t="s">
        <v>27</v>
      </c>
      <c r="G3839">
        <v>5</v>
      </c>
      <c r="H3839">
        <v>3123</v>
      </c>
      <c r="I3839" s="1">
        <v>877127</v>
      </c>
      <c r="J3839" s="1">
        <f>Raw_Data!$I3839/Raw_Data!$H3839</f>
        <v>280.86039065001603</v>
      </c>
    </row>
    <row r="3840" spans="1:10" x14ac:dyDescent="0.3">
      <c r="A3840" s="9">
        <v>38094</v>
      </c>
      <c r="B3840" s="2" t="str">
        <f>TEXT(Raw_Data!$A3840, "MMM")</f>
        <v>Apr</v>
      </c>
      <c r="C3840" s="2">
        <f>YEAR(Raw_Data!$A3840)</f>
        <v>2004</v>
      </c>
      <c r="D3840" s="2" t="s">
        <v>2560</v>
      </c>
      <c r="E3840" s="2" t="s">
        <v>32</v>
      </c>
      <c r="F3840" s="2" t="s">
        <v>27</v>
      </c>
      <c r="G3840" s="2"/>
      <c r="H3840" s="2">
        <v>1262</v>
      </c>
      <c r="I3840" s="10">
        <v>151268</v>
      </c>
      <c r="J3840" s="10">
        <f>Raw_Data!$I3840/Raw_Data!$H3840</f>
        <v>119.86370839936609</v>
      </c>
    </row>
    <row r="3841" spans="1:10" x14ac:dyDescent="0.3">
      <c r="A3841" s="8">
        <v>39831</v>
      </c>
      <c r="B3841" t="str">
        <f>TEXT(Raw_Data!$A3841, "MMM")</f>
        <v>Jan</v>
      </c>
      <c r="C3841">
        <f>YEAR(Raw_Data!$A3841)</f>
        <v>2009</v>
      </c>
      <c r="D3841" t="s">
        <v>455</v>
      </c>
      <c r="E3841" t="s">
        <v>29</v>
      </c>
      <c r="F3841" t="s">
        <v>27</v>
      </c>
      <c r="G3841">
        <v>5</v>
      </c>
      <c r="H3841">
        <v>2394</v>
      </c>
      <c r="I3841" s="1">
        <v>520593</v>
      </c>
      <c r="J3841" s="1">
        <f>Raw_Data!$I3841/Raw_Data!$H3841</f>
        <v>217.45739348370927</v>
      </c>
    </row>
    <row r="3842" spans="1:10" x14ac:dyDescent="0.3">
      <c r="A3842" s="9">
        <v>37197</v>
      </c>
      <c r="B3842" s="2" t="str">
        <f>TEXT(Raw_Data!$A3842, "MMM")</f>
        <v>Nov</v>
      </c>
      <c r="C3842" s="2">
        <f>YEAR(Raw_Data!$A3842)</f>
        <v>2001</v>
      </c>
      <c r="D3842" s="2" t="s">
        <v>2580</v>
      </c>
      <c r="E3842" s="2" t="s">
        <v>32</v>
      </c>
      <c r="F3842" s="2" t="s">
        <v>27</v>
      </c>
      <c r="G3842" s="2">
        <v>4</v>
      </c>
      <c r="H3842" s="2">
        <v>2796</v>
      </c>
      <c r="I3842" s="10"/>
      <c r="J3842" s="10">
        <f>Raw_Data!$I3842/Raw_Data!$H3842</f>
        <v>0</v>
      </c>
    </row>
    <row r="3843" spans="1:10" x14ac:dyDescent="0.3">
      <c r="A3843" s="8">
        <v>41828</v>
      </c>
      <c r="B3843" t="str">
        <f>TEXT(Raw_Data!$A3843, "MMM")</f>
        <v>Jul</v>
      </c>
      <c r="C3843">
        <f>YEAR(Raw_Data!$A3843)</f>
        <v>2014</v>
      </c>
      <c r="D3843" t="s">
        <v>2581</v>
      </c>
      <c r="E3843" t="s">
        <v>32</v>
      </c>
      <c r="F3843" t="s">
        <v>16</v>
      </c>
      <c r="G3843">
        <v>2</v>
      </c>
      <c r="H3843">
        <v>1544</v>
      </c>
      <c r="I3843" s="1">
        <v>700976</v>
      </c>
      <c r="J3843" s="1">
        <f>Raw_Data!$I3843/Raw_Data!$H3843</f>
        <v>454</v>
      </c>
    </row>
    <row r="3844" spans="1:10" x14ac:dyDescent="0.3">
      <c r="A3844" s="9">
        <v>39245</v>
      </c>
      <c r="B3844" s="2" t="str">
        <f>TEXT(Raw_Data!$A3844, "MMM")</f>
        <v>Jun</v>
      </c>
      <c r="C3844" s="2">
        <f>YEAR(Raw_Data!$A3844)</f>
        <v>2007</v>
      </c>
      <c r="D3844" s="2" t="s">
        <v>2080</v>
      </c>
      <c r="E3844" s="2" t="s">
        <v>15</v>
      </c>
      <c r="F3844" s="2" t="s">
        <v>27</v>
      </c>
      <c r="G3844" s="2">
        <v>2</v>
      </c>
      <c r="H3844" s="2">
        <v>3453</v>
      </c>
      <c r="I3844" s="10">
        <v>687623</v>
      </c>
      <c r="J3844" s="10">
        <f>Raw_Data!$I3844/Raw_Data!$H3844</f>
        <v>199.13785114393281</v>
      </c>
    </row>
    <row r="3845" spans="1:10" x14ac:dyDescent="0.3">
      <c r="A3845" s="8">
        <v>40762</v>
      </c>
      <c r="B3845" t="str">
        <f>TEXT(Raw_Data!$A3845, "MMM")</f>
        <v>Aug</v>
      </c>
      <c r="C3845">
        <f>YEAR(Raw_Data!$A3845)</f>
        <v>2011</v>
      </c>
      <c r="D3845" t="s">
        <v>2582</v>
      </c>
      <c r="E3845" t="s">
        <v>15</v>
      </c>
      <c r="F3845" t="s">
        <v>16</v>
      </c>
      <c r="G3845">
        <v>5</v>
      </c>
      <c r="H3845">
        <v>2543</v>
      </c>
      <c r="I3845" s="1">
        <v>813627</v>
      </c>
      <c r="J3845" s="1">
        <f>Raw_Data!$I3845/Raw_Data!$H3845</f>
        <v>319.94769956744005</v>
      </c>
    </row>
    <row r="3846" spans="1:10" x14ac:dyDescent="0.3">
      <c r="A3846" s="9">
        <v>41882</v>
      </c>
      <c r="B3846" s="2" t="str">
        <f>TEXT(Raw_Data!$A3846, "MMM")</f>
        <v>Aug</v>
      </c>
      <c r="C3846" s="2">
        <f>YEAR(Raw_Data!$A3846)</f>
        <v>2014</v>
      </c>
      <c r="D3846" s="2" t="s">
        <v>1176</v>
      </c>
      <c r="E3846" s="2" t="s">
        <v>15</v>
      </c>
      <c r="F3846" s="2" t="s">
        <v>16</v>
      </c>
      <c r="G3846" s="2">
        <v>4</v>
      </c>
      <c r="H3846" s="2">
        <v>1072</v>
      </c>
      <c r="I3846" s="10">
        <v>432859</v>
      </c>
      <c r="J3846" s="10">
        <f>Raw_Data!$I3846/Raw_Data!$H3846</f>
        <v>403.7863805970149</v>
      </c>
    </row>
    <row r="3847" spans="1:10" x14ac:dyDescent="0.3">
      <c r="A3847" s="8">
        <v>39014</v>
      </c>
      <c r="B3847" t="str">
        <f>TEXT(Raw_Data!$A3847, "MMM")</f>
        <v>Oct</v>
      </c>
      <c r="C3847">
        <f>YEAR(Raw_Data!$A3847)</f>
        <v>2006</v>
      </c>
      <c r="D3847" t="s">
        <v>2583</v>
      </c>
      <c r="E3847" t="s">
        <v>23</v>
      </c>
      <c r="F3847" t="s">
        <v>27</v>
      </c>
      <c r="H3847">
        <v>2831</v>
      </c>
      <c r="I3847" s="1">
        <v>691290</v>
      </c>
      <c r="J3847" s="1">
        <f>Raw_Data!$I3847/Raw_Data!$H3847</f>
        <v>244.18580007064642</v>
      </c>
    </row>
    <row r="3848" spans="1:10" x14ac:dyDescent="0.3">
      <c r="A3848" s="9">
        <v>37732</v>
      </c>
      <c r="B3848" s="2" t="str">
        <f>TEXT(Raw_Data!$A3848, "MMM")</f>
        <v>Apr</v>
      </c>
      <c r="C3848" s="2">
        <f>YEAR(Raw_Data!$A3848)</f>
        <v>2003</v>
      </c>
      <c r="D3848" s="2" t="s">
        <v>2101</v>
      </c>
      <c r="E3848" s="2" t="s">
        <v>21</v>
      </c>
      <c r="F3848" s="2" t="s">
        <v>11</v>
      </c>
      <c r="G3848" s="2"/>
      <c r="H3848" s="2">
        <v>3068</v>
      </c>
      <c r="I3848" s="10">
        <v>342493</v>
      </c>
      <c r="J3848" s="10">
        <f>Raw_Data!$I3848/Raw_Data!$H3848</f>
        <v>111.63396349413298</v>
      </c>
    </row>
    <row r="3849" spans="1:10" x14ac:dyDescent="0.3">
      <c r="A3849" s="8">
        <v>42860</v>
      </c>
      <c r="B3849" t="str">
        <f>TEXT(Raw_Data!$A3849, "MMM")</f>
        <v>May</v>
      </c>
      <c r="C3849">
        <f>YEAR(Raw_Data!$A3849)</f>
        <v>2017</v>
      </c>
      <c r="D3849" t="s">
        <v>551</v>
      </c>
      <c r="E3849" t="s">
        <v>32</v>
      </c>
      <c r="F3849" t="s">
        <v>27</v>
      </c>
      <c r="H3849">
        <v>2277</v>
      </c>
      <c r="I3849" s="1">
        <v>880370</v>
      </c>
      <c r="J3849" s="1">
        <f>Raw_Data!$I3849/Raw_Data!$H3849</f>
        <v>386.63592446201142</v>
      </c>
    </row>
    <row r="3850" spans="1:10" x14ac:dyDescent="0.3">
      <c r="A3850" s="9">
        <v>39717</v>
      </c>
      <c r="B3850" s="2" t="str">
        <f>TEXT(Raw_Data!$A3850, "MMM")</f>
        <v>Sep</v>
      </c>
      <c r="C3850" s="2">
        <f>YEAR(Raw_Data!$A3850)</f>
        <v>2008</v>
      </c>
      <c r="D3850" s="2" t="s">
        <v>2584</v>
      </c>
      <c r="E3850" s="2" t="s">
        <v>32</v>
      </c>
      <c r="F3850" s="2" t="s">
        <v>16</v>
      </c>
      <c r="G3850" s="2"/>
      <c r="H3850" s="2">
        <v>2288</v>
      </c>
      <c r="I3850" s="10">
        <v>425087</v>
      </c>
      <c r="J3850" s="10">
        <f>Raw_Data!$I3850/Raw_Data!$H3850</f>
        <v>185.78977272727272</v>
      </c>
    </row>
    <row r="3851" spans="1:10" x14ac:dyDescent="0.3">
      <c r="A3851" s="8">
        <v>41325</v>
      </c>
      <c r="B3851" t="str">
        <f>TEXT(Raw_Data!$A3851, "MMM")</f>
        <v>Feb</v>
      </c>
      <c r="C3851">
        <f>YEAR(Raw_Data!$A3851)</f>
        <v>2013</v>
      </c>
      <c r="D3851" t="s">
        <v>2585</v>
      </c>
      <c r="E3851" t="s">
        <v>23</v>
      </c>
      <c r="F3851" t="s">
        <v>16</v>
      </c>
      <c r="H3851">
        <v>2240</v>
      </c>
      <c r="I3851" s="1">
        <v>761562</v>
      </c>
      <c r="J3851" s="1">
        <f>Raw_Data!$I3851/Raw_Data!$H3851</f>
        <v>339.98303571428573</v>
      </c>
    </row>
    <row r="3852" spans="1:10" x14ac:dyDescent="0.3">
      <c r="A3852" s="9">
        <v>43986</v>
      </c>
      <c r="B3852" s="2" t="str">
        <f>TEXT(Raw_Data!$A3852, "MMM")</f>
        <v>Jun</v>
      </c>
      <c r="C3852" s="2">
        <f>YEAR(Raw_Data!$A3852)</f>
        <v>2020</v>
      </c>
      <c r="D3852" s="2" t="s">
        <v>2586</v>
      </c>
      <c r="E3852" s="2" t="s">
        <v>32</v>
      </c>
      <c r="F3852" s="2" t="s">
        <v>11</v>
      </c>
      <c r="G3852" s="2">
        <v>3</v>
      </c>
      <c r="H3852" s="2">
        <v>866</v>
      </c>
      <c r="I3852" s="10">
        <v>477100</v>
      </c>
      <c r="J3852" s="10">
        <f>Raw_Data!$I3852/Raw_Data!$H3852</f>
        <v>550.92378752886839</v>
      </c>
    </row>
    <row r="3853" spans="1:10" x14ac:dyDescent="0.3">
      <c r="A3853" s="8">
        <v>41031</v>
      </c>
      <c r="B3853" t="str">
        <f>TEXT(Raw_Data!$A3853, "MMM")</f>
        <v>May</v>
      </c>
      <c r="C3853">
        <f>YEAR(Raw_Data!$A3853)</f>
        <v>2012</v>
      </c>
      <c r="D3853" t="s">
        <v>1679</v>
      </c>
      <c r="E3853" t="s">
        <v>32</v>
      </c>
      <c r="F3853" t="s">
        <v>16</v>
      </c>
      <c r="G3853">
        <v>4</v>
      </c>
      <c r="H3853">
        <v>3206</v>
      </c>
      <c r="I3853" s="1">
        <v>736129</v>
      </c>
      <c r="J3853" s="1">
        <f>Raw_Data!$I3853/Raw_Data!$H3853</f>
        <v>229.609794135995</v>
      </c>
    </row>
    <row r="3854" spans="1:10" x14ac:dyDescent="0.3">
      <c r="A3854" s="9">
        <v>43088</v>
      </c>
      <c r="B3854" s="2" t="str">
        <f>TEXT(Raw_Data!$A3854, "MMM")</f>
        <v>Dec</v>
      </c>
      <c r="C3854" s="2">
        <f>YEAR(Raw_Data!$A3854)</f>
        <v>2017</v>
      </c>
      <c r="D3854" s="2" t="s">
        <v>2587</v>
      </c>
      <c r="E3854" s="2" t="s">
        <v>15</v>
      </c>
      <c r="F3854" s="2" t="s">
        <v>27</v>
      </c>
      <c r="G3854" s="2">
        <v>4</v>
      </c>
      <c r="H3854" s="2">
        <v>1646</v>
      </c>
      <c r="I3854" s="10">
        <v>209688</v>
      </c>
      <c r="J3854" s="10">
        <f>Raw_Data!$I3854/Raw_Data!$H3854</f>
        <v>127.39246658566221</v>
      </c>
    </row>
    <row r="3855" spans="1:10" x14ac:dyDescent="0.3">
      <c r="A3855" s="8">
        <v>40133</v>
      </c>
      <c r="B3855" t="str">
        <f>TEXT(Raw_Data!$A3855, "MMM")</f>
        <v>Nov</v>
      </c>
      <c r="C3855">
        <f>YEAR(Raw_Data!$A3855)</f>
        <v>2009</v>
      </c>
      <c r="D3855" t="s">
        <v>1153</v>
      </c>
      <c r="E3855" t="s">
        <v>32</v>
      </c>
      <c r="F3855" t="s">
        <v>16</v>
      </c>
      <c r="H3855">
        <v>1833</v>
      </c>
      <c r="I3855" s="1">
        <v>416655</v>
      </c>
      <c r="J3855" s="1">
        <f>Raw_Data!$I3855/Raw_Data!$H3855</f>
        <v>227.30769230769232</v>
      </c>
    </row>
    <row r="3856" spans="1:10" x14ac:dyDescent="0.3">
      <c r="A3856" s="9">
        <v>39036</v>
      </c>
      <c r="B3856" s="2" t="str">
        <f>TEXT(Raw_Data!$A3856, "MMM")</f>
        <v>Nov</v>
      </c>
      <c r="C3856" s="2">
        <f>YEAR(Raw_Data!$A3856)</f>
        <v>2006</v>
      </c>
      <c r="D3856" s="2" t="s">
        <v>262</v>
      </c>
      <c r="E3856" s="2" t="s">
        <v>15</v>
      </c>
      <c r="F3856" s="2" t="s">
        <v>27</v>
      </c>
      <c r="G3856" s="2"/>
      <c r="H3856" s="2">
        <v>2804</v>
      </c>
      <c r="I3856" s="10">
        <v>807556</v>
      </c>
      <c r="J3856" s="10">
        <f>Raw_Data!$I3856/Raw_Data!$H3856</f>
        <v>288.00142653352356</v>
      </c>
    </row>
    <row r="3857" spans="1:10" x14ac:dyDescent="0.3">
      <c r="A3857" s="8">
        <v>40720</v>
      </c>
      <c r="B3857" t="str">
        <f>TEXT(Raw_Data!$A3857, "MMM")</f>
        <v>Jun</v>
      </c>
      <c r="C3857">
        <f>YEAR(Raw_Data!$A3857)</f>
        <v>2011</v>
      </c>
      <c r="D3857" t="s">
        <v>2588</v>
      </c>
      <c r="E3857" t="s">
        <v>32</v>
      </c>
      <c r="F3857" t="s">
        <v>18</v>
      </c>
      <c r="G3857">
        <v>4</v>
      </c>
      <c r="H3857">
        <v>1687</v>
      </c>
      <c r="I3857" s="1">
        <v>754050</v>
      </c>
      <c r="J3857" s="1">
        <f>Raw_Data!$I3857/Raw_Data!$H3857</f>
        <v>446.9768820391227</v>
      </c>
    </row>
    <row r="3858" spans="1:10" x14ac:dyDescent="0.3">
      <c r="A3858" s="9">
        <v>40504</v>
      </c>
      <c r="B3858" s="2" t="str">
        <f>TEXT(Raw_Data!$A3858, "MMM")</f>
        <v>Nov</v>
      </c>
      <c r="C3858" s="2">
        <f>YEAR(Raw_Data!$A3858)</f>
        <v>2010</v>
      </c>
      <c r="D3858" s="2" t="s">
        <v>2262</v>
      </c>
      <c r="E3858" s="2" t="s">
        <v>21</v>
      </c>
      <c r="F3858" s="2" t="s">
        <v>11</v>
      </c>
      <c r="G3858" s="2">
        <v>4</v>
      </c>
      <c r="H3858" s="2">
        <v>3267</v>
      </c>
      <c r="I3858" s="10">
        <v>699865</v>
      </c>
      <c r="J3858" s="10">
        <f>Raw_Data!$I3858/Raw_Data!$H3858</f>
        <v>214.22252831343741</v>
      </c>
    </row>
    <row r="3859" spans="1:10" x14ac:dyDescent="0.3">
      <c r="A3859" s="8">
        <v>42751</v>
      </c>
      <c r="B3859" t="str">
        <f>TEXT(Raw_Data!$A3859, "MMM")</f>
        <v>Jan</v>
      </c>
      <c r="C3859">
        <f>YEAR(Raw_Data!$A3859)</f>
        <v>2017</v>
      </c>
      <c r="D3859" t="s">
        <v>324</v>
      </c>
      <c r="E3859" t="s">
        <v>13</v>
      </c>
      <c r="F3859" t="s">
        <v>11</v>
      </c>
      <c r="G3859">
        <v>2</v>
      </c>
      <c r="H3859">
        <v>1054</v>
      </c>
      <c r="I3859" s="1">
        <v>168437</v>
      </c>
      <c r="J3859" s="1">
        <f>Raw_Data!$I3859/Raw_Data!$H3859</f>
        <v>159.80740037950665</v>
      </c>
    </row>
    <row r="3860" spans="1:10" x14ac:dyDescent="0.3">
      <c r="A3860" s="9">
        <v>37973</v>
      </c>
      <c r="B3860" s="2" t="str">
        <f>TEXT(Raw_Data!$A3860, "MMM")</f>
        <v>Dec</v>
      </c>
      <c r="C3860" s="2">
        <f>YEAR(Raw_Data!$A3860)</f>
        <v>2003</v>
      </c>
      <c r="D3860" s="2" t="s">
        <v>1753</v>
      </c>
      <c r="E3860" s="2" t="s">
        <v>25</v>
      </c>
      <c r="F3860" s="2" t="s">
        <v>11</v>
      </c>
      <c r="G3860" s="2">
        <v>4</v>
      </c>
      <c r="H3860" s="2">
        <v>1598</v>
      </c>
      <c r="I3860" s="10">
        <v>809187</v>
      </c>
      <c r="J3860" s="10">
        <f>Raw_Data!$I3860/Raw_Data!$H3860</f>
        <v>506.37484355444303</v>
      </c>
    </row>
    <row r="3861" spans="1:10" x14ac:dyDescent="0.3">
      <c r="A3861" s="8">
        <v>41251</v>
      </c>
      <c r="B3861" t="str">
        <f>TEXT(Raw_Data!$A3861, "MMM")</f>
        <v>Dec</v>
      </c>
      <c r="C3861">
        <f>YEAR(Raw_Data!$A3861)</f>
        <v>2012</v>
      </c>
      <c r="D3861" t="s">
        <v>1887</v>
      </c>
      <c r="E3861" t="s">
        <v>25</v>
      </c>
      <c r="F3861" t="s">
        <v>16</v>
      </c>
      <c r="G3861">
        <v>3</v>
      </c>
      <c r="H3861">
        <v>1485</v>
      </c>
      <c r="I3861" s="1">
        <v>381857</v>
      </c>
      <c r="J3861" s="1">
        <f>Raw_Data!$I3861/Raw_Data!$H3861</f>
        <v>257.14276094276096</v>
      </c>
    </row>
    <row r="3862" spans="1:10" x14ac:dyDescent="0.3">
      <c r="A3862" s="9">
        <v>41770</v>
      </c>
      <c r="B3862" s="2" t="str">
        <f>TEXT(Raw_Data!$A3862, "MMM")</f>
        <v>May</v>
      </c>
      <c r="C3862" s="2">
        <f>YEAR(Raw_Data!$A3862)</f>
        <v>2014</v>
      </c>
      <c r="D3862" s="2" t="s">
        <v>147</v>
      </c>
      <c r="E3862" s="2" t="s">
        <v>21</v>
      </c>
      <c r="F3862" s="2" t="s">
        <v>27</v>
      </c>
      <c r="G3862" s="2"/>
      <c r="H3862" s="2">
        <v>3363</v>
      </c>
      <c r="I3862" s="10">
        <v>455771</v>
      </c>
      <c r="J3862" s="10">
        <f>Raw_Data!$I3862/Raw_Data!$H3862</f>
        <v>135.52512637526019</v>
      </c>
    </row>
    <row r="3863" spans="1:10" x14ac:dyDescent="0.3">
      <c r="A3863" s="8">
        <v>37223</v>
      </c>
      <c r="B3863" t="str">
        <f>TEXT(Raw_Data!$A3863, "MMM")</f>
        <v>Nov</v>
      </c>
      <c r="C3863">
        <f>YEAR(Raw_Data!$A3863)</f>
        <v>2001</v>
      </c>
      <c r="D3863" t="s">
        <v>756</v>
      </c>
      <c r="E3863" t="s">
        <v>21</v>
      </c>
      <c r="F3863" t="s">
        <v>18</v>
      </c>
      <c r="G3863">
        <v>3</v>
      </c>
      <c r="H3863">
        <v>2041</v>
      </c>
      <c r="I3863" s="1">
        <v>537998</v>
      </c>
      <c r="J3863" s="1">
        <f>Raw_Data!$I3863/Raw_Data!$H3863</f>
        <v>263.59529642332188</v>
      </c>
    </row>
    <row r="3864" spans="1:10" x14ac:dyDescent="0.3">
      <c r="A3864" s="9">
        <v>38680</v>
      </c>
      <c r="B3864" s="2" t="str">
        <f>TEXT(Raw_Data!$A3864, "MMM")</f>
        <v>Nov</v>
      </c>
      <c r="C3864" s="2">
        <f>YEAR(Raw_Data!$A3864)</f>
        <v>2005</v>
      </c>
      <c r="D3864" s="2" t="s">
        <v>2589</v>
      </c>
      <c r="E3864" s="2" t="s">
        <v>29</v>
      </c>
      <c r="F3864" s="2" t="s">
        <v>18</v>
      </c>
      <c r="G3864" s="2">
        <v>4</v>
      </c>
      <c r="H3864" s="2">
        <v>1756</v>
      </c>
      <c r="I3864" s="10">
        <v>692956</v>
      </c>
      <c r="J3864" s="10">
        <f>Raw_Data!$I3864/Raw_Data!$H3864</f>
        <v>394.62186788154895</v>
      </c>
    </row>
    <row r="3865" spans="1:10" x14ac:dyDescent="0.3">
      <c r="A3865" s="8">
        <v>41803</v>
      </c>
      <c r="B3865" t="str">
        <f>TEXT(Raw_Data!$A3865, "MMM")</f>
        <v>Jun</v>
      </c>
      <c r="C3865">
        <f>YEAR(Raw_Data!$A3865)</f>
        <v>2014</v>
      </c>
      <c r="D3865" t="s">
        <v>1359</v>
      </c>
      <c r="E3865" t="s">
        <v>32</v>
      </c>
      <c r="F3865" t="s">
        <v>11</v>
      </c>
      <c r="H3865">
        <v>1030</v>
      </c>
      <c r="I3865" s="1">
        <v>125497</v>
      </c>
      <c r="J3865" s="1">
        <f>Raw_Data!$I3865/Raw_Data!$H3865</f>
        <v>121.84174757281554</v>
      </c>
    </row>
    <row r="3866" spans="1:10" x14ac:dyDescent="0.3">
      <c r="A3866" s="9">
        <v>43980</v>
      </c>
      <c r="B3866" s="2" t="str">
        <f>TEXT(Raw_Data!$A3866, "MMM")</f>
        <v>May</v>
      </c>
      <c r="C3866" s="2">
        <f>YEAR(Raw_Data!$A3866)</f>
        <v>2020</v>
      </c>
      <c r="D3866" s="2" t="s">
        <v>2590</v>
      </c>
      <c r="E3866" s="2" t="s">
        <v>21</v>
      </c>
      <c r="F3866" s="2" t="s">
        <v>18</v>
      </c>
      <c r="G3866" s="2"/>
      <c r="H3866" s="2">
        <v>1491</v>
      </c>
      <c r="I3866" s="10">
        <v>153491</v>
      </c>
      <c r="J3866" s="10">
        <f>Raw_Data!$I3866/Raw_Data!$H3866</f>
        <v>102.94500335345406</v>
      </c>
    </row>
    <row r="3867" spans="1:10" x14ac:dyDescent="0.3">
      <c r="A3867" s="8">
        <v>40424</v>
      </c>
      <c r="B3867" t="str">
        <f>TEXT(Raw_Data!$A3867, "MMM")</f>
        <v>Sep</v>
      </c>
      <c r="C3867">
        <f>YEAR(Raw_Data!$A3867)</f>
        <v>2010</v>
      </c>
      <c r="D3867" t="s">
        <v>717</v>
      </c>
      <c r="E3867" t="s">
        <v>23</v>
      </c>
      <c r="F3867" t="s">
        <v>18</v>
      </c>
      <c r="H3867">
        <v>2463</v>
      </c>
      <c r="I3867" s="1">
        <v>738890</v>
      </c>
      <c r="J3867" s="1">
        <f>Raw_Data!$I3867/Raw_Data!$H3867</f>
        <v>299.99593991067803</v>
      </c>
    </row>
    <row r="3868" spans="1:10" x14ac:dyDescent="0.3">
      <c r="A3868" s="9">
        <v>38639</v>
      </c>
      <c r="B3868" s="2" t="str">
        <f>TEXT(Raw_Data!$A3868, "MMM")</f>
        <v>Oct</v>
      </c>
      <c r="C3868" s="2">
        <f>YEAR(Raw_Data!$A3868)</f>
        <v>2005</v>
      </c>
      <c r="D3868" s="2" t="s">
        <v>2591</v>
      </c>
      <c r="E3868" s="2" t="s">
        <v>21</v>
      </c>
      <c r="F3868" s="2" t="s">
        <v>27</v>
      </c>
      <c r="G3868" s="2">
        <v>4</v>
      </c>
      <c r="H3868" s="2">
        <v>2068</v>
      </c>
      <c r="I3868" s="10">
        <v>553162</v>
      </c>
      <c r="J3868" s="10">
        <f>Raw_Data!$I3868/Raw_Data!$H3868</f>
        <v>267.4864603481625</v>
      </c>
    </row>
    <row r="3869" spans="1:10" x14ac:dyDescent="0.3">
      <c r="A3869" s="8">
        <v>38178</v>
      </c>
      <c r="B3869" t="str">
        <f>TEXT(Raw_Data!$A3869, "MMM")</f>
        <v>Jul</v>
      </c>
      <c r="C3869">
        <f>YEAR(Raw_Data!$A3869)</f>
        <v>2004</v>
      </c>
      <c r="D3869" t="s">
        <v>177</v>
      </c>
      <c r="E3869" t="s">
        <v>32</v>
      </c>
      <c r="F3869" t="s">
        <v>27</v>
      </c>
      <c r="G3869">
        <v>3</v>
      </c>
      <c r="H3869">
        <v>2746</v>
      </c>
      <c r="I3869" s="1">
        <v>803668</v>
      </c>
      <c r="J3869" s="1">
        <f>Raw_Data!$I3869/Raw_Data!$H3869</f>
        <v>292.66860888565185</v>
      </c>
    </row>
    <row r="3870" spans="1:10" x14ac:dyDescent="0.3">
      <c r="A3870" s="9">
        <v>38225</v>
      </c>
      <c r="B3870" s="2" t="str">
        <f>TEXT(Raw_Data!$A3870, "MMM")</f>
        <v>Aug</v>
      </c>
      <c r="C3870" s="2">
        <f>YEAR(Raw_Data!$A3870)</f>
        <v>2004</v>
      </c>
      <c r="D3870" s="2" t="s">
        <v>951</v>
      </c>
      <c r="E3870" s="2" t="s">
        <v>15</v>
      </c>
      <c r="F3870" s="2" t="s">
        <v>18</v>
      </c>
      <c r="G3870" s="2"/>
      <c r="H3870" s="2">
        <v>1895</v>
      </c>
      <c r="I3870" s="10">
        <v>251121</v>
      </c>
      <c r="J3870" s="10">
        <f>Raw_Data!$I3870/Raw_Data!$H3870</f>
        <v>132.51767810026385</v>
      </c>
    </row>
    <row r="3871" spans="1:10" x14ac:dyDescent="0.3">
      <c r="A3871" s="8">
        <v>43925</v>
      </c>
      <c r="B3871" t="str">
        <f>TEXT(Raw_Data!$A3871, "MMM")</f>
        <v>Apr</v>
      </c>
      <c r="C3871">
        <f>YEAR(Raw_Data!$A3871)</f>
        <v>2020</v>
      </c>
      <c r="D3871" t="s">
        <v>2592</v>
      </c>
      <c r="E3871" t="s">
        <v>32</v>
      </c>
      <c r="F3871" t="s">
        <v>18</v>
      </c>
      <c r="G3871">
        <v>5</v>
      </c>
      <c r="H3871">
        <v>2340</v>
      </c>
      <c r="I3871" s="1">
        <v>406444</v>
      </c>
      <c r="J3871" s="1">
        <f>Raw_Data!$I3871/Raw_Data!$H3871</f>
        <v>173.69401709401708</v>
      </c>
    </row>
    <row r="3872" spans="1:10" x14ac:dyDescent="0.3">
      <c r="A3872" s="9">
        <v>42934</v>
      </c>
      <c r="B3872" s="2" t="str">
        <f>TEXT(Raw_Data!$A3872, "MMM")</f>
        <v>Jul</v>
      </c>
      <c r="C3872" s="2">
        <f>YEAR(Raw_Data!$A3872)</f>
        <v>2017</v>
      </c>
      <c r="D3872" s="2" t="s">
        <v>1146</v>
      </c>
      <c r="E3872" s="2" t="s">
        <v>21</v>
      </c>
      <c r="F3872" s="2" t="s">
        <v>18</v>
      </c>
      <c r="G3872" s="2">
        <v>5</v>
      </c>
      <c r="H3872" s="2">
        <v>1223</v>
      </c>
      <c r="I3872" s="10">
        <v>804160</v>
      </c>
      <c r="J3872" s="10">
        <f>Raw_Data!$I3872/Raw_Data!$H3872</f>
        <v>657.53066230580544</v>
      </c>
    </row>
    <row r="3873" spans="1:10" x14ac:dyDescent="0.3">
      <c r="A3873" s="8">
        <v>41120</v>
      </c>
      <c r="B3873" t="str">
        <f>TEXT(Raw_Data!$A3873, "MMM")</f>
        <v>Jul</v>
      </c>
      <c r="C3873">
        <f>YEAR(Raw_Data!$A3873)</f>
        <v>2012</v>
      </c>
      <c r="D3873" t="s">
        <v>2331</v>
      </c>
      <c r="E3873" t="s">
        <v>23</v>
      </c>
      <c r="F3873" t="s">
        <v>27</v>
      </c>
      <c r="H3873">
        <v>1580</v>
      </c>
      <c r="I3873" s="1">
        <v>214839</v>
      </c>
      <c r="J3873" s="1">
        <f>Raw_Data!$I3873/Raw_Data!$H3873</f>
        <v>135.9740506329114</v>
      </c>
    </row>
    <row r="3874" spans="1:10" x14ac:dyDescent="0.3">
      <c r="A3874" s="9">
        <v>39023</v>
      </c>
      <c r="B3874" s="2" t="str">
        <f>TEXT(Raw_Data!$A3874, "MMM")</f>
        <v>Nov</v>
      </c>
      <c r="C3874" s="2">
        <f>YEAR(Raw_Data!$A3874)</f>
        <v>2006</v>
      </c>
      <c r="D3874" s="2" t="s">
        <v>2593</v>
      </c>
      <c r="E3874" s="2" t="s">
        <v>13</v>
      </c>
      <c r="F3874" s="2" t="s">
        <v>27</v>
      </c>
      <c r="G3874" s="2">
        <v>3</v>
      </c>
      <c r="H3874" s="2">
        <v>1559</v>
      </c>
      <c r="I3874" s="10">
        <v>595239</v>
      </c>
      <c r="J3874" s="10">
        <f>Raw_Data!$I3874/Raw_Data!$H3874</f>
        <v>381.80821039127648</v>
      </c>
    </row>
    <row r="3875" spans="1:10" x14ac:dyDescent="0.3">
      <c r="A3875" s="8">
        <v>39413</v>
      </c>
      <c r="B3875" t="str">
        <f>TEXT(Raw_Data!$A3875, "MMM")</f>
        <v>Nov</v>
      </c>
      <c r="C3875">
        <f>YEAR(Raw_Data!$A3875)</f>
        <v>2007</v>
      </c>
      <c r="D3875" t="s">
        <v>237</v>
      </c>
      <c r="E3875" t="s">
        <v>15</v>
      </c>
      <c r="F3875" t="s">
        <v>11</v>
      </c>
      <c r="G3875">
        <v>4</v>
      </c>
      <c r="H3875">
        <v>2627</v>
      </c>
      <c r="I3875" s="1">
        <v>361639</v>
      </c>
      <c r="J3875" s="1">
        <f>Raw_Data!$I3875/Raw_Data!$H3875</f>
        <v>137.6623524933384</v>
      </c>
    </row>
    <row r="3876" spans="1:10" x14ac:dyDescent="0.3">
      <c r="A3876" s="9">
        <v>40102</v>
      </c>
      <c r="B3876" s="2" t="str">
        <f>TEXT(Raw_Data!$A3876, "MMM")</f>
        <v>Oct</v>
      </c>
      <c r="C3876" s="2">
        <f>YEAR(Raw_Data!$A3876)</f>
        <v>2009</v>
      </c>
      <c r="D3876" s="2" t="s">
        <v>1921</v>
      </c>
      <c r="E3876" s="2" t="s">
        <v>25</v>
      </c>
      <c r="F3876" s="2" t="s">
        <v>16</v>
      </c>
      <c r="G3876" s="2"/>
      <c r="H3876" s="2">
        <v>1011</v>
      </c>
      <c r="I3876" s="10">
        <v>870802</v>
      </c>
      <c r="J3876" s="10">
        <f>Raw_Data!$I3876/Raw_Data!$H3876</f>
        <v>861.32739861523248</v>
      </c>
    </row>
    <row r="3877" spans="1:10" x14ac:dyDescent="0.3">
      <c r="A3877" s="8">
        <v>41903</v>
      </c>
      <c r="B3877" t="str">
        <f>TEXT(Raw_Data!$A3877, "MMM")</f>
        <v>Sep</v>
      </c>
      <c r="C3877">
        <f>YEAR(Raw_Data!$A3877)</f>
        <v>2014</v>
      </c>
      <c r="D3877" t="s">
        <v>2594</v>
      </c>
      <c r="E3877" t="s">
        <v>29</v>
      </c>
      <c r="F3877" t="s">
        <v>18</v>
      </c>
      <c r="G3877">
        <v>2</v>
      </c>
      <c r="H3877">
        <v>2565</v>
      </c>
      <c r="I3877" s="1">
        <v>816016</v>
      </c>
      <c r="J3877" s="1">
        <f>Raw_Data!$I3877/Raw_Data!$H3877</f>
        <v>318.13489278752439</v>
      </c>
    </row>
    <row r="3878" spans="1:10" x14ac:dyDescent="0.3">
      <c r="A3878" s="9">
        <v>39448</v>
      </c>
      <c r="B3878" s="2" t="str">
        <f>TEXT(Raw_Data!$A3878, "MMM")</f>
        <v>Jan</v>
      </c>
      <c r="C3878" s="2">
        <f>YEAR(Raw_Data!$A3878)</f>
        <v>2008</v>
      </c>
      <c r="D3878" s="2" t="s">
        <v>1641</v>
      </c>
      <c r="E3878" s="2" t="s">
        <v>32</v>
      </c>
      <c r="F3878" s="2" t="s">
        <v>18</v>
      </c>
      <c r="G3878" s="2"/>
      <c r="H3878" s="2">
        <v>2006</v>
      </c>
      <c r="I3878" s="10">
        <v>387001</v>
      </c>
      <c r="J3878" s="10">
        <f>Raw_Data!$I3878/Raw_Data!$H3878</f>
        <v>192.92173479561316</v>
      </c>
    </row>
    <row r="3879" spans="1:10" x14ac:dyDescent="0.3">
      <c r="A3879" s="8">
        <v>41517</v>
      </c>
      <c r="B3879" t="str">
        <f>TEXT(Raw_Data!$A3879, "MMM")</f>
        <v>Aug</v>
      </c>
      <c r="C3879">
        <f>YEAR(Raw_Data!$A3879)</f>
        <v>2013</v>
      </c>
      <c r="D3879" t="s">
        <v>2276</v>
      </c>
      <c r="E3879" t="s">
        <v>23</v>
      </c>
      <c r="F3879" t="s">
        <v>18</v>
      </c>
      <c r="G3879">
        <v>4</v>
      </c>
      <c r="H3879">
        <v>993</v>
      </c>
      <c r="I3879" s="1">
        <v>348401</v>
      </c>
      <c r="J3879" s="1">
        <f>Raw_Data!$I3879/Raw_Data!$H3879</f>
        <v>350.85699899295065</v>
      </c>
    </row>
    <row r="3880" spans="1:10" x14ac:dyDescent="0.3">
      <c r="A3880" s="9">
        <v>41861</v>
      </c>
      <c r="B3880" s="2" t="str">
        <f>TEXT(Raw_Data!$A3880, "MMM")</f>
        <v>Aug</v>
      </c>
      <c r="C3880" s="2">
        <f>YEAR(Raw_Data!$A3880)</f>
        <v>2014</v>
      </c>
      <c r="D3880" s="2" t="s">
        <v>2213</v>
      </c>
      <c r="E3880" s="2" t="s">
        <v>25</v>
      </c>
      <c r="F3880" s="2" t="s">
        <v>18</v>
      </c>
      <c r="G3880" s="2">
        <v>2</v>
      </c>
      <c r="H3880" s="2">
        <v>3050</v>
      </c>
      <c r="I3880" s="10">
        <v>150720</v>
      </c>
      <c r="J3880" s="10">
        <f>Raw_Data!$I3880/Raw_Data!$H3880</f>
        <v>49.416393442622947</v>
      </c>
    </row>
    <row r="3881" spans="1:10" x14ac:dyDescent="0.3">
      <c r="A3881" s="8">
        <v>42552</v>
      </c>
      <c r="B3881" t="str">
        <f>TEXT(Raw_Data!$A3881, "MMM")</f>
        <v>Jul</v>
      </c>
      <c r="C3881">
        <f>YEAR(Raw_Data!$A3881)</f>
        <v>2016</v>
      </c>
      <c r="D3881" t="s">
        <v>2595</v>
      </c>
      <c r="E3881" t="s">
        <v>23</v>
      </c>
      <c r="F3881" t="s">
        <v>18</v>
      </c>
      <c r="G3881">
        <v>3</v>
      </c>
      <c r="H3881">
        <v>1304</v>
      </c>
      <c r="I3881" s="1">
        <v>497509</v>
      </c>
      <c r="J3881" s="1">
        <f>Raw_Data!$I3881/Raw_Data!$H3881</f>
        <v>381.52530674846628</v>
      </c>
    </row>
    <row r="3882" spans="1:10" x14ac:dyDescent="0.3">
      <c r="A3882" s="9">
        <v>38344</v>
      </c>
      <c r="B3882" s="2" t="str">
        <f>TEXT(Raw_Data!$A3882, "MMM")</f>
        <v>Dec</v>
      </c>
      <c r="C3882" s="2">
        <f>YEAR(Raw_Data!$A3882)</f>
        <v>2004</v>
      </c>
      <c r="D3882" s="2" t="s">
        <v>2596</v>
      </c>
      <c r="E3882" s="2" t="s">
        <v>13</v>
      </c>
      <c r="F3882" s="2" t="s">
        <v>27</v>
      </c>
      <c r="G3882" s="2">
        <v>2</v>
      </c>
      <c r="H3882" s="2">
        <v>3242</v>
      </c>
      <c r="I3882" s="10">
        <v>742206</v>
      </c>
      <c r="J3882" s="10">
        <f>Raw_Data!$I3882/Raw_Data!$H3882</f>
        <v>228.93460826650215</v>
      </c>
    </row>
    <row r="3883" spans="1:10" x14ac:dyDescent="0.3">
      <c r="A3883" s="8">
        <v>37250</v>
      </c>
      <c r="B3883" t="str">
        <f>TEXT(Raw_Data!$A3883, "MMM")</f>
        <v>Dec</v>
      </c>
      <c r="C3883">
        <f>YEAR(Raw_Data!$A3883)</f>
        <v>2001</v>
      </c>
      <c r="D3883" t="s">
        <v>2597</v>
      </c>
      <c r="E3883" t="s">
        <v>15</v>
      </c>
      <c r="F3883" t="s">
        <v>11</v>
      </c>
      <c r="G3883">
        <v>5</v>
      </c>
      <c r="H3883">
        <v>2490</v>
      </c>
      <c r="I3883" s="1">
        <v>898731</v>
      </c>
      <c r="J3883" s="1">
        <f>Raw_Data!$I3883/Raw_Data!$H3883</f>
        <v>360.93614457831325</v>
      </c>
    </row>
    <row r="3884" spans="1:10" x14ac:dyDescent="0.3">
      <c r="A3884" s="9">
        <v>41650</v>
      </c>
      <c r="B3884" s="2" t="str">
        <f>TEXT(Raw_Data!$A3884, "MMM")</f>
        <v>Jan</v>
      </c>
      <c r="C3884" s="2">
        <f>YEAR(Raw_Data!$A3884)</f>
        <v>2014</v>
      </c>
      <c r="D3884" s="2" t="s">
        <v>2091</v>
      </c>
      <c r="E3884" s="2" t="s">
        <v>15</v>
      </c>
      <c r="F3884" s="2" t="s">
        <v>16</v>
      </c>
      <c r="G3884" s="2">
        <v>4</v>
      </c>
      <c r="H3884" s="2">
        <v>2809</v>
      </c>
      <c r="I3884" s="10">
        <v>812621</v>
      </c>
      <c r="J3884" s="10">
        <f>Raw_Data!$I3884/Raw_Data!$H3884</f>
        <v>289.29191883232465</v>
      </c>
    </row>
    <row r="3885" spans="1:10" x14ac:dyDescent="0.3">
      <c r="A3885" s="8">
        <v>41556</v>
      </c>
      <c r="B3885" t="str">
        <f>TEXT(Raw_Data!$A3885, "MMM")</f>
        <v>Oct</v>
      </c>
      <c r="C3885">
        <f>YEAR(Raw_Data!$A3885)</f>
        <v>2013</v>
      </c>
      <c r="D3885" t="s">
        <v>1833</v>
      </c>
      <c r="E3885" t="s">
        <v>13</v>
      </c>
      <c r="F3885" t="s">
        <v>18</v>
      </c>
      <c r="G3885">
        <v>2</v>
      </c>
      <c r="H3885">
        <v>922</v>
      </c>
      <c r="I3885" s="1">
        <v>874068</v>
      </c>
      <c r="J3885" s="1">
        <f>Raw_Data!$I3885/Raw_Data!$H3885</f>
        <v>948.01301518438174</v>
      </c>
    </row>
    <row r="3886" spans="1:10" x14ac:dyDescent="0.3">
      <c r="A3886" s="9">
        <v>37740</v>
      </c>
      <c r="B3886" s="2" t="str">
        <f>TEXT(Raw_Data!$A3886, "MMM")</f>
        <v>Apr</v>
      </c>
      <c r="C3886" s="2">
        <f>YEAR(Raw_Data!$A3886)</f>
        <v>2003</v>
      </c>
      <c r="D3886" s="2" t="s">
        <v>2598</v>
      </c>
      <c r="E3886" s="2" t="s">
        <v>25</v>
      </c>
      <c r="F3886" s="2" t="s">
        <v>16</v>
      </c>
      <c r="G3886" s="2">
        <v>2</v>
      </c>
      <c r="H3886" s="2">
        <v>2095</v>
      </c>
      <c r="I3886" s="10">
        <v>253934</v>
      </c>
      <c r="J3886" s="10">
        <f>Raw_Data!$I3886/Raw_Data!$H3886</f>
        <v>121.20954653937947</v>
      </c>
    </row>
    <row r="3887" spans="1:10" x14ac:dyDescent="0.3">
      <c r="A3887" s="8">
        <v>42478</v>
      </c>
      <c r="B3887" t="str">
        <f>TEXT(Raw_Data!$A3887, "MMM")</f>
        <v>Apr</v>
      </c>
      <c r="C3887">
        <f>YEAR(Raw_Data!$A3887)</f>
        <v>2016</v>
      </c>
      <c r="D3887" t="s">
        <v>2253</v>
      </c>
      <c r="E3887" t="s">
        <v>32</v>
      </c>
      <c r="F3887" t="s">
        <v>18</v>
      </c>
      <c r="G3887">
        <v>3</v>
      </c>
      <c r="H3887">
        <v>1468</v>
      </c>
      <c r="I3887" s="1">
        <v>734740</v>
      </c>
      <c r="J3887" s="1">
        <f>Raw_Data!$I3887/Raw_Data!$H3887</f>
        <v>500.50408719346046</v>
      </c>
    </row>
    <row r="3888" spans="1:10" x14ac:dyDescent="0.3">
      <c r="A3888" s="9">
        <v>39012</v>
      </c>
      <c r="B3888" s="2" t="str">
        <f>TEXT(Raw_Data!$A3888, "MMM")</f>
        <v>Oct</v>
      </c>
      <c r="C3888" s="2">
        <f>YEAR(Raw_Data!$A3888)</f>
        <v>2006</v>
      </c>
      <c r="D3888" s="2" t="s">
        <v>2599</v>
      </c>
      <c r="E3888" s="2" t="s">
        <v>15</v>
      </c>
      <c r="F3888" s="2" t="s">
        <v>18</v>
      </c>
      <c r="G3888" s="2">
        <v>5</v>
      </c>
      <c r="H3888" s="2">
        <v>1162</v>
      </c>
      <c r="I3888" s="10">
        <v>183851</v>
      </c>
      <c r="J3888" s="10">
        <f>Raw_Data!$I3888/Raw_Data!$H3888</f>
        <v>158.21944922547331</v>
      </c>
    </row>
    <row r="3889" spans="1:10" x14ac:dyDescent="0.3">
      <c r="A3889" s="8">
        <v>37689</v>
      </c>
      <c r="B3889" t="str">
        <f>TEXT(Raw_Data!$A3889, "MMM")</f>
        <v>Mar</v>
      </c>
      <c r="C3889">
        <f>YEAR(Raw_Data!$A3889)</f>
        <v>2003</v>
      </c>
      <c r="D3889" t="s">
        <v>2600</v>
      </c>
      <c r="E3889" t="s">
        <v>25</v>
      </c>
      <c r="F3889" t="s">
        <v>11</v>
      </c>
      <c r="G3889">
        <v>5</v>
      </c>
      <c r="H3889">
        <v>3158</v>
      </c>
      <c r="I3889" s="1">
        <v>205035</v>
      </c>
      <c r="J3889" s="1">
        <f>Raw_Data!$I3889/Raw_Data!$H3889</f>
        <v>64.925585813806208</v>
      </c>
    </row>
    <row r="3890" spans="1:10" x14ac:dyDescent="0.3">
      <c r="A3890" s="9">
        <v>40980</v>
      </c>
      <c r="B3890" s="2" t="str">
        <f>TEXT(Raw_Data!$A3890, "MMM")</f>
        <v>Mar</v>
      </c>
      <c r="C3890" s="2">
        <f>YEAR(Raw_Data!$A3890)</f>
        <v>2012</v>
      </c>
      <c r="D3890" s="2" t="s">
        <v>994</v>
      </c>
      <c r="E3890" s="2" t="s">
        <v>25</v>
      </c>
      <c r="F3890" s="2" t="s">
        <v>16</v>
      </c>
      <c r="G3890" s="2"/>
      <c r="H3890" s="2">
        <v>2801</v>
      </c>
      <c r="I3890" s="10">
        <v>199249</v>
      </c>
      <c r="J3890" s="10">
        <f>Raw_Data!$I3890/Raw_Data!$H3890</f>
        <v>71.134951802927532</v>
      </c>
    </row>
    <row r="3891" spans="1:10" x14ac:dyDescent="0.3">
      <c r="A3891" s="8">
        <v>43870</v>
      </c>
      <c r="B3891" t="str">
        <f>TEXT(Raw_Data!$A3891, "MMM")</f>
        <v>Feb</v>
      </c>
      <c r="C3891">
        <f>YEAR(Raw_Data!$A3891)</f>
        <v>2020</v>
      </c>
      <c r="D3891" t="s">
        <v>748</v>
      </c>
      <c r="E3891" t="s">
        <v>32</v>
      </c>
      <c r="F3891" t="s">
        <v>16</v>
      </c>
      <c r="G3891">
        <v>5</v>
      </c>
      <c r="H3891">
        <v>1182</v>
      </c>
      <c r="I3891" s="1">
        <v>467420</v>
      </c>
      <c r="J3891" s="1">
        <f>Raw_Data!$I3891/Raw_Data!$H3891</f>
        <v>395.44839255499153</v>
      </c>
    </row>
    <row r="3892" spans="1:10" x14ac:dyDescent="0.3">
      <c r="A3892" s="9">
        <v>38307</v>
      </c>
      <c r="B3892" s="2" t="str">
        <f>TEXT(Raw_Data!$A3892, "MMM")</f>
        <v>Nov</v>
      </c>
      <c r="C3892" s="2">
        <f>YEAR(Raw_Data!$A3892)</f>
        <v>2004</v>
      </c>
      <c r="D3892" s="2" t="s">
        <v>2601</v>
      </c>
      <c r="E3892" s="2" t="s">
        <v>32</v>
      </c>
      <c r="F3892" s="2" t="s">
        <v>18</v>
      </c>
      <c r="G3892" s="2">
        <v>5</v>
      </c>
      <c r="H3892" s="2">
        <v>3067</v>
      </c>
      <c r="I3892" s="10">
        <v>778433</v>
      </c>
      <c r="J3892" s="10">
        <f>Raw_Data!$I3892/Raw_Data!$H3892</f>
        <v>253.80925986305837</v>
      </c>
    </row>
    <row r="3893" spans="1:10" x14ac:dyDescent="0.3">
      <c r="A3893" s="8">
        <v>42959</v>
      </c>
      <c r="B3893" t="str">
        <f>TEXT(Raw_Data!$A3893, "MMM")</f>
        <v>Aug</v>
      </c>
      <c r="C3893">
        <f>YEAR(Raw_Data!$A3893)</f>
        <v>2017</v>
      </c>
      <c r="D3893" t="s">
        <v>1110</v>
      </c>
      <c r="E3893" t="s">
        <v>15</v>
      </c>
      <c r="F3893" t="s">
        <v>27</v>
      </c>
      <c r="H3893">
        <v>944</v>
      </c>
      <c r="I3893" s="1">
        <v>512335</v>
      </c>
      <c r="J3893" s="1">
        <f>Raw_Data!$I3893/Raw_Data!$H3893</f>
        <v>542.72775423728808</v>
      </c>
    </row>
    <row r="3894" spans="1:10" x14ac:dyDescent="0.3">
      <c r="A3894" s="9">
        <v>40919</v>
      </c>
      <c r="B3894" s="2" t="str">
        <f>TEXT(Raw_Data!$A3894, "MMM")</f>
        <v>Jan</v>
      </c>
      <c r="C3894" s="2">
        <f>YEAR(Raw_Data!$A3894)</f>
        <v>2012</v>
      </c>
      <c r="D3894" s="2" t="s">
        <v>2602</v>
      </c>
      <c r="E3894" s="2" t="s">
        <v>13</v>
      </c>
      <c r="F3894" s="2" t="s">
        <v>18</v>
      </c>
      <c r="G3894" s="2"/>
      <c r="H3894" s="2">
        <v>1311</v>
      </c>
      <c r="I3894" s="10">
        <v>251360</v>
      </c>
      <c r="J3894" s="10">
        <f>Raw_Data!$I3894/Raw_Data!$H3894</f>
        <v>191.73150266971777</v>
      </c>
    </row>
    <row r="3895" spans="1:10" x14ac:dyDescent="0.3">
      <c r="A3895" s="8">
        <v>41281</v>
      </c>
      <c r="B3895" t="str">
        <f>TEXT(Raw_Data!$A3895, "MMM")</f>
        <v>Jan</v>
      </c>
      <c r="C3895">
        <f>YEAR(Raw_Data!$A3895)</f>
        <v>2013</v>
      </c>
      <c r="D3895" t="s">
        <v>563</v>
      </c>
      <c r="E3895" t="s">
        <v>21</v>
      </c>
      <c r="F3895" t="s">
        <v>18</v>
      </c>
      <c r="G3895">
        <v>3</v>
      </c>
      <c r="H3895">
        <v>1437</v>
      </c>
      <c r="I3895" s="1">
        <v>722881</v>
      </c>
      <c r="J3895" s="1">
        <f>Raw_Data!$I3895/Raw_Data!$H3895</f>
        <v>503.04871259568546</v>
      </c>
    </row>
    <row r="3896" spans="1:10" x14ac:dyDescent="0.3">
      <c r="A3896" s="9">
        <v>37756</v>
      </c>
      <c r="B3896" s="2" t="str">
        <f>TEXT(Raw_Data!$A3896, "MMM")</f>
        <v>May</v>
      </c>
      <c r="C3896" s="2">
        <f>YEAR(Raw_Data!$A3896)</f>
        <v>2003</v>
      </c>
      <c r="D3896" s="2" t="s">
        <v>2603</v>
      </c>
      <c r="E3896" s="2" t="s">
        <v>32</v>
      </c>
      <c r="F3896" s="2" t="s">
        <v>16</v>
      </c>
      <c r="G3896" s="2">
        <v>4</v>
      </c>
      <c r="H3896" s="2">
        <v>2977</v>
      </c>
      <c r="I3896" s="10">
        <v>137850</v>
      </c>
      <c r="J3896" s="10">
        <f>Raw_Data!$I3896/Raw_Data!$H3896</f>
        <v>46.305005038629496</v>
      </c>
    </row>
    <row r="3897" spans="1:10" x14ac:dyDescent="0.3">
      <c r="A3897" s="8">
        <v>36949</v>
      </c>
      <c r="B3897" t="str">
        <f>TEXT(Raw_Data!$A3897, "MMM")</f>
        <v>Feb</v>
      </c>
      <c r="C3897">
        <f>YEAR(Raw_Data!$A3897)</f>
        <v>2001</v>
      </c>
      <c r="D3897" t="s">
        <v>2604</v>
      </c>
      <c r="E3897" t="s">
        <v>32</v>
      </c>
      <c r="F3897" t="s">
        <v>11</v>
      </c>
      <c r="H3897">
        <v>1828</v>
      </c>
      <c r="I3897" s="1">
        <v>720167</v>
      </c>
      <c r="J3897" s="1">
        <f>Raw_Data!$I3897/Raw_Data!$H3897</f>
        <v>393.96444201312909</v>
      </c>
    </row>
    <row r="3898" spans="1:10" x14ac:dyDescent="0.3">
      <c r="A3898" s="9">
        <v>42956</v>
      </c>
      <c r="B3898" s="2" t="str">
        <f>TEXT(Raw_Data!$A3898, "MMM")</f>
        <v>Aug</v>
      </c>
      <c r="C3898" s="2">
        <f>YEAR(Raw_Data!$A3898)</f>
        <v>2017</v>
      </c>
      <c r="D3898" s="2" t="s">
        <v>1995</v>
      </c>
      <c r="E3898" s="2" t="s">
        <v>13</v>
      </c>
      <c r="F3898" s="2" t="s">
        <v>11</v>
      </c>
      <c r="G3898" s="2"/>
      <c r="H3898" s="2">
        <v>2475</v>
      </c>
      <c r="I3898" s="10">
        <v>371950</v>
      </c>
      <c r="J3898" s="10">
        <f>Raw_Data!$I3898/Raw_Data!$H3898</f>
        <v>150.28282828282829</v>
      </c>
    </row>
    <row r="3899" spans="1:10" x14ac:dyDescent="0.3">
      <c r="A3899" s="8">
        <v>41773</v>
      </c>
      <c r="B3899" t="str">
        <f>TEXT(Raw_Data!$A3899, "MMM")</f>
        <v>May</v>
      </c>
      <c r="C3899">
        <f>YEAR(Raw_Data!$A3899)</f>
        <v>2014</v>
      </c>
      <c r="D3899" t="s">
        <v>1451</v>
      </c>
      <c r="E3899" t="s">
        <v>32</v>
      </c>
      <c r="F3899" t="s">
        <v>27</v>
      </c>
      <c r="G3899">
        <v>3</v>
      </c>
      <c r="H3899">
        <v>3466</v>
      </c>
      <c r="I3899" s="1">
        <v>738727</v>
      </c>
      <c r="J3899" s="1">
        <f>Raw_Data!$I3899/Raw_Data!$H3899</f>
        <v>213.13531448355454</v>
      </c>
    </row>
    <row r="3900" spans="1:10" x14ac:dyDescent="0.3">
      <c r="A3900" s="9">
        <v>40844</v>
      </c>
      <c r="B3900" s="2" t="str">
        <f>TEXT(Raw_Data!$A3900, "MMM")</f>
        <v>Oct</v>
      </c>
      <c r="C3900" s="2">
        <f>YEAR(Raw_Data!$A3900)</f>
        <v>2011</v>
      </c>
      <c r="D3900" s="2" t="s">
        <v>1740</v>
      </c>
      <c r="E3900" s="2" t="s">
        <v>15</v>
      </c>
      <c r="F3900" s="2" t="s">
        <v>27</v>
      </c>
      <c r="G3900" s="2">
        <v>3</v>
      </c>
      <c r="H3900" s="2">
        <v>1299</v>
      </c>
      <c r="I3900" s="10">
        <v>136877</v>
      </c>
      <c r="J3900" s="10">
        <f>Raw_Data!$I3900/Raw_Data!$H3900</f>
        <v>105.37105465742879</v>
      </c>
    </row>
    <row r="3901" spans="1:10" x14ac:dyDescent="0.3">
      <c r="A3901" s="8">
        <v>38625</v>
      </c>
      <c r="B3901" t="str">
        <f>TEXT(Raw_Data!$A3901, "MMM")</f>
        <v>Sep</v>
      </c>
      <c r="C3901">
        <f>YEAR(Raw_Data!$A3901)</f>
        <v>2005</v>
      </c>
      <c r="D3901" t="s">
        <v>2585</v>
      </c>
      <c r="E3901" t="s">
        <v>29</v>
      </c>
      <c r="F3901" t="s">
        <v>27</v>
      </c>
      <c r="G3901">
        <v>3</v>
      </c>
      <c r="H3901">
        <v>2077</v>
      </c>
      <c r="I3901" s="1">
        <v>742670</v>
      </c>
      <c r="J3901" s="1">
        <f>Raw_Data!$I3901/Raw_Data!$H3901</f>
        <v>357.56860857005296</v>
      </c>
    </row>
    <row r="3902" spans="1:10" x14ac:dyDescent="0.3">
      <c r="A3902" s="9">
        <v>40688</v>
      </c>
      <c r="B3902" s="2" t="str">
        <f>TEXT(Raw_Data!$A3902, "MMM")</f>
        <v>May</v>
      </c>
      <c r="C3902" s="2">
        <f>YEAR(Raw_Data!$A3902)</f>
        <v>2011</v>
      </c>
      <c r="D3902" s="2" t="s">
        <v>2605</v>
      </c>
      <c r="E3902" s="2" t="s">
        <v>15</v>
      </c>
      <c r="F3902" s="2" t="s">
        <v>27</v>
      </c>
      <c r="G3902" s="2"/>
      <c r="H3902" s="2">
        <v>1374</v>
      </c>
      <c r="I3902" s="10">
        <v>450480</v>
      </c>
      <c r="J3902" s="10">
        <f>Raw_Data!$I3902/Raw_Data!$H3902</f>
        <v>327.86026200873363</v>
      </c>
    </row>
    <row r="3903" spans="1:10" x14ac:dyDescent="0.3">
      <c r="A3903" s="8">
        <v>37289</v>
      </c>
      <c r="B3903" t="str">
        <f>TEXT(Raw_Data!$A3903, "MMM")</f>
        <v>Feb</v>
      </c>
      <c r="C3903">
        <f>YEAR(Raw_Data!$A3903)</f>
        <v>2002</v>
      </c>
      <c r="D3903" t="s">
        <v>2332</v>
      </c>
      <c r="E3903" t="s">
        <v>15</v>
      </c>
      <c r="F3903" t="s">
        <v>16</v>
      </c>
      <c r="G3903">
        <v>4</v>
      </c>
      <c r="H3903">
        <v>2253</v>
      </c>
      <c r="I3903" s="1">
        <v>458872</v>
      </c>
      <c r="J3903" s="1">
        <f>Raw_Data!$I3903/Raw_Data!$H3903</f>
        <v>203.67154904571683</v>
      </c>
    </row>
    <row r="3904" spans="1:10" x14ac:dyDescent="0.3">
      <c r="A3904" s="9">
        <v>42185</v>
      </c>
      <c r="B3904" s="2" t="str">
        <f>TEXT(Raw_Data!$A3904, "MMM")</f>
        <v>Jun</v>
      </c>
      <c r="C3904" s="2">
        <f>YEAR(Raw_Data!$A3904)</f>
        <v>2015</v>
      </c>
      <c r="D3904" s="2" t="s">
        <v>2209</v>
      </c>
      <c r="E3904" s="2" t="s">
        <v>15</v>
      </c>
      <c r="F3904" s="2" t="s">
        <v>27</v>
      </c>
      <c r="G3904" s="2">
        <v>4</v>
      </c>
      <c r="H3904" s="2">
        <v>2068</v>
      </c>
      <c r="I3904" s="10">
        <v>575675</v>
      </c>
      <c r="J3904" s="10">
        <f>Raw_Data!$I3904/Raw_Data!$H3904</f>
        <v>278.37282398452612</v>
      </c>
    </row>
    <row r="3905" spans="1:10" x14ac:dyDescent="0.3">
      <c r="A3905" s="8">
        <v>38541</v>
      </c>
      <c r="B3905" t="str">
        <f>TEXT(Raw_Data!$A3905, "MMM")</f>
        <v>Jul</v>
      </c>
      <c r="C3905">
        <f>YEAR(Raw_Data!$A3905)</f>
        <v>2005</v>
      </c>
      <c r="D3905" t="s">
        <v>297</v>
      </c>
      <c r="E3905" t="s">
        <v>32</v>
      </c>
      <c r="F3905" t="s">
        <v>18</v>
      </c>
      <c r="G3905">
        <v>2</v>
      </c>
      <c r="H3905">
        <v>2816</v>
      </c>
      <c r="I3905" s="1">
        <v>569407</v>
      </c>
      <c r="J3905" s="1">
        <f>Raw_Data!$I3905/Raw_Data!$H3905</f>
        <v>202.20419034090909</v>
      </c>
    </row>
    <row r="3906" spans="1:10" x14ac:dyDescent="0.3">
      <c r="A3906" s="9">
        <v>37493</v>
      </c>
      <c r="B3906" s="2" t="str">
        <f>TEXT(Raw_Data!$A3906, "MMM")</f>
        <v>Aug</v>
      </c>
      <c r="C3906" s="2">
        <f>YEAR(Raw_Data!$A3906)</f>
        <v>2002</v>
      </c>
      <c r="D3906" s="2" t="s">
        <v>2606</v>
      </c>
      <c r="E3906" s="2" t="s">
        <v>15</v>
      </c>
      <c r="F3906" s="2" t="s">
        <v>16</v>
      </c>
      <c r="G3906" s="2"/>
      <c r="H3906" s="2">
        <v>3159</v>
      </c>
      <c r="I3906" s="10">
        <v>166045</v>
      </c>
      <c r="J3906" s="10">
        <f>Raw_Data!$I3906/Raw_Data!$H3906</f>
        <v>52.562519784742008</v>
      </c>
    </row>
    <row r="3907" spans="1:10" x14ac:dyDescent="0.3">
      <c r="A3907" s="8">
        <v>40437</v>
      </c>
      <c r="B3907" t="str">
        <f>TEXT(Raw_Data!$A3907, "MMM")</f>
        <v>Sep</v>
      </c>
      <c r="C3907">
        <f>YEAR(Raw_Data!$A3907)</f>
        <v>2010</v>
      </c>
      <c r="D3907" t="s">
        <v>2607</v>
      </c>
      <c r="E3907" t="s">
        <v>15</v>
      </c>
      <c r="F3907" t="s">
        <v>18</v>
      </c>
      <c r="H3907">
        <v>1283</v>
      </c>
      <c r="I3907" s="1">
        <v>772122</v>
      </c>
      <c r="J3907" s="1">
        <f>Raw_Data!$I3907/Raw_Data!$H3907</f>
        <v>601.80982073265784</v>
      </c>
    </row>
    <row r="3908" spans="1:10" x14ac:dyDescent="0.3">
      <c r="A3908" s="9">
        <v>39099</v>
      </c>
      <c r="B3908" s="2" t="str">
        <f>TEXT(Raw_Data!$A3908, "MMM")</f>
        <v>Jan</v>
      </c>
      <c r="C3908" s="2">
        <f>YEAR(Raw_Data!$A3908)</f>
        <v>2007</v>
      </c>
      <c r="D3908" s="2" t="s">
        <v>2608</v>
      </c>
      <c r="E3908" s="2" t="s">
        <v>13</v>
      </c>
      <c r="F3908" s="2" t="s">
        <v>16</v>
      </c>
      <c r="G3908" s="2">
        <v>4</v>
      </c>
      <c r="H3908" s="2">
        <v>3215</v>
      </c>
      <c r="I3908" s="10">
        <v>530060</v>
      </c>
      <c r="J3908" s="10">
        <f>Raw_Data!$I3908/Raw_Data!$H3908</f>
        <v>164.87091757387248</v>
      </c>
    </row>
    <row r="3909" spans="1:10" x14ac:dyDescent="0.3">
      <c r="A3909" s="8">
        <v>40175</v>
      </c>
      <c r="B3909" t="str">
        <f>TEXT(Raw_Data!$A3909, "MMM")</f>
        <v>Dec</v>
      </c>
      <c r="C3909">
        <f>YEAR(Raw_Data!$A3909)</f>
        <v>2009</v>
      </c>
      <c r="D3909" t="s">
        <v>2609</v>
      </c>
      <c r="E3909" t="s">
        <v>21</v>
      </c>
      <c r="F3909" t="s">
        <v>27</v>
      </c>
      <c r="G3909">
        <v>5</v>
      </c>
      <c r="H3909">
        <v>2608</v>
      </c>
      <c r="I3909" s="1">
        <v>550251</v>
      </c>
      <c r="J3909" s="1">
        <f>Raw_Data!$I3909/Raw_Data!$H3909</f>
        <v>210.98581288343559</v>
      </c>
    </row>
    <row r="3910" spans="1:10" x14ac:dyDescent="0.3">
      <c r="A3910" s="9">
        <v>38104</v>
      </c>
      <c r="B3910" s="2" t="str">
        <f>TEXT(Raw_Data!$A3910, "MMM")</f>
        <v>Apr</v>
      </c>
      <c r="C3910" s="2">
        <f>YEAR(Raw_Data!$A3910)</f>
        <v>2004</v>
      </c>
      <c r="D3910" s="2" t="s">
        <v>2610</v>
      </c>
      <c r="E3910" s="2" t="s">
        <v>15</v>
      </c>
      <c r="F3910" s="2" t="s">
        <v>18</v>
      </c>
      <c r="G3910" s="2"/>
      <c r="H3910" s="2">
        <v>1611</v>
      </c>
      <c r="I3910" s="10">
        <v>221893</v>
      </c>
      <c r="J3910" s="10">
        <f>Raw_Data!$I3910/Raw_Data!$H3910</f>
        <v>137.73618870266915</v>
      </c>
    </row>
    <row r="3911" spans="1:10" x14ac:dyDescent="0.3">
      <c r="A3911" s="8">
        <v>37538</v>
      </c>
      <c r="B3911" t="str">
        <f>TEXT(Raw_Data!$A3911, "MMM")</f>
        <v>Oct</v>
      </c>
      <c r="C3911">
        <f>YEAR(Raw_Data!$A3911)</f>
        <v>2002</v>
      </c>
      <c r="D3911" t="s">
        <v>2611</v>
      </c>
      <c r="E3911" t="s">
        <v>32</v>
      </c>
      <c r="F3911" t="s">
        <v>27</v>
      </c>
      <c r="G3911">
        <v>4</v>
      </c>
      <c r="H3911">
        <v>1589</v>
      </c>
      <c r="I3911" s="1">
        <v>423677</v>
      </c>
      <c r="J3911" s="1">
        <f>Raw_Data!$I3911/Raw_Data!$H3911</f>
        <v>266.63121460037758</v>
      </c>
    </row>
    <row r="3912" spans="1:10" x14ac:dyDescent="0.3">
      <c r="A3912" s="9">
        <v>44105</v>
      </c>
      <c r="B3912" s="2" t="str">
        <f>TEXT(Raw_Data!$A3912, "MMM")</f>
        <v>Oct</v>
      </c>
      <c r="C3912" s="2">
        <f>YEAR(Raw_Data!$A3912)</f>
        <v>2020</v>
      </c>
      <c r="D3912" s="2" t="s">
        <v>2084</v>
      </c>
      <c r="E3912" s="2" t="s">
        <v>23</v>
      </c>
      <c r="F3912" s="2" t="s">
        <v>18</v>
      </c>
      <c r="G3912" s="2"/>
      <c r="H3912" s="2">
        <v>3270</v>
      </c>
      <c r="I3912" s="10">
        <v>373446</v>
      </c>
      <c r="J3912" s="10">
        <f>Raw_Data!$I3912/Raw_Data!$H3912</f>
        <v>114.20366972477065</v>
      </c>
    </row>
    <row r="3913" spans="1:10" x14ac:dyDescent="0.3">
      <c r="A3913" s="8">
        <v>37884</v>
      </c>
      <c r="B3913" t="str">
        <f>TEXT(Raw_Data!$A3913, "MMM")</f>
        <v>Sep</v>
      </c>
      <c r="C3913">
        <f>YEAR(Raw_Data!$A3913)</f>
        <v>2003</v>
      </c>
      <c r="D3913" t="s">
        <v>2612</v>
      </c>
      <c r="E3913" t="s">
        <v>21</v>
      </c>
      <c r="F3913" t="s">
        <v>11</v>
      </c>
      <c r="H3913">
        <v>2263</v>
      </c>
      <c r="I3913" s="1">
        <v>189539</v>
      </c>
      <c r="J3913" s="1">
        <f>Raw_Data!$I3913/Raw_Data!$H3913</f>
        <v>83.755634114007961</v>
      </c>
    </row>
    <row r="3914" spans="1:10" x14ac:dyDescent="0.3">
      <c r="A3914" s="9">
        <v>37368</v>
      </c>
      <c r="B3914" s="2" t="str">
        <f>TEXT(Raw_Data!$A3914, "MMM")</f>
        <v>Apr</v>
      </c>
      <c r="C3914" s="2">
        <f>YEAR(Raw_Data!$A3914)</f>
        <v>2002</v>
      </c>
      <c r="D3914" s="2" t="s">
        <v>2613</v>
      </c>
      <c r="E3914" s="2" t="s">
        <v>25</v>
      </c>
      <c r="F3914" s="2" t="s">
        <v>27</v>
      </c>
      <c r="G3914" s="2"/>
      <c r="H3914" s="2">
        <v>2922</v>
      </c>
      <c r="I3914" s="10">
        <v>482463</v>
      </c>
      <c r="J3914" s="10">
        <f>Raw_Data!$I3914/Raw_Data!$H3914</f>
        <v>165.11396303901438</v>
      </c>
    </row>
    <row r="3915" spans="1:10" x14ac:dyDescent="0.3">
      <c r="A3915" s="8">
        <v>44162</v>
      </c>
      <c r="B3915" t="str">
        <f>TEXT(Raw_Data!$A3915, "MMM")</f>
        <v>Nov</v>
      </c>
      <c r="C3915">
        <f>YEAR(Raw_Data!$A3915)</f>
        <v>2020</v>
      </c>
      <c r="D3915" t="s">
        <v>881</v>
      </c>
      <c r="E3915" t="s">
        <v>23</v>
      </c>
      <c r="F3915" t="s">
        <v>27</v>
      </c>
      <c r="H3915">
        <v>1897</v>
      </c>
      <c r="I3915" s="1">
        <v>598273</v>
      </c>
      <c r="J3915" s="1">
        <f>Raw_Data!$I3915/Raw_Data!$H3915</f>
        <v>315.37849235635213</v>
      </c>
    </row>
    <row r="3916" spans="1:10" x14ac:dyDescent="0.3">
      <c r="A3916" s="9">
        <v>37474</v>
      </c>
      <c r="B3916" s="2" t="str">
        <f>TEXT(Raw_Data!$A3916, "MMM")</f>
        <v>Aug</v>
      </c>
      <c r="C3916" s="2">
        <f>YEAR(Raw_Data!$A3916)</f>
        <v>2002</v>
      </c>
      <c r="D3916" s="2" t="s">
        <v>745</v>
      </c>
      <c r="E3916" s="2" t="s">
        <v>25</v>
      </c>
      <c r="F3916" s="2" t="s">
        <v>18</v>
      </c>
      <c r="G3916" s="2">
        <v>4</v>
      </c>
      <c r="H3916" s="2">
        <v>2655</v>
      </c>
      <c r="I3916" s="10">
        <v>131525</v>
      </c>
      <c r="J3916" s="10">
        <f>Raw_Data!$I3916/Raw_Data!$H3916</f>
        <v>49.538606403013183</v>
      </c>
    </row>
    <row r="3917" spans="1:10" x14ac:dyDescent="0.3">
      <c r="A3917" s="8">
        <v>39968</v>
      </c>
      <c r="B3917" t="str">
        <f>TEXT(Raw_Data!$A3917, "MMM")</f>
        <v>Jun</v>
      </c>
      <c r="C3917">
        <f>YEAR(Raw_Data!$A3917)</f>
        <v>2009</v>
      </c>
      <c r="D3917" t="s">
        <v>2519</v>
      </c>
      <c r="E3917" t="s">
        <v>21</v>
      </c>
      <c r="F3917" t="s">
        <v>27</v>
      </c>
      <c r="G3917">
        <v>3</v>
      </c>
      <c r="H3917">
        <v>1431</v>
      </c>
      <c r="I3917" s="1">
        <v>852913</v>
      </c>
      <c r="J3917" s="1">
        <f>Raw_Data!$I3917/Raw_Data!$H3917</f>
        <v>596.02585604472392</v>
      </c>
    </row>
    <row r="3918" spans="1:10" x14ac:dyDescent="0.3">
      <c r="A3918" s="9">
        <v>41554</v>
      </c>
      <c r="B3918" s="2" t="str">
        <f>TEXT(Raw_Data!$A3918, "MMM")</f>
        <v>Oct</v>
      </c>
      <c r="C3918" s="2">
        <f>YEAR(Raw_Data!$A3918)</f>
        <v>2013</v>
      </c>
      <c r="D3918" s="2" t="s">
        <v>2614</v>
      </c>
      <c r="E3918" s="2" t="s">
        <v>21</v>
      </c>
      <c r="F3918" s="2" t="s">
        <v>16</v>
      </c>
      <c r="G3918" s="2">
        <v>4</v>
      </c>
      <c r="H3918" s="2">
        <v>1492</v>
      </c>
      <c r="I3918" s="10">
        <v>146500</v>
      </c>
      <c r="J3918" s="10">
        <f>Raw_Data!$I3918/Raw_Data!$H3918</f>
        <v>98.190348525469176</v>
      </c>
    </row>
    <row r="3919" spans="1:10" x14ac:dyDescent="0.3">
      <c r="A3919" s="8">
        <v>43180</v>
      </c>
      <c r="B3919" t="str">
        <f>TEXT(Raw_Data!$A3919, "MMM")</f>
        <v>Mar</v>
      </c>
      <c r="C3919">
        <f>YEAR(Raw_Data!$A3919)</f>
        <v>2018</v>
      </c>
      <c r="D3919" t="s">
        <v>249</v>
      </c>
      <c r="E3919" t="s">
        <v>23</v>
      </c>
      <c r="F3919" t="s">
        <v>27</v>
      </c>
      <c r="G3919">
        <v>3</v>
      </c>
      <c r="H3919">
        <v>2634</v>
      </c>
      <c r="I3919" s="1">
        <v>209020</v>
      </c>
      <c r="J3919" s="1">
        <f>Raw_Data!$I3919/Raw_Data!$H3919</f>
        <v>79.354593773728169</v>
      </c>
    </row>
    <row r="3920" spans="1:10" x14ac:dyDescent="0.3">
      <c r="A3920" s="9">
        <v>42483</v>
      </c>
      <c r="B3920" s="2" t="str">
        <f>TEXT(Raw_Data!$A3920, "MMM")</f>
        <v>Apr</v>
      </c>
      <c r="C3920" s="2">
        <f>YEAR(Raw_Data!$A3920)</f>
        <v>2016</v>
      </c>
      <c r="D3920" s="2" t="s">
        <v>2615</v>
      </c>
      <c r="E3920" s="2" t="s">
        <v>25</v>
      </c>
      <c r="F3920" s="2" t="s">
        <v>27</v>
      </c>
      <c r="G3920" s="2">
        <v>2</v>
      </c>
      <c r="H3920" s="2">
        <v>2353</v>
      </c>
      <c r="I3920" s="10">
        <v>136347</v>
      </c>
      <c r="J3920" s="10">
        <f>Raw_Data!$I3920/Raw_Data!$H3920</f>
        <v>57.946026349341267</v>
      </c>
    </row>
    <row r="3921" spans="1:10" x14ac:dyDescent="0.3">
      <c r="A3921" s="8">
        <v>41582</v>
      </c>
      <c r="B3921" t="str">
        <f>TEXT(Raw_Data!$A3921, "MMM")</f>
        <v>Nov</v>
      </c>
      <c r="C3921">
        <f>YEAR(Raw_Data!$A3921)</f>
        <v>2013</v>
      </c>
      <c r="D3921" t="s">
        <v>1040</v>
      </c>
      <c r="E3921" t="s">
        <v>29</v>
      </c>
      <c r="F3921" t="s">
        <v>16</v>
      </c>
      <c r="G3921">
        <v>4</v>
      </c>
      <c r="H3921">
        <v>877</v>
      </c>
      <c r="I3921" s="1">
        <v>878535</v>
      </c>
      <c r="J3921" s="1">
        <f>Raw_Data!$I3921/Raw_Data!$H3921</f>
        <v>1001.7502850627138</v>
      </c>
    </row>
    <row r="3922" spans="1:10" x14ac:dyDescent="0.3">
      <c r="A3922" s="9">
        <v>43899</v>
      </c>
      <c r="B3922" s="2" t="str">
        <f>TEXT(Raw_Data!$A3922, "MMM")</f>
        <v>Mar</v>
      </c>
      <c r="C3922" s="2">
        <f>YEAR(Raw_Data!$A3922)</f>
        <v>2020</v>
      </c>
      <c r="D3922" s="2" t="s">
        <v>448</v>
      </c>
      <c r="E3922" s="2" t="s">
        <v>25</v>
      </c>
      <c r="F3922" s="2" t="s">
        <v>27</v>
      </c>
      <c r="G3922" s="2">
        <v>2</v>
      </c>
      <c r="H3922" s="2">
        <v>1242</v>
      </c>
      <c r="I3922" s="10">
        <v>592107</v>
      </c>
      <c r="J3922" s="10">
        <f>Raw_Data!$I3922/Raw_Data!$H3922</f>
        <v>476.73671497584542</v>
      </c>
    </row>
    <row r="3923" spans="1:10" x14ac:dyDescent="0.3">
      <c r="A3923" s="8">
        <v>40104</v>
      </c>
      <c r="B3923" t="str">
        <f>TEXT(Raw_Data!$A3923, "MMM")</f>
        <v>Oct</v>
      </c>
      <c r="C3923">
        <f>YEAR(Raw_Data!$A3923)</f>
        <v>2009</v>
      </c>
      <c r="D3923" t="s">
        <v>2616</v>
      </c>
      <c r="E3923" t="s">
        <v>15</v>
      </c>
      <c r="F3923" t="s">
        <v>27</v>
      </c>
      <c r="H3923">
        <v>904</v>
      </c>
      <c r="I3923" s="1">
        <v>802156</v>
      </c>
      <c r="J3923" s="1">
        <f>Raw_Data!$I3923/Raw_Data!$H3923</f>
        <v>887.34070796460173</v>
      </c>
    </row>
    <row r="3924" spans="1:10" x14ac:dyDescent="0.3">
      <c r="A3924" s="9">
        <v>38705</v>
      </c>
      <c r="B3924" s="2" t="str">
        <f>TEXT(Raw_Data!$A3924, "MMM")</f>
        <v>Dec</v>
      </c>
      <c r="C3924" s="2">
        <f>YEAR(Raw_Data!$A3924)</f>
        <v>2005</v>
      </c>
      <c r="D3924" s="2" t="s">
        <v>1247</v>
      </c>
      <c r="E3924" s="2" t="s">
        <v>32</v>
      </c>
      <c r="F3924" s="2" t="s">
        <v>18</v>
      </c>
      <c r="G3924" s="2"/>
      <c r="H3924" s="2">
        <v>1238</v>
      </c>
      <c r="I3924" s="10">
        <v>176965</v>
      </c>
      <c r="J3924" s="10">
        <f>Raw_Data!$I3924/Raw_Data!$H3924</f>
        <v>142.9442649434572</v>
      </c>
    </row>
    <row r="3925" spans="1:10" x14ac:dyDescent="0.3">
      <c r="A3925" s="8">
        <v>37712</v>
      </c>
      <c r="B3925" t="str">
        <f>TEXT(Raw_Data!$A3925, "MMM")</f>
        <v>Apr</v>
      </c>
      <c r="C3925">
        <f>YEAR(Raw_Data!$A3925)</f>
        <v>2003</v>
      </c>
      <c r="D3925" t="s">
        <v>2617</v>
      </c>
      <c r="E3925" t="s">
        <v>25</v>
      </c>
      <c r="F3925" t="s">
        <v>27</v>
      </c>
      <c r="G3925">
        <v>3</v>
      </c>
      <c r="H3925">
        <v>2372</v>
      </c>
      <c r="I3925" s="1">
        <v>814481</v>
      </c>
      <c r="J3925" s="1">
        <f>Raw_Data!$I3925/Raw_Data!$H3925</f>
        <v>343.37310286677911</v>
      </c>
    </row>
    <row r="3926" spans="1:10" x14ac:dyDescent="0.3">
      <c r="A3926" s="9">
        <v>38043</v>
      </c>
      <c r="B3926" s="2" t="str">
        <f>TEXT(Raw_Data!$A3926, "MMM")</f>
        <v>Feb</v>
      </c>
      <c r="C3926" s="2">
        <f>YEAR(Raw_Data!$A3926)</f>
        <v>2004</v>
      </c>
      <c r="D3926" s="2" t="s">
        <v>2618</v>
      </c>
      <c r="E3926" s="2" t="s">
        <v>15</v>
      </c>
      <c r="F3926" s="2" t="s">
        <v>11</v>
      </c>
      <c r="G3926" s="2">
        <v>4</v>
      </c>
      <c r="H3926" s="2">
        <v>2015</v>
      </c>
      <c r="I3926" s="10">
        <v>598635</v>
      </c>
      <c r="J3926" s="10">
        <f>Raw_Data!$I3926/Raw_Data!$H3926</f>
        <v>297.08933002481388</v>
      </c>
    </row>
    <row r="3927" spans="1:10" x14ac:dyDescent="0.3">
      <c r="A3927" s="8">
        <v>40115</v>
      </c>
      <c r="B3927" t="str">
        <f>TEXT(Raw_Data!$A3927, "MMM")</f>
        <v>Oct</v>
      </c>
      <c r="C3927">
        <f>YEAR(Raw_Data!$A3927)</f>
        <v>2009</v>
      </c>
      <c r="D3927" t="s">
        <v>2172</v>
      </c>
      <c r="E3927" t="s">
        <v>29</v>
      </c>
      <c r="F3927" t="s">
        <v>16</v>
      </c>
      <c r="H3927">
        <v>1505</v>
      </c>
      <c r="I3927" s="1">
        <v>658205</v>
      </c>
      <c r="J3927" s="1">
        <f>Raw_Data!$I3927/Raw_Data!$H3927</f>
        <v>437.34551495016609</v>
      </c>
    </row>
    <row r="3928" spans="1:10" x14ac:dyDescent="0.3">
      <c r="A3928" s="9">
        <v>42599</v>
      </c>
      <c r="B3928" s="2" t="str">
        <f>TEXT(Raw_Data!$A3928, "MMM")</f>
        <v>Aug</v>
      </c>
      <c r="C3928" s="2">
        <f>YEAR(Raw_Data!$A3928)</f>
        <v>2016</v>
      </c>
      <c r="D3928" s="2" t="s">
        <v>2619</v>
      </c>
      <c r="E3928" s="2" t="s">
        <v>13</v>
      </c>
      <c r="F3928" s="2" t="s">
        <v>11</v>
      </c>
      <c r="G3928" s="2">
        <v>5</v>
      </c>
      <c r="H3928" s="2">
        <v>2910</v>
      </c>
      <c r="I3928" s="10">
        <v>567690</v>
      </c>
      <c r="J3928" s="10">
        <f>Raw_Data!$I3928/Raw_Data!$H3928</f>
        <v>195.08247422680412</v>
      </c>
    </row>
    <row r="3929" spans="1:10" x14ac:dyDescent="0.3">
      <c r="A3929" s="8">
        <v>42958</v>
      </c>
      <c r="B3929" t="str">
        <f>TEXT(Raw_Data!$A3929, "MMM")</f>
        <v>Aug</v>
      </c>
      <c r="C3929">
        <f>YEAR(Raw_Data!$A3929)</f>
        <v>2017</v>
      </c>
      <c r="D3929" t="s">
        <v>1278</v>
      </c>
      <c r="E3929" t="s">
        <v>21</v>
      </c>
      <c r="F3929" t="s">
        <v>11</v>
      </c>
      <c r="G3929">
        <v>2</v>
      </c>
      <c r="H3929">
        <v>887</v>
      </c>
      <c r="I3929" s="1">
        <v>179401</v>
      </c>
      <c r="J3929" s="1">
        <f>Raw_Data!$I3929/Raw_Data!$H3929</f>
        <v>202.25591882750845</v>
      </c>
    </row>
    <row r="3930" spans="1:10" x14ac:dyDescent="0.3">
      <c r="A3930" s="9">
        <v>38498</v>
      </c>
      <c r="B3930" s="2" t="str">
        <f>TEXT(Raw_Data!$A3930, "MMM")</f>
        <v>May</v>
      </c>
      <c r="C3930" s="2">
        <f>YEAR(Raw_Data!$A3930)</f>
        <v>2005</v>
      </c>
      <c r="D3930" s="2" t="s">
        <v>1887</v>
      </c>
      <c r="E3930" s="2" t="s">
        <v>25</v>
      </c>
      <c r="F3930" s="2" t="s">
        <v>11</v>
      </c>
      <c r="G3930" s="2">
        <v>5</v>
      </c>
      <c r="H3930" s="2">
        <v>1931</v>
      </c>
      <c r="I3930" s="10">
        <v>820686</v>
      </c>
      <c r="J3930" s="10">
        <f>Raw_Data!$I3930/Raw_Data!$H3930</f>
        <v>425.00569653029521</v>
      </c>
    </row>
    <row r="3931" spans="1:10" x14ac:dyDescent="0.3">
      <c r="A3931" s="8">
        <v>40468</v>
      </c>
      <c r="B3931" t="str">
        <f>TEXT(Raw_Data!$A3931, "MMM")</f>
        <v>Oct</v>
      </c>
      <c r="C3931">
        <f>YEAR(Raw_Data!$A3931)</f>
        <v>2010</v>
      </c>
      <c r="D3931" t="s">
        <v>1713</v>
      </c>
      <c r="E3931" t="s">
        <v>23</v>
      </c>
      <c r="F3931" t="s">
        <v>11</v>
      </c>
      <c r="H3931">
        <v>2341</v>
      </c>
      <c r="I3931" s="1">
        <v>572152</v>
      </c>
      <c r="J3931" s="1">
        <f>Raw_Data!$I3931/Raw_Data!$H3931</f>
        <v>244.40495514737293</v>
      </c>
    </row>
    <row r="3932" spans="1:10" x14ac:dyDescent="0.3">
      <c r="A3932" s="9">
        <v>37117</v>
      </c>
      <c r="B3932" s="2" t="str">
        <f>TEXT(Raw_Data!$A3932, "MMM")</f>
        <v>Aug</v>
      </c>
      <c r="C3932" s="2">
        <f>YEAR(Raw_Data!$A3932)</f>
        <v>2001</v>
      </c>
      <c r="D3932" s="2" t="s">
        <v>1724</v>
      </c>
      <c r="E3932" s="2" t="s">
        <v>15</v>
      </c>
      <c r="F3932" s="2" t="s">
        <v>27</v>
      </c>
      <c r="G3932" s="2"/>
      <c r="H3932" s="2">
        <v>1980</v>
      </c>
      <c r="I3932" s="10">
        <v>169964</v>
      </c>
      <c r="J3932" s="10">
        <f>Raw_Data!$I3932/Raw_Data!$H3932</f>
        <v>85.840404040404039</v>
      </c>
    </row>
    <row r="3933" spans="1:10" x14ac:dyDescent="0.3">
      <c r="A3933" s="8">
        <v>41339</v>
      </c>
      <c r="B3933" t="str">
        <f>TEXT(Raw_Data!$A3933, "MMM")</f>
        <v>Mar</v>
      </c>
      <c r="C3933">
        <f>YEAR(Raw_Data!$A3933)</f>
        <v>2013</v>
      </c>
      <c r="D3933" t="s">
        <v>2440</v>
      </c>
      <c r="E3933" t="s">
        <v>32</v>
      </c>
      <c r="F3933" t="s">
        <v>11</v>
      </c>
      <c r="G3933">
        <v>4</v>
      </c>
      <c r="H3933">
        <v>1413</v>
      </c>
      <c r="I3933" s="1">
        <v>196337</v>
      </c>
      <c r="J3933" s="1">
        <f>Raw_Data!$I3933/Raw_Data!$H3933</f>
        <v>138.95046001415429</v>
      </c>
    </row>
    <row r="3934" spans="1:10" x14ac:dyDescent="0.3">
      <c r="A3934" s="9">
        <v>41343</v>
      </c>
      <c r="B3934" s="2" t="str">
        <f>TEXT(Raw_Data!$A3934, "MMM")</f>
        <v>Mar</v>
      </c>
      <c r="C3934" s="2">
        <f>YEAR(Raw_Data!$A3934)</f>
        <v>2013</v>
      </c>
      <c r="D3934" s="2" t="s">
        <v>2212</v>
      </c>
      <c r="E3934" s="2" t="s">
        <v>29</v>
      </c>
      <c r="F3934" s="2" t="s">
        <v>18</v>
      </c>
      <c r="G3934" s="2">
        <v>2</v>
      </c>
      <c r="H3934" s="2">
        <v>2018</v>
      </c>
      <c r="I3934" s="10">
        <v>499293</v>
      </c>
      <c r="J3934" s="10">
        <f>Raw_Data!$I3934/Raw_Data!$H3934</f>
        <v>247.41972249752229</v>
      </c>
    </row>
    <row r="3935" spans="1:10" x14ac:dyDescent="0.3">
      <c r="A3935" s="8">
        <v>43991</v>
      </c>
      <c r="B3935" t="str">
        <f>TEXT(Raw_Data!$A3935, "MMM")</f>
        <v>Jun</v>
      </c>
      <c r="C3935">
        <f>YEAR(Raw_Data!$A3935)</f>
        <v>2020</v>
      </c>
      <c r="D3935" t="s">
        <v>2620</v>
      </c>
      <c r="E3935" t="s">
        <v>25</v>
      </c>
      <c r="F3935" t="s">
        <v>18</v>
      </c>
      <c r="H3935">
        <v>2060</v>
      </c>
      <c r="I3935" s="1">
        <v>847299</v>
      </c>
      <c r="J3935" s="1">
        <f>Raw_Data!$I3935/Raw_Data!$H3935</f>
        <v>411.31019417475727</v>
      </c>
    </row>
    <row r="3936" spans="1:10" x14ac:dyDescent="0.3">
      <c r="A3936" s="9">
        <v>37737</v>
      </c>
      <c r="B3936" s="2" t="str">
        <f>TEXT(Raw_Data!$A3936, "MMM")</f>
        <v>Apr</v>
      </c>
      <c r="C3936" s="2">
        <f>YEAR(Raw_Data!$A3936)</f>
        <v>2003</v>
      </c>
      <c r="D3936" s="2" t="s">
        <v>2621</v>
      </c>
      <c r="E3936" s="2" t="s">
        <v>23</v>
      </c>
      <c r="F3936" s="2" t="s">
        <v>16</v>
      </c>
      <c r="G3936" s="2"/>
      <c r="H3936" s="2">
        <v>2205</v>
      </c>
      <c r="I3936" s="10">
        <v>159578</v>
      </c>
      <c r="J3936" s="10">
        <f>Raw_Data!$I3936/Raw_Data!$H3936</f>
        <v>72.370975056689346</v>
      </c>
    </row>
    <row r="3937" spans="1:10" x14ac:dyDescent="0.3">
      <c r="A3937" s="8">
        <v>43426</v>
      </c>
      <c r="B3937" t="str">
        <f>TEXT(Raw_Data!$A3937, "MMM")</f>
        <v>Nov</v>
      </c>
      <c r="C3937">
        <f>YEAR(Raw_Data!$A3937)</f>
        <v>2018</v>
      </c>
      <c r="D3937" t="s">
        <v>2622</v>
      </c>
      <c r="E3937" t="s">
        <v>15</v>
      </c>
      <c r="F3937" t="s">
        <v>18</v>
      </c>
      <c r="G3937">
        <v>5</v>
      </c>
      <c r="H3937">
        <v>2802</v>
      </c>
      <c r="I3937" s="1">
        <v>427699</v>
      </c>
      <c r="J3937" s="1">
        <f>Raw_Data!$I3937/Raw_Data!$H3937</f>
        <v>152.64061384725196</v>
      </c>
    </row>
    <row r="3938" spans="1:10" x14ac:dyDescent="0.3">
      <c r="A3938" s="9">
        <v>37392</v>
      </c>
      <c r="B3938" s="2" t="str">
        <f>TEXT(Raw_Data!$A3938, "MMM")</f>
        <v>May</v>
      </c>
      <c r="C3938" s="2">
        <f>YEAR(Raw_Data!$A3938)</f>
        <v>2002</v>
      </c>
      <c r="D3938" s="2" t="s">
        <v>276</v>
      </c>
      <c r="E3938" s="2" t="s">
        <v>13</v>
      </c>
      <c r="F3938" s="2" t="s">
        <v>27</v>
      </c>
      <c r="G3938" s="2">
        <v>2</v>
      </c>
      <c r="H3938" s="2">
        <v>1775</v>
      </c>
      <c r="I3938" s="10">
        <v>506978</v>
      </c>
      <c r="J3938" s="10">
        <f>Raw_Data!$I3938/Raw_Data!$H3938</f>
        <v>285.62140845070422</v>
      </c>
    </row>
    <row r="3939" spans="1:10" x14ac:dyDescent="0.3">
      <c r="A3939" s="8">
        <v>40829</v>
      </c>
      <c r="B3939" t="str">
        <f>TEXT(Raw_Data!$A3939, "MMM")</f>
        <v>Oct</v>
      </c>
      <c r="C3939">
        <f>YEAR(Raw_Data!$A3939)</f>
        <v>2011</v>
      </c>
      <c r="D3939" t="s">
        <v>1848</v>
      </c>
      <c r="E3939" t="s">
        <v>29</v>
      </c>
      <c r="F3939" t="s">
        <v>18</v>
      </c>
      <c r="G3939">
        <v>3</v>
      </c>
      <c r="H3939">
        <v>2457</v>
      </c>
      <c r="I3939" s="1">
        <v>119741</v>
      </c>
      <c r="J3939" s="1">
        <f>Raw_Data!$I3939/Raw_Data!$H3939</f>
        <v>48.734635734635738</v>
      </c>
    </row>
    <row r="3940" spans="1:10" x14ac:dyDescent="0.3">
      <c r="A3940" s="9">
        <v>40507</v>
      </c>
      <c r="B3940" s="2" t="str">
        <f>TEXT(Raw_Data!$A3940, "MMM")</f>
        <v>Nov</v>
      </c>
      <c r="C3940" s="2">
        <f>YEAR(Raw_Data!$A3940)</f>
        <v>2010</v>
      </c>
      <c r="D3940" s="2" t="s">
        <v>2307</v>
      </c>
      <c r="E3940" s="2" t="s">
        <v>25</v>
      </c>
      <c r="F3940" s="2" t="s">
        <v>27</v>
      </c>
      <c r="G3940" s="2"/>
      <c r="H3940" s="2">
        <v>2266</v>
      </c>
      <c r="I3940" s="10">
        <v>375663</v>
      </c>
      <c r="J3940" s="10">
        <f>Raw_Data!$I3940/Raw_Data!$H3940</f>
        <v>165.78243601059134</v>
      </c>
    </row>
    <row r="3941" spans="1:10" x14ac:dyDescent="0.3">
      <c r="A3941" s="8">
        <v>37189</v>
      </c>
      <c r="B3941" t="str">
        <f>TEXT(Raw_Data!$A3941, "MMM")</f>
        <v>Oct</v>
      </c>
      <c r="C3941">
        <f>YEAR(Raw_Data!$A3941)</f>
        <v>2001</v>
      </c>
      <c r="D3941" t="s">
        <v>722</v>
      </c>
      <c r="E3941" t="s">
        <v>32</v>
      </c>
      <c r="F3941" t="s">
        <v>11</v>
      </c>
      <c r="G3941">
        <v>5</v>
      </c>
      <c r="H3941">
        <v>887</v>
      </c>
      <c r="I3941" s="1">
        <v>409747</v>
      </c>
      <c r="J3941" s="1">
        <f>Raw_Data!$I3941/Raw_Data!$H3941</f>
        <v>461.94701240135288</v>
      </c>
    </row>
    <row r="3942" spans="1:10" x14ac:dyDescent="0.3">
      <c r="A3942" s="9">
        <v>37271</v>
      </c>
      <c r="B3942" s="2" t="str">
        <f>TEXT(Raw_Data!$A3942, "MMM")</f>
        <v>Jan</v>
      </c>
      <c r="C3942" s="2">
        <f>YEAR(Raw_Data!$A3942)</f>
        <v>2002</v>
      </c>
      <c r="D3942" s="2" t="s">
        <v>2623</v>
      </c>
      <c r="E3942" s="2" t="s">
        <v>25</v>
      </c>
      <c r="F3942" s="2" t="s">
        <v>16</v>
      </c>
      <c r="G3942" s="2">
        <v>3</v>
      </c>
      <c r="H3942" s="2">
        <v>3336</v>
      </c>
      <c r="I3942" s="10">
        <v>623954</v>
      </c>
      <c r="J3942" s="10">
        <f>Raw_Data!$I3942/Raw_Data!$H3942</f>
        <v>187.03657074340526</v>
      </c>
    </row>
    <row r="3943" spans="1:10" x14ac:dyDescent="0.3">
      <c r="A3943" s="8">
        <v>38016</v>
      </c>
      <c r="B3943" t="str">
        <f>TEXT(Raw_Data!$A3943, "MMM")</f>
        <v>Jan</v>
      </c>
      <c r="C3943">
        <f>YEAR(Raw_Data!$A3943)</f>
        <v>2004</v>
      </c>
      <c r="D3943" t="s">
        <v>2624</v>
      </c>
      <c r="E3943" t="s">
        <v>13</v>
      </c>
      <c r="F3943" t="s">
        <v>11</v>
      </c>
      <c r="G3943">
        <v>2</v>
      </c>
      <c r="H3943">
        <v>3337</v>
      </c>
      <c r="I3943" s="1">
        <v>847679</v>
      </c>
      <c r="J3943" s="1">
        <f>Raw_Data!$I3943/Raw_Data!$H3943</f>
        <v>254.02427329937069</v>
      </c>
    </row>
    <row r="3944" spans="1:10" x14ac:dyDescent="0.3">
      <c r="A3944" s="9">
        <v>42105</v>
      </c>
      <c r="B3944" s="2" t="str">
        <f>TEXT(Raw_Data!$A3944, "MMM")</f>
        <v>Apr</v>
      </c>
      <c r="C3944" s="2">
        <f>YEAR(Raw_Data!$A3944)</f>
        <v>2015</v>
      </c>
      <c r="D3944" s="2" t="s">
        <v>2625</v>
      </c>
      <c r="E3944" s="2" t="s">
        <v>15</v>
      </c>
      <c r="F3944" s="2" t="s">
        <v>18</v>
      </c>
      <c r="G3944" s="2"/>
      <c r="H3944" s="2">
        <v>1793</v>
      </c>
      <c r="I3944" s="10">
        <v>228210</v>
      </c>
      <c r="J3944" s="10">
        <f>Raw_Data!$I3944/Raw_Data!$H3944</f>
        <v>127.27830451756832</v>
      </c>
    </row>
    <row r="3945" spans="1:10" x14ac:dyDescent="0.3">
      <c r="A3945" s="8">
        <v>39745</v>
      </c>
      <c r="B3945" t="str">
        <f>TEXT(Raw_Data!$A3945, "MMM")</f>
        <v>Oct</v>
      </c>
      <c r="C3945">
        <f>YEAR(Raw_Data!$A3945)</f>
        <v>2008</v>
      </c>
      <c r="D3945" t="s">
        <v>443</v>
      </c>
      <c r="E3945" t="s">
        <v>32</v>
      </c>
      <c r="F3945" t="s">
        <v>18</v>
      </c>
      <c r="G3945">
        <v>4</v>
      </c>
      <c r="H3945">
        <v>3416</v>
      </c>
      <c r="I3945" s="1">
        <v>813448</v>
      </c>
      <c r="J3945" s="1">
        <f>Raw_Data!$I3945/Raw_Data!$H3945</f>
        <v>238.12880562060889</v>
      </c>
    </row>
    <row r="3946" spans="1:10" x14ac:dyDescent="0.3">
      <c r="A3946" s="9">
        <v>38977</v>
      </c>
      <c r="B3946" s="2" t="str">
        <f>TEXT(Raw_Data!$A3946, "MMM")</f>
        <v>Sep</v>
      </c>
      <c r="C3946" s="2">
        <f>YEAR(Raw_Data!$A3946)</f>
        <v>2006</v>
      </c>
      <c r="D3946" s="2" t="s">
        <v>2626</v>
      </c>
      <c r="E3946" s="2" t="s">
        <v>32</v>
      </c>
      <c r="F3946" s="2" t="s">
        <v>27</v>
      </c>
      <c r="G3946" s="2">
        <v>2</v>
      </c>
      <c r="H3946" s="2">
        <v>3379</v>
      </c>
      <c r="I3946" s="10">
        <v>211792</v>
      </c>
      <c r="J3946" s="10">
        <f>Raw_Data!$I3946/Raw_Data!$H3946</f>
        <v>62.678899082568805</v>
      </c>
    </row>
    <row r="3947" spans="1:10" x14ac:dyDescent="0.3">
      <c r="A3947" s="8">
        <v>43398</v>
      </c>
      <c r="B3947" t="str">
        <f>TEXT(Raw_Data!$A3947, "MMM")</f>
        <v>Oct</v>
      </c>
      <c r="C3947">
        <f>YEAR(Raw_Data!$A3947)</f>
        <v>2018</v>
      </c>
      <c r="D3947" t="s">
        <v>2570</v>
      </c>
      <c r="E3947" t="s">
        <v>15</v>
      </c>
      <c r="F3947" t="s">
        <v>18</v>
      </c>
      <c r="H3947">
        <v>1879</v>
      </c>
      <c r="I3947" s="1">
        <v>851572</v>
      </c>
      <c r="J3947" s="1">
        <f>Raw_Data!$I3947/Raw_Data!$H3947</f>
        <v>453.20489622139434</v>
      </c>
    </row>
    <row r="3948" spans="1:10" x14ac:dyDescent="0.3">
      <c r="A3948" s="9">
        <v>38472</v>
      </c>
      <c r="B3948" s="2" t="str">
        <f>TEXT(Raw_Data!$A3948, "MMM")</f>
        <v>Apr</v>
      </c>
      <c r="C3948" s="2">
        <f>YEAR(Raw_Data!$A3948)</f>
        <v>2005</v>
      </c>
      <c r="D3948" s="2" t="s">
        <v>2627</v>
      </c>
      <c r="E3948" s="2" t="s">
        <v>23</v>
      </c>
      <c r="F3948" s="2" t="s">
        <v>18</v>
      </c>
      <c r="G3948" s="2">
        <v>3</v>
      </c>
      <c r="H3948" s="2">
        <v>3320</v>
      </c>
      <c r="I3948" s="10">
        <v>214485</v>
      </c>
      <c r="J3948" s="10">
        <f>Raw_Data!$I3948/Raw_Data!$H3948</f>
        <v>64.603915662650607</v>
      </c>
    </row>
    <row r="3949" spans="1:10" x14ac:dyDescent="0.3">
      <c r="A3949" s="8">
        <v>42412</v>
      </c>
      <c r="B3949" t="str">
        <f>TEXT(Raw_Data!$A3949, "MMM")</f>
        <v>Feb</v>
      </c>
      <c r="C3949">
        <f>YEAR(Raw_Data!$A3949)</f>
        <v>2016</v>
      </c>
      <c r="D3949" t="s">
        <v>2628</v>
      </c>
      <c r="E3949" t="s">
        <v>29</v>
      </c>
      <c r="F3949" t="s">
        <v>16</v>
      </c>
      <c r="H3949">
        <v>2048</v>
      </c>
      <c r="I3949" s="1">
        <v>170814</v>
      </c>
      <c r="J3949" s="1">
        <f>Raw_Data!$I3949/Raw_Data!$H3949</f>
        <v>83.4052734375</v>
      </c>
    </row>
    <row r="3950" spans="1:10" x14ac:dyDescent="0.3">
      <c r="A3950" s="9">
        <v>36961</v>
      </c>
      <c r="B3950" s="2" t="str">
        <f>TEXT(Raw_Data!$A3950, "MMM")</f>
        <v>Mar</v>
      </c>
      <c r="C3950" s="2">
        <f>YEAR(Raw_Data!$A3950)</f>
        <v>2001</v>
      </c>
      <c r="D3950" s="2" t="s">
        <v>2629</v>
      </c>
      <c r="E3950" s="2" t="s">
        <v>32</v>
      </c>
      <c r="F3950" s="2" t="s">
        <v>27</v>
      </c>
      <c r="G3950" s="2">
        <v>3</v>
      </c>
      <c r="H3950" s="2">
        <v>2668</v>
      </c>
      <c r="I3950" s="10">
        <v>865991</v>
      </c>
      <c r="J3950" s="10">
        <f>Raw_Data!$I3950/Raw_Data!$H3950</f>
        <v>324.58433283358323</v>
      </c>
    </row>
    <row r="3951" spans="1:10" x14ac:dyDescent="0.3">
      <c r="A3951" s="8">
        <v>43774</v>
      </c>
      <c r="B3951" t="str">
        <f>TEXT(Raw_Data!$A3951, "MMM")</f>
        <v>Nov</v>
      </c>
      <c r="C3951">
        <f>YEAR(Raw_Data!$A3951)</f>
        <v>2019</v>
      </c>
      <c r="D3951" t="s">
        <v>2630</v>
      </c>
      <c r="E3951" t="s">
        <v>29</v>
      </c>
      <c r="F3951" t="s">
        <v>27</v>
      </c>
      <c r="G3951">
        <v>2</v>
      </c>
      <c r="H3951">
        <v>3476</v>
      </c>
      <c r="I3951" s="1">
        <v>469583</v>
      </c>
      <c r="J3951" s="1">
        <f>Raw_Data!$I3951/Raw_Data!$H3951</f>
        <v>135.09292289988491</v>
      </c>
    </row>
    <row r="3952" spans="1:10" x14ac:dyDescent="0.3">
      <c r="A3952" s="9">
        <v>39639</v>
      </c>
      <c r="B3952" s="2" t="str">
        <f>TEXT(Raw_Data!$A3952, "MMM")</f>
        <v>Jul</v>
      </c>
      <c r="C3952" s="2">
        <f>YEAR(Raw_Data!$A3952)</f>
        <v>2008</v>
      </c>
      <c r="D3952" s="2" t="s">
        <v>394</v>
      </c>
      <c r="E3952" s="2" t="s">
        <v>15</v>
      </c>
      <c r="F3952" s="2" t="s">
        <v>11</v>
      </c>
      <c r="G3952" s="2">
        <v>3</v>
      </c>
      <c r="H3952" s="2">
        <v>3165</v>
      </c>
      <c r="I3952" s="10">
        <v>679321</v>
      </c>
      <c r="J3952" s="10">
        <f>Raw_Data!$I3952/Raw_Data!$H3952</f>
        <v>214.63538704581359</v>
      </c>
    </row>
    <row r="3953" spans="1:10" x14ac:dyDescent="0.3">
      <c r="A3953" s="8">
        <v>38281</v>
      </c>
      <c r="B3953" t="str">
        <f>TEXT(Raw_Data!$A3953, "MMM")</f>
        <v>Oct</v>
      </c>
      <c r="C3953">
        <f>YEAR(Raw_Data!$A3953)</f>
        <v>2004</v>
      </c>
      <c r="D3953" t="s">
        <v>2631</v>
      </c>
      <c r="E3953" t="s">
        <v>29</v>
      </c>
      <c r="F3953" t="s">
        <v>18</v>
      </c>
      <c r="G3953">
        <v>4</v>
      </c>
      <c r="H3953">
        <v>3019</v>
      </c>
      <c r="I3953" s="1">
        <v>388661</v>
      </c>
      <c r="J3953" s="1">
        <f>Raw_Data!$I3953/Raw_Data!$H3953</f>
        <v>128.73832394832726</v>
      </c>
    </row>
    <row r="3954" spans="1:10" x14ac:dyDescent="0.3">
      <c r="A3954" s="9">
        <v>41069</v>
      </c>
      <c r="B3954" s="2" t="str">
        <f>TEXT(Raw_Data!$A3954, "MMM")</f>
        <v>Jun</v>
      </c>
      <c r="C3954" s="2">
        <f>YEAR(Raw_Data!$A3954)</f>
        <v>2012</v>
      </c>
      <c r="D3954" s="2" t="s">
        <v>2632</v>
      </c>
      <c r="E3954" s="2" t="s">
        <v>32</v>
      </c>
      <c r="F3954" s="2" t="s">
        <v>11</v>
      </c>
      <c r="G3954" s="2">
        <v>2</v>
      </c>
      <c r="H3954" s="2">
        <v>1247</v>
      </c>
      <c r="I3954" s="10">
        <v>787043</v>
      </c>
      <c r="J3954" s="10">
        <f>Raw_Data!$I3954/Raw_Data!$H3954</f>
        <v>631.14915797915</v>
      </c>
    </row>
    <row r="3955" spans="1:10" x14ac:dyDescent="0.3">
      <c r="A3955" s="8">
        <v>41099</v>
      </c>
      <c r="B3955" t="str">
        <f>TEXT(Raw_Data!$A3955, "MMM")</f>
        <v>Jul</v>
      </c>
      <c r="C3955">
        <f>YEAR(Raw_Data!$A3955)</f>
        <v>2012</v>
      </c>
      <c r="D3955" t="s">
        <v>878</v>
      </c>
      <c r="E3955" t="s">
        <v>32</v>
      </c>
      <c r="F3955" t="s">
        <v>27</v>
      </c>
      <c r="H3955">
        <v>2760</v>
      </c>
      <c r="I3955" s="1">
        <v>134688</v>
      </c>
      <c r="J3955" s="1">
        <f>Raw_Data!$I3955/Raw_Data!$H3955</f>
        <v>48.8</v>
      </c>
    </row>
    <row r="3956" spans="1:10" x14ac:dyDescent="0.3">
      <c r="A3956" s="9">
        <v>43109</v>
      </c>
      <c r="B3956" s="2" t="str">
        <f>TEXT(Raw_Data!$A3956, "MMM")</f>
        <v>Jan</v>
      </c>
      <c r="C3956" s="2">
        <f>YEAR(Raw_Data!$A3956)</f>
        <v>2018</v>
      </c>
      <c r="D3956" s="2" t="s">
        <v>2511</v>
      </c>
      <c r="E3956" s="2" t="s">
        <v>29</v>
      </c>
      <c r="F3956" s="2" t="s">
        <v>18</v>
      </c>
      <c r="G3956" s="2">
        <v>3</v>
      </c>
      <c r="H3956" s="2">
        <v>2374</v>
      </c>
      <c r="I3956" s="10">
        <v>117591</v>
      </c>
      <c r="J3956" s="10">
        <f>Raw_Data!$I3956/Raw_Data!$H3956</f>
        <v>49.53285593934288</v>
      </c>
    </row>
    <row r="3957" spans="1:10" x14ac:dyDescent="0.3">
      <c r="A3957" s="8">
        <v>39435</v>
      </c>
      <c r="B3957" t="str">
        <f>TEXT(Raw_Data!$A3957, "MMM")</f>
        <v>Dec</v>
      </c>
      <c r="C3957">
        <f>YEAR(Raw_Data!$A3957)</f>
        <v>2007</v>
      </c>
      <c r="D3957" t="s">
        <v>2633</v>
      </c>
      <c r="E3957" t="s">
        <v>32</v>
      </c>
      <c r="F3957" t="s">
        <v>27</v>
      </c>
      <c r="G3957">
        <v>4</v>
      </c>
      <c r="H3957">
        <v>1354</v>
      </c>
      <c r="I3957" s="1">
        <v>421601</v>
      </c>
      <c r="J3957" s="1">
        <f>Raw_Data!$I3957/Raw_Data!$H3957</f>
        <v>311.3744460856721</v>
      </c>
    </row>
    <row r="3958" spans="1:10" x14ac:dyDescent="0.3">
      <c r="A3958" s="9">
        <v>41754</v>
      </c>
      <c r="B3958" s="2" t="str">
        <f>TEXT(Raw_Data!$A3958, "MMM")</f>
        <v>Apr</v>
      </c>
      <c r="C3958" s="2">
        <f>YEAR(Raw_Data!$A3958)</f>
        <v>2014</v>
      </c>
      <c r="D3958" s="2" t="s">
        <v>676</v>
      </c>
      <c r="E3958" s="2" t="s">
        <v>13</v>
      </c>
      <c r="F3958" s="2" t="s">
        <v>11</v>
      </c>
      <c r="G3958" s="2"/>
      <c r="H3958" s="2">
        <v>3442</v>
      </c>
      <c r="I3958" s="10">
        <v>863696</v>
      </c>
      <c r="J3958" s="10">
        <f>Raw_Data!$I3958/Raw_Data!$H3958</f>
        <v>250.92852992446251</v>
      </c>
    </row>
    <row r="3959" spans="1:10" x14ac:dyDescent="0.3">
      <c r="A3959" s="8">
        <v>40802</v>
      </c>
      <c r="B3959" t="str">
        <f>TEXT(Raw_Data!$A3959, "MMM")</f>
        <v>Sep</v>
      </c>
      <c r="C3959">
        <f>YEAR(Raw_Data!$A3959)</f>
        <v>2011</v>
      </c>
      <c r="D3959" t="s">
        <v>2020</v>
      </c>
      <c r="E3959" t="s">
        <v>23</v>
      </c>
      <c r="F3959" t="s">
        <v>27</v>
      </c>
      <c r="G3959">
        <v>4</v>
      </c>
      <c r="H3959">
        <v>1952</v>
      </c>
      <c r="I3959" s="1">
        <v>140922</v>
      </c>
      <c r="J3959" s="1">
        <f>Raw_Data!$I3959/Raw_Data!$H3959</f>
        <v>72.193647540983605</v>
      </c>
    </row>
    <row r="3960" spans="1:10" x14ac:dyDescent="0.3">
      <c r="A3960" s="9">
        <v>42397</v>
      </c>
      <c r="B3960" s="2" t="str">
        <f>TEXT(Raw_Data!$A3960, "MMM")</f>
        <v>Jan</v>
      </c>
      <c r="C3960" s="2">
        <f>YEAR(Raw_Data!$A3960)</f>
        <v>2016</v>
      </c>
      <c r="D3960" s="2" t="s">
        <v>1744</v>
      </c>
      <c r="E3960" s="2" t="s">
        <v>15</v>
      </c>
      <c r="F3960" s="2" t="s">
        <v>16</v>
      </c>
      <c r="G3960" s="2">
        <v>2</v>
      </c>
      <c r="H3960" s="2">
        <v>2460</v>
      </c>
      <c r="I3960" s="10">
        <v>624173</v>
      </c>
      <c r="J3960" s="10">
        <f>Raw_Data!$I3960/Raw_Data!$H3960</f>
        <v>253.72886178861788</v>
      </c>
    </row>
    <row r="3961" spans="1:10" x14ac:dyDescent="0.3">
      <c r="A3961" s="8">
        <v>42545</v>
      </c>
      <c r="B3961" t="str">
        <f>TEXT(Raw_Data!$A3961, "MMM")</f>
        <v>Jun</v>
      </c>
      <c r="C3961">
        <f>YEAR(Raw_Data!$A3961)</f>
        <v>2016</v>
      </c>
      <c r="D3961" t="s">
        <v>1999</v>
      </c>
      <c r="E3961" t="s">
        <v>15</v>
      </c>
      <c r="F3961" t="s">
        <v>11</v>
      </c>
      <c r="G3961">
        <v>4</v>
      </c>
      <c r="H3961">
        <v>3109</v>
      </c>
      <c r="I3961" s="1">
        <v>311768</v>
      </c>
      <c r="J3961" s="1">
        <f>Raw_Data!$I3961/Raw_Data!$H3961</f>
        <v>100.27918944998392</v>
      </c>
    </row>
    <row r="3962" spans="1:10" x14ac:dyDescent="0.3">
      <c r="A3962" s="9">
        <v>42402</v>
      </c>
      <c r="B3962" s="2" t="str">
        <f>TEXT(Raw_Data!$A3962, "MMM")</f>
        <v>Feb</v>
      </c>
      <c r="C3962" s="2">
        <f>YEAR(Raw_Data!$A3962)</f>
        <v>2016</v>
      </c>
      <c r="D3962" s="2" t="s">
        <v>2634</v>
      </c>
      <c r="E3962" s="2" t="s">
        <v>32</v>
      </c>
      <c r="F3962" s="2" t="s">
        <v>18</v>
      </c>
      <c r="G3962" s="2">
        <v>3</v>
      </c>
      <c r="H3962" s="2">
        <v>2926</v>
      </c>
      <c r="I3962" s="10">
        <v>105359</v>
      </c>
      <c r="J3962" s="10">
        <f>Raw_Data!$I3962/Raw_Data!$H3962</f>
        <v>36.007860560492141</v>
      </c>
    </row>
    <row r="3963" spans="1:10" x14ac:dyDescent="0.3">
      <c r="A3963" s="8">
        <v>37476</v>
      </c>
      <c r="B3963" t="str">
        <f>TEXT(Raw_Data!$A3963, "MMM")</f>
        <v>Aug</v>
      </c>
      <c r="C3963">
        <f>YEAR(Raw_Data!$A3963)</f>
        <v>2002</v>
      </c>
      <c r="D3963" t="s">
        <v>664</v>
      </c>
      <c r="E3963" t="s">
        <v>21</v>
      </c>
      <c r="F3963" t="s">
        <v>18</v>
      </c>
      <c r="H3963">
        <v>1116</v>
      </c>
      <c r="I3963" s="1">
        <v>623419</v>
      </c>
      <c r="J3963" s="1">
        <f>Raw_Data!$I3963/Raw_Data!$H3963</f>
        <v>558.61917562724011</v>
      </c>
    </row>
    <row r="3964" spans="1:10" x14ac:dyDescent="0.3">
      <c r="A3964" s="9">
        <v>41833</v>
      </c>
      <c r="B3964" s="2" t="str">
        <f>TEXT(Raw_Data!$A3964, "MMM")</f>
        <v>Jul</v>
      </c>
      <c r="C3964" s="2">
        <f>YEAR(Raw_Data!$A3964)</f>
        <v>2014</v>
      </c>
      <c r="D3964" s="2" t="s">
        <v>604</v>
      </c>
      <c r="E3964" s="2" t="s">
        <v>13</v>
      </c>
      <c r="F3964" s="2" t="s">
        <v>16</v>
      </c>
      <c r="G3964" s="2">
        <v>2</v>
      </c>
      <c r="H3964" s="2">
        <v>1795</v>
      </c>
      <c r="I3964" s="10">
        <v>535556</v>
      </c>
      <c r="J3964" s="10">
        <f>Raw_Data!$I3964/Raw_Data!$H3964</f>
        <v>298.35988857938719</v>
      </c>
    </row>
    <row r="3965" spans="1:10" x14ac:dyDescent="0.3">
      <c r="A3965" s="8">
        <v>42405</v>
      </c>
      <c r="B3965" t="str">
        <f>TEXT(Raw_Data!$A3965, "MMM")</f>
        <v>Feb</v>
      </c>
      <c r="C3965">
        <f>YEAR(Raw_Data!$A3965)</f>
        <v>2016</v>
      </c>
      <c r="D3965" t="s">
        <v>2182</v>
      </c>
      <c r="E3965" t="s">
        <v>13</v>
      </c>
      <c r="F3965" t="s">
        <v>16</v>
      </c>
      <c r="H3965">
        <v>2566</v>
      </c>
      <c r="I3965" s="1">
        <v>199254</v>
      </c>
      <c r="J3965" s="1">
        <f>Raw_Data!$I3965/Raw_Data!$H3965</f>
        <v>77.65159781761497</v>
      </c>
    </row>
    <row r="3966" spans="1:10" x14ac:dyDescent="0.3">
      <c r="A3966" s="9">
        <v>39154</v>
      </c>
      <c r="B3966" s="2" t="str">
        <f>TEXT(Raw_Data!$A3966, "MMM")</f>
        <v>Mar</v>
      </c>
      <c r="C3966" s="2">
        <f>YEAR(Raw_Data!$A3966)</f>
        <v>2007</v>
      </c>
      <c r="D3966" s="2" t="s">
        <v>2635</v>
      </c>
      <c r="E3966" s="2" t="s">
        <v>32</v>
      </c>
      <c r="F3966" s="2" t="s">
        <v>11</v>
      </c>
      <c r="G3966" s="2">
        <v>5</v>
      </c>
      <c r="H3966" s="2">
        <v>2543</v>
      </c>
      <c r="I3966" s="10">
        <v>187236</v>
      </c>
      <c r="J3966" s="10">
        <f>Raw_Data!$I3966/Raw_Data!$H3966</f>
        <v>73.627998427054663</v>
      </c>
    </row>
    <row r="3967" spans="1:10" x14ac:dyDescent="0.3">
      <c r="A3967" s="8">
        <v>43441</v>
      </c>
      <c r="B3967" t="str">
        <f>TEXT(Raw_Data!$A3967, "MMM")</f>
        <v>Dec</v>
      </c>
      <c r="C3967">
        <f>YEAR(Raw_Data!$A3967)</f>
        <v>2018</v>
      </c>
      <c r="D3967" t="s">
        <v>2594</v>
      </c>
      <c r="E3967" t="s">
        <v>23</v>
      </c>
      <c r="F3967" t="s">
        <v>16</v>
      </c>
      <c r="G3967">
        <v>2</v>
      </c>
      <c r="H3967">
        <v>3357</v>
      </c>
      <c r="I3967" s="1">
        <v>245936</v>
      </c>
      <c r="J3967" s="1">
        <f>Raw_Data!$I3967/Raw_Data!$H3967</f>
        <v>73.260649389335711</v>
      </c>
    </row>
    <row r="3968" spans="1:10" x14ac:dyDescent="0.3">
      <c r="A3968" s="9">
        <v>39009</v>
      </c>
      <c r="B3968" s="2" t="str">
        <f>TEXT(Raw_Data!$A3968, "MMM")</f>
        <v>Oct</v>
      </c>
      <c r="C3968" s="2">
        <f>YEAR(Raw_Data!$A3968)</f>
        <v>2006</v>
      </c>
      <c r="D3968" s="2" t="s">
        <v>2636</v>
      </c>
      <c r="E3968" s="2" t="s">
        <v>23</v>
      </c>
      <c r="F3968" s="2" t="s">
        <v>16</v>
      </c>
      <c r="G3968" s="2">
        <v>2</v>
      </c>
      <c r="H3968" s="2">
        <v>1028</v>
      </c>
      <c r="I3968" s="10">
        <v>144053</v>
      </c>
      <c r="J3968" s="10">
        <f>Raw_Data!$I3968/Raw_Data!$H3968</f>
        <v>140.12937743190662</v>
      </c>
    </row>
    <row r="3969" spans="1:10" x14ac:dyDescent="0.3">
      <c r="A3969" s="8">
        <v>38605</v>
      </c>
      <c r="B3969" t="str">
        <f>TEXT(Raw_Data!$A3969, "MMM")</f>
        <v>Sep</v>
      </c>
      <c r="C3969">
        <f>YEAR(Raw_Data!$A3969)</f>
        <v>2005</v>
      </c>
      <c r="D3969" t="s">
        <v>2637</v>
      </c>
      <c r="E3969" t="s">
        <v>23</v>
      </c>
      <c r="F3969" t="s">
        <v>16</v>
      </c>
      <c r="G3969">
        <v>5</v>
      </c>
      <c r="H3969">
        <v>3212</v>
      </c>
      <c r="I3969" s="1">
        <v>516523</v>
      </c>
      <c r="J3969" s="1">
        <f>Raw_Data!$I3969/Raw_Data!$H3969</f>
        <v>160.81039850560398</v>
      </c>
    </row>
    <row r="3970" spans="1:10" x14ac:dyDescent="0.3">
      <c r="A3970" s="9">
        <v>40040</v>
      </c>
      <c r="B3970" s="2" t="str">
        <f>TEXT(Raw_Data!$A3970, "MMM")</f>
        <v>Aug</v>
      </c>
      <c r="C3970" s="2">
        <f>YEAR(Raw_Data!$A3970)</f>
        <v>2009</v>
      </c>
      <c r="D3970" s="2" t="s">
        <v>2316</v>
      </c>
      <c r="E3970" s="2" t="s">
        <v>29</v>
      </c>
      <c r="F3970" s="2" t="s">
        <v>27</v>
      </c>
      <c r="G3970" s="2">
        <v>3</v>
      </c>
      <c r="H3970" s="2">
        <v>1092</v>
      </c>
      <c r="I3970" s="10">
        <v>290275</v>
      </c>
      <c r="J3970" s="10">
        <f>Raw_Data!$I3970/Raw_Data!$H3970</f>
        <v>265.81959706959708</v>
      </c>
    </row>
    <row r="3971" spans="1:10" x14ac:dyDescent="0.3">
      <c r="A3971" s="8">
        <v>37997</v>
      </c>
      <c r="B3971" t="str">
        <f>TEXT(Raw_Data!$A3971, "MMM")</f>
        <v>Jan</v>
      </c>
      <c r="C3971">
        <f>YEAR(Raw_Data!$A3971)</f>
        <v>2004</v>
      </c>
      <c r="D3971" t="s">
        <v>2638</v>
      </c>
      <c r="E3971" t="s">
        <v>32</v>
      </c>
      <c r="F3971" t="s">
        <v>18</v>
      </c>
      <c r="H3971">
        <v>1206</v>
      </c>
      <c r="I3971" s="1">
        <v>233282</v>
      </c>
      <c r="J3971" s="1">
        <f>Raw_Data!$I3971/Raw_Data!$H3971</f>
        <v>193.43449419568822</v>
      </c>
    </row>
    <row r="3972" spans="1:10" x14ac:dyDescent="0.3">
      <c r="A3972" s="9">
        <v>37046</v>
      </c>
      <c r="B3972" s="2" t="str">
        <f>TEXT(Raw_Data!$A3972, "MMM")</f>
        <v>Jun</v>
      </c>
      <c r="C3972" s="2">
        <f>YEAR(Raw_Data!$A3972)</f>
        <v>2001</v>
      </c>
      <c r="D3972" s="2" t="s">
        <v>1323</v>
      </c>
      <c r="E3972" s="2" t="s">
        <v>15</v>
      </c>
      <c r="F3972" s="2" t="s">
        <v>11</v>
      </c>
      <c r="G3972" s="2">
        <v>3</v>
      </c>
      <c r="H3972" s="2">
        <v>2290</v>
      </c>
      <c r="I3972" s="10">
        <v>750733</v>
      </c>
      <c r="J3972" s="10">
        <f>Raw_Data!$I3972/Raw_Data!$H3972</f>
        <v>327.83100436681224</v>
      </c>
    </row>
    <row r="3973" spans="1:10" x14ac:dyDescent="0.3">
      <c r="A3973" s="8">
        <v>42113</v>
      </c>
      <c r="B3973" t="str">
        <f>TEXT(Raw_Data!$A3973, "MMM")</f>
        <v>Apr</v>
      </c>
      <c r="C3973">
        <f>YEAR(Raw_Data!$A3973)</f>
        <v>2015</v>
      </c>
      <c r="D3973" t="s">
        <v>2330</v>
      </c>
      <c r="E3973" t="s">
        <v>15</v>
      </c>
      <c r="F3973" t="s">
        <v>16</v>
      </c>
      <c r="G3973">
        <v>2</v>
      </c>
      <c r="H3973">
        <v>1704</v>
      </c>
      <c r="I3973" s="1">
        <v>234724</v>
      </c>
      <c r="J3973" s="1">
        <f>Raw_Data!$I3973/Raw_Data!$H3973</f>
        <v>137.74882629107981</v>
      </c>
    </row>
    <row r="3974" spans="1:10" x14ac:dyDescent="0.3">
      <c r="A3974" s="9">
        <v>37880</v>
      </c>
      <c r="B3974" s="2" t="str">
        <f>TEXT(Raw_Data!$A3974, "MMM")</f>
        <v>Sep</v>
      </c>
      <c r="C3974" s="2">
        <f>YEAR(Raw_Data!$A3974)</f>
        <v>2003</v>
      </c>
      <c r="D3974" s="2" t="s">
        <v>241</v>
      </c>
      <c r="E3974" s="2" t="s">
        <v>25</v>
      </c>
      <c r="F3974" s="2" t="s">
        <v>18</v>
      </c>
      <c r="G3974" s="2">
        <v>5</v>
      </c>
      <c r="H3974" s="2">
        <v>3336</v>
      </c>
      <c r="I3974" s="10">
        <v>626100</v>
      </c>
      <c r="J3974" s="10">
        <f>Raw_Data!$I3974/Raw_Data!$H3974</f>
        <v>187.67985611510792</v>
      </c>
    </row>
    <row r="3975" spans="1:10" x14ac:dyDescent="0.3">
      <c r="A3975" s="8">
        <v>38462</v>
      </c>
      <c r="B3975" t="str">
        <f>TEXT(Raw_Data!$A3975, "MMM")</f>
        <v>Apr</v>
      </c>
      <c r="C3975">
        <f>YEAR(Raw_Data!$A3975)</f>
        <v>2005</v>
      </c>
      <c r="D3975" t="s">
        <v>2639</v>
      </c>
      <c r="E3975" t="s">
        <v>15</v>
      </c>
      <c r="F3975" t="s">
        <v>16</v>
      </c>
      <c r="G3975">
        <v>4</v>
      </c>
      <c r="H3975">
        <v>2098</v>
      </c>
      <c r="I3975" s="1">
        <v>100252</v>
      </c>
      <c r="J3975" s="1">
        <f>Raw_Data!$I3975/Raw_Data!$H3975</f>
        <v>47.784556720686368</v>
      </c>
    </row>
    <row r="3976" spans="1:10" x14ac:dyDescent="0.3">
      <c r="A3976" s="9">
        <v>41538</v>
      </c>
      <c r="B3976" s="2" t="str">
        <f>TEXT(Raw_Data!$A3976, "MMM")</f>
        <v>Sep</v>
      </c>
      <c r="C3976" s="2">
        <f>YEAR(Raw_Data!$A3976)</f>
        <v>2013</v>
      </c>
      <c r="D3976" s="2" t="s">
        <v>736</v>
      </c>
      <c r="E3976" s="2" t="s">
        <v>29</v>
      </c>
      <c r="F3976" s="2" t="s">
        <v>18</v>
      </c>
      <c r="G3976" s="2">
        <v>3</v>
      </c>
      <c r="H3976" s="2">
        <v>3480</v>
      </c>
      <c r="I3976" s="10">
        <v>592338</v>
      </c>
      <c r="J3976" s="10">
        <f>Raw_Data!$I3976/Raw_Data!$H3976</f>
        <v>170.21206896551723</v>
      </c>
    </row>
    <row r="3977" spans="1:10" x14ac:dyDescent="0.3">
      <c r="A3977" s="8">
        <v>43906</v>
      </c>
      <c r="B3977" t="str">
        <f>TEXT(Raw_Data!$A3977, "MMM")</f>
        <v>Mar</v>
      </c>
      <c r="C3977">
        <f>YEAR(Raw_Data!$A3977)</f>
        <v>2020</v>
      </c>
      <c r="D3977" t="s">
        <v>2640</v>
      </c>
      <c r="E3977" t="s">
        <v>13</v>
      </c>
      <c r="F3977" t="s">
        <v>11</v>
      </c>
      <c r="H3977">
        <v>2253</v>
      </c>
      <c r="I3977" s="1">
        <v>648799</v>
      </c>
      <c r="J3977" s="1">
        <f>Raw_Data!$I3977/Raw_Data!$H3977</f>
        <v>287.97114957833998</v>
      </c>
    </row>
    <row r="3978" spans="1:10" x14ac:dyDescent="0.3">
      <c r="A3978" s="9">
        <v>37184</v>
      </c>
      <c r="B3978" s="2" t="str">
        <f>TEXT(Raw_Data!$A3978, "MMM")</f>
        <v>Oct</v>
      </c>
      <c r="C3978" s="2">
        <f>YEAR(Raw_Data!$A3978)</f>
        <v>2001</v>
      </c>
      <c r="D3978" s="2" t="s">
        <v>1191</v>
      </c>
      <c r="E3978" s="2" t="s">
        <v>23</v>
      </c>
      <c r="F3978" s="2" t="s">
        <v>27</v>
      </c>
      <c r="G3978" s="2">
        <v>5</v>
      </c>
      <c r="H3978" s="2">
        <v>1247</v>
      </c>
      <c r="I3978" s="10">
        <v>343132</v>
      </c>
      <c r="J3978" s="10">
        <f>Raw_Data!$I3978/Raw_Data!$H3978</f>
        <v>275.16599839615077</v>
      </c>
    </row>
    <row r="3979" spans="1:10" x14ac:dyDescent="0.3">
      <c r="A3979" s="8">
        <v>42449</v>
      </c>
      <c r="B3979" t="str">
        <f>TEXT(Raw_Data!$A3979, "MMM")</f>
        <v>Mar</v>
      </c>
      <c r="C3979">
        <f>YEAR(Raw_Data!$A3979)</f>
        <v>2016</v>
      </c>
      <c r="D3979" t="s">
        <v>2641</v>
      </c>
      <c r="E3979" t="s">
        <v>25</v>
      </c>
      <c r="F3979" t="s">
        <v>16</v>
      </c>
      <c r="G3979">
        <v>2</v>
      </c>
      <c r="H3979">
        <v>958</v>
      </c>
      <c r="I3979" s="1">
        <v>689347</v>
      </c>
      <c r="J3979" s="1">
        <f>Raw_Data!$I3979/Raw_Data!$H3979</f>
        <v>719.56889352818371</v>
      </c>
    </row>
    <row r="3980" spans="1:10" x14ac:dyDescent="0.3">
      <c r="A3980" s="9">
        <v>43827</v>
      </c>
      <c r="B3980" s="2" t="str">
        <f>TEXT(Raw_Data!$A3980, "MMM")</f>
        <v>Dec</v>
      </c>
      <c r="C3980" s="2">
        <f>YEAR(Raw_Data!$A3980)</f>
        <v>2019</v>
      </c>
      <c r="D3980" s="2" t="s">
        <v>2642</v>
      </c>
      <c r="E3980" s="2" t="s">
        <v>21</v>
      </c>
      <c r="F3980" s="2" t="s">
        <v>11</v>
      </c>
      <c r="G3980" s="2"/>
      <c r="H3980" s="2">
        <v>2263</v>
      </c>
      <c r="I3980" s="10">
        <v>470742</v>
      </c>
      <c r="J3980" s="10">
        <f>Raw_Data!$I3980/Raw_Data!$H3980</f>
        <v>208.01679186920018</v>
      </c>
    </row>
    <row r="3981" spans="1:10" x14ac:dyDescent="0.3">
      <c r="A3981" s="8">
        <v>40194</v>
      </c>
      <c r="B3981" t="str">
        <f>TEXT(Raw_Data!$A3981, "MMM")</f>
        <v>Jan</v>
      </c>
      <c r="C3981">
        <f>YEAR(Raw_Data!$A3981)</f>
        <v>2010</v>
      </c>
      <c r="D3981" t="s">
        <v>1485</v>
      </c>
      <c r="E3981" t="s">
        <v>25</v>
      </c>
      <c r="F3981" t="s">
        <v>16</v>
      </c>
      <c r="G3981">
        <v>2</v>
      </c>
      <c r="H3981">
        <v>3011</v>
      </c>
      <c r="I3981" s="1">
        <v>858990</v>
      </c>
      <c r="J3981" s="1">
        <f>Raw_Data!$I3981/Raw_Data!$H3981</f>
        <v>285.28395881766858</v>
      </c>
    </row>
    <row r="3982" spans="1:10" x14ac:dyDescent="0.3">
      <c r="A3982" s="9">
        <v>37034</v>
      </c>
      <c r="B3982" s="2" t="str">
        <f>TEXT(Raw_Data!$A3982, "MMM")</f>
        <v>May</v>
      </c>
      <c r="C3982" s="2">
        <f>YEAR(Raw_Data!$A3982)</f>
        <v>2001</v>
      </c>
      <c r="D3982" s="2" t="s">
        <v>987</v>
      </c>
      <c r="E3982" s="2" t="s">
        <v>15</v>
      </c>
      <c r="F3982" s="2" t="s">
        <v>27</v>
      </c>
      <c r="G3982" s="2"/>
      <c r="H3982" s="2">
        <v>2543</v>
      </c>
      <c r="I3982" s="10">
        <v>592567</v>
      </c>
      <c r="J3982" s="10">
        <f>Raw_Data!$I3982/Raw_Data!$H3982</f>
        <v>233.01887534408181</v>
      </c>
    </row>
    <row r="3983" spans="1:10" x14ac:dyDescent="0.3">
      <c r="A3983" s="8">
        <v>39713</v>
      </c>
      <c r="B3983" t="str">
        <f>TEXT(Raw_Data!$A3983, "MMM")</f>
        <v>Sep</v>
      </c>
      <c r="C3983">
        <f>YEAR(Raw_Data!$A3983)</f>
        <v>2008</v>
      </c>
      <c r="D3983" t="s">
        <v>2643</v>
      </c>
      <c r="E3983" t="s">
        <v>13</v>
      </c>
      <c r="F3983" t="s">
        <v>18</v>
      </c>
      <c r="G3983">
        <v>4</v>
      </c>
      <c r="H3983">
        <v>2436</v>
      </c>
      <c r="I3983" s="1">
        <v>345238</v>
      </c>
      <c r="J3983" s="1">
        <f>Raw_Data!$I3983/Raw_Data!$H3983</f>
        <v>141.72331691297208</v>
      </c>
    </row>
    <row r="3984" spans="1:10" x14ac:dyDescent="0.3">
      <c r="A3984" s="9">
        <v>39159</v>
      </c>
      <c r="B3984" s="2" t="str">
        <f>TEXT(Raw_Data!$A3984, "MMM")</f>
        <v>Mar</v>
      </c>
      <c r="C3984" s="2">
        <f>YEAR(Raw_Data!$A3984)</f>
        <v>2007</v>
      </c>
      <c r="D3984" s="2" t="s">
        <v>104</v>
      </c>
      <c r="E3984" s="2" t="s">
        <v>13</v>
      </c>
      <c r="F3984" s="2" t="s">
        <v>18</v>
      </c>
      <c r="G3984" s="2">
        <v>5</v>
      </c>
      <c r="H3984" s="2">
        <v>1649</v>
      </c>
      <c r="I3984" s="10">
        <v>512143</v>
      </c>
      <c r="J3984" s="10">
        <f>Raw_Data!$I3984/Raw_Data!$H3984</f>
        <v>310.5779260157671</v>
      </c>
    </row>
    <row r="3985" spans="1:10" x14ac:dyDescent="0.3">
      <c r="A3985" s="8">
        <v>37776</v>
      </c>
      <c r="B3985" t="str">
        <f>TEXT(Raw_Data!$A3985, "MMM")</f>
        <v>Jun</v>
      </c>
      <c r="C3985">
        <f>YEAR(Raw_Data!$A3985)</f>
        <v>2003</v>
      </c>
      <c r="D3985" t="s">
        <v>2644</v>
      </c>
      <c r="E3985" t="s">
        <v>32</v>
      </c>
      <c r="F3985" t="s">
        <v>27</v>
      </c>
      <c r="G3985">
        <v>2</v>
      </c>
      <c r="H3985">
        <v>1866</v>
      </c>
      <c r="I3985" s="1">
        <v>691154</v>
      </c>
      <c r="J3985" s="1">
        <f>Raw_Data!$I3985/Raw_Data!$H3985</f>
        <v>370.39335476956057</v>
      </c>
    </row>
    <row r="3986" spans="1:10" x14ac:dyDescent="0.3">
      <c r="A3986" s="9">
        <v>43776</v>
      </c>
      <c r="B3986" s="2" t="str">
        <f>TEXT(Raw_Data!$A3986, "MMM")</f>
        <v>Nov</v>
      </c>
      <c r="C3986" s="2">
        <f>YEAR(Raw_Data!$A3986)</f>
        <v>2019</v>
      </c>
      <c r="D3986" s="2" t="s">
        <v>841</v>
      </c>
      <c r="E3986" s="2" t="s">
        <v>21</v>
      </c>
      <c r="F3986" s="2" t="s">
        <v>16</v>
      </c>
      <c r="G3986" s="2">
        <v>4</v>
      </c>
      <c r="H3986" s="2">
        <v>1046</v>
      </c>
      <c r="I3986" s="10"/>
      <c r="J3986" s="10">
        <f>Raw_Data!$I3986/Raw_Data!$H3986</f>
        <v>0</v>
      </c>
    </row>
    <row r="3987" spans="1:10" x14ac:dyDescent="0.3">
      <c r="A3987" s="8">
        <v>43344</v>
      </c>
      <c r="B3987" t="str">
        <f>TEXT(Raw_Data!$A3987, "MMM")</f>
        <v>Sep</v>
      </c>
      <c r="C3987">
        <f>YEAR(Raw_Data!$A3987)</f>
        <v>2018</v>
      </c>
      <c r="D3987" t="s">
        <v>2645</v>
      </c>
      <c r="E3987" t="s">
        <v>15</v>
      </c>
      <c r="F3987" t="s">
        <v>18</v>
      </c>
      <c r="G3987">
        <v>5</v>
      </c>
      <c r="H3987">
        <v>2607</v>
      </c>
      <c r="I3987" s="1">
        <v>594371</v>
      </c>
      <c r="J3987" s="1">
        <f>Raw_Data!$I3987/Raw_Data!$H3987</f>
        <v>227.9904104334484</v>
      </c>
    </row>
    <row r="3988" spans="1:10" x14ac:dyDescent="0.3">
      <c r="A3988" s="9">
        <v>42875</v>
      </c>
      <c r="B3988" s="2" t="str">
        <f>TEXT(Raw_Data!$A3988, "MMM")</f>
        <v>May</v>
      </c>
      <c r="C3988" s="2">
        <f>YEAR(Raw_Data!$A3988)</f>
        <v>2017</v>
      </c>
      <c r="D3988" s="2" t="s">
        <v>2646</v>
      </c>
      <c r="E3988" s="2" t="s">
        <v>25</v>
      </c>
      <c r="F3988" s="2" t="s">
        <v>16</v>
      </c>
      <c r="G3988" s="2">
        <v>3</v>
      </c>
      <c r="H3988" s="2">
        <v>1142</v>
      </c>
      <c r="I3988" s="10">
        <v>133965</v>
      </c>
      <c r="J3988" s="10">
        <f>Raw_Data!$I3988/Raw_Data!$H3988</f>
        <v>117.30735551663747</v>
      </c>
    </row>
    <row r="3989" spans="1:10" x14ac:dyDescent="0.3">
      <c r="A3989" s="8">
        <v>38670</v>
      </c>
      <c r="B3989" t="str">
        <f>TEXT(Raw_Data!$A3989, "MMM")</f>
        <v>Nov</v>
      </c>
      <c r="C3989">
        <f>YEAR(Raw_Data!$A3989)</f>
        <v>2005</v>
      </c>
      <c r="D3989" t="s">
        <v>2647</v>
      </c>
      <c r="E3989" t="s">
        <v>29</v>
      </c>
      <c r="F3989" t="s">
        <v>16</v>
      </c>
      <c r="H3989">
        <v>1805</v>
      </c>
      <c r="I3989" s="1">
        <v>773045</v>
      </c>
      <c r="J3989" s="1">
        <f>Raw_Data!$I3989/Raw_Data!$H3989</f>
        <v>428.27977839335182</v>
      </c>
    </row>
    <row r="3990" spans="1:10" x14ac:dyDescent="0.3">
      <c r="A3990" s="9">
        <v>43288</v>
      </c>
      <c r="B3990" s="2" t="str">
        <f>TEXT(Raw_Data!$A3990, "MMM")</f>
        <v>Jul</v>
      </c>
      <c r="C3990" s="2">
        <f>YEAR(Raw_Data!$A3990)</f>
        <v>2018</v>
      </c>
      <c r="D3990" s="2" t="s">
        <v>2648</v>
      </c>
      <c r="E3990" s="2" t="s">
        <v>32</v>
      </c>
      <c r="F3990" s="2" t="s">
        <v>18</v>
      </c>
      <c r="G3990" s="2">
        <v>4</v>
      </c>
      <c r="H3990" s="2">
        <v>1791</v>
      </c>
      <c r="I3990" s="10">
        <v>150664</v>
      </c>
      <c r="J3990" s="10">
        <f>Raw_Data!$I3990/Raw_Data!$H3990</f>
        <v>84.122836404243444</v>
      </c>
    </row>
    <row r="3991" spans="1:10" x14ac:dyDescent="0.3">
      <c r="A3991" s="8">
        <v>42480</v>
      </c>
      <c r="B3991" t="str">
        <f>TEXT(Raw_Data!$A3991, "MMM")</f>
        <v>Apr</v>
      </c>
      <c r="C3991">
        <f>YEAR(Raw_Data!$A3991)</f>
        <v>2016</v>
      </c>
      <c r="D3991" t="s">
        <v>389</v>
      </c>
      <c r="E3991" t="s">
        <v>25</v>
      </c>
      <c r="F3991" t="s">
        <v>18</v>
      </c>
      <c r="G3991">
        <v>5</v>
      </c>
      <c r="H3991">
        <v>2875</v>
      </c>
      <c r="I3991" s="1">
        <v>455432</v>
      </c>
      <c r="J3991" s="1">
        <f>Raw_Data!$I3991/Raw_Data!$H3991</f>
        <v>158.41113043478262</v>
      </c>
    </row>
    <row r="3992" spans="1:10" x14ac:dyDescent="0.3">
      <c r="A3992" s="9">
        <v>40370</v>
      </c>
      <c r="B3992" s="2" t="str">
        <f>TEXT(Raw_Data!$A3992, "MMM")</f>
        <v>Jul</v>
      </c>
      <c r="C3992" s="2">
        <f>YEAR(Raw_Data!$A3992)</f>
        <v>2010</v>
      </c>
      <c r="D3992" s="2" t="s">
        <v>384</v>
      </c>
      <c r="E3992" s="2" t="s">
        <v>21</v>
      </c>
      <c r="F3992" s="2" t="s">
        <v>11</v>
      </c>
      <c r="G3992" s="2"/>
      <c r="H3992" s="2">
        <v>3418</v>
      </c>
      <c r="I3992" s="10">
        <v>357655</v>
      </c>
      <c r="J3992" s="10">
        <f>Raw_Data!$I3992/Raw_Data!$H3992</f>
        <v>104.63867758923347</v>
      </c>
    </row>
    <row r="3993" spans="1:10" x14ac:dyDescent="0.3">
      <c r="A3993" s="8">
        <v>40697</v>
      </c>
      <c r="B3993" t="str">
        <f>TEXT(Raw_Data!$A3993, "MMM")</f>
        <v>Jun</v>
      </c>
      <c r="C3993">
        <f>YEAR(Raw_Data!$A3993)</f>
        <v>2011</v>
      </c>
      <c r="D3993" t="s">
        <v>2330</v>
      </c>
      <c r="E3993" t="s">
        <v>25</v>
      </c>
      <c r="F3993" t="s">
        <v>11</v>
      </c>
      <c r="G3993">
        <v>4</v>
      </c>
      <c r="H3993">
        <v>2565</v>
      </c>
      <c r="I3993" s="1">
        <v>727303</v>
      </c>
      <c r="J3993" s="1">
        <f>Raw_Data!$I3993/Raw_Data!$H3993</f>
        <v>283.54892787524369</v>
      </c>
    </row>
    <row r="3994" spans="1:10" x14ac:dyDescent="0.3">
      <c r="A3994" s="9">
        <v>40268</v>
      </c>
      <c r="B3994" s="2" t="str">
        <f>TEXT(Raw_Data!$A3994, "MMM")</f>
        <v>Mar</v>
      </c>
      <c r="C3994" s="2">
        <f>YEAR(Raw_Data!$A3994)</f>
        <v>2010</v>
      </c>
      <c r="D3994" s="2" t="s">
        <v>2649</v>
      </c>
      <c r="E3994" s="2" t="s">
        <v>15</v>
      </c>
      <c r="F3994" s="2" t="s">
        <v>11</v>
      </c>
      <c r="G3994" s="2">
        <v>5</v>
      </c>
      <c r="H3994" s="2">
        <v>1770</v>
      </c>
      <c r="I3994" s="10">
        <v>452825</v>
      </c>
      <c r="J3994" s="10">
        <f>Raw_Data!$I3994/Raw_Data!$H3994</f>
        <v>255.83333333333334</v>
      </c>
    </row>
    <row r="3995" spans="1:10" x14ac:dyDescent="0.3">
      <c r="A3995" s="8">
        <v>38673</v>
      </c>
      <c r="B3995" t="str">
        <f>TEXT(Raw_Data!$A3995, "MMM")</f>
        <v>Nov</v>
      </c>
      <c r="C3995">
        <f>YEAR(Raw_Data!$A3995)</f>
        <v>2005</v>
      </c>
      <c r="D3995" t="s">
        <v>2650</v>
      </c>
      <c r="E3995" t="s">
        <v>29</v>
      </c>
      <c r="F3995" t="s">
        <v>18</v>
      </c>
      <c r="G3995">
        <v>5</v>
      </c>
      <c r="H3995">
        <v>2992</v>
      </c>
      <c r="I3995" s="1">
        <v>735479</v>
      </c>
      <c r="J3995" s="1">
        <f>Raw_Data!$I3995/Raw_Data!$H3995</f>
        <v>245.81517379679144</v>
      </c>
    </row>
    <row r="3996" spans="1:10" x14ac:dyDescent="0.3">
      <c r="A3996" s="9">
        <v>41188</v>
      </c>
      <c r="B3996" s="2" t="str">
        <f>TEXT(Raw_Data!$A3996, "MMM")</f>
        <v>Oct</v>
      </c>
      <c r="C3996" s="2">
        <f>YEAR(Raw_Data!$A3996)</f>
        <v>2012</v>
      </c>
      <c r="D3996" s="2" t="s">
        <v>2651</v>
      </c>
      <c r="E3996" s="2" t="s">
        <v>25</v>
      </c>
      <c r="F3996" s="2" t="s">
        <v>11</v>
      </c>
      <c r="G3996" s="2"/>
      <c r="H3996" s="2">
        <v>2791</v>
      </c>
      <c r="I3996" s="10">
        <v>884662</v>
      </c>
      <c r="J3996" s="10">
        <f>Raw_Data!$I3996/Raw_Data!$H3996</f>
        <v>316.96954496596203</v>
      </c>
    </row>
    <row r="3997" spans="1:10" x14ac:dyDescent="0.3">
      <c r="A3997" s="8">
        <v>39458</v>
      </c>
      <c r="B3997" t="str">
        <f>TEXT(Raw_Data!$A3997, "MMM")</f>
        <v>Jan</v>
      </c>
      <c r="C3997">
        <f>YEAR(Raw_Data!$A3997)</f>
        <v>2008</v>
      </c>
      <c r="D3997" t="s">
        <v>2652</v>
      </c>
      <c r="E3997" t="s">
        <v>32</v>
      </c>
      <c r="F3997" t="s">
        <v>11</v>
      </c>
      <c r="G3997">
        <v>2</v>
      </c>
      <c r="H3997">
        <v>3112</v>
      </c>
      <c r="I3997" s="1">
        <v>584500</v>
      </c>
      <c r="J3997" s="1">
        <f>Raw_Data!$I3997/Raw_Data!$H3997</f>
        <v>187.82133676092545</v>
      </c>
    </row>
    <row r="3998" spans="1:10" x14ac:dyDescent="0.3">
      <c r="A3998" s="9">
        <v>43595</v>
      </c>
      <c r="B3998" s="2" t="str">
        <f>TEXT(Raw_Data!$A3998, "MMM")</f>
        <v>May</v>
      </c>
      <c r="C3998" s="2">
        <f>YEAR(Raw_Data!$A3998)</f>
        <v>2019</v>
      </c>
      <c r="D3998" s="2" t="s">
        <v>2653</v>
      </c>
      <c r="E3998" s="2" t="s">
        <v>25</v>
      </c>
      <c r="F3998" s="2" t="s">
        <v>18</v>
      </c>
      <c r="G3998" s="2"/>
      <c r="H3998" s="2">
        <v>2080</v>
      </c>
      <c r="I3998" s="10">
        <v>474561</v>
      </c>
      <c r="J3998" s="10">
        <f>Raw_Data!$I3998/Raw_Data!$H3998</f>
        <v>228.15432692307692</v>
      </c>
    </row>
    <row r="3999" spans="1:10" x14ac:dyDescent="0.3">
      <c r="A3999" s="8">
        <v>38453</v>
      </c>
      <c r="B3999" t="str">
        <f>TEXT(Raw_Data!$A3999, "MMM")</f>
        <v>Apr</v>
      </c>
      <c r="C3999">
        <f>YEAR(Raw_Data!$A3999)</f>
        <v>2005</v>
      </c>
      <c r="D3999" t="s">
        <v>2654</v>
      </c>
      <c r="E3999" t="s">
        <v>13</v>
      </c>
      <c r="F3999" t="s">
        <v>11</v>
      </c>
      <c r="G3999">
        <v>5</v>
      </c>
      <c r="H3999">
        <v>2727</v>
      </c>
      <c r="I3999" s="1">
        <v>473354</v>
      </c>
      <c r="J3999" s="1">
        <f>Raw_Data!$I3999/Raw_Data!$H3999</f>
        <v>173.58049138247159</v>
      </c>
    </row>
    <row r="4000" spans="1:10" x14ac:dyDescent="0.3">
      <c r="A4000" s="9">
        <v>39154</v>
      </c>
      <c r="B4000" s="2" t="str">
        <f>TEXT(Raw_Data!$A4000, "MMM")</f>
        <v>Mar</v>
      </c>
      <c r="C4000" s="2">
        <f>YEAR(Raw_Data!$A4000)</f>
        <v>2007</v>
      </c>
      <c r="D4000" s="2" t="s">
        <v>1237</v>
      </c>
      <c r="E4000" s="2" t="s">
        <v>21</v>
      </c>
      <c r="F4000" s="2" t="s">
        <v>16</v>
      </c>
      <c r="G4000" s="2">
        <v>5</v>
      </c>
      <c r="H4000" s="2">
        <v>969</v>
      </c>
      <c r="I4000" s="10">
        <v>328164</v>
      </c>
      <c r="J4000" s="10">
        <f>Raw_Data!$I4000/Raw_Data!$H4000</f>
        <v>338.6625386996904</v>
      </c>
    </row>
    <row r="4001" spans="1:10" x14ac:dyDescent="0.3">
      <c r="A4001" s="8">
        <v>41767</v>
      </c>
      <c r="B4001" t="str">
        <f>TEXT(Raw_Data!$A4001, "MMM")</f>
        <v>May</v>
      </c>
      <c r="C4001">
        <f>YEAR(Raw_Data!$A4001)</f>
        <v>2014</v>
      </c>
      <c r="D4001" t="s">
        <v>654</v>
      </c>
      <c r="E4001" t="s">
        <v>25</v>
      </c>
      <c r="F4001" t="s">
        <v>11</v>
      </c>
      <c r="H4001">
        <v>1927</v>
      </c>
      <c r="I4001" s="1">
        <v>312632</v>
      </c>
      <c r="J4001" s="1">
        <f>Raw_Data!$I4001/Raw_Data!$H4001</f>
        <v>162.23767514270887</v>
      </c>
    </row>
    <row r="4002" spans="1:10" x14ac:dyDescent="0.3">
      <c r="A4002" s="9">
        <v>42914</v>
      </c>
      <c r="B4002" s="2" t="str">
        <f>TEXT(Raw_Data!$A4002, "MMM")</f>
        <v>Jun</v>
      </c>
      <c r="C4002" s="2">
        <f>YEAR(Raw_Data!$A4002)</f>
        <v>2017</v>
      </c>
      <c r="D4002" s="2" t="s">
        <v>2655</v>
      </c>
      <c r="E4002" s="2" t="s">
        <v>15</v>
      </c>
      <c r="F4002" s="2" t="s">
        <v>11</v>
      </c>
      <c r="G4002" s="2"/>
      <c r="H4002" s="2">
        <v>3151</v>
      </c>
      <c r="I4002" s="10">
        <v>856046</v>
      </c>
      <c r="J4002" s="10">
        <f>Raw_Data!$I4002/Raw_Data!$H4002</f>
        <v>271.67438908283083</v>
      </c>
    </row>
    <row r="4003" spans="1:10" x14ac:dyDescent="0.3">
      <c r="A4003" s="8">
        <v>38616</v>
      </c>
      <c r="B4003" t="str">
        <f>TEXT(Raw_Data!$A4003, "MMM")</f>
        <v>Sep</v>
      </c>
      <c r="C4003">
        <f>YEAR(Raw_Data!$A4003)</f>
        <v>2005</v>
      </c>
      <c r="D4003" t="s">
        <v>2521</v>
      </c>
      <c r="E4003" t="s">
        <v>32</v>
      </c>
      <c r="F4003" t="s">
        <v>27</v>
      </c>
      <c r="G4003">
        <v>2</v>
      </c>
      <c r="H4003">
        <v>1864</v>
      </c>
      <c r="I4003" s="1">
        <v>785468</v>
      </c>
      <c r="J4003" s="1">
        <f>Raw_Data!$I4003/Raw_Data!$H4003</f>
        <v>421.38841201716735</v>
      </c>
    </row>
    <row r="4004" spans="1:10" x14ac:dyDescent="0.3">
      <c r="A4004" s="9">
        <v>40463</v>
      </c>
      <c r="B4004" s="2" t="str">
        <f>TEXT(Raw_Data!$A4004, "MMM")</f>
        <v>Oct</v>
      </c>
      <c r="C4004" s="2">
        <f>YEAR(Raw_Data!$A4004)</f>
        <v>2010</v>
      </c>
      <c r="D4004" s="2" t="s">
        <v>2656</v>
      </c>
      <c r="E4004" s="2" t="s">
        <v>23</v>
      </c>
      <c r="F4004" s="2" t="s">
        <v>11</v>
      </c>
      <c r="G4004" s="2"/>
      <c r="H4004" s="2">
        <v>1338</v>
      </c>
      <c r="I4004" s="10">
        <v>615192</v>
      </c>
      <c r="J4004" s="10">
        <f>Raw_Data!$I4004/Raw_Data!$H4004</f>
        <v>459.78475336322867</v>
      </c>
    </row>
    <row r="4005" spans="1:10" x14ac:dyDescent="0.3">
      <c r="A4005" s="8">
        <v>39697</v>
      </c>
      <c r="B4005" t="str">
        <f>TEXT(Raw_Data!$A4005, "MMM")</f>
        <v>Sep</v>
      </c>
      <c r="C4005">
        <f>YEAR(Raw_Data!$A4005)</f>
        <v>2008</v>
      </c>
      <c r="D4005" t="s">
        <v>2657</v>
      </c>
      <c r="E4005" t="s">
        <v>15</v>
      </c>
      <c r="F4005" t="s">
        <v>18</v>
      </c>
      <c r="G4005">
        <v>4</v>
      </c>
      <c r="H4005">
        <v>2298</v>
      </c>
      <c r="I4005" s="1">
        <v>757864</v>
      </c>
      <c r="J4005" s="1">
        <f>Raw_Data!$I4005/Raw_Data!$H4005</f>
        <v>329.792863359443</v>
      </c>
    </row>
    <row r="4006" spans="1:10" x14ac:dyDescent="0.3">
      <c r="A4006" s="9">
        <v>43704</v>
      </c>
      <c r="B4006" s="2" t="str">
        <f>TEXT(Raw_Data!$A4006, "MMM")</f>
        <v>Aug</v>
      </c>
      <c r="C4006" s="2">
        <f>YEAR(Raw_Data!$A4006)</f>
        <v>2019</v>
      </c>
      <c r="D4006" s="2" t="s">
        <v>2656</v>
      </c>
      <c r="E4006" s="2" t="s">
        <v>25</v>
      </c>
      <c r="F4006" s="2" t="s">
        <v>11</v>
      </c>
      <c r="G4006" s="2">
        <v>5</v>
      </c>
      <c r="H4006" s="2">
        <v>1343</v>
      </c>
      <c r="I4006" s="10">
        <v>586076</v>
      </c>
      <c r="J4006" s="10">
        <f>Raw_Data!$I4006/Raw_Data!$H4006</f>
        <v>436.39314966492924</v>
      </c>
    </row>
    <row r="4007" spans="1:10" x14ac:dyDescent="0.3">
      <c r="A4007" s="8">
        <v>39747</v>
      </c>
      <c r="B4007" t="str">
        <f>TEXT(Raw_Data!$A4007, "MMM")</f>
        <v>Oct</v>
      </c>
      <c r="C4007">
        <f>YEAR(Raw_Data!$A4007)</f>
        <v>2008</v>
      </c>
      <c r="D4007" t="s">
        <v>2658</v>
      </c>
      <c r="E4007" t="s">
        <v>32</v>
      </c>
      <c r="F4007" t="s">
        <v>27</v>
      </c>
      <c r="H4007">
        <v>1660</v>
      </c>
      <c r="I4007" s="1">
        <v>824715</v>
      </c>
      <c r="J4007" s="1">
        <f>Raw_Data!$I4007/Raw_Data!$H4007</f>
        <v>496.81626506024094</v>
      </c>
    </row>
    <row r="4008" spans="1:10" x14ac:dyDescent="0.3">
      <c r="A4008" s="9">
        <v>42603</v>
      </c>
      <c r="B4008" s="2" t="str">
        <f>TEXT(Raw_Data!$A4008, "MMM")</f>
        <v>Aug</v>
      </c>
      <c r="C4008" s="2">
        <f>YEAR(Raw_Data!$A4008)</f>
        <v>2016</v>
      </c>
      <c r="D4008" s="2" t="s">
        <v>1845</v>
      </c>
      <c r="E4008" s="2" t="s">
        <v>21</v>
      </c>
      <c r="F4008" s="2" t="s">
        <v>16</v>
      </c>
      <c r="G4008" s="2">
        <v>3</v>
      </c>
      <c r="H4008" s="2">
        <v>2230</v>
      </c>
      <c r="I4008" s="10">
        <v>648165</v>
      </c>
      <c r="J4008" s="10">
        <f>Raw_Data!$I4008/Raw_Data!$H4008</f>
        <v>290.65695067264573</v>
      </c>
    </row>
    <row r="4009" spans="1:10" x14ac:dyDescent="0.3">
      <c r="A4009" s="8">
        <v>40241</v>
      </c>
      <c r="B4009" t="str">
        <f>TEXT(Raw_Data!$A4009, "MMM")</f>
        <v>Mar</v>
      </c>
      <c r="C4009">
        <f>YEAR(Raw_Data!$A4009)</f>
        <v>2010</v>
      </c>
      <c r="D4009" t="s">
        <v>911</v>
      </c>
      <c r="E4009" t="s">
        <v>13</v>
      </c>
      <c r="F4009" t="s">
        <v>18</v>
      </c>
      <c r="G4009">
        <v>3</v>
      </c>
      <c r="H4009">
        <v>2123</v>
      </c>
      <c r="I4009" s="1">
        <v>155823</v>
      </c>
      <c r="J4009" s="1">
        <f>Raw_Data!$I4009/Raw_Data!$H4009</f>
        <v>73.3975506358926</v>
      </c>
    </row>
    <row r="4010" spans="1:10" x14ac:dyDescent="0.3">
      <c r="A4010" s="9">
        <v>39908</v>
      </c>
      <c r="B4010" s="2" t="str">
        <f>TEXT(Raw_Data!$A4010, "MMM")</f>
        <v>Apr</v>
      </c>
      <c r="C4010" s="2">
        <f>YEAR(Raw_Data!$A4010)</f>
        <v>2009</v>
      </c>
      <c r="D4010" s="2" t="s">
        <v>1543</v>
      </c>
      <c r="E4010" s="2" t="s">
        <v>21</v>
      </c>
      <c r="F4010" s="2" t="s">
        <v>18</v>
      </c>
      <c r="G4010" s="2">
        <v>3</v>
      </c>
      <c r="H4010" s="2">
        <v>3197</v>
      </c>
      <c r="I4010" s="10">
        <v>276098</v>
      </c>
      <c r="J4010" s="10">
        <f>Raw_Data!$I4010/Raw_Data!$H4010</f>
        <v>86.361588989677827</v>
      </c>
    </row>
    <row r="4011" spans="1:10" x14ac:dyDescent="0.3">
      <c r="A4011" s="8">
        <v>40222</v>
      </c>
      <c r="B4011" t="str">
        <f>TEXT(Raw_Data!$A4011, "MMM")</f>
        <v>Feb</v>
      </c>
      <c r="C4011">
        <f>YEAR(Raw_Data!$A4011)</f>
        <v>2010</v>
      </c>
      <c r="D4011" t="s">
        <v>996</v>
      </c>
      <c r="E4011" t="s">
        <v>13</v>
      </c>
      <c r="F4011" t="s">
        <v>18</v>
      </c>
      <c r="G4011">
        <v>3</v>
      </c>
      <c r="H4011">
        <v>1579</v>
      </c>
      <c r="I4011" s="1">
        <v>657927</v>
      </c>
      <c r="J4011" s="1">
        <f>Raw_Data!$I4011/Raw_Data!$H4011</f>
        <v>416.67321089297025</v>
      </c>
    </row>
    <row r="4012" spans="1:10" x14ac:dyDescent="0.3">
      <c r="A4012" s="9">
        <v>42030</v>
      </c>
      <c r="B4012" s="2" t="str">
        <f>TEXT(Raw_Data!$A4012, "MMM")</f>
        <v>Jan</v>
      </c>
      <c r="C4012" s="2">
        <f>YEAR(Raw_Data!$A4012)</f>
        <v>2015</v>
      </c>
      <c r="D4012" s="2" t="s">
        <v>2550</v>
      </c>
      <c r="E4012" s="2" t="s">
        <v>13</v>
      </c>
      <c r="F4012" s="2" t="s">
        <v>18</v>
      </c>
      <c r="G4012" s="2"/>
      <c r="H4012" s="2">
        <v>3096</v>
      </c>
      <c r="I4012" s="10">
        <v>760356</v>
      </c>
      <c r="J4012" s="10">
        <f>Raw_Data!$I4012/Raw_Data!$H4012</f>
        <v>245.59302325581396</v>
      </c>
    </row>
    <row r="4013" spans="1:10" x14ac:dyDescent="0.3">
      <c r="A4013" s="8">
        <v>44188</v>
      </c>
      <c r="B4013" t="str">
        <f>TEXT(Raw_Data!$A4013, "MMM")</f>
        <v>Dec</v>
      </c>
      <c r="C4013">
        <f>YEAR(Raw_Data!$A4013)</f>
        <v>2020</v>
      </c>
      <c r="D4013" t="s">
        <v>857</v>
      </c>
      <c r="E4013" t="s">
        <v>21</v>
      </c>
      <c r="F4013" t="s">
        <v>16</v>
      </c>
      <c r="G4013">
        <v>2</v>
      </c>
      <c r="H4013">
        <v>3302</v>
      </c>
      <c r="I4013" s="1">
        <v>455262</v>
      </c>
      <c r="J4013" s="1">
        <f>Raw_Data!$I4013/Raw_Data!$H4013</f>
        <v>137.87462144155057</v>
      </c>
    </row>
    <row r="4014" spans="1:10" x14ac:dyDescent="0.3">
      <c r="A4014" s="9">
        <v>40133</v>
      </c>
      <c r="B4014" s="2" t="str">
        <f>TEXT(Raw_Data!$A4014, "MMM")</f>
        <v>Nov</v>
      </c>
      <c r="C4014" s="2">
        <f>YEAR(Raw_Data!$A4014)</f>
        <v>2009</v>
      </c>
      <c r="D4014" s="2" t="s">
        <v>2583</v>
      </c>
      <c r="E4014" s="2" t="s">
        <v>13</v>
      </c>
      <c r="F4014" s="2" t="s">
        <v>27</v>
      </c>
      <c r="G4014" s="2"/>
      <c r="H4014" s="2">
        <v>1923</v>
      </c>
      <c r="I4014" s="10">
        <v>412663</v>
      </c>
      <c r="J4014" s="10">
        <f>Raw_Data!$I4014/Raw_Data!$H4014</f>
        <v>214.59334373374935</v>
      </c>
    </row>
    <row r="4015" spans="1:10" x14ac:dyDescent="0.3">
      <c r="A4015" s="8">
        <v>38555</v>
      </c>
      <c r="B4015" t="str">
        <f>TEXT(Raw_Data!$A4015, "MMM")</f>
        <v>Jul</v>
      </c>
      <c r="C4015">
        <f>YEAR(Raw_Data!$A4015)</f>
        <v>2005</v>
      </c>
      <c r="D4015" t="s">
        <v>1840</v>
      </c>
      <c r="E4015" t="s">
        <v>15</v>
      </c>
      <c r="F4015" t="s">
        <v>11</v>
      </c>
      <c r="G4015">
        <v>2</v>
      </c>
      <c r="H4015">
        <v>2203</v>
      </c>
      <c r="I4015" s="1">
        <v>724708</v>
      </c>
      <c r="J4015" s="1">
        <f>Raw_Data!$I4015/Raw_Data!$H4015</f>
        <v>328.96413980935091</v>
      </c>
    </row>
    <row r="4016" spans="1:10" x14ac:dyDescent="0.3">
      <c r="A4016" s="9">
        <v>43820</v>
      </c>
      <c r="B4016" s="2" t="str">
        <f>TEXT(Raw_Data!$A4016, "MMM")</f>
        <v>Dec</v>
      </c>
      <c r="C4016" s="2">
        <f>YEAR(Raw_Data!$A4016)</f>
        <v>2019</v>
      </c>
      <c r="D4016" s="2" t="s">
        <v>1987</v>
      </c>
      <c r="E4016" s="2" t="s">
        <v>29</v>
      </c>
      <c r="F4016" s="2" t="s">
        <v>18</v>
      </c>
      <c r="G4016" s="2">
        <v>2</v>
      </c>
      <c r="H4016" s="2">
        <v>1660</v>
      </c>
      <c r="I4016" s="10">
        <v>479421</v>
      </c>
      <c r="J4016" s="10">
        <f>Raw_Data!$I4016/Raw_Data!$H4016</f>
        <v>288.80783132530121</v>
      </c>
    </row>
    <row r="4017" spans="1:10" x14ac:dyDescent="0.3">
      <c r="A4017" s="8">
        <v>41188</v>
      </c>
      <c r="B4017" t="str">
        <f>TEXT(Raw_Data!$A4017, "MMM")</f>
        <v>Oct</v>
      </c>
      <c r="C4017">
        <f>YEAR(Raw_Data!$A4017)</f>
        <v>2012</v>
      </c>
      <c r="D4017" t="s">
        <v>2659</v>
      </c>
      <c r="E4017" t="s">
        <v>25</v>
      </c>
      <c r="F4017" t="s">
        <v>11</v>
      </c>
      <c r="G4017">
        <v>2</v>
      </c>
      <c r="H4017">
        <v>2669</v>
      </c>
      <c r="I4017" s="1">
        <v>888670</v>
      </c>
      <c r="J4017" s="1">
        <f>Raw_Data!$I4017/Raw_Data!$H4017</f>
        <v>332.95991007868116</v>
      </c>
    </row>
    <row r="4018" spans="1:10" x14ac:dyDescent="0.3">
      <c r="A4018" s="9">
        <v>43655</v>
      </c>
      <c r="B4018" s="2" t="str">
        <f>TEXT(Raw_Data!$A4018, "MMM")</f>
        <v>Jul</v>
      </c>
      <c r="C4018" s="2">
        <f>YEAR(Raw_Data!$A4018)</f>
        <v>2019</v>
      </c>
      <c r="D4018" s="2" t="s">
        <v>2660</v>
      </c>
      <c r="E4018" s="2" t="s">
        <v>21</v>
      </c>
      <c r="F4018" s="2" t="s">
        <v>18</v>
      </c>
      <c r="G4018" s="2">
        <v>3</v>
      </c>
      <c r="H4018" s="2">
        <v>1429</v>
      </c>
      <c r="I4018" s="10">
        <v>586072</v>
      </c>
      <c r="J4018" s="10">
        <f>Raw_Data!$I4018/Raw_Data!$H4018</f>
        <v>410.12736179146253</v>
      </c>
    </row>
    <row r="4019" spans="1:10" x14ac:dyDescent="0.3">
      <c r="A4019" s="8">
        <v>37198</v>
      </c>
      <c r="B4019" t="str">
        <f>TEXT(Raw_Data!$A4019, "MMM")</f>
        <v>Nov</v>
      </c>
      <c r="C4019">
        <f>YEAR(Raw_Data!$A4019)</f>
        <v>2001</v>
      </c>
      <c r="D4019" t="s">
        <v>2661</v>
      </c>
      <c r="E4019" t="s">
        <v>21</v>
      </c>
      <c r="F4019" t="s">
        <v>11</v>
      </c>
      <c r="G4019">
        <v>2</v>
      </c>
      <c r="H4019">
        <v>853</v>
      </c>
      <c r="I4019" s="1">
        <v>749237</v>
      </c>
      <c r="J4019" s="1">
        <f>Raw_Data!$I4019/Raw_Data!$H4019</f>
        <v>878.3552168815944</v>
      </c>
    </row>
    <row r="4020" spans="1:10" x14ac:dyDescent="0.3">
      <c r="A4020" s="9">
        <v>42319</v>
      </c>
      <c r="B4020" s="2" t="str">
        <f>TEXT(Raw_Data!$A4020, "MMM")</f>
        <v>Nov</v>
      </c>
      <c r="C4020" s="2">
        <f>YEAR(Raw_Data!$A4020)</f>
        <v>2015</v>
      </c>
      <c r="D4020" s="2" t="s">
        <v>2662</v>
      </c>
      <c r="E4020" s="2" t="s">
        <v>25</v>
      </c>
      <c r="F4020" s="2" t="s">
        <v>27</v>
      </c>
      <c r="G4020" s="2">
        <v>5</v>
      </c>
      <c r="H4020" s="2">
        <v>1110</v>
      </c>
      <c r="I4020" s="10">
        <v>431140</v>
      </c>
      <c r="J4020" s="10">
        <f>Raw_Data!$I4020/Raw_Data!$H4020</f>
        <v>388.41441441441441</v>
      </c>
    </row>
    <row r="4021" spans="1:10" x14ac:dyDescent="0.3">
      <c r="A4021" s="8">
        <v>38159</v>
      </c>
      <c r="B4021" t="str">
        <f>TEXT(Raw_Data!$A4021, "MMM")</f>
        <v>Jun</v>
      </c>
      <c r="C4021">
        <f>YEAR(Raw_Data!$A4021)</f>
        <v>2004</v>
      </c>
      <c r="D4021" t="s">
        <v>987</v>
      </c>
      <c r="E4021" t="s">
        <v>13</v>
      </c>
      <c r="F4021" t="s">
        <v>27</v>
      </c>
      <c r="G4021">
        <v>5</v>
      </c>
      <c r="H4021">
        <v>2758</v>
      </c>
      <c r="I4021" s="1">
        <v>429149</v>
      </c>
      <c r="J4021" s="1">
        <f>Raw_Data!$I4021/Raw_Data!$H4021</f>
        <v>155.60152284263958</v>
      </c>
    </row>
    <row r="4022" spans="1:10" x14ac:dyDescent="0.3">
      <c r="A4022" s="9">
        <v>39412</v>
      </c>
      <c r="B4022" s="2" t="str">
        <f>TEXT(Raw_Data!$A4022, "MMM")</f>
        <v>Nov</v>
      </c>
      <c r="C4022" s="2">
        <f>YEAR(Raw_Data!$A4022)</f>
        <v>2007</v>
      </c>
      <c r="D4022" s="2" t="s">
        <v>2663</v>
      </c>
      <c r="E4022" s="2" t="s">
        <v>25</v>
      </c>
      <c r="F4022" s="2" t="s">
        <v>16</v>
      </c>
      <c r="G4022" s="2">
        <v>5</v>
      </c>
      <c r="H4022" s="2">
        <v>3058</v>
      </c>
      <c r="I4022" s="10"/>
      <c r="J4022" s="10">
        <f>Raw_Data!$I4022/Raw_Data!$H4022</f>
        <v>0</v>
      </c>
    </row>
    <row r="4023" spans="1:10" x14ac:dyDescent="0.3">
      <c r="A4023" s="8">
        <v>40141</v>
      </c>
      <c r="B4023" t="str">
        <f>TEXT(Raw_Data!$A4023, "MMM")</f>
        <v>Nov</v>
      </c>
      <c r="C4023">
        <f>YEAR(Raw_Data!$A4023)</f>
        <v>2009</v>
      </c>
      <c r="D4023" t="s">
        <v>2263</v>
      </c>
      <c r="E4023" t="s">
        <v>21</v>
      </c>
      <c r="F4023" t="s">
        <v>18</v>
      </c>
      <c r="G4023">
        <v>2</v>
      </c>
      <c r="H4023">
        <v>825</v>
      </c>
      <c r="I4023" s="1">
        <v>143031</v>
      </c>
      <c r="J4023" s="1">
        <f>Raw_Data!$I4023/Raw_Data!$H4023</f>
        <v>173.37090909090909</v>
      </c>
    </row>
    <row r="4024" spans="1:10" x14ac:dyDescent="0.3">
      <c r="A4024" s="9">
        <v>43265</v>
      </c>
      <c r="B4024" s="2" t="str">
        <f>TEXT(Raw_Data!$A4024, "MMM")</f>
        <v>Jun</v>
      </c>
      <c r="C4024" s="2">
        <f>YEAR(Raw_Data!$A4024)</f>
        <v>2018</v>
      </c>
      <c r="D4024" s="2" t="s">
        <v>2664</v>
      </c>
      <c r="E4024" s="2" t="s">
        <v>15</v>
      </c>
      <c r="F4024" s="2" t="s">
        <v>18</v>
      </c>
      <c r="G4024" s="2">
        <v>2</v>
      </c>
      <c r="H4024" s="2">
        <v>1935</v>
      </c>
      <c r="I4024" s="10">
        <v>615172</v>
      </c>
      <c r="J4024" s="10">
        <f>Raw_Data!$I4024/Raw_Data!$H4024</f>
        <v>317.91834625322997</v>
      </c>
    </row>
    <row r="4025" spans="1:10" x14ac:dyDescent="0.3">
      <c r="A4025" s="8">
        <v>38106</v>
      </c>
      <c r="B4025" t="str">
        <f>TEXT(Raw_Data!$A4025, "MMM")</f>
        <v>Apr</v>
      </c>
      <c r="C4025">
        <f>YEAR(Raw_Data!$A4025)</f>
        <v>2004</v>
      </c>
      <c r="D4025" t="s">
        <v>2665</v>
      </c>
      <c r="E4025" t="s">
        <v>23</v>
      </c>
      <c r="F4025" t="s">
        <v>16</v>
      </c>
      <c r="G4025">
        <v>3</v>
      </c>
      <c r="H4025">
        <v>1831</v>
      </c>
      <c r="I4025" s="1">
        <v>593579</v>
      </c>
      <c r="J4025" s="1">
        <f>Raw_Data!$I4025/Raw_Data!$H4025</f>
        <v>324.1829601310759</v>
      </c>
    </row>
    <row r="4026" spans="1:10" x14ac:dyDescent="0.3">
      <c r="A4026" s="9">
        <v>42167</v>
      </c>
      <c r="B4026" s="2" t="str">
        <f>TEXT(Raw_Data!$A4026, "MMM")</f>
        <v>Jun</v>
      </c>
      <c r="C4026" s="2">
        <f>YEAR(Raw_Data!$A4026)</f>
        <v>2015</v>
      </c>
      <c r="D4026" s="2" t="s">
        <v>2616</v>
      </c>
      <c r="E4026" s="2" t="s">
        <v>15</v>
      </c>
      <c r="F4026" s="2" t="s">
        <v>18</v>
      </c>
      <c r="G4026" s="2"/>
      <c r="H4026" s="2">
        <v>1286</v>
      </c>
      <c r="I4026" s="10"/>
      <c r="J4026" s="10">
        <f>Raw_Data!$I4026/Raw_Data!$H4026</f>
        <v>0</v>
      </c>
    </row>
    <row r="4027" spans="1:10" x14ac:dyDescent="0.3">
      <c r="A4027" s="8">
        <v>38835</v>
      </c>
      <c r="B4027" t="str">
        <f>TEXT(Raw_Data!$A4027, "MMM")</f>
        <v>Apr</v>
      </c>
      <c r="C4027">
        <f>YEAR(Raw_Data!$A4027)</f>
        <v>2006</v>
      </c>
      <c r="D4027" t="s">
        <v>1408</v>
      </c>
      <c r="E4027" t="s">
        <v>15</v>
      </c>
      <c r="F4027" t="s">
        <v>11</v>
      </c>
      <c r="H4027">
        <v>3425</v>
      </c>
      <c r="I4027" s="1">
        <v>136159</v>
      </c>
      <c r="J4027" s="1">
        <f>Raw_Data!$I4027/Raw_Data!$H4027</f>
        <v>39.754452554744525</v>
      </c>
    </row>
    <row r="4028" spans="1:10" x14ac:dyDescent="0.3">
      <c r="A4028" s="9">
        <v>40575</v>
      </c>
      <c r="B4028" s="2" t="str">
        <f>TEXT(Raw_Data!$A4028, "MMM")</f>
        <v>Feb</v>
      </c>
      <c r="C4028" s="2">
        <f>YEAR(Raw_Data!$A4028)</f>
        <v>2011</v>
      </c>
      <c r="D4028" s="2" t="s">
        <v>1698</v>
      </c>
      <c r="E4028" s="2" t="s">
        <v>23</v>
      </c>
      <c r="F4028" s="2" t="s">
        <v>16</v>
      </c>
      <c r="G4028" s="2"/>
      <c r="H4028" s="2">
        <v>2155</v>
      </c>
      <c r="I4028" s="10">
        <v>305461</v>
      </c>
      <c r="J4028" s="10">
        <f>Raw_Data!$I4028/Raw_Data!$H4028</f>
        <v>141.74524361948957</v>
      </c>
    </row>
    <row r="4029" spans="1:10" x14ac:dyDescent="0.3">
      <c r="A4029" s="8">
        <v>41572</v>
      </c>
      <c r="B4029" t="str">
        <f>TEXT(Raw_Data!$A4029, "MMM")</f>
        <v>Oct</v>
      </c>
      <c r="C4029">
        <f>YEAR(Raw_Data!$A4029)</f>
        <v>2013</v>
      </c>
      <c r="D4029" t="s">
        <v>2666</v>
      </c>
      <c r="E4029" t="s">
        <v>32</v>
      </c>
      <c r="F4029" t="s">
        <v>27</v>
      </c>
      <c r="H4029">
        <v>1597</v>
      </c>
      <c r="I4029" s="1">
        <v>107137</v>
      </c>
      <c r="J4029" s="1">
        <f>Raw_Data!$I4029/Raw_Data!$H4029</f>
        <v>67.086412022542262</v>
      </c>
    </row>
    <row r="4030" spans="1:10" x14ac:dyDescent="0.3">
      <c r="A4030" s="9">
        <v>39891</v>
      </c>
      <c r="B4030" s="2" t="str">
        <f>TEXT(Raw_Data!$A4030, "MMM")</f>
        <v>Mar</v>
      </c>
      <c r="C4030" s="2">
        <f>YEAR(Raw_Data!$A4030)</f>
        <v>2009</v>
      </c>
      <c r="D4030" s="2" t="s">
        <v>2667</v>
      </c>
      <c r="E4030" s="2" t="s">
        <v>21</v>
      </c>
      <c r="F4030" s="2" t="s">
        <v>18</v>
      </c>
      <c r="G4030" s="2">
        <v>3</v>
      </c>
      <c r="H4030" s="2">
        <v>3001</v>
      </c>
      <c r="I4030" s="10">
        <v>202896</v>
      </c>
      <c r="J4030" s="10">
        <f>Raw_Data!$I4030/Raw_Data!$H4030</f>
        <v>67.609463512162606</v>
      </c>
    </row>
    <row r="4031" spans="1:10" x14ac:dyDescent="0.3">
      <c r="A4031" s="8">
        <v>41079</v>
      </c>
      <c r="B4031" t="str">
        <f>TEXT(Raw_Data!$A4031, "MMM")</f>
        <v>Jun</v>
      </c>
      <c r="C4031">
        <f>YEAR(Raw_Data!$A4031)</f>
        <v>2012</v>
      </c>
      <c r="D4031" t="s">
        <v>2192</v>
      </c>
      <c r="E4031" t="s">
        <v>23</v>
      </c>
      <c r="F4031" t="s">
        <v>11</v>
      </c>
      <c r="H4031">
        <v>1346</v>
      </c>
      <c r="I4031" s="1">
        <v>174640</v>
      </c>
      <c r="J4031" s="1">
        <f>Raw_Data!$I4031/Raw_Data!$H4031</f>
        <v>129.74739970282317</v>
      </c>
    </row>
    <row r="4032" spans="1:10" x14ac:dyDescent="0.3">
      <c r="A4032" s="9">
        <v>41068</v>
      </c>
      <c r="B4032" s="2" t="str">
        <f>TEXT(Raw_Data!$A4032, "MMM")</f>
        <v>Jun</v>
      </c>
      <c r="C4032" s="2">
        <f>YEAR(Raw_Data!$A4032)</f>
        <v>2012</v>
      </c>
      <c r="D4032" s="2" t="s">
        <v>1955</v>
      </c>
      <c r="E4032" s="2" t="s">
        <v>29</v>
      </c>
      <c r="F4032" s="2" t="s">
        <v>16</v>
      </c>
      <c r="G4032" s="2"/>
      <c r="H4032" s="2">
        <v>2352</v>
      </c>
      <c r="I4032" s="10">
        <v>126749</v>
      </c>
      <c r="J4032" s="10">
        <f>Raw_Data!$I4032/Raw_Data!$H4032</f>
        <v>53.889880952380949</v>
      </c>
    </row>
    <row r="4033" spans="1:10" x14ac:dyDescent="0.3">
      <c r="A4033" s="8">
        <v>43021</v>
      </c>
      <c r="B4033" t="str">
        <f>TEXT(Raw_Data!$A4033, "MMM")</f>
        <v>Oct</v>
      </c>
      <c r="C4033">
        <f>YEAR(Raw_Data!$A4033)</f>
        <v>2017</v>
      </c>
      <c r="D4033" t="s">
        <v>2668</v>
      </c>
      <c r="E4033" t="s">
        <v>15</v>
      </c>
      <c r="F4033" t="s">
        <v>16</v>
      </c>
      <c r="G4033">
        <v>2</v>
      </c>
      <c r="H4033">
        <v>933</v>
      </c>
      <c r="I4033" s="1">
        <v>702834</v>
      </c>
      <c r="J4033" s="1">
        <f>Raw_Data!$I4033/Raw_Data!$H4033</f>
        <v>753.30546623794214</v>
      </c>
    </row>
    <row r="4034" spans="1:10" x14ac:dyDescent="0.3">
      <c r="A4034" s="9">
        <v>36898</v>
      </c>
      <c r="B4034" s="2" t="str">
        <f>TEXT(Raw_Data!$A4034, "MMM")</f>
        <v>Jan</v>
      </c>
      <c r="C4034" s="2">
        <f>YEAR(Raw_Data!$A4034)</f>
        <v>2001</v>
      </c>
      <c r="D4034" s="2" t="s">
        <v>2187</v>
      </c>
      <c r="E4034" s="2" t="s">
        <v>25</v>
      </c>
      <c r="F4034" s="2" t="s">
        <v>18</v>
      </c>
      <c r="G4034" s="2"/>
      <c r="H4034" s="2">
        <v>3492</v>
      </c>
      <c r="I4034" s="10">
        <v>379977</v>
      </c>
      <c r="J4034" s="10">
        <f>Raw_Data!$I4034/Raw_Data!$H4034</f>
        <v>108.81357388316151</v>
      </c>
    </row>
    <row r="4035" spans="1:10" x14ac:dyDescent="0.3">
      <c r="A4035" s="8">
        <v>41080</v>
      </c>
      <c r="B4035" t="str">
        <f>TEXT(Raw_Data!$A4035, "MMM")</f>
        <v>Jun</v>
      </c>
      <c r="C4035">
        <f>YEAR(Raw_Data!$A4035)</f>
        <v>2012</v>
      </c>
      <c r="D4035" t="s">
        <v>1168</v>
      </c>
      <c r="E4035" t="s">
        <v>25</v>
      </c>
      <c r="F4035" t="s">
        <v>27</v>
      </c>
      <c r="G4035">
        <v>5</v>
      </c>
      <c r="H4035">
        <v>1916</v>
      </c>
      <c r="I4035" s="1">
        <v>241156</v>
      </c>
      <c r="J4035" s="1">
        <f>Raw_Data!$I4035/Raw_Data!$H4035</f>
        <v>125.8643006263048</v>
      </c>
    </row>
    <row r="4036" spans="1:10" x14ac:dyDescent="0.3">
      <c r="A4036" s="9">
        <v>38467</v>
      </c>
      <c r="B4036" s="2" t="str">
        <f>TEXT(Raw_Data!$A4036, "MMM")</f>
        <v>Apr</v>
      </c>
      <c r="C4036" s="2">
        <f>YEAR(Raw_Data!$A4036)</f>
        <v>2005</v>
      </c>
      <c r="D4036" s="2" t="s">
        <v>2669</v>
      </c>
      <c r="E4036" s="2" t="s">
        <v>25</v>
      </c>
      <c r="F4036" s="2" t="s">
        <v>11</v>
      </c>
      <c r="G4036" s="2"/>
      <c r="H4036" s="2">
        <v>1748</v>
      </c>
      <c r="I4036" s="10">
        <v>291140</v>
      </c>
      <c r="J4036" s="10">
        <f>Raw_Data!$I4036/Raw_Data!$H4036</f>
        <v>166.55606407322654</v>
      </c>
    </row>
    <row r="4037" spans="1:10" x14ac:dyDescent="0.3">
      <c r="A4037" s="8">
        <v>39402</v>
      </c>
      <c r="B4037" t="str">
        <f>TEXT(Raw_Data!$A4037, "MMM")</f>
        <v>Nov</v>
      </c>
      <c r="C4037">
        <f>YEAR(Raw_Data!$A4037)</f>
        <v>2007</v>
      </c>
      <c r="D4037" t="s">
        <v>2247</v>
      </c>
      <c r="E4037" t="s">
        <v>25</v>
      </c>
      <c r="F4037" t="s">
        <v>27</v>
      </c>
      <c r="H4037">
        <v>1705</v>
      </c>
      <c r="I4037" s="1">
        <v>683075</v>
      </c>
      <c r="J4037" s="1">
        <f>Raw_Data!$I4037/Raw_Data!$H4037</f>
        <v>400.63049853372434</v>
      </c>
    </row>
    <row r="4038" spans="1:10" x14ac:dyDescent="0.3">
      <c r="A4038" s="9">
        <v>38022</v>
      </c>
      <c r="B4038" s="2" t="str">
        <f>TEXT(Raw_Data!$A4038, "MMM")</f>
        <v>Feb</v>
      </c>
      <c r="C4038" s="2">
        <f>YEAR(Raw_Data!$A4038)</f>
        <v>2004</v>
      </c>
      <c r="D4038" s="2" t="s">
        <v>2670</v>
      </c>
      <c r="E4038" s="2" t="s">
        <v>23</v>
      </c>
      <c r="F4038" s="2" t="s">
        <v>27</v>
      </c>
      <c r="G4038" s="2">
        <v>4</v>
      </c>
      <c r="H4038" s="2">
        <v>3379</v>
      </c>
      <c r="I4038" s="10">
        <v>336059</v>
      </c>
      <c r="J4038" s="10">
        <f>Raw_Data!$I4038/Raw_Data!$H4038</f>
        <v>99.455164249778036</v>
      </c>
    </row>
    <row r="4039" spans="1:10" x14ac:dyDescent="0.3">
      <c r="A4039" s="8">
        <v>39521</v>
      </c>
      <c r="B4039" t="str">
        <f>TEXT(Raw_Data!$A4039, "MMM")</f>
        <v>Mar</v>
      </c>
      <c r="C4039">
        <f>YEAR(Raw_Data!$A4039)</f>
        <v>2008</v>
      </c>
      <c r="D4039" t="s">
        <v>1455</v>
      </c>
      <c r="E4039" t="s">
        <v>15</v>
      </c>
      <c r="F4039" t="s">
        <v>16</v>
      </c>
      <c r="H4039">
        <v>2714</v>
      </c>
      <c r="I4039" s="1">
        <v>445108</v>
      </c>
      <c r="J4039" s="1">
        <f>Raw_Data!$I4039/Raw_Data!$H4039</f>
        <v>164.00442151805453</v>
      </c>
    </row>
    <row r="4040" spans="1:10" x14ac:dyDescent="0.3">
      <c r="A4040" s="9">
        <v>39675</v>
      </c>
      <c r="B4040" s="2" t="str">
        <f>TEXT(Raw_Data!$A4040, "MMM")</f>
        <v>Aug</v>
      </c>
      <c r="C4040" s="2">
        <f>YEAR(Raw_Data!$A4040)</f>
        <v>2008</v>
      </c>
      <c r="D4040" s="2" t="s">
        <v>627</v>
      </c>
      <c r="E4040" s="2" t="s">
        <v>21</v>
      </c>
      <c r="F4040" s="2" t="s">
        <v>16</v>
      </c>
      <c r="G4040" s="2"/>
      <c r="H4040" s="2">
        <v>3034</v>
      </c>
      <c r="I4040" s="10">
        <v>776767</v>
      </c>
      <c r="J4040" s="10">
        <f>Raw_Data!$I4040/Raw_Data!$H4040</f>
        <v>256.02076466710611</v>
      </c>
    </row>
    <row r="4041" spans="1:10" x14ac:dyDescent="0.3">
      <c r="A4041" s="8">
        <v>38267</v>
      </c>
      <c r="B4041" t="str">
        <f>TEXT(Raw_Data!$A4041, "MMM")</f>
        <v>Oct</v>
      </c>
      <c r="C4041">
        <f>YEAR(Raw_Data!$A4041)</f>
        <v>2004</v>
      </c>
      <c r="D4041" t="s">
        <v>115</v>
      </c>
      <c r="E4041" t="s">
        <v>32</v>
      </c>
      <c r="F4041" t="s">
        <v>27</v>
      </c>
      <c r="G4041">
        <v>2</v>
      </c>
      <c r="H4041">
        <v>1955</v>
      </c>
      <c r="I4041" s="1">
        <v>359422</v>
      </c>
      <c r="J4041" s="1">
        <f>Raw_Data!$I4041/Raw_Data!$H4041</f>
        <v>183.84757033248081</v>
      </c>
    </row>
    <row r="4042" spans="1:10" x14ac:dyDescent="0.3">
      <c r="A4042" s="9">
        <v>42180</v>
      </c>
      <c r="B4042" s="2" t="str">
        <f>TEXT(Raw_Data!$A4042, "MMM")</f>
        <v>Jun</v>
      </c>
      <c r="C4042" s="2">
        <f>YEAR(Raw_Data!$A4042)</f>
        <v>2015</v>
      </c>
      <c r="D4042" s="2" t="s">
        <v>664</v>
      </c>
      <c r="E4042" s="2" t="s">
        <v>21</v>
      </c>
      <c r="F4042" s="2" t="s">
        <v>18</v>
      </c>
      <c r="G4042" s="2">
        <v>3</v>
      </c>
      <c r="H4042" s="2">
        <v>1329</v>
      </c>
      <c r="I4042" s="10">
        <v>885629</v>
      </c>
      <c r="J4042" s="10">
        <f>Raw_Data!$I4042/Raw_Data!$H4042</f>
        <v>666.38750940556815</v>
      </c>
    </row>
    <row r="4043" spans="1:10" x14ac:dyDescent="0.3">
      <c r="A4043" s="8">
        <v>44100</v>
      </c>
      <c r="B4043" t="str">
        <f>TEXT(Raw_Data!$A4043, "MMM")</f>
        <v>Sep</v>
      </c>
      <c r="C4043">
        <f>YEAR(Raw_Data!$A4043)</f>
        <v>2020</v>
      </c>
      <c r="D4043" t="s">
        <v>1839</v>
      </c>
      <c r="E4043" t="s">
        <v>15</v>
      </c>
      <c r="F4043" t="s">
        <v>16</v>
      </c>
      <c r="H4043">
        <v>2566</v>
      </c>
      <c r="I4043" s="1">
        <v>503898</v>
      </c>
      <c r="J4043" s="1">
        <f>Raw_Data!$I4043/Raw_Data!$H4043</f>
        <v>196.37490257209666</v>
      </c>
    </row>
    <row r="4044" spans="1:10" x14ac:dyDescent="0.3">
      <c r="A4044" s="9">
        <v>38119</v>
      </c>
      <c r="B4044" s="2" t="str">
        <f>TEXT(Raw_Data!$A4044, "MMM")</f>
        <v>May</v>
      </c>
      <c r="C4044" s="2">
        <f>YEAR(Raw_Data!$A4044)</f>
        <v>2004</v>
      </c>
      <c r="D4044" s="2" t="s">
        <v>2510</v>
      </c>
      <c r="E4044" s="2" t="s">
        <v>25</v>
      </c>
      <c r="F4044" s="2" t="s">
        <v>18</v>
      </c>
      <c r="G4044" s="2"/>
      <c r="H4044" s="2">
        <v>2704</v>
      </c>
      <c r="I4044" s="10">
        <v>460022</v>
      </c>
      <c r="J4044" s="10">
        <f>Raw_Data!$I4044/Raw_Data!$H4044</f>
        <v>170.12647928994082</v>
      </c>
    </row>
    <row r="4045" spans="1:10" x14ac:dyDescent="0.3">
      <c r="A4045" s="8">
        <v>43256</v>
      </c>
      <c r="B4045" t="str">
        <f>TEXT(Raw_Data!$A4045, "MMM")</f>
        <v>Jun</v>
      </c>
      <c r="C4045">
        <f>YEAR(Raw_Data!$A4045)</f>
        <v>2018</v>
      </c>
      <c r="D4045" t="s">
        <v>2109</v>
      </c>
      <c r="E4045" t="s">
        <v>25</v>
      </c>
      <c r="F4045" t="s">
        <v>18</v>
      </c>
      <c r="H4045">
        <v>1633</v>
      </c>
      <c r="I4045" s="1">
        <v>644071</v>
      </c>
      <c r="J4045" s="1">
        <f>Raw_Data!$I4045/Raw_Data!$H4045</f>
        <v>394.40967544396818</v>
      </c>
    </row>
    <row r="4046" spans="1:10" x14ac:dyDescent="0.3">
      <c r="A4046" s="9">
        <v>38762</v>
      </c>
      <c r="B4046" s="2" t="str">
        <f>TEXT(Raw_Data!$A4046, "MMM")</f>
        <v>Feb</v>
      </c>
      <c r="C4046" s="2">
        <f>YEAR(Raw_Data!$A4046)</f>
        <v>2006</v>
      </c>
      <c r="D4046" s="2" t="s">
        <v>2671</v>
      </c>
      <c r="E4046" s="2" t="s">
        <v>32</v>
      </c>
      <c r="F4046" s="2" t="s">
        <v>16</v>
      </c>
      <c r="G4046" s="2"/>
      <c r="H4046" s="2">
        <v>2160</v>
      </c>
      <c r="I4046" s="10">
        <v>172719</v>
      </c>
      <c r="J4046" s="10">
        <f>Raw_Data!$I4046/Raw_Data!$H4046</f>
        <v>79.962500000000006</v>
      </c>
    </row>
    <row r="4047" spans="1:10" x14ac:dyDescent="0.3">
      <c r="A4047" s="8">
        <v>38151</v>
      </c>
      <c r="B4047" t="str">
        <f>TEXT(Raw_Data!$A4047, "MMM")</f>
        <v>Jun</v>
      </c>
      <c r="C4047">
        <f>YEAR(Raw_Data!$A4047)</f>
        <v>2004</v>
      </c>
      <c r="D4047" t="s">
        <v>2448</v>
      </c>
      <c r="E4047" t="s">
        <v>21</v>
      </c>
      <c r="F4047" t="s">
        <v>16</v>
      </c>
      <c r="G4047">
        <v>3</v>
      </c>
      <c r="H4047">
        <v>1598</v>
      </c>
      <c r="I4047" s="1">
        <v>154724</v>
      </c>
      <c r="J4047" s="1">
        <f>Raw_Data!$I4047/Raw_Data!$H4047</f>
        <v>96.82352941176471</v>
      </c>
    </row>
    <row r="4048" spans="1:10" x14ac:dyDescent="0.3">
      <c r="A4048" s="9">
        <v>39272</v>
      </c>
      <c r="B4048" s="2" t="str">
        <f>TEXT(Raw_Data!$A4048, "MMM")</f>
        <v>Jul</v>
      </c>
      <c r="C4048" s="2">
        <f>YEAR(Raw_Data!$A4048)</f>
        <v>2007</v>
      </c>
      <c r="D4048" s="2" t="s">
        <v>2672</v>
      </c>
      <c r="E4048" s="2" t="s">
        <v>32</v>
      </c>
      <c r="F4048" s="2" t="s">
        <v>16</v>
      </c>
      <c r="G4048" s="2">
        <v>3</v>
      </c>
      <c r="H4048" s="2">
        <v>1890</v>
      </c>
      <c r="I4048" s="10">
        <v>102335</v>
      </c>
      <c r="J4048" s="10">
        <f>Raw_Data!$I4048/Raw_Data!$H4048</f>
        <v>54.145502645502646</v>
      </c>
    </row>
    <row r="4049" spans="1:10" x14ac:dyDescent="0.3">
      <c r="A4049" s="8">
        <v>42036</v>
      </c>
      <c r="B4049" t="str">
        <f>TEXT(Raw_Data!$A4049, "MMM")</f>
        <v>Feb</v>
      </c>
      <c r="C4049">
        <f>YEAR(Raw_Data!$A4049)</f>
        <v>2015</v>
      </c>
      <c r="D4049" t="s">
        <v>2673</v>
      </c>
      <c r="E4049" t="s">
        <v>32</v>
      </c>
      <c r="F4049" t="s">
        <v>18</v>
      </c>
      <c r="H4049">
        <v>2294</v>
      </c>
      <c r="I4049" s="1">
        <v>231843</v>
      </c>
      <c r="J4049" s="1">
        <f>Raw_Data!$I4049/Raw_Data!$H4049</f>
        <v>101.06495204882302</v>
      </c>
    </row>
    <row r="4050" spans="1:10" x14ac:dyDescent="0.3">
      <c r="A4050" s="9">
        <v>37399</v>
      </c>
      <c r="B4050" s="2" t="str">
        <f>TEXT(Raw_Data!$A4050, "MMM")</f>
        <v>May</v>
      </c>
      <c r="C4050" s="2">
        <f>YEAR(Raw_Data!$A4050)</f>
        <v>2002</v>
      </c>
      <c r="D4050" s="2" t="s">
        <v>2674</v>
      </c>
      <c r="E4050" s="2" t="s">
        <v>13</v>
      </c>
      <c r="F4050" s="2" t="s">
        <v>11</v>
      </c>
      <c r="G4050" s="2">
        <v>2</v>
      </c>
      <c r="H4050" s="2">
        <v>2779</v>
      </c>
      <c r="I4050" s="10">
        <v>319732</v>
      </c>
      <c r="J4050" s="10">
        <f>Raw_Data!$I4050/Raw_Data!$H4050</f>
        <v>115.0528967254408</v>
      </c>
    </row>
    <row r="4051" spans="1:10" x14ac:dyDescent="0.3">
      <c r="A4051" s="8">
        <v>37849</v>
      </c>
      <c r="B4051" t="str">
        <f>TEXT(Raw_Data!$A4051, "MMM")</f>
        <v>Aug</v>
      </c>
      <c r="C4051">
        <f>YEAR(Raw_Data!$A4051)</f>
        <v>2003</v>
      </c>
      <c r="D4051" t="s">
        <v>798</v>
      </c>
      <c r="E4051" t="s">
        <v>21</v>
      </c>
      <c r="F4051" t="s">
        <v>16</v>
      </c>
      <c r="H4051">
        <v>1686</v>
      </c>
      <c r="I4051" s="1">
        <v>851452</v>
      </c>
      <c r="J4051" s="1">
        <f>Raw_Data!$I4051/Raw_Data!$H4051</f>
        <v>505.01304863582442</v>
      </c>
    </row>
    <row r="4052" spans="1:10" x14ac:dyDescent="0.3">
      <c r="A4052" s="9">
        <v>42392</v>
      </c>
      <c r="B4052" s="2" t="str">
        <f>TEXT(Raw_Data!$A4052, "MMM")</f>
        <v>Jan</v>
      </c>
      <c r="C4052" s="2">
        <f>YEAR(Raw_Data!$A4052)</f>
        <v>2016</v>
      </c>
      <c r="D4052" s="2" t="s">
        <v>2675</v>
      </c>
      <c r="E4052" s="2" t="s">
        <v>23</v>
      </c>
      <c r="F4052" s="2" t="s">
        <v>11</v>
      </c>
      <c r="G4052" s="2">
        <v>2</v>
      </c>
      <c r="H4052" s="2">
        <v>2533</v>
      </c>
      <c r="I4052" s="10">
        <v>464893</v>
      </c>
      <c r="J4052" s="10">
        <f>Raw_Data!$I4052/Raw_Data!$H4052</f>
        <v>183.53454401894987</v>
      </c>
    </row>
    <row r="4053" spans="1:10" x14ac:dyDescent="0.3">
      <c r="A4053" s="8">
        <v>38675</v>
      </c>
      <c r="B4053" t="str">
        <f>TEXT(Raw_Data!$A4053, "MMM")</f>
        <v>Nov</v>
      </c>
      <c r="C4053">
        <f>YEAR(Raw_Data!$A4053)</f>
        <v>2005</v>
      </c>
      <c r="D4053" t="s">
        <v>2676</v>
      </c>
      <c r="E4053" t="s">
        <v>29</v>
      </c>
      <c r="F4053" t="s">
        <v>16</v>
      </c>
      <c r="H4053">
        <v>1659</v>
      </c>
      <c r="I4053" s="1">
        <v>632147</v>
      </c>
      <c r="J4053" s="1">
        <f>Raw_Data!$I4053/Raw_Data!$H4053</f>
        <v>381.04098854731768</v>
      </c>
    </row>
    <row r="4054" spans="1:10" x14ac:dyDescent="0.3">
      <c r="A4054" s="9">
        <v>42483</v>
      </c>
      <c r="B4054" s="2" t="str">
        <f>TEXT(Raw_Data!$A4054, "MMM")</f>
        <v>Apr</v>
      </c>
      <c r="C4054" s="2">
        <f>YEAR(Raw_Data!$A4054)</f>
        <v>2016</v>
      </c>
      <c r="D4054" s="2" t="s">
        <v>2677</v>
      </c>
      <c r="E4054" s="2" t="s">
        <v>32</v>
      </c>
      <c r="F4054" s="2" t="s">
        <v>27</v>
      </c>
      <c r="G4054" s="2">
        <v>4</v>
      </c>
      <c r="H4054" s="2">
        <v>2309</v>
      </c>
      <c r="I4054" s="10">
        <v>848431</v>
      </c>
      <c r="J4054" s="10">
        <f>Raw_Data!$I4054/Raw_Data!$H4054</f>
        <v>367.44521437851881</v>
      </c>
    </row>
    <row r="4055" spans="1:10" x14ac:dyDescent="0.3">
      <c r="A4055" s="8">
        <v>42782</v>
      </c>
      <c r="B4055" t="str">
        <f>TEXT(Raw_Data!$A4055, "MMM")</f>
        <v>Feb</v>
      </c>
      <c r="C4055">
        <f>YEAR(Raw_Data!$A4055)</f>
        <v>2017</v>
      </c>
      <c r="D4055" t="s">
        <v>2523</v>
      </c>
      <c r="E4055" t="s">
        <v>25</v>
      </c>
      <c r="F4055" t="s">
        <v>16</v>
      </c>
      <c r="G4055">
        <v>2</v>
      </c>
      <c r="H4055">
        <v>1047</v>
      </c>
      <c r="I4055" s="1">
        <v>389604</v>
      </c>
      <c r="J4055" s="1">
        <f>Raw_Data!$I4055/Raw_Data!$H4055</f>
        <v>372.11461318051573</v>
      </c>
    </row>
    <row r="4056" spans="1:10" x14ac:dyDescent="0.3">
      <c r="A4056" s="9">
        <v>42639</v>
      </c>
      <c r="B4056" s="2" t="str">
        <f>TEXT(Raw_Data!$A4056, "MMM")</f>
        <v>Sep</v>
      </c>
      <c r="C4056" s="2">
        <f>YEAR(Raw_Data!$A4056)</f>
        <v>2016</v>
      </c>
      <c r="D4056" s="2" t="s">
        <v>662</v>
      </c>
      <c r="E4056" s="2" t="s">
        <v>13</v>
      </c>
      <c r="F4056" s="2" t="s">
        <v>18</v>
      </c>
      <c r="G4056" s="2">
        <v>4</v>
      </c>
      <c r="H4056" s="2">
        <v>2065</v>
      </c>
      <c r="I4056" s="10">
        <v>695700</v>
      </c>
      <c r="J4056" s="10">
        <f>Raw_Data!$I4056/Raw_Data!$H4056</f>
        <v>336.90072639225184</v>
      </c>
    </row>
    <row r="4057" spans="1:10" x14ac:dyDescent="0.3">
      <c r="A4057" s="8">
        <v>43120</v>
      </c>
      <c r="B4057" t="str">
        <f>TEXT(Raw_Data!$A4057, "MMM")</f>
        <v>Jan</v>
      </c>
      <c r="C4057">
        <f>YEAR(Raw_Data!$A4057)</f>
        <v>2018</v>
      </c>
      <c r="D4057" t="s">
        <v>74</v>
      </c>
      <c r="E4057" t="s">
        <v>21</v>
      </c>
      <c r="F4057" t="s">
        <v>11</v>
      </c>
      <c r="G4057">
        <v>4</v>
      </c>
      <c r="H4057">
        <v>2864</v>
      </c>
      <c r="I4057" s="1">
        <v>591931</v>
      </c>
      <c r="J4057" s="1">
        <f>Raw_Data!$I4057/Raw_Data!$H4057</f>
        <v>206.67981843575419</v>
      </c>
    </row>
    <row r="4058" spans="1:10" x14ac:dyDescent="0.3">
      <c r="A4058" s="9">
        <v>41110</v>
      </c>
      <c r="B4058" s="2" t="str">
        <f>TEXT(Raw_Data!$A4058, "MMM")</f>
        <v>Jul</v>
      </c>
      <c r="C4058" s="2">
        <f>YEAR(Raw_Data!$A4058)</f>
        <v>2012</v>
      </c>
      <c r="D4058" s="2" t="s">
        <v>1851</v>
      </c>
      <c r="E4058" s="2" t="s">
        <v>32</v>
      </c>
      <c r="F4058" s="2" t="s">
        <v>18</v>
      </c>
      <c r="G4058" s="2">
        <v>4</v>
      </c>
      <c r="H4058" s="2">
        <v>2008</v>
      </c>
      <c r="I4058" s="10">
        <v>668499</v>
      </c>
      <c r="J4058" s="10">
        <f>Raw_Data!$I4058/Raw_Data!$H4058</f>
        <v>332.91782868525894</v>
      </c>
    </row>
    <row r="4059" spans="1:10" x14ac:dyDescent="0.3">
      <c r="A4059" s="8">
        <v>36928</v>
      </c>
      <c r="B4059" t="str">
        <f>TEXT(Raw_Data!$A4059, "MMM")</f>
        <v>Feb</v>
      </c>
      <c r="C4059">
        <f>YEAR(Raw_Data!$A4059)</f>
        <v>2001</v>
      </c>
      <c r="D4059" t="s">
        <v>2678</v>
      </c>
      <c r="E4059" t="s">
        <v>25</v>
      </c>
      <c r="F4059" t="s">
        <v>16</v>
      </c>
      <c r="G4059">
        <v>3</v>
      </c>
      <c r="H4059">
        <v>2801</v>
      </c>
      <c r="I4059" s="1">
        <v>102181</v>
      </c>
      <c r="J4059" s="1">
        <f>Raw_Data!$I4059/Raw_Data!$H4059</f>
        <v>36.480185647982864</v>
      </c>
    </row>
    <row r="4060" spans="1:10" x14ac:dyDescent="0.3">
      <c r="A4060" s="9">
        <v>38295</v>
      </c>
      <c r="B4060" s="2" t="str">
        <f>TEXT(Raw_Data!$A4060, "MMM")</f>
        <v>Nov</v>
      </c>
      <c r="C4060" s="2">
        <f>YEAR(Raw_Data!$A4060)</f>
        <v>2004</v>
      </c>
      <c r="D4060" s="2" t="s">
        <v>2679</v>
      </c>
      <c r="E4060" s="2" t="s">
        <v>32</v>
      </c>
      <c r="F4060" s="2" t="s">
        <v>27</v>
      </c>
      <c r="G4060" s="2">
        <v>4</v>
      </c>
      <c r="H4060" s="2">
        <v>1680</v>
      </c>
      <c r="I4060" s="10">
        <v>487340</v>
      </c>
      <c r="J4060" s="10">
        <f>Raw_Data!$I4060/Raw_Data!$H4060</f>
        <v>290.08333333333331</v>
      </c>
    </row>
    <row r="4061" spans="1:10" x14ac:dyDescent="0.3">
      <c r="A4061" s="8">
        <v>37107</v>
      </c>
      <c r="B4061" t="str">
        <f>TEXT(Raw_Data!$A4061, "MMM")</f>
        <v>Aug</v>
      </c>
      <c r="C4061">
        <f>YEAR(Raw_Data!$A4061)</f>
        <v>2001</v>
      </c>
      <c r="D4061" t="s">
        <v>1319</v>
      </c>
      <c r="E4061" t="s">
        <v>25</v>
      </c>
      <c r="F4061" t="s">
        <v>16</v>
      </c>
      <c r="H4061">
        <v>1585</v>
      </c>
      <c r="I4061" s="1">
        <v>573715</v>
      </c>
      <c r="J4061" s="1">
        <f>Raw_Data!$I4061/Raw_Data!$H4061</f>
        <v>361.96529968454257</v>
      </c>
    </row>
    <row r="4062" spans="1:10" x14ac:dyDescent="0.3">
      <c r="A4062" s="9">
        <v>42967</v>
      </c>
      <c r="B4062" s="2" t="str">
        <f>TEXT(Raw_Data!$A4062, "MMM")</f>
        <v>Aug</v>
      </c>
      <c r="C4062" s="2">
        <f>YEAR(Raw_Data!$A4062)</f>
        <v>2017</v>
      </c>
      <c r="D4062" s="2" t="s">
        <v>2680</v>
      </c>
      <c r="E4062" s="2" t="s">
        <v>13</v>
      </c>
      <c r="F4062" s="2" t="s">
        <v>18</v>
      </c>
      <c r="G4062" s="2">
        <v>5</v>
      </c>
      <c r="H4062" s="2">
        <v>3300</v>
      </c>
      <c r="I4062" s="10">
        <v>814059</v>
      </c>
      <c r="J4062" s="10">
        <f>Raw_Data!$I4062/Raw_Data!$H4062</f>
        <v>246.68454545454546</v>
      </c>
    </row>
    <row r="4063" spans="1:10" x14ac:dyDescent="0.3">
      <c r="A4063" s="8">
        <v>42452</v>
      </c>
      <c r="B4063" t="str">
        <f>TEXT(Raw_Data!$A4063, "MMM")</f>
        <v>Mar</v>
      </c>
      <c r="C4063">
        <f>YEAR(Raw_Data!$A4063)</f>
        <v>2016</v>
      </c>
      <c r="D4063" t="s">
        <v>785</v>
      </c>
      <c r="E4063" t="s">
        <v>25</v>
      </c>
      <c r="F4063" t="s">
        <v>27</v>
      </c>
      <c r="G4063">
        <v>5</v>
      </c>
      <c r="H4063">
        <v>3089</v>
      </c>
      <c r="I4063" s="1">
        <v>760712</v>
      </c>
      <c r="J4063" s="1">
        <f>Raw_Data!$I4063/Raw_Data!$H4063</f>
        <v>246.26481061832308</v>
      </c>
    </row>
    <row r="4064" spans="1:10" x14ac:dyDescent="0.3">
      <c r="A4064" s="9">
        <v>42249</v>
      </c>
      <c r="B4064" s="2" t="str">
        <f>TEXT(Raw_Data!$A4064, "MMM")</f>
        <v>Sep</v>
      </c>
      <c r="C4064" s="2">
        <f>YEAR(Raw_Data!$A4064)</f>
        <v>2015</v>
      </c>
      <c r="D4064" s="2" t="s">
        <v>2681</v>
      </c>
      <c r="E4064" s="2" t="s">
        <v>32</v>
      </c>
      <c r="F4064" s="2" t="s">
        <v>11</v>
      </c>
      <c r="G4064" s="2">
        <v>3</v>
      </c>
      <c r="H4064" s="2">
        <v>936</v>
      </c>
      <c r="I4064" s="10">
        <v>655789</v>
      </c>
      <c r="J4064" s="10">
        <f>Raw_Data!$I4064/Raw_Data!$H4064</f>
        <v>700.62927350427356</v>
      </c>
    </row>
    <row r="4065" spans="1:10" x14ac:dyDescent="0.3">
      <c r="A4065" s="8">
        <v>41697</v>
      </c>
      <c r="B4065" t="str">
        <f>TEXT(Raw_Data!$A4065, "MMM")</f>
        <v>Feb</v>
      </c>
      <c r="C4065">
        <f>YEAR(Raw_Data!$A4065)</f>
        <v>2014</v>
      </c>
      <c r="D4065" t="s">
        <v>2682</v>
      </c>
      <c r="E4065" t="s">
        <v>25</v>
      </c>
      <c r="F4065" t="s">
        <v>27</v>
      </c>
      <c r="G4065">
        <v>4</v>
      </c>
      <c r="H4065">
        <v>851</v>
      </c>
      <c r="I4065" s="1">
        <v>661018</v>
      </c>
      <c r="J4065" s="1">
        <f>Raw_Data!$I4065/Raw_Data!$H4065</f>
        <v>776.75440658049354</v>
      </c>
    </row>
    <row r="4066" spans="1:10" x14ac:dyDescent="0.3">
      <c r="A4066" s="9">
        <v>36972</v>
      </c>
      <c r="B4066" s="2" t="str">
        <f>TEXT(Raw_Data!$A4066, "MMM")</f>
        <v>Mar</v>
      </c>
      <c r="C4066" s="2">
        <f>YEAR(Raw_Data!$A4066)</f>
        <v>2001</v>
      </c>
      <c r="D4066" s="2" t="s">
        <v>2683</v>
      </c>
      <c r="E4066" s="2" t="s">
        <v>32</v>
      </c>
      <c r="F4066" s="2" t="s">
        <v>16</v>
      </c>
      <c r="G4066" s="2">
        <v>2</v>
      </c>
      <c r="H4066" s="2">
        <v>2012</v>
      </c>
      <c r="I4066" s="10">
        <v>105239</v>
      </c>
      <c r="J4066" s="10">
        <f>Raw_Data!$I4066/Raw_Data!$H4066</f>
        <v>52.305666003976143</v>
      </c>
    </row>
    <row r="4067" spans="1:10" x14ac:dyDescent="0.3">
      <c r="A4067" s="8">
        <v>43362</v>
      </c>
      <c r="B4067" t="str">
        <f>TEXT(Raw_Data!$A4067, "MMM")</f>
        <v>Sep</v>
      </c>
      <c r="C4067">
        <f>YEAR(Raw_Data!$A4067)</f>
        <v>2018</v>
      </c>
      <c r="D4067" t="s">
        <v>484</v>
      </c>
      <c r="E4067" t="s">
        <v>32</v>
      </c>
      <c r="F4067" t="s">
        <v>27</v>
      </c>
      <c r="H4067">
        <v>3424</v>
      </c>
      <c r="I4067" s="1">
        <v>296958</v>
      </c>
      <c r="J4067" s="1">
        <f>Raw_Data!$I4067/Raw_Data!$H4067</f>
        <v>86.728387850467286</v>
      </c>
    </row>
    <row r="4068" spans="1:10" x14ac:dyDescent="0.3">
      <c r="A4068" s="9">
        <v>43694</v>
      </c>
      <c r="B4068" s="2" t="str">
        <f>TEXT(Raw_Data!$A4068, "MMM")</f>
        <v>Aug</v>
      </c>
      <c r="C4068" s="2">
        <f>YEAR(Raw_Data!$A4068)</f>
        <v>2019</v>
      </c>
      <c r="D4068" s="2" t="s">
        <v>2617</v>
      </c>
      <c r="E4068" s="2" t="s">
        <v>25</v>
      </c>
      <c r="F4068" s="2" t="s">
        <v>11</v>
      </c>
      <c r="G4068" s="2">
        <v>2</v>
      </c>
      <c r="H4068" s="2">
        <v>1038</v>
      </c>
      <c r="I4068" s="10">
        <v>707782</v>
      </c>
      <c r="J4068" s="10">
        <f>Raw_Data!$I4068/Raw_Data!$H4068</f>
        <v>681.87090558766863</v>
      </c>
    </row>
    <row r="4069" spans="1:10" x14ac:dyDescent="0.3">
      <c r="A4069" s="8">
        <v>40018</v>
      </c>
      <c r="B4069" t="str">
        <f>TEXT(Raw_Data!$A4069, "MMM")</f>
        <v>Jul</v>
      </c>
      <c r="C4069">
        <f>YEAR(Raw_Data!$A4069)</f>
        <v>2009</v>
      </c>
      <c r="D4069" t="s">
        <v>2060</v>
      </c>
      <c r="E4069" t="s">
        <v>25</v>
      </c>
      <c r="F4069" t="s">
        <v>18</v>
      </c>
      <c r="G4069">
        <v>5</v>
      </c>
      <c r="H4069">
        <v>2831</v>
      </c>
      <c r="I4069" s="1">
        <v>818298</v>
      </c>
      <c r="J4069" s="1">
        <f>Raw_Data!$I4069/Raw_Data!$H4069</f>
        <v>289.04909925821266</v>
      </c>
    </row>
    <row r="4070" spans="1:10" x14ac:dyDescent="0.3">
      <c r="A4070" s="9">
        <v>42885</v>
      </c>
      <c r="B4070" s="2" t="str">
        <f>TEXT(Raw_Data!$A4070, "MMM")</f>
        <v>May</v>
      </c>
      <c r="C4070" s="2">
        <f>YEAR(Raw_Data!$A4070)</f>
        <v>2017</v>
      </c>
      <c r="D4070" s="2" t="s">
        <v>2684</v>
      </c>
      <c r="E4070" s="2" t="s">
        <v>23</v>
      </c>
      <c r="F4070" s="2" t="s">
        <v>11</v>
      </c>
      <c r="G4070" s="2">
        <v>4</v>
      </c>
      <c r="H4070" s="2">
        <v>2536</v>
      </c>
      <c r="I4070" s="10">
        <v>767053</v>
      </c>
      <c r="J4070" s="10">
        <f>Raw_Data!$I4070/Raw_Data!$H4070</f>
        <v>302.46569400630915</v>
      </c>
    </row>
    <row r="4071" spans="1:10" x14ac:dyDescent="0.3">
      <c r="A4071" s="8">
        <v>39050</v>
      </c>
      <c r="B4071" t="str">
        <f>TEXT(Raw_Data!$A4071, "MMM")</f>
        <v>Nov</v>
      </c>
      <c r="C4071">
        <f>YEAR(Raw_Data!$A4071)</f>
        <v>2006</v>
      </c>
      <c r="D4071" t="s">
        <v>2685</v>
      </c>
      <c r="E4071" t="s">
        <v>25</v>
      </c>
      <c r="F4071" t="s">
        <v>16</v>
      </c>
      <c r="H4071">
        <v>1494</v>
      </c>
      <c r="I4071" s="1">
        <v>701351</v>
      </c>
      <c r="J4071" s="1">
        <f>Raw_Data!$I4071/Raw_Data!$H4071</f>
        <v>469.44511378848728</v>
      </c>
    </row>
    <row r="4072" spans="1:10" x14ac:dyDescent="0.3">
      <c r="A4072" s="9">
        <v>38410</v>
      </c>
      <c r="B4072" s="2" t="str">
        <f>TEXT(Raw_Data!$A4072, "MMM")</f>
        <v>Feb</v>
      </c>
      <c r="C4072" s="2">
        <f>YEAR(Raw_Data!$A4072)</f>
        <v>2005</v>
      </c>
      <c r="D4072" s="2" t="s">
        <v>634</v>
      </c>
      <c r="E4072" s="2" t="s">
        <v>15</v>
      </c>
      <c r="F4072" s="2" t="s">
        <v>11</v>
      </c>
      <c r="G4072" s="2">
        <v>3</v>
      </c>
      <c r="H4072" s="2">
        <v>1155</v>
      </c>
      <c r="I4072" s="10">
        <v>817935</v>
      </c>
      <c r="J4072" s="10">
        <f>Raw_Data!$I4072/Raw_Data!$H4072</f>
        <v>708.16883116883116</v>
      </c>
    </row>
    <row r="4073" spans="1:10" x14ac:dyDescent="0.3">
      <c r="A4073" s="8">
        <v>41655</v>
      </c>
      <c r="B4073" t="str">
        <f>TEXT(Raw_Data!$A4073, "MMM")</f>
        <v>Jan</v>
      </c>
      <c r="C4073">
        <f>YEAR(Raw_Data!$A4073)</f>
        <v>2014</v>
      </c>
      <c r="D4073" t="s">
        <v>435</v>
      </c>
      <c r="E4073" t="s">
        <v>15</v>
      </c>
      <c r="F4073" t="s">
        <v>27</v>
      </c>
      <c r="H4073">
        <v>3034</v>
      </c>
      <c r="I4073" s="1">
        <v>247969</v>
      </c>
      <c r="J4073" s="1">
        <f>Raw_Data!$I4073/Raw_Data!$H4073</f>
        <v>81.73005932762031</v>
      </c>
    </row>
    <row r="4074" spans="1:10" x14ac:dyDescent="0.3">
      <c r="A4074" s="9">
        <v>39929</v>
      </c>
      <c r="B4074" s="2" t="str">
        <f>TEXT(Raw_Data!$A4074, "MMM")</f>
        <v>Apr</v>
      </c>
      <c r="C4074" s="2">
        <f>YEAR(Raw_Data!$A4074)</f>
        <v>2009</v>
      </c>
      <c r="D4074" s="2" t="s">
        <v>1690</v>
      </c>
      <c r="E4074" s="2" t="s">
        <v>25</v>
      </c>
      <c r="F4074" s="2" t="s">
        <v>18</v>
      </c>
      <c r="G4074" s="2"/>
      <c r="H4074" s="2">
        <v>1036</v>
      </c>
      <c r="I4074" s="10">
        <v>274599</v>
      </c>
      <c r="J4074" s="10">
        <f>Raw_Data!$I4074/Raw_Data!$H4074</f>
        <v>265.05694980694983</v>
      </c>
    </row>
    <row r="4075" spans="1:10" x14ac:dyDescent="0.3">
      <c r="A4075" s="8">
        <v>42760</v>
      </c>
      <c r="B4075" t="str">
        <f>TEXT(Raw_Data!$A4075, "MMM")</f>
        <v>Jan</v>
      </c>
      <c r="C4075">
        <f>YEAR(Raw_Data!$A4075)</f>
        <v>2017</v>
      </c>
      <c r="D4075" t="s">
        <v>2686</v>
      </c>
      <c r="E4075" t="s">
        <v>32</v>
      </c>
      <c r="F4075" t="s">
        <v>16</v>
      </c>
      <c r="H4075">
        <v>2217</v>
      </c>
      <c r="I4075" s="1">
        <v>673819</v>
      </c>
      <c r="J4075" s="1">
        <f>Raw_Data!$I4075/Raw_Data!$H4075</f>
        <v>303.93279206134417</v>
      </c>
    </row>
    <row r="4076" spans="1:10" x14ac:dyDescent="0.3">
      <c r="A4076" s="9">
        <v>43752</v>
      </c>
      <c r="B4076" s="2" t="str">
        <f>TEXT(Raw_Data!$A4076, "MMM")</f>
        <v>Oct</v>
      </c>
      <c r="C4076" s="2">
        <f>YEAR(Raw_Data!$A4076)</f>
        <v>2019</v>
      </c>
      <c r="D4076" s="2" t="s">
        <v>2186</v>
      </c>
      <c r="E4076" s="2" t="s">
        <v>15</v>
      </c>
      <c r="F4076" s="2" t="s">
        <v>18</v>
      </c>
      <c r="G4076" s="2">
        <v>2</v>
      </c>
      <c r="H4076" s="2">
        <v>1276</v>
      </c>
      <c r="I4076" s="10">
        <v>166675</v>
      </c>
      <c r="J4076" s="10">
        <f>Raw_Data!$I4076/Raw_Data!$H4076</f>
        <v>130.6230407523511</v>
      </c>
    </row>
    <row r="4077" spans="1:10" x14ac:dyDescent="0.3">
      <c r="A4077" s="8">
        <v>39832</v>
      </c>
      <c r="B4077" t="str">
        <f>TEXT(Raw_Data!$A4077, "MMM")</f>
        <v>Jan</v>
      </c>
      <c r="C4077">
        <f>YEAR(Raw_Data!$A4077)</f>
        <v>2009</v>
      </c>
      <c r="D4077" t="s">
        <v>1356</v>
      </c>
      <c r="E4077" t="s">
        <v>25</v>
      </c>
      <c r="F4077" t="s">
        <v>27</v>
      </c>
      <c r="G4077">
        <v>2</v>
      </c>
      <c r="H4077">
        <v>839</v>
      </c>
      <c r="I4077" s="1">
        <v>286982</v>
      </c>
      <c r="J4077" s="1">
        <f>Raw_Data!$I4077/Raw_Data!$H4077</f>
        <v>342.0524433849821</v>
      </c>
    </row>
    <row r="4078" spans="1:10" x14ac:dyDescent="0.3">
      <c r="A4078" s="9">
        <v>41551</v>
      </c>
      <c r="B4078" s="2" t="str">
        <f>TEXT(Raw_Data!$A4078, "MMM")</f>
        <v>Oct</v>
      </c>
      <c r="C4078" s="2">
        <f>YEAR(Raw_Data!$A4078)</f>
        <v>2013</v>
      </c>
      <c r="D4078" s="2" t="s">
        <v>1035</v>
      </c>
      <c r="E4078" s="2" t="s">
        <v>29</v>
      </c>
      <c r="F4078" s="2" t="s">
        <v>27</v>
      </c>
      <c r="G4078" s="2">
        <v>2</v>
      </c>
      <c r="H4078" s="2">
        <v>3133</v>
      </c>
      <c r="I4078" s="10">
        <v>808498</v>
      </c>
      <c r="J4078" s="10">
        <f>Raw_Data!$I4078/Raw_Data!$H4078</f>
        <v>258.05872965209068</v>
      </c>
    </row>
    <row r="4079" spans="1:10" x14ac:dyDescent="0.3">
      <c r="A4079" s="8">
        <v>43316</v>
      </c>
      <c r="B4079" t="str">
        <f>TEXT(Raw_Data!$A4079, "MMM")</f>
        <v>Aug</v>
      </c>
      <c r="C4079">
        <f>YEAR(Raw_Data!$A4079)</f>
        <v>2018</v>
      </c>
      <c r="D4079" t="s">
        <v>229</v>
      </c>
      <c r="E4079" t="s">
        <v>13</v>
      </c>
      <c r="F4079" t="s">
        <v>16</v>
      </c>
      <c r="G4079">
        <v>3</v>
      </c>
      <c r="H4079">
        <v>2545</v>
      </c>
      <c r="I4079" s="1">
        <v>406172</v>
      </c>
      <c r="J4079" s="1">
        <f>Raw_Data!$I4079/Raw_Data!$H4079</f>
        <v>159.59607072691551</v>
      </c>
    </row>
    <row r="4080" spans="1:10" x14ac:dyDescent="0.3">
      <c r="A4080" s="9">
        <v>37374</v>
      </c>
      <c r="B4080" s="2" t="str">
        <f>TEXT(Raw_Data!$A4080, "MMM")</f>
        <v>Apr</v>
      </c>
      <c r="C4080" s="2">
        <f>YEAR(Raw_Data!$A4080)</f>
        <v>2002</v>
      </c>
      <c r="D4080" s="2" t="s">
        <v>2313</v>
      </c>
      <c r="E4080" s="2" t="s">
        <v>23</v>
      </c>
      <c r="F4080" s="2" t="s">
        <v>11</v>
      </c>
      <c r="G4080" s="2"/>
      <c r="H4080" s="2">
        <v>2767</v>
      </c>
      <c r="I4080" s="10">
        <v>439825</v>
      </c>
      <c r="J4080" s="10">
        <f>Raw_Data!$I4080/Raw_Data!$H4080</f>
        <v>158.95374051319118</v>
      </c>
    </row>
    <row r="4081" spans="1:10" x14ac:dyDescent="0.3">
      <c r="A4081" s="8">
        <v>42721</v>
      </c>
      <c r="B4081" t="str">
        <f>TEXT(Raw_Data!$A4081, "MMM")</f>
        <v>Dec</v>
      </c>
      <c r="C4081">
        <f>YEAR(Raw_Data!$A4081)</f>
        <v>2016</v>
      </c>
      <c r="D4081" t="s">
        <v>2687</v>
      </c>
      <c r="E4081" t="s">
        <v>29</v>
      </c>
      <c r="F4081" t="s">
        <v>16</v>
      </c>
      <c r="H4081">
        <v>3403</v>
      </c>
      <c r="I4081" s="1">
        <v>334752</v>
      </c>
      <c r="J4081" s="1">
        <f>Raw_Data!$I4081/Raw_Data!$H4081</f>
        <v>98.369673817220104</v>
      </c>
    </row>
    <row r="4082" spans="1:10" x14ac:dyDescent="0.3">
      <c r="A4082" s="9">
        <v>43709</v>
      </c>
      <c r="B4082" s="2" t="str">
        <f>TEXT(Raw_Data!$A4082, "MMM")</f>
        <v>Sep</v>
      </c>
      <c r="C4082" s="2">
        <f>YEAR(Raw_Data!$A4082)</f>
        <v>2019</v>
      </c>
      <c r="D4082" s="2" t="s">
        <v>594</v>
      </c>
      <c r="E4082" s="2" t="s">
        <v>32</v>
      </c>
      <c r="F4082" s="2" t="s">
        <v>16</v>
      </c>
      <c r="G4082" s="2">
        <v>4</v>
      </c>
      <c r="H4082" s="2">
        <v>1635</v>
      </c>
      <c r="I4082" s="10">
        <v>687785</v>
      </c>
      <c r="J4082" s="10">
        <f>Raw_Data!$I4082/Raw_Data!$H4082</f>
        <v>420.66360856269114</v>
      </c>
    </row>
    <row r="4083" spans="1:10" x14ac:dyDescent="0.3">
      <c r="A4083" s="8">
        <v>37626</v>
      </c>
      <c r="B4083" t="str">
        <f>TEXT(Raw_Data!$A4083, "MMM")</f>
        <v>Jan</v>
      </c>
      <c r="C4083">
        <f>YEAR(Raw_Data!$A4083)</f>
        <v>2003</v>
      </c>
      <c r="D4083" t="s">
        <v>2577</v>
      </c>
      <c r="E4083" t="s">
        <v>25</v>
      </c>
      <c r="F4083" t="s">
        <v>11</v>
      </c>
      <c r="G4083">
        <v>2</v>
      </c>
      <c r="H4083">
        <v>3101</v>
      </c>
      <c r="I4083" s="1">
        <v>623743</v>
      </c>
      <c r="J4083" s="1">
        <f>Raw_Data!$I4083/Raw_Data!$H4083</f>
        <v>201.14253466623668</v>
      </c>
    </row>
    <row r="4084" spans="1:10" x14ac:dyDescent="0.3">
      <c r="A4084" s="9">
        <v>39241</v>
      </c>
      <c r="B4084" s="2" t="str">
        <f>TEXT(Raw_Data!$A4084, "MMM")</f>
        <v>Jun</v>
      </c>
      <c r="C4084" s="2">
        <f>YEAR(Raw_Data!$A4084)</f>
        <v>2007</v>
      </c>
      <c r="D4084" s="2" t="s">
        <v>2688</v>
      </c>
      <c r="E4084" s="2" t="s">
        <v>15</v>
      </c>
      <c r="F4084" s="2" t="s">
        <v>18</v>
      </c>
      <c r="G4084" s="2">
        <v>4</v>
      </c>
      <c r="H4084" s="2">
        <v>2114</v>
      </c>
      <c r="I4084" s="10">
        <v>848185</v>
      </c>
      <c r="J4084" s="10">
        <f>Raw_Data!$I4084/Raw_Data!$H4084</f>
        <v>401.2228003784295</v>
      </c>
    </row>
    <row r="4085" spans="1:10" x14ac:dyDescent="0.3">
      <c r="A4085" s="8">
        <v>38009</v>
      </c>
      <c r="B4085" t="str">
        <f>TEXT(Raw_Data!$A4085, "MMM")</f>
        <v>Jan</v>
      </c>
      <c r="C4085">
        <f>YEAR(Raw_Data!$A4085)</f>
        <v>2004</v>
      </c>
      <c r="D4085" t="s">
        <v>2542</v>
      </c>
      <c r="E4085" t="s">
        <v>13</v>
      </c>
      <c r="F4085" t="s">
        <v>11</v>
      </c>
      <c r="H4085">
        <v>2033</v>
      </c>
      <c r="I4085" s="1">
        <v>337821</v>
      </c>
      <c r="J4085" s="1">
        <f>Raw_Data!$I4085/Raw_Data!$H4085</f>
        <v>166.16871618298083</v>
      </c>
    </row>
    <row r="4086" spans="1:10" x14ac:dyDescent="0.3">
      <c r="A4086" s="9">
        <v>42137</v>
      </c>
      <c r="B4086" s="2" t="str">
        <f>TEXT(Raw_Data!$A4086, "MMM")</f>
        <v>May</v>
      </c>
      <c r="C4086" s="2">
        <f>YEAR(Raw_Data!$A4086)</f>
        <v>2015</v>
      </c>
      <c r="D4086" s="2" t="s">
        <v>1958</v>
      </c>
      <c r="E4086" s="2" t="s">
        <v>13</v>
      </c>
      <c r="F4086" s="2" t="s">
        <v>16</v>
      </c>
      <c r="G4086" s="2">
        <v>4</v>
      </c>
      <c r="H4086" s="2">
        <v>3348</v>
      </c>
      <c r="I4086" s="10">
        <v>424558</v>
      </c>
      <c r="J4086" s="10">
        <f>Raw_Data!$I4086/Raw_Data!$H4086</f>
        <v>126.80943847072879</v>
      </c>
    </row>
    <row r="4087" spans="1:10" x14ac:dyDescent="0.3">
      <c r="A4087" s="8">
        <v>38010</v>
      </c>
      <c r="B4087" t="str">
        <f>TEXT(Raw_Data!$A4087, "MMM")</f>
        <v>Jan</v>
      </c>
      <c r="C4087">
        <f>YEAR(Raw_Data!$A4087)</f>
        <v>2004</v>
      </c>
      <c r="D4087" t="s">
        <v>399</v>
      </c>
      <c r="E4087" t="s">
        <v>32</v>
      </c>
      <c r="F4087" t="s">
        <v>11</v>
      </c>
      <c r="G4087">
        <v>4</v>
      </c>
      <c r="H4087">
        <v>2826</v>
      </c>
      <c r="I4087" s="1">
        <v>395822</v>
      </c>
      <c r="J4087" s="1">
        <f>Raw_Data!$I4087/Raw_Data!$H4087</f>
        <v>140.06440198159945</v>
      </c>
    </row>
    <row r="4088" spans="1:10" x14ac:dyDescent="0.3">
      <c r="A4088" s="9">
        <v>37955</v>
      </c>
      <c r="B4088" s="2" t="str">
        <f>TEXT(Raw_Data!$A4088, "MMM")</f>
        <v>Nov</v>
      </c>
      <c r="C4088" s="2">
        <f>YEAR(Raw_Data!$A4088)</f>
        <v>2003</v>
      </c>
      <c r="D4088" s="2" t="s">
        <v>2689</v>
      </c>
      <c r="E4088" s="2" t="s">
        <v>23</v>
      </c>
      <c r="F4088" s="2" t="s">
        <v>18</v>
      </c>
      <c r="G4088" s="2"/>
      <c r="H4088" s="2">
        <v>2703</v>
      </c>
      <c r="I4088" s="10">
        <v>478845</v>
      </c>
      <c r="J4088" s="10">
        <f>Raw_Data!$I4088/Raw_Data!$H4088</f>
        <v>177.15316315205328</v>
      </c>
    </row>
    <row r="4089" spans="1:10" x14ac:dyDescent="0.3">
      <c r="A4089" s="8">
        <v>39534</v>
      </c>
      <c r="B4089" t="str">
        <f>TEXT(Raw_Data!$A4089, "MMM")</f>
        <v>Mar</v>
      </c>
      <c r="C4089">
        <f>YEAR(Raw_Data!$A4089)</f>
        <v>2008</v>
      </c>
      <c r="D4089" t="s">
        <v>2690</v>
      </c>
      <c r="E4089" t="s">
        <v>21</v>
      </c>
      <c r="F4089" t="s">
        <v>11</v>
      </c>
      <c r="G4089">
        <v>5</v>
      </c>
      <c r="H4089">
        <v>3343</v>
      </c>
      <c r="I4089" s="1">
        <v>110134</v>
      </c>
      <c r="J4089" s="1">
        <f>Raw_Data!$I4089/Raw_Data!$H4089</f>
        <v>32.944660484594678</v>
      </c>
    </row>
    <row r="4090" spans="1:10" x14ac:dyDescent="0.3">
      <c r="A4090" s="9">
        <v>42198</v>
      </c>
      <c r="B4090" s="2" t="str">
        <f>TEXT(Raw_Data!$A4090, "MMM")</f>
        <v>Jul</v>
      </c>
      <c r="C4090" s="2">
        <f>YEAR(Raw_Data!$A4090)</f>
        <v>2015</v>
      </c>
      <c r="D4090" s="2" t="s">
        <v>2409</v>
      </c>
      <c r="E4090" s="2" t="s">
        <v>21</v>
      </c>
      <c r="F4090" s="2" t="s">
        <v>27</v>
      </c>
      <c r="G4090" s="2"/>
      <c r="H4090" s="2">
        <v>3133</v>
      </c>
      <c r="I4090" s="10">
        <v>689646</v>
      </c>
      <c r="J4090" s="10">
        <f>Raw_Data!$I4090/Raw_Data!$H4090</f>
        <v>220.12320459623365</v>
      </c>
    </row>
    <row r="4091" spans="1:10" x14ac:dyDescent="0.3">
      <c r="A4091" s="8">
        <v>41758</v>
      </c>
      <c r="B4091" t="str">
        <f>TEXT(Raw_Data!$A4091, "MMM")</f>
        <v>Apr</v>
      </c>
      <c r="C4091">
        <f>YEAR(Raw_Data!$A4091)</f>
        <v>2014</v>
      </c>
      <c r="D4091" t="s">
        <v>764</v>
      </c>
      <c r="E4091" t="s">
        <v>32</v>
      </c>
      <c r="F4091" t="s">
        <v>11</v>
      </c>
      <c r="G4091">
        <v>5</v>
      </c>
      <c r="H4091">
        <v>2980</v>
      </c>
      <c r="I4091" s="1">
        <v>420071</v>
      </c>
      <c r="J4091" s="1">
        <f>Raw_Data!$I4091/Raw_Data!$H4091</f>
        <v>140.96342281879194</v>
      </c>
    </row>
    <row r="4092" spans="1:10" x14ac:dyDescent="0.3">
      <c r="A4092" s="9">
        <v>40902</v>
      </c>
      <c r="B4092" s="2" t="str">
        <f>TEXT(Raw_Data!$A4092, "MMM")</f>
        <v>Dec</v>
      </c>
      <c r="C4092" s="2">
        <f>YEAR(Raw_Data!$A4092)</f>
        <v>2011</v>
      </c>
      <c r="D4092" s="2" t="s">
        <v>2437</v>
      </c>
      <c r="E4092" s="2" t="s">
        <v>21</v>
      </c>
      <c r="F4092" s="2" t="s">
        <v>11</v>
      </c>
      <c r="G4092" s="2">
        <v>3</v>
      </c>
      <c r="H4092" s="2">
        <v>2598</v>
      </c>
      <c r="I4092" s="10">
        <v>106647</v>
      </c>
      <c r="J4092" s="10">
        <f>Raw_Data!$I4092/Raw_Data!$H4092</f>
        <v>41.049653579676672</v>
      </c>
    </row>
    <row r="4093" spans="1:10" x14ac:dyDescent="0.3">
      <c r="A4093" s="8">
        <v>38343</v>
      </c>
      <c r="B4093" t="str">
        <f>TEXT(Raw_Data!$A4093, "MMM")</f>
        <v>Dec</v>
      </c>
      <c r="C4093">
        <f>YEAR(Raw_Data!$A4093)</f>
        <v>2004</v>
      </c>
      <c r="D4093" t="s">
        <v>2618</v>
      </c>
      <c r="E4093" t="s">
        <v>21</v>
      </c>
      <c r="F4093" t="s">
        <v>27</v>
      </c>
      <c r="G4093">
        <v>4</v>
      </c>
      <c r="H4093">
        <v>2187</v>
      </c>
      <c r="I4093" s="1">
        <v>772897</v>
      </c>
      <c r="J4093" s="1">
        <f>Raw_Data!$I4093/Raw_Data!$H4093</f>
        <v>353.40512117055329</v>
      </c>
    </row>
    <row r="4094" spans="1:10" x14ac:dyDescent="0.3">
      <c r="A4094" s="9">
        <v>41684</v>
      </c>
      <c r="B4094" s="2" t="str">
        <f>TEXT(Raw_Data!$A4094, "MMM")</f>
        <v>Feb</v>
      </c>
      <c r="C4094" s="2">
        <f>YEAR(Raw_Data!$A4094)</f>
        <v>2014</v>
      </c>
      <c r="D4094" s="2" t="s">
        <v>1438</v>
      </c>
      <c r="E4094" s="2" t="s">
        <v>15</v>
      </c>
      <c r="F4094" s="2" t="s">
        <v>27</v>
      </c>
      <c r="G4094" s="2">
        <v>2</v>
      </c>
      <c r="H4094" s="2">
        <v>2872</v>
      </c>
      <c r="I4094" s="10">
        <v>206046</v>
      </c>
      <c r="J4094" s="10">
        <f>Raw_Data!$I4094/Raw_Data!$H4094</f>
        <v>71.743036211699163</v>
      </c>
    </row>
    <row r="4095" spans="1:10" x14ac:dyDescent="0.3">
      <c r="A4095" s="8">
        <v>38409</v>
      </c>
      <c r="B4095" t="str">
        <f>TEXT(Raw_Data!$A4095, "MMM")</f>
        <v>Feb</v>
      </c>
      <c r="C4095">
        <f>YEAR(Raw_Data!$A4095)</f>
        <v>2005</v>
      </c>
      <c r="D4095" t="s">
        <v>1782</v>
      </c>
      <c r="E4095" t="s">
        <v>32</v>
      </c>
      <c r="F4095" t="s">
        <v>27</v>
      </c>
      <c r="H4095">
        <v>3177</v>
      </c>
      <c r="I4095" s="1">
        <v>600556</v>
      </c>
      <c r="J4095" s="1">
        <f>Raw_Data!$I4095/Raw_Data!$H4095</f>
        <v>189.0324205225055</v>
      </c>
    </row>
    <row r="4096" spans="1:10" x14ac:dyDescent="0.3">
      <c r="A4096" s="9">
        <v>40149</v>
      </c>
      <c r="B4096" s="2" t="str">
        <f>TEXT(Raw_Data!$A4096, "MMM")</f>
        <v>Dec</v>
      </c>
      <c r="C4096" s="2">
        <f>YEAR(Raw_Data!$A4096)</f>
        <v>2009</v>
      </c>
      <c r="D4096" s="2" t="s">
        <v>2691</v>
      </c>
      <c r="E4096" s="2" t="s">
        <v>25</v>
      </c>
      <c r="F4096" s="2" t="s">
        <v>18</v>
      </c>
      <c r="G4096" s="2">
        <v>4</v>
      </c>
      <c r="H4096" s="2">
        <v>2239</v>
      </c>
      <c r="I4096" s="10">
        <v>224053</v>
      </c>
      <c r="J4096" s="10">
        <f>Raw_Data!$I4096/Raw_Data!$H4096</f>
        <v>100.06833407771326</v>
      </c>
    </row>
    <row r="4097" spans="1:10" x14ac:dyDescent="0.3">
      <c r="A4097" s="8">
        <v>37811</v>
      </c>
      <c r="B4097" t="str">
        <f>TEXT(Raw_Data!$A4097, "MMM")</f>
        <v>Jul</v>
      </c>
      <c r="C4097">
        <f>YEAR(Raw_Data!$A4097)</f>
        <v>2003</v>
      </c>
      <c r="D4097" t="s">
        <v>1108</v>
      </c>
      <c r="E4097" t="s">
        <v>29</v>
      </c>
      <c r="F4097" t="s">
        <v>27</v>
      </c>
      <c r="G4097">
        <v>4</v>
      </c>
      <c r="H4097">
        <v>2078</v>
      </c>
      <c r="I4097" s="1">
        <v>592338</v>
      </c>
      <c r="J4097" s="1">
        <f>Raw_Data!$I4097/Raw_Data!$H4097</f>
        <v>285.05197305101058</v>
      </c>
    </row>
    <row r="4098" spans="1:10" x14ac:dyDescent="0.3">
      <c r="A4098" s="9">
        <v>44024</v>
      </c>
      <c r="B4098" s="2" t="str">
        <f>TEXT(Raw_Data!$A4098, "MMM")</f>
        <v>Jul</v>
      </c>
      <c r="C4098" s="2">
        <f>YEAR(Raw_Data!$A4098)</f>
        <v>2020</v>
      </c>
      <c r="D4098" s="2" t="s">
        <v>2692</v>
      </c>
      <c r="E4098" s="2" t="s">
        <v>23</v>
      </c>
      <c r="F4098" s="2" t="s">
        <v>18</v>
      </c>
      <c r="G4098" s="2"/>
      <c r="H4098" s="2">
        <v>2467</v>
      </c>
      <c r="I4098" s="10">
        <v>727225</v>
      </c>
      <c r="J4098" s="10">
        <f>Raw_Data!$I4098/Raw_Data!$H4098</f>
        <v>294.78111066072154</v>
      </c>
    </row>
    <row r="4099" spans="1:10" x14ac:dyDescent="0.3">
      <c r="A4099" s="8">
        <v>38676</v>
      </c>
      <c r="B4099" t="str">
        <f>TEXT(Raw_Data!$A4099, "MMM")</f>
        <v>Nov</v>
      </c>
      <c r="C4099">
        <f>YEAR(Raw_Data!$A4099)</f>
        <v>2005</v>
      </c>
      <c r="D4099" t="s">
        <v>2693</v>
      </c>
      <c r="E4099" t="s">
        <v>32</v>
      </c>
      <c r="F4099" t="s">
        <v>27</v>
      </c>
      <c r="G4099">
        <v>3</v>
      </c>
      <c r="H4099">
        <v>3151</v>
      </c>
      <c r="I4099" s="1">
        <v>713331</v>
      </c>
      <c r="J4099" s="1">
        <f>Raw_Data!$I4099/Raw_Data!$H4099</f>
        <v>226.38241827991115</v>
      </c>
    </row>
    <row r="4100" spans="1:10" x14ac:dyDescent="0.3">
      <c r="A4100" s="9">
        <v>43036</v>
      </c>
      <c r="B4100" s="2" t="str">
        <f>TEXT(Raw_Data!$A4100, "MMM")</f>
        <v>Oct</v>
      </c>
      <c r="C4100" s="2">
        <f>YEAR(Raw_Data!$A4100)</f>
        <v>2017</v>
      </c>
      <c r="D4100" s="2" t="s">
        <v>2694</v>
      </c>
      <c r="E4100" s="2" t="s">
        <v>32</v>
      </c>
      <c r="F4100" s="2" t="s">
        <v>16</v>
      </c>
      <c r="G4100" s="2">
        <v>2</v>
      </c>
      <c r="H4100" s="2">
        <v>2370</v>
      </c>
      <c r="I4100" s="10">
        <v>887299</v>
      </c>
      <c r="J4100" s="10">
        <f>Raw_Data!$I4100/Raw_Data!$H4100</f>
        <v>374.38776371308018</v>
      </c>
    </row>
    <row r="4101" spans="1:10" x14ac:dyDescent="0.3">
      <c r="A4101" s="8">
        <v>39153</v>
      </c>
      <c r="B4101" t="str">
        <f>TEXT(Raw_Data!$A4101, "MMM")</f>
        <v>Mar</v>
      </c>
      <c r="C4101">
        <f>YEAR(Raw_Data!$A4101)</f>
        <v>2007</v>
      </c>
      <c r="D4101" t="s">
        <v>2695</v>
      </c>
      <c r="E4101" t="s">
        <v>23</v>
      </c>
      <c r="F4101" t="s">
        <v>27</v>
      </c>
      <c r="G4101">
        <v>3</v>
      </c>
      <c r="H4101">
        <v>2165</v>
      </c>
      <c r="I4101" s="1">
        <v>735512</v>
      </c>
      <c r="J4101" s="1">
        <f>Raw_Data!$I4101/Raw_Data!$H4101</f>
        <v>339.72840646651269</v>
      </c>
    </row>
    <row r="4102" spans="1:10" x14ac:dyDescent="0.3">
      <c r="A4102" s="9">
        <v>38629</v>
      </c>
      <c r="B4102" s="2" t="str">
        <f>TEXT(Raw_Data!$A4102, "MMM")</f>
        <v>Oct</v>
      </c>
      <c r="C4102" s="2">
        <f>YEAR(Raw_Data!$A4102)</f>
        <v>2005</v>
      </c>
      <c r="D4102" s="2" t="s">
        <v>2696</v>
      </c>
      <c r="E4102" s="2" t="s">
        <v>21</v>
      </c>
      <c r="F4102" s="2" t="s">
        <v>18</v>
      </c>
      <c r="G4102" s="2">
        <v>4</v>
      </c>
      <c r="H4102" s="2">
        <v>991</v>
      </c>
      <c r="I4102" s="10">
        <v>407971</v>
      </c>
      <c r="J4102" s="10">
        <f>Raw_Data!$I4102/Raw_Data!$H4102</f>
        <v>411.6760847628658</v>
      </c>
    </row>
    <row r="4103" spans="1:10" x14ac:dyDescent="0.3">
      <c r="A4103" s="8">
        <v>38950</v>
      </c>
      <c r="B4103" t="str">
        <f>TEXT(Raw_Data!$A4103, "MMM")</f>
        <v>Aug</v>
      </c>
      <c r="C4103">
        <f>YEAR(Raw_Data!$A4103)</f>
        <v>2006</v>
      </c>
      <c r="D4103" t="s">
        <v>451</v>
      </c>
      <c r="E4103" t="s">
        <v>23</v>
      </c>
      <c r="F4103" t="s">
        <v>27</v>
      </c>
      <c r="H4103">
        <v>2830</v>
      </c>
      <c r="I4103" s="1">
        <v>494150</v>
      </c>
      <c r="J4103" s="1">
        <f>Raw_Data!$I4103/Raw_Data!$H4103</f>
        <v>174.61130742049471</v>
      </c>
    </row>
    <row r="4104" spans="1:10" x14ac:dyDescent="0.3">
      <c r="A4104" s="9">
        <v>37780</v>
      </c>
      <c r="B4104" s="2" t="str">
        <f>TEXT(Raw_Data!$A4104, "MMM")</f>
        <v>Jun</v>
      </c>
      <c r="C4104" s="2">
        <f>YEAR(Raw_Data!$A4104)</f>
        <v>2003</v>
      </c>
      <c r="D4104" s="2" t="s">
        <v>2697</v>
      </c>
      <c r="E4104" s="2" t="s">
        <v>23</v>
      </c>
      <c r="F4104" s="2" t="s">
        <v>27</v>
      </c>
      <c r="G4104" s="2"/>
      <c r="H4104" s="2">
        <v>930</v>
      </c>
      <c r="I4104" s="10">
        <v>541643</v>
      </c>
      <c r="J4104" s="10">
        <f>Raw_Data!$I4104/Raw_Data!$H4104</f>
        <v>582.41182795698921</v>
      </c>
    </row>
    <row r="4105" spans="1:10" x14ac:dyDescent="0.3">
      <c r="A4105" s="8">
        <v>43424</v>
      </c>
      <c r="B4105" t="str">
        <f>TEXT(Raw_Data!$A4105, "MMM")</f>
        <v>Nov</v>
      </c>
      <c r="C4105">
        <f>YEAR(Raw_Data!$A4105)</f>
        <v>2018</v>
      </c>
      <c r="D4105" t="s">
        <v>883</v>
      </c>
      <c r="E4105" t="s">
        <v>29</v>
      </c>
      <c r="F4105" t="s">
        <v>16</v>
      </c>
      <c r="G4105">
        <v>3</v>
      </c>
      <c r="H4105">
        <v>1227</v>
      </c>
      <c r="I4105" s="1">
        <v>728882</v>
      </c>
      <c r="J4105" s="1">
        <f>Raw_Data!$I4105/Raw_Data!$H4105</f>
        <v>594.03585982070092</v>
      </c>
    </row>
    <row r="4106" spans="1:10" x14ac:dyDescent="0.3">
      <c r="A4106" s="9">
        <v>39243</v>
      </c>
      <c r="B4106" s="2" t="str">
        <f>TEXT(Raw_Data!$A4106, "MMM")</f>
        <v>Jun</v>
      </c>
      <c r="C4106" s="2">
        <f>YEAR(Raw_Data!$A4106)</f>
        <v>2007</v>
      </c>
      <c r="D4106" s="2" t="s">
        <v>2425</v>
      </c>
      <c r="E4106" s="2" t="s">
        <v>32</v>
      </c>
      <c r="F4106" s="2" t="s">
        <v>18</v>
      </c>
      <c r="G4106" s="2">
        <v>2</v>
      </c>
      <c r="H4106" s="2">
        <v>2925</v>
      </c>
      <c r="I4106" s="10">
        <v>358309</v>
      </c>
      <c r="J4106" s="10">
        <f>Raw_Data!$I4106/Raw_Data!$H4106</f>
        <v>122.49880341880342</v>
      </c>
    </row>
    <row r="4107" spans="1:10" x14ac:dyDescent="0.3">
      <c r="A4107" s="8">
        <v>38921</v>
      </c>
      <c r="B4107" t="str">
        <f>TEXT(Raw_Data!$A4107, "MMM")</f>
        <v>Jul</v>
      </c>
      <c r="C4107">
        <f>YEAR(Raw_Data!$A4107)</f>
        <v>2006</v>
      </c>
      <c r="D4107" t="s">
        <v>2698</v>
      </c>
      <c r="E4107" t="s">
        <v>29</v>
      </c>
      <c r="F4107" t="s">
        <v>18</v>
      </c>
      <c r="H4107">
        <v>2718</v>
      </c>
      <c r="I4107" s="1">
        <v>245907</v>
      </c>
      <c r="J4107" s="1">
        <f>Raw_Data!$I4107/Raw_Data!$H4107</f>
        <v>90.473509933774835</v>
      </c>
    </row>
    <row r="4108" spans="1:10" x14ac:dyDescent="0.3">
      <c r="A4108" s="9">
        <v>42839</v>
      </c>
      <c r="B4108" s="2" t="str">
        <f>TEXT(Raw_Data!$A4108, "MMM")</f>
        <v>Apr</v>
      </c>
      <c r="C4108" s="2">
        <f>YEAR(Raw_Data!$A4108)</f>
        <v>2017</v>
      </c>
      <c r="D4108" s="2" t="s">
        <v>2088</v>
      </c>
      <c r="E4108" s="2" t="s">
        <v>23</v>
      </c>
      <c r="F4108" s="2" t="s">
        <v>11</v>
      </c>
      <c r="G4108" s="2"/>
      <c r="H4108" s="2">
        <v>1361</v>
      </c>
      <c r="I4108" s="10">
        <v>749499</v>
      </c>
      <c r="J4108" s="10">
        <f>Raw_Data!$I4108/Raw_Data!$H4108</f>
        <v>550.69728141072744</v>
      </c>
    </row>
    <row r="4109" spans="1:10" x14ac:dyDescent="0.3">
      <c r="A4109" s="8">
        <v>43729</v>
      </c>
      <c r="B4109" t="str">
        <f>TEXT(Raw_Data!$A4109, "MMM")</f>
        <v>Sep</v>
      </c>
      <c r="C4109">
        <f>YEAR(Raw_Data!$A4109)</f>
        <v>2019</v>
      </c>
      <c r="D4109" t="s">
        <v>1451</v>
      </c>
      <c r="E4109" t="s">
        <v>21</v>
      </c>
      <c r="F4109" t="s">
        <v>18</v>
      </c>
      <c r="H4109">
        <v>997</v>
      </c>
      <c r="I4109" s="1"/>
      <c r="J4109" s="1">
        <f>Raw_Data!$I4109/Raw_Data!$H4109</f>
        <v>0</v>
      </c>
    </row>
    <row r="4110" spans="1:10" x14ac:dyDescent="0.3">
      <c r="A4110" s="9">
        <v>38781</v>
      </c>
      <c r="B4110" s="2" t="str">
        <f>TEXT(Raw_Data!$A4110, "MMM")</f>
        <v>Mar</v>
      </c>
      <c r="C4110" s="2">
        <f>YEAR(Raw_Data!$A4110)</f>
        <v>2006</v>
      </c>
      <c r="D4110" s="2" t="s">
        <v>143</v>
      </c>
      <c r="E4110" s="2" t="s">
        <v>29</v>
      </c>
      <c r="F4110" s="2" t="s">
        <v>11</v>
      </c>
      <c r="G4110" s="2"/>
      <c r="H4110" s="2">
        <v>2219</v>
      </c>
      <c r="I4110" s="10">
        <v>635090</v>
      </c>
      <c r="J4110" s="10">
        <f>Raw_Data!$I4110/Raw_Data!$H4110</f>
        <v>286.2054979720595</v>
      </c>
    </row>
    <row r="4111" spans="1:10" x14ac:dyDescent="0.3">
      <c r="A4111" s="8">
        <v>42203</v>
      </c>
      <c r="B4111" t="str">
        <f>TEXT(Raw_Data!$A4111, "MMM")</f>
        <v>Jul</v>
      </c>
      <c r="C4111">
        <f>YEAR(Raw_Data!$A4111)</f>
        <v>2015</v>
      </c>
      <c r="D4111" t="s">
        <v>2699</v>
      </c>
      <c r="E4111" t="s">
        <v>25</v>
      </c>
      <c r="F4111" t="s">
        <v>11</v>
      </c>
      <c r="H4111">
        <v>1699</v>
      </c>
      <c r="I4111" s="1">
        <v>280712</v>
      </c>
      <c r="J4111" s="1">
        <f>Raw_Data!$I4111/Raw_Data!$H4111</f>
        <v>165.22189523248969</v>
      </c>
    </row>
    <row r="4112" spans="1:10" x14ac:dyDescent="0.3">
      <c r="A4112" s="9">
        <v>39038</v>
      </c>
      <c r="B4112" s="2" t="str">
        <f>TEXT(Raw_Data!$A4112, "MMM")</f>
        <v>Nov</v>
      </c>
      <c r="C4112" s="2">
        <f>YEAR(Raw_Data!$A4112)</f>
        <v>2006</v>
      </c>
      <c r="D4112" s="2" t="s">
        <v>2345</v>
      </c>
      <c r="E4112" s="2" t="s">
        <v>32</v>
      </c>
      <c r="F4112" s="2" t="s">
        <v>11</v>
      </c>
      <c r="G4112" s="2">
        <v>3</v>
      </c>
      <c r="H4112" s="2">
        <v>2750</v>
      </c>
      <c r="I4112" s="10">
        <v>513032</v>
      </c>
      <c r="J4112" s="10">
        <f>Raw_Data!$I4112/Raw_Data!$H4112</f>
        <v>186.5570909090909</v>
      </c>
    </row>
    <row r="4113" spans="1:10" x14ac:dyDescent="0.3">
      <c r="A4113" s="8">
        <v>38863</v>
      </c>
      <c r="B4113" t="str">
        <f>TEXT(Raw_Data!$A4113, "MMM")</f>
        <v>May</v>
      </c>
      <c r="C4113">
        <f>YEAR(Raw_Data!$A4113)</f>
        <v>2006</v>
      </c>
      <c r="D4113" t="s">
        <v>2700</v>
      </c>
      <c r="E4113" t="s">
        <v>29</v>
      </c>
      <c r="F4113" t="s">
        <v>27</v>
      </c>
      <c r="G4113">
        <v>3</v>
      </c>
      <c r="H4113">
        <v>2018</v>
      </c>
      <c r="I4113" s="1">
        <v>162710</v>
      </c>
      <c r="J4113" s="1">
        <f>Raw_Data!$I4113/Raw_Data!$H4113</f>
        <v>80.62933597621408</v>
      </c>
    </row>
    <row r="4114" spans="1:10" x14ac:dyDescent="0.3">
      <c r="A4114" s="9">
        <v>43714</v>
      </c>
      <c r="B4114" s="2" t="str">
        <f>TEXT(Raw_Data!$A4114, "MMM")</f>
        <v>Sep</v>
      </c>
      <c r="C4114" s="2">
        <f>YEAR(Raw_Data!$A4114)</f>
        <v>2019</v>
      </c>
      <c r="D4114" s="2" t="s">
        <v>2380</v>
      </c>
      <c r="E4114" s="2" t="s">
        <v>29</v>
      </c>
      <c r="F4114" s="2" t="s">
        <v>18</v>
      </c>
      <c r="G4114" s="2">
        <v>2</v>
      </c>
      <c r="H4114" s="2">
        <v>2001</v>
      </c>
      <c r="I4114" s="10">
        <v>577667</v>
      </c>
      <c r="J4114" s="10">
        <f>Raw_Data!$I4114/Raw_Data!$H4114</f>
        <v>288.68915542228888</v>
      </c>
    </row>
    <row r="4115" spans="1:10" x14ac:dyDescent="0.3">
      <c r="A4115" s="8">
        <v>40942</v>
      </c>
      <c r="B4115" t="str">
        <f>TEXT(Raw_Data!$A4115, "MMM")</f>
        <v>Feb</v>
      </c>
      <c r="C4115">
        <f>YEAR(Raw_Data!$A4115)</f>
        <v>2012</v>
      </c>
      <c r="D4115" t="s">
        <v>392</v>
      </c>
      <c r="E4115" t="s">
        <v>25</v>
      </c>
      <c r="F4115" t="s">
        <v>11</v>
      </c>
      <c r="G4115">
        <v>3</v>
      </c>
      <c r="H4115">
        <v>2049</v>
      </c>
      <c r="I4115" s="1">
        <v>734077</v>
      </c>
      <c r="J4115" s="1">
        <f>Raw_Data!$I4115/Raw_Data!$H4115</f>
        <v>358.26110297706197</v>
      </c>
    </row>
    <row r="4116" spans="1:10" x14ac:dyDescent="0.3">
      <c r="A4116" s="9">
        <v>40613</v>
      </c>
      <c r="B4116" s="2" t="str">
        <f>TEXT(Raw_Data!$A4116, "MMM")</f>
        <v>Mar</v>
      </c>
      <c r="C4116" s="2">
        <f>YEAR(Raw_Data!$A4116)</f>
        <v>2011</v>
      </c>
      <c r="D4116" s="2" t="s">
        <v>620</v>
      </c>
      <c r="E4116" s="2" t="s">
        <v>23</v>
      </c>
      <c r="F4116" s="2" t="s">
        <v>18</v>
      </c>
      <c r="G4116" s="2">
        <v>4</v>
      </c>
      <c r="H4116" s="2">
        <v>1739</v>
      </c>
      <c r="I4116" s="10">
        <v>369826</v>
      </c>
      <c r="J4116" s="10">
        <f>Raw_Data!$I4116/Raw_Data!$H4116</f>
        <v>212.66589994249568</v>
      </c>
    </row>
    <row r="4117" spans="1:10" x14ac:dyDescent="0.3">
      <c r="A4117" s="8">
        <v>42392</v>
      </c>
      <c r="B4117" t="str">
        <f>TEXT(Raw_Data!$A4117, "MMM")</f>
        <v>Jan</v>
      </c>
      <c r="C4117">
        <f>YEAR(Raw_Data!$A4117)</f>
        <v>2016</v>
      </c>
      <c r="D4117" t="s">
        <v>2701</v>
      </c>
      <c r="E4117" t="s">
        <v>21</v>
      </c>
      <c r="F4117" t="s">
        <v>11</v>
      </c>
      <c r="G4117">
        <v>2</v>
      </c>
      <c r="H4117">
        <v>2811</v>
      </c>
      <c r="I4117" s="1">
        <v>438382</v>
      </c>
      <c r="J4117" s="1">
        <f>Raw_Data!$I4117/Raw_Data!$H4117</f>
        <v>155.95233013162576</v>
      </c>
    </row>
    <row r="4118" spans="1:10" x14ac:dyDescent="0.3">
      <c r="A4118" s="9">
        <v>40455</v>
      </c>
      <c r="B4118" s="2" t="str">
        <f>TEXT(Raw_Data!$A4118, "MMM")</f>
        <v>Oct</v>
      </c>
      <c r="C4118" s="2">
        <f>YEAR(Raw_Data!$A4118)</f>
        <v>2010</v>
      </c>
      <c r="D4118" s="2" t="s">
        <v>1221</v>
      </c>
      <c r="E4118" s="2" t="s">
        <v>23</v>
      </c>
      <c r="F4118" s="2" t="s">
        <v>27</v>
      </c>
      <c r="G4118" s="2"/>
      <c r="H4118" s="2">
        <v>1859</v>
      </c>
      <c r="I4118" s="10">
        <v>598620</v>
      </c>
      <c r="J4118" s="10">
        <f>Raw_Data!$I4118/Raw_Data!$H4118</f>
        <v>322.0118343195266</v>
      </c>
    </row>
    <row r="4119" spans="1:10" x14ac:dyDescent="0.3">
      <c r="A4119" s="8">
        <v>41943</v>
      </c>
      <c r="B4119" t="str">
        <f>TEXT(Raw_Data!$A4119, "MMM")</f>
        <v>Oct</v>
      </c>
      <c r="C4119">
        <f>YEAR(Raw_Data!$A4119)</f>
        <v>2014</v>
      </c>
      <c r="D4119" t="s">
        <v>2184</v>
      </c>
      <c r="E4119" t="s">
        <v>23</v>
      </c>
      <c r="F4119" t="s">
        <v>18</v>
      </c>
      <c r="G4119">
        <v>3</v>
      </c>
      <c r="H4119">
        <v>3065</v>
      </c>
      <c r="I4119" s="1">
        <v>225702</v>
      </c>
      <c r="J4119" s="1">
        <f>Raw_Data!$I4119/Raw_Data!$H4119</f>
        <v>73.63849918433931</v>
      </c>
    </row>
    <row r="4120" spans="1:10" x14ac:dyDescent="0.3">
      <c r="A4120" s="9">
        <v>42195</v>
      </c>
      <c r="B4120" s="2" t="str">
        <f>TEXT(Raw_Data!$A4120, "MMM")</f>
        <v>Jul</v>
      </c>
      <c r="C4120" s="2">
        <f>YEAR(Raw_Data!$A4120)</f>
        <v>2015</v>
      </c>
      <c r="D4120" s="2" t="s">
        <v>2417</v>
      </c>
      <c r="E4120" s="2" t="s">
        <v>32</v>
      </c>
      <c r="F4120" s="2" t="s">
        <v>27</v>
      </c>
      <c r="G4120" s="2">
        <v>2</v>
      </c>
      <c r="H4120" s="2">
        <v>3284</v>
      </c>
      <c r="I4120" s="10">
        <v>161065</v>
      </c>
      <c r="J4120" s="10">
        <f>Raw_Data!$I4120/Raw_Data!$H4120</f>
        <v>49.045371498172962</v>
      </c>
    </row>
    <row r="4121" spans="1:10" x14ac:dyDescent="0.3">
      <c r="A4121" s="8">
        <v>43490</v>
      </c>
      <c r="B4121" t="str">
        <f>TEXT(Raw_Data!$A4121, "MMM")</f>
        <v>Jan</v>
      </c>
      <c r="C4121">
        <f>YEAR(Raw_Data!$A4121)</f>
        <v>2019</v>
      </c>
      <c r="D4121" t="s">
        <v>1692</v>
      </c>
      <c r="E4121" t="s">
        <v>15</v>
      </c>
      <c r="F4121" t="s">
        <v>16</v>
      </c>
      <c r="G4121">
        <v>5</v>
      </c>
      <c r="H4121">
        <v>2894</v>
      </c>
      <c r="I4121" s="1">
        <v>416684</v>
      </c>
      <c r="J4121" s="1">
        <f>Raw_Data!$I4121/Raw_Data!$H4121</f>
        <v>143.98203178991017</v>
      </c>
    </row>
    <row r="4122" spans="1:10" x14ac:dyDescent="0.3">
      <c r="A4122" s="9">
        <v>39340</v>
      </c>
      <c r="B4122" s="2" t="str">
        <f>TEXT(Raw_Data!$A4122, "MMM")</f>
        <v>Sep</v>
      </c>
      <c r="C4122" s="2">
        <f>YEAR(Raw_Data!$A4122)</f>
        <v>2007</v>
      </c>
      <c r="D4122" s="2" t="s">
        <v>2702</v>
      </c>
      <c r="E4122" s="2" t="s">
        <v>13</v>
      </c>
      <c r="F4122" s="2" t="s">
        <v>18</v>
      </c>
      <c r="G4122" s="2">
        <v>3</v>
      </c>
      <c r="H4122" s="2">
        <v>2909</v>
      </c>
      <c r="I4122" s="10">
        <v>443857</v>
      </c>
      <c r="J4122" s="10">
        <f>Raw_Data!$I4122/Raw_Data!$H4122</f>
        <v>152.58061189412169</v>
      </c>
    </row>
    <row r="4123" spans="1:10" x14ac:dyDescent="0.3">
      <c r="A4123" s="8">
        <v>42702</v>
      </c>
      <c r="B4123" t="str">
        <f>TEXT(Raw_Data!$A4123, "MMM")</f>
        <v>Nov</v>
      </c>
      <c r="C4123">
        <f>YEAR(Raw_Data!$A4123)</f>
        <v>2016</v>
      </c>
      <c r="D4123" t="s">
        <v>2703</v>
      </c>
      <c r="E4123" t="s">
        <v>23</v>
      </c>
      <c r="F4123" t="s">
        <v>27</v>
      </c>
      <c r="G4123">
        <v>2</v>
      </c>
      <c r="H4123">
        <v>3451</v>
      </c>
      <c r="I4123" s="1">
        <v>577436</v>
      </c>
      <c r="J4123" s="1">
        <f>Raw_Data!$I4123/Raw_Data!$H4123</f>
        <v>167.32425383946682</v>
      </c>
    </row>
    <row r="4124" spans="1:10" x14ac:dyDescent="0.3">
      <c r="A4124" s="9">
        <v>41310</v>
      </c>
      <c r="B4124" s="2" t="str">
        <f>TEXT(Raw_Data!$A4124, "MMM")</f>
        <v>Feb</v>
      </c>
      <c r="C4124" s="2">
        <f>YEAR(Raw_Data!$A4124)</f>
        <v>2013</v>
      </c>
      <c r="D4124" s="2" t="s">
        <v>1241</v>
      </c>
      <c r="E4124" s="2" t="s">
        <v>23</v>
      </c>
      <c r="F4124" s="2" t="s">
        <v>16</v>
      </c>
      <c r="G4124" s="2">
        <v>4</v>
      </c>
      <c r="H4124" s="2">
        <v>3250</v>
      </c>
      <c r="I4124" s="10">
        <v>735710</v>
      </c>
      <c r="J4124" s="10">
        <f>Raw_Data!$I4124/Raw_Data!$H4124</f>
        <v>226.37230769230769</v>
      </c>
    </row>
    <row r="4125" spans="1:10" x14ac:dyDescent="0.3">
      <c r="A4125" s="8">
        <v>42467</v>
      </c>
      <c r="B4125" t="str">
        <f>TEXT(Raw_Data!$A4125, "MMM")</f>
        <v>Apr</v>
      </c>
      <c r="C4125">
        <f>YEAR(Raw_Data!$A4125)</f>
        <v>2016</v>
      </c>
      <c r="D4125" t="s">
        <v>1645</v>
      </c>
      <c r="E4125" t="s">
        <v>13</v>
      </c>
      <c r="F4125" t="s">
        <v>16</v>
      </c>
      <c r="G4125">
        <v>3</v>
      </c>
      <c r="H4125">
        <v>1931</v>
      </c>
      <c r="I4125" s="1">
        <v>201310</v>
      </c>
      <c r="J4125" s="1">
        <f>Raw_Data!$I4125/Raw_Data!$H4125</f>
        <v>104.25168306576903</v>
      </c>
    </row>
    <row r="4126" spans="1:10" x14ac:dyDescent="0.3">
      <c r="A4126" s="9">
        <v>40810</v>
      </c>
      <c r="B4126" s="2" t="str">
        <f>TEXT(Raw_Data!$A4126, "MMM")</f>
        <v>Sep</v>
      </c>
      <c r="C4126" s="2">
        <f>YEAR(Raw_Data!$A4126)</f>
        <v>2011</v>
      </c>
      <c r="D4126" s="2" t="s">
        <v>751</v>
      </c>
      <c r="E4126" s="2" t="s">
        <v>13</v>
      </c>
      <c r="F4126" s="2" t="s">
        <v>11</v>
      </c>
      <c r="G4126" s="2">
        <v>2</v>
      </c>
      <c r="H4126" s="2">
        <v>1313</v>
      </c>
      <c r="I4126" s="10">
        <v>294032</v>
      </c>
      <c r="J4126" s="10">
        <f>Raw_Data!$I4126/Raw_Data!$H4126</f>
        <v>223.93907083015995</v>
      </c>
    </row>
    <row r="4127" spans="1:10" x14ac:dyDescent="0.3">
      <c r="A4127" s="8">
        <v>39441</v>
      </c>
      <c r="B4127" t="str">
        <f>TEXT(Raw_Data!$A4127, "MMM")</f>
        <v>Dec</v>
      </c>
      <c r="C4127">
        <f>YEAR(Raw_Data!$A4127)</f>
        <v>2007</v>
      </c>
      <c r="D4127" t="s">
        <v>2704</v>
      </c>
      <c r="E4127" t="s">
        <v>25</v>
      </c>
      <c r="F4127" t="s">
        <v>16</v>
      </c>
      <c r="G4127">
        <v>3</v>
      </c>
      <c r="H4127">
        <v>1964</v>
      </c>
      <c r="I4127" s="1">
        <v>310000</v>
      </c>
      <c r="J4127" s="1">
        <f>Raw_Data!$I4127/Raw_Data!$H4127</f>
        <v>157.84114052953157</v>
      </c>
    </row>
    <row r="4128" spans="1:10" x14ac:dyDescent="0.3">
      <c r="A4128" s="9">
        <v>38121</v>
      </c>
      <c r="B4128" s="2" t="str">
        <f>TEXT(Raw_Data!$A4128, "MMM")</f>
        <v>May</v>
      </c>
      <c r="C4128" s="2">
        <f>YEAR(Raw_Data!$A4128)</f>
        <v>2004</v>
      </c>
      <c r="D4128" s="2" t="s">
        <v>2705</v>
      </c>
      <c r="E4128" s="2" t="s">
        <v>25</v>
      </c>
      <c r="F4128" s="2" t="s">
        <v>11</v>
      </c>
      <c r="G4128" s="2"/>
      <c r="H4128" s="2">
        <v>3342</v>
      </c>
      <c r="I4128" s="10">
        <v>509407</v>
      </c>
      <c r="J4128" s="10">
        <f>Raw_Data!$I4128/Raw_Data!$H4128</f>
        <v>152.42579293836027</v>
      </c>
    </row>
    <row r="4129" spans="1:10" x14ac:dyDescent="0.3">
      <c r="A4129" s="8">
        <v>43394</v>
      </c>
      <c r="B4129" t="str">
        <f>TEXT(Raw_Data!$A4129, "MMM")</f>
        <v>Oct</v>
      </c>
      <c r="C4129">
        <f>YEAR(Raw_Data!$A4129)</f>
        <v>2018</v>
      </c>
      <c r="D4129" t="s">
        <v>1659</v>
      </c>
      <c r="E4129" t="s">
        <v>25</v>
      </c>
      <c r="F4129" t="s">
        <v>27</v>
      </c>
      <c r="H4129">
        <v>1822</v>
      </c>
      <c r="I4129" s="1">
        <v>676673</v>
      </c>
      <c r="J4129" s="1">
        <f>Raw_Data!$I4129/Raw_Data!$H4129</f>
        <v>371.39023051591658</v>
      </c>
    </row>
    <row r="4130" spans="1:10" x14ac:dyDescent="0.3">
      <c r="A4130" s="9">
        <v>41624</v>
      </c>
      <c r="B4130" s="2" t="str">
        <f>TEXT(Raw_Data!$A4130, "MMM")</f>
        <v>Dec</v>
      </c>
      <c r="C4130" s="2">
        <f>YEAR(Raw_Data!$A4130)</f>
        <v>2013</v>
      </c>
      <c r="D4130" s="2" t="s">
        <v>121</v>
      </c>
      <c r="E4130" s="2" t="s">
        <v>32</v>
      </c>
      <c r="F4130" s="2" t="s">
        <v>16</v>
      </c>
      <c r="G4130" s="2"/>
      <c r="H4130" s="2">
        <v>1388</v>
      </c>
      <c r="I4130" s="10">
        <v>468910</v>
      </c>
      <c r="J4130" s="10">
        <f>Raw_Data!$I4130/Raw_Data!$H4130</f>
        <v>337.8314121037464</v>
      </c>
    </row>
    <row r="4131" spans="1:10" x14ac:dyDescent="0.3">
      <c r="A4131" s="8">
        <v>37875</v>
      </c>
      <c r="B4131" t="str">
        <f>TEXT(Raw_Data!$A4131, "MMM")</f>
        <v>Sep</v>
      </c>
      <c r="C4131">
        <f>YEAR(Raw_Data!$A4131)</f>
        <v>2003</v>
      </c>
      <c r="D4131" t="s">
        <v>277</v>
      </c>
      <c r="E4131" t="s">
        <v>25</v>
      </c>
      <c r="F4131" t="s">
        <v>11</v>
      </c>
      <c r="H4131">
        <v>2769</v>
      </c>
      <c r="I4131" s="1">
        <v>272958</v>
      </c>
      <c r="J4131" s="1">
        <f>Raw_Data!$I4131/Raw_Data!$H4131</f>
        <v>98.576381365113761</v>
      </c>
    </row>
    <row r="4132" spans="1:10" x14ac:dyDescent="0.3">
      <c r="A4132" s="9">
        <v>40049</v>
      </c>
      <c r="B4132" s="2" t="str">
        <f>TEXT(Raw_Data!$A4132, "MMM")</f>
        <v>Aug</v>
      </c>
      <c r="C4132" s="2">
        <f>YEAR(Raw_Data!$A4132)</f>
        <v>2009</v>
      </c>
      <c r="D4132" s="2" t="s">
        <v>569</v>
      </c>
      <c r="E4132" s="2" t="s">
        <v>25</v>
      </c>
      <c r="F4132" s="2" t="s">
        <v>16</v>
      </c>
      <c r="G4132" s="2"/>
      <c r="H4132" s="2">
        <v>2384</v>
      </c>
      <c r="I4132" s="10">
        <v>561751</v>
      </c>
      <c r="J4132" s="10">
        <f>Raw_Data!$I4132/Raw_Data!$H4132</f>
        <v>235.63380872483222</v>
      </c>
    </row>
    <row r="4133" spans="1:10" x14ac:dyDescent="0.3">
      <c r="A4133" s="8">
        <v>41841</v>
      </c>
      <c r="B4133" t="str">
        <f>TEXT(Raw_Data!$A4133, "MMM")</f>
        <v>Jul</v>
      </c>
      <c r="C4133">
        <f>YEAR(Raw_Data!$A4133)</f>
        <v>2014</v>
      </c>
      <c r="D4133" t="s">
        <v>2706</v>
      </c>
      <c r="E4133" t="s">
        <v>32</v>
      </c>
      <c r="F4133" t="s">
        <v>11</v>
      </c>
      <c r="G4133">
        <v>2</v>
      </c>
      <c r="H4133">
        <v>1695</v>
      </c>
      <c r="I4133" s="1">
        <v>617036</v>
      </c>
      <c r="J4133" s="1">
        <f>Raw_Data!$I4133/Raw_Data!$H4133</f>
        <v>364.03303834808258</v>
      </c>
    </row>
    <row r="4134" spans="1:10" x14ac:dyDescent="0.3">
      <c r="A4134" s="9">
        <v>41004</v>
      </c>
      <c r="B4134" s="2" t="str">
        <f>TEXT(Raw_Data!$A4134, "MMM")</f>
        <v>Apr</v>
      </c>
      <c r="C4134" s="2">
        <f>YEAR(Raw_Data!$A4134)</f>
        <v>2012</v>
      </c>
      <c r="D4134" s="2" t="s">
        <v>31</v>
      </c>
      <c r="E4134" s="2" t="s">
        <v>23</v>
      </c>
      <c r="F4134" s="2" t="s">
        <v>11</v>
      </c>
      <c r="G4134" s="2">
        <v>5</v>
      </c>
      <c r="H4134" s="2">
        <v>2060</v>
      </c>
      <c r="I4134" s="10">
        <v>709072</v>
      </c>
      <c r="J4134" s="10">
        <f>Raw_Data!$I4134/Raw_Data!$H4134</f>
        <v>344.2097087378641</v>
      </c>
    </row>
    <row r="4135" spans="1:10" x14ac:dyDescent="0.3">
      <c r="A4135" s="8">
        <v>37738</v>
      </c>
      <c r="B4135" t="str">
        <f>TEXT(Raw_Data!$A4135, "MMM")</f>
        <v>Apr</v>
      </c>
      <c r="C4135">
        <f>YEAR(Raw_Data!$A4135)</f>
        <v>2003</v>
      </c>
      <c r="D4135" t="s">
        <v>299</v>
      </c>
      <c r="E4135" t="s">
        <v>32</v>
      </c>
      <c r="F4135" t="s">
        <v>27</v>
      </c>
      <c r="G4135">
        <v>5</v>
      </c>
      <c r="H4135">
        <v>834</v>
      </c>
      <c r="I4135" s="1">
        <v>298015</v>
      </c>
      <c r="J4135" s="1">
        <f>Raw_Data!$I4135/Raw_Data!$H4135</f>
        <v>357.33213429256597</v>
      </c>
    </row>
    <row r="4136" spans="1:10" x14ac:dyDescent="0.3">
      <c r="A4136" s="9">
        <v>39707</v>
      </c>
      <c r="B4136" s="2" t="str">
        <f>TEXT(Raw_Data!$A4136, "MMM")</f>
        <v>Sep</v>
      </c>
      <c r="C4136" s="2">
        <f>YEAR(Raw_Data!$A4136)</f>
        <v>2008</v>
      </c>
      <c r="D4136" s="2" t="s">
        <v>295</v>
      </c>
      <c r="E4136" s="2" t="s">
        <v>32</v>
      </c>
      <c r="F4136" s="2" t="s">
        <v>27</v>
      </c>
      <c r="G4136" s="2">
        <v>4</v>
      </c>
      <c r="H4136" s="2">
        <v>2971</v>
      </c>
      <c r="I4136" s="10">
        <v>538607</v>
      </c>
      <c r="J4136" s="10">
        <f>Raw_Data!$I4136/Raw_Data!$H4136</f>
        <v>181.28811847862673</v>
      </c>
    </row>
    <row r="4137" spans="1:10" x14ac:dyDescent="0.3">
      <c r="A4137" s="8">
        <v>42563</v>
      </c>
      <c r="B4137" t="str">
        <f>TEXT(Raw_Data!$A4137, "MMM")</f>
        <v>Jul</v>
      </c>
      <c r="C4137">
        <f>YEAR(Raw_Data!$A4137)</f>
        <v>2016</v>
      </c>
      <c r="D4137" t="s">
        <v>419</v>
      </c>
      <c r="E4137" t="s">
        <v>23</v>
      </c>
      <c r="F4137" t="s">
        <v>11</v>
      </c>
      <c r="H4137">
        <v>2757</v>
      </c>
      <c r="I4137" s="1">
        <v>658580</v>
      </c>
      <c r="J4137" s="1">
        <f>Raw_Data!$I4137/Raw_Data!$H4137</f>
        <v>238.87558940877767</v>
      </c>
    </row>
    <row r="4138" spans="1:10" x14ac:dyDescent="0.3">
      <c r="A4138" s="9">
        <v>42237</v>
      </c>
      <c r="B4138" s="2" t="str">
        <f>TEXT(Raw_Data!$A4138, "MMM")</f>
        <v>Aug</v>
      </c>
      <c r="C4138" s="2">
        <f>YEAR(Raw_Data!$A4138)</f>
        <v>2015</v>
      </c>
      <c r="D4138" s="2" t="s">
        <v>2566</v>
      </c>
      <c r="E4138" s="2" t="s">
        <v>15</v>
      </c>
      <c r="F4138" s="2" t="s">
        <v>11</v>
      </c>
      <c r="G4138" s="2">
        <v>2</v>
      </c>
      <c r="H4138" s="2">
        <v>983</v>
      </c>
      <c r="I4138" s="10">
        <v>284355</v>
      </c>
      <c r="J4138" s="10">
        <f>Raw_Data!$I4138/Raw_Data!$H4138</f>
        <v>289.27263479145472</v>
      </c>
    </row>
    <row r="4139" spans="1:10" x14ac:dyDescent="0.3">
      <c r="A4139" s="8">
        <v>37090</v>
      </c>
      <c r="B4139" t="str">
        <f>TEXT(Raw_Data!$A4139, "MMM")</f>
        <v>Jul</v>
      </c>
      <c r="C4139">
        <f>YEAR(Raw_Data!$A4139)</f>
        <v>2001</v>
      </c>
      <c r="D4139" t="s">
        <v>209</v>
      </c>
      <c r="E4139" t="s">
        <v>13</v>
      </c>
      <c r="F4139" t="s">
        <v>11</v>
      </c>
      <c r="G4139">
        <v>5</v>
      </c>
      <c r="H4139">
        <v>2314</v>
      </c>
      <c r="I4139" s="1">
        <v>788446</v>
      </c>
      <c r="J4139" s="1">
        <f>Raw_Data!$I4139/Raw_Data!$H4139</f>
        <v>340.72860847018148</v>
      </c>
    </row>
    <row r="4140" spans="1:10" x14ac:dyDescent="0.3">
      <c r="A4140" s="9">
        <v>37024</v>
      </c>
      <c r="B4140" s="2" t="str">
        <f>TEXT(Raw_Data!$A4140, "MMM")</f>
        <v>May</v>
      </c>
      <c r="C4140" s="2">
        <f>YEAR(Raw_Data!$A4140)</f>
        <v>2001</v>
      </c>
      <c r="D4140" s="2" t="s">
        <v>2707</v>
      </c>
      <c r="E4140" s="2" t="s">
        <v>15</v>
      </c>
      <c r="F4140" s="2" t="s">
        <v>11</v>
      </c>
      <c r="G4140" s="2"/>
      <c r="H4140" s="2">
        <v>2205</v>
      </c>
      <c r="I4140" s="10">
        <v>628783</v>
      </c>
      <c r="J4140" s="10">
        <f>Raw_Data!$I4140/Raw_Data!$H4140</f>
        <v>285.162358276644</v>
      </c>
    </row>
    <row r="4141" spans="1:10" x14ac:dyDescent="0.3">
      <c r="A4141" s="8">
        <v>37332</v>
      </c>
      <c r="B4141" t="str">
        <f>TEXT(Raw_Data!$A4141, "MMM")</f>
        <v>Mar</v>
      </c>
      <c r="C4141">
        <f>YEAR(Raw_Data!$A4141)</f>
        <v>2002</v>
      </c>
      <c r="D4141" t="s">
        <v>2708</v>
      </c>
      <c r="E4141" t="s">
        <v>13</v>
      </c>
      <c r="F4141" t="s">
        <v>16</v>
      </c>
      <c r="G4141">
        <v>2</v>
      </c>
      <c r="H4141">
        <v>2299</v>
      </c>
      <c r="I4141" s="1">
        <v>742450</v>
      </c>
      <c r="J4141" s="1">
        <f>Raw_Data!$I4141/Raw_Data!$H4141</f>
        <v>322.94475859069161</v>
      </c>
    </row>
    <row r="4142" spans="1:10" x14ac:dyDescent="0.3">
      <c r="A4142" s="9">
        <v>39918</v>
      </c>
      <c r="B4142" s="2" t="str">
        <f>TEXT(Raw_Data!$A4142, "MMM")</f>
        <v>Apr</v>
      </c>
      <c r="C4142" s="2">
        <f>YEAR(Raw_Data!$A4142)</f>
        <v>2009</v>
      </c>
      <c r="D4142" s="2" t="s">
        <v>633</v>
      </c>
      <c r="E4142" s="2" t="s">
        <v>32</v>
      </c>
      <c r="F4142" s="2" t="s">
        <v>16</v>
      </c>
      <c r="G4142" s="2">
        <v>5</v>
      </c>
      <c r="H4142" s="2">
        <v>2992</v>
      </c>
      <c r="I4142" s="10">
        <v>500651</v>
      </c>
      <c r="J4142" s="10">
        <f>Raw_Data!$I4142/Raw_Data!$H4142</f>
        <v>167.3298796791444</v>
      </c>
    </row>
    <row r="4143" spans="1:10" x14ac:dyDescent="0.3">
      <c r="A4143" s="8">
        <v>42130</v>
      </c>
      <c r="B4143" t="str">
        <f>TEXT(Raw_Data!$A4143, "MMM")</f>
        <v>May</v>
      </c>
      <c r="C4143">
        <f>YEAR(Raw_Data!$A4143)</f>
        <v>2015</v>
      </c>
      <c r="D4143" t="s">
        <v>2598</v>
      </c>
      <c r="E4143" t="s">
        <v>32</v>
      </c>
      <c r="F4143" t="s">
        <v>18</v>
      </c>
      <c r="H4143">
        <v>2454</v>
      </c>
      <c r="I4143" s="1">
        <v>330004</v>
      </c>
      <c r="J4143" s="1">
        <f>Raw_Data!$I4143/Raw_Data!$H4143</f>
        <v>134.47595762021189</v>
      </c>
    </row>
    <row r="4144" spans="1:10" x14ac:dyDescent="0.3">
      <c r="A4144" s="9">
        <v>38523</v>
      </c>
      <c r="B4144" s="2" t="str">
        <f>TEXT(Raw_Data!$A4144, "MMM")</f>
        <v>Jun</v>
      </c>
      <c r="C4144" s="2">
        <f>YEAR(Raw_Data!$A4144)</f>
        <v>2005</v>
      </c>
      <c r="D4144" s="2" t="s">
        <v>1800</v>
      </c>
      <c r="E4144" s="2" t="s">
        <v>21</v>
      </c>
      <c r="F4144" s="2" t="s">
        <v>18</v>
      </c>
      <c r="G4144" s="2"/>
      <c r="H4144" s="2">
        <v>3128</v>
      </c>
      <c r="I4144" s="10">
        <v>242152</v>
      </c>
      <c r="J4144" s="10">
        <f>Raw_Data!$I4144/Raw_Data!$H4144</f>
        <v>77.414322250639387</v>
      </c>
    </row>
    <row r="4145" spans="1:10" x14ac:dyDescent="0.3">
      <c r="A4145" s="8">
        <v>39525</v>
      </c>
      <c r="B4145" t="str">
        <f>TEXT(Raw_Data!$A4145, "MMM")</f>
        <v>Mar</v>
      </c>
      <c r="C4145">
        <f>YEAR(Raw_Data!$A4145)</f>
        <v>2008</v>
      </c>
      <c r="D4145" t="s">
        <v>1374</v>
      </c>
      <c r="E4145" t="s">
        <v>15</v>
      </c>
      <c r="F4145" t="s">
        <v>11</v>
      </c>
      <c r="H4145">
        <v>1282</v>
      </c>
      <c r="I4145" s="1">
        <v>609365</v>
      </c>
      <c r="J4145" s="1">
        <f>Raw_Data!$I4145/Raw_Data!$H4145</f>
        <v>475.32371294851794</v>
      </c>
    </row>
    <row r="4146" spans="1:10" x14ac:dyDescent="0.3">
      <c r="A4146" s="9">
        <v>38155</v>
      </c>
      <c r="B4146" s="2" t="str">
        <f>TEXT(Raw_Data!$A4146, "MMM")</f>
        <v>Jun</v>
      </c>
      <c r="C4146" s="2">
        <f>YEAR(Raw_Data!$A4146)</f>
        <v>2004</v>
      </c>
      <c r="D4146" s="2" t="s">
        <v>2709</v>
      </c>
      <c r="E4146" s="2" t="s">
        <v>15</v>
      </c>
      <c r="F4146" s="2" t="s">
        <v>27</v>
      </c>
      <c r="G4146" s="2"/>
      <c r="H4146" s="2">
        <v>3152</v>
      </c>
      <c r="I4146" s="10">
        <v>328410</v>
      </c>
      <c r="J4146" s="10">
        <f>Raw_Data!$I4146/Raw_Data!$H4146</f>
        <v>104.19098984771574</v>
      </c>
    </row>
    <row r="4147" spans="1:10" x14ac:dyDescent="0.3">
      <c r="A4147" s="8">
        <v>39711</v>
      </c>
      <c r="B4147" t="str">
        <f>TEXT(Raw_Data!$A4147, "MMM")</f>
        <v>Sep</v>
      </c>
      <c r="C4147">
        <f>YEAR(Raw_Data!$A4147)</f>
        <v>2008</v>
      </c>
      <c r="D4147" t="s">
        <v>317</v>
      </c>
      <c r="E4147" t="s">
        <v>13</v>
      </c>
      <c r="F4147" t="s">
        <v>11</v>
      </c>
      <c r="G4147">
        <v>2</v>
      </c>
      <c r="H4147">
        <v>2718</v>
      </c>
      <c r="I4147" s="1">
        <v>801025</v>
      </c>
      <c r="J4147" s="1">
        <f>Raw_Data!$I4147/Raw_Data!$H4147</f>
        <v>294.7111846946284</v>
      </c>
    </row>
    <row r="4148" spans="1:10" x14ac:dyDescent="0.3">
      <c r="A4148" s="9">
        <v>39672</v>
      </c>
      <c r="B4148" s="2" t="str">
        <f>TEXT(Raw_Data!$A4148, "MMM")</f>
        <v>Aug</v>
      </c>
      <c r="C4148" s="2">
        <f>YEAR(Raw_Data!$A4148)</f>
        <v>2008</v>
      </c>
      <c r="D4148" s="2" t="s">
        <v>723</v>
      </c>
      <c r="E4148" s="2" t="s">
        <v>13</v>
      </c>
      <c r="F4148" s="2" t="s">
        <v>27</v>
      </c>
      <c r="G4148" s="2">
        <v>4</v>
      </c>
      <c r="H4148" s="2">
        <v>1431</v>
      </c>
      <c r="I4148" s="10">
        <v>407217</v>
      </c>
      <c r="J4148" s="10">
        <f>Raw_Data!$I4148/Raw_Data!$H4148</f>
        <v>284.56813417190773</v>
      </c>
    </row>
    <row r="4149" spans="1:10" x14ac:dyDescent="0.3">
      <c r="A4149" s="8">
        <v>41042</v>
      </c>
      <c r="B4149" t="str">
        <f>TEXT(Raw_Data!$A4149, "MMM")</f>
        <v>May</v>
      </c>
      <c r="C4149">
        <f>YEAR(Raw_Data!$A4149)</f>
        <v>2012</v>
      </c>
      <c r="D4149" t="s">
        <v>2710</v>
      </c>
      <c r="E4149" t="s">
        <v>32</v>
      </c>
      <c r="F4149" t="s">
        <v>27</v>
      </c>
      <c r="H4149">
        <v>1178</v>
      </c>
      <c r="I4149" s="1">
        <v>864901</v>
      </c>
      <c r="J4149" s="1">
        <f>Raw_Data!$I4149/Raw_Data!$H4149</f>
        <v>734.21137521222408</v>
      </c>
    </row>
    <row r="4150" spans="1:10" x14ac:dyDescent="0.3">
      <c r="A4150" s="9">
        <v>39124</v>
      </c>
      <c r="B4150" s="2" t="str">
        <f>TEXT(Raw_Data!$A4150, "MMM")</f>
        <v>Feb</v>
      </c>
      <c r="C4150" s="2">
        <f>YEAR(Raw_Data!$A4150)</f>
        <v>2007</v>
      </c>
      <c r="D4150" s="2" t="s">
        <v>2683</v>
      </c>
      <c r="E4150" s="2" t="s">
        <v>29</v>
      </c>
      <c r="F4150" s="2" t="s">
        <v>27</v>
      </c>
      <c r="G4150" s="2">
        <v>4</v>
      </c>
      <c r="H4150" s="2">
        <v>3243</v>
      </c>
      <c r="I4150" s="10">
        <v>682649</v>
      </c>
      <c r="J4150" s="10">
        <f>Raw_Data!$I4150/Raw_Data!$H4150</f>
        <v>210.49922910884982</v>
      </c>
    </row>
    <row r="4151" spans="1:10" x14ac:dyDescent="0.3">
      <c r="A4151" s="8">
        <v>43068</v>
      </c>
      <c r="B4151" t="str">
        <f>TEXT(Raw_Data!$A4151, "MMM")</f>
        <v>Nov</v>
      </c>
      <c r="C4151">
        <f>YEAR(Raw_Data!$A4151)</f>
        <v>2017</v>
      </c>
      <c r="D4151" t="s">
        <v>2711</v>
      </c>
      <c r="E4151" t="s">
        <v>23</v>
      </c>
      <c r="F4151" t="s">
        <v>16</v>
      </c>
      <c r="H4151">
        <v>2057</v>
      </c>
      <c r="I4151" s="1">
        <v>542419</v>
      </c>
      <c r="J4151" s="1">
        <f>Raw_Data!$I4151/Raw_Data!$H4151</f>
        <v>263.69421487603307</v>
      </c>
    </row>
    <row r="4152" spans="1:10" x14ac:dyDescent="0.3">
      <c r="A4152" s="9">
        <v>41567</v>
      </c>
      <c r="B4152" s="2" t="str">
        <f>TEXT(Raw_Data!$A4152, "MMM")</f>
        <v>Oct</v>
      </c>
      <c r="C4152" s="2">
        <f>YEAR(Raw_Data!$A4152)</f>
        <v>2013</v>
      </c>
      <c r="D4152" s="2" t="s">
        <v>1991</v>
      </c>
      <c r="E4152" s="2" t="s">
        <v>23</v>
      </c>
      <c r="F4152" s="2" t="s">
        <v>27</v>
      </c>
      <c r="G4152" s="2">
        <v>2</v>
      </c>
      <c r="H4152" s="2">
        <v>1703</v>
      </c>
      <c r="I4152" s="10">
        <v>656949</v>
      </c>
      <c r="J4152" s="10">
        <f>Raw_Data!$I4152/Raw_Data!$H4152</f>
        <v>385.75983558426304</v>
      </c>
    </row>
    <row r="4153" spans="1:10" x14ac:dyDescent="0.3">
      <c r="A4153" s="8">
        <v>43836</v>
      </c>
      <c r="B4153" t="str">
        <f>TEXT(Raw_Data!$A4153, "MMM")</f>
        <v>Jan</v>
      </c>
      <c r="C4153">
        <f>YEAR(Raw_Data!$A4153)</f>
        <v>2020</v>
      </c>
      <c r="D4153" t="s">
        <v>1760</v>
      </c>
      <c r="E4153" t="s">
        <v>25</v>
      </c>
      <c r="F4153" t="s">
        <v>27</v>
      </c>
      <c r="H4153">
        <v>1176</v>
      </c>
      <c r="I4153" s="1">
        <v>694187</v>
      </c>
      <c r="J4153" s="1">
        <f>Raw_Data!$I4153/Raw_Data!$H4153</f>
        <v>590.29506802721085</v>
      </c>
    </row>
    <row r="4154" spans="1:10" x14ac:dyDescent="0.3">
      <c r="A4154" s="9">
        <v>38590</v>
      </c>
      <c r="B4154" s="2" t="str">
        <f>TEXT(Raw_Data!$A4154, "MMM")</f>
        <v>Aug</v>
      </c>
      <c r="C4154" s="2">
        <f>YEAR(Raw_Data!$A4154)</f>
        <v>2005</v>
      </c>
      <c r="D4154" s="2" t="s">
        <v>2712</v>
      </c>
      <c r="E4154" s="2" t="s">
        <v>32</v>
      </c>
      <c r="F4154" s="2" t="s">
        <v>18</v>
      </c>
      <c r="G4154" s="2">
        <v>3</v>
      </c>
      <c r="H4154" s="2">
        <v>2321</v>
      </c>
      <c r="I4154" s="10">
        <v>443180</v>
      </c>
      <c r="J4154" s="10">
        <f>Raw_Data!$I4154/Raw_Data!$H4154</f>
        <v>190.94355881085738</v>
      </c>
    </row>
    <row r="4155" spans="1:10" x14ac:dyDescent="0.3">
      <c r="A4155" s="8">
        <v>40517</v>
      </c>
      <c r="B4155" t="str">
        <f>TEXT(Raw_Data!$A4155, "MMM")</f>
        <v>Dec</v>
      </c>
      <c r="C4155">
        <f>YEAR(Raw_Data!$A4155)</f>
        <v>2010</v>
      </c>
      <c r="D4155" t="s">
        <v>2713</v>
      </c>
      <c r="E4155" t="s">
        <v>15</v>
      </c>
      <c r="F4155" t="s">
        <v>16</v>
      </c>
      <c r="G4155">
        <v>4</v>
      </c>
      <c r="H4155">
        <v>3189</v>
      </c>
      <c r="I4155" s="1">
        <v>836744</v>
      </c>
      <c r="J4155" s="1">
        <f>Raw_Data!$I4155/Raw_Data!$H4155</f>
        <v>262.38444653496396</v>
      </c>
    </row>
    <row r="4156" spans="1:10" x14ac:dyDescent="0.3">
      <c r="A4156" s="9">
        <v>40010</v>
      </c>
      <c r="B4156" s="2" t="str">
        <f>TEXT(Raw_Data!$A4156, "MMM")</f>
        <v>Jul</v>
      </c>
      <c r="C4156" s="2">
        <f>YEAR(Raw_Data!$A4156)</f>
        <v>2009</v>
      </c>
      <c r="D4156" s="2" t="s">
        <v>449</v>
      </c>
      <c r="E4156" s="2" t="s">
        <v>29</v>
      </c>
      <c r="F4156" s="2" t="s">
        <v>16</v>
      </c>
      <c r="G4156" s="2">
        <v>5</v>
      </c>
      <c r="H4156" s="2">
        <v>1726</v>
      </c>
      <c r="I4156" s="10">
        <v>346318</v>
      </c>
      <c r="J4156" s="10">
        <f>Raw_Data!$I4156/Raw_Data!$H4156</f>
        <v>200.64774044032444</v>
      </c>
    </row>
    <row r="4157" spans="1:10" x14ac:dyDescent="0.3">
      <c r="A4157" s="8">
        <v>38871</v>
      </c>
      <c r="B4157" t="str">
        <f>TEXT(Raw_Data!$A4157, "MMM")</f>
        <v>Jun</v>
      </c>
      <c r="C4157">
        <f>YEAR(Raw_Data!$A4157)</f>
        <v>2006</v>
      </c>
      <c r="D4157" t="s">
        <v>2714</v>
      </c>
      <c r="E4157" t="s">
        <v>29</v>
      </c>
      <c r="F4157" t="s">
        <v>16</v>
      </c>
      <c r="G4157">
        <v>5</v>
      </c>
      <c r="H4157">
        <v>3116</v>
      </c>
      <c r="I4157" s="1">
        <v>856262</v>
      </c>
      <c r="J4157" s="1">
        <f>Raw_Data!$I4157/Raw_Data!$H4157</f>
        <v>274.79525032092425</v>
      </c>
    </row>
    <row r="4158" spans="1:10" x14ac:dyDescent="0.3">
      <c r="A4158" s="9">
        <v>40559</v>
      </c>
      <c r="B4158" s="2" t="str">
        <f>TEXT(Raw_Data!$A4158, "MMM")</f>
        <v>Jan</v>
      </c>
      <c r="C4158" s="2">
        <f>YEAR(Raw_Data!$A4158)</f>
        <v>2011</v>
      </c>
      <c r="D4158" s="2" t="s">
        <v>2715</v>
      </c>
      <c r="E4158" s="2" t="s">
        <v>15</v>
      </c>
      <c r="F4158" s="2" t="s">
        <v>27</v>
      </c>
      <c r="G4158" s="2">
        <v>4</v>
      </c>
      <c r="H4158" s="2">
        <v>2232</v>
      </c>
      <c r="I4158" s="10">
        <v>826715</v>
      </c>
      <c r="J4158" s="10">
        <f>Raw_Data!$I4158/Raw_Data!$H4158</f>
        <v>370.39202508960574</v>
      </c>
    </row>
    <row r="4159" spans="1:10" x14ac:dyDescent="0.3">
      <c r="A4159" s="8">
        <v>37404</v>
      </c>
      <c r="B4159" t="str">
        <f>TEXT(Raw_Data!$A4159, "MMM")</f>
        <v>May</v>
      </c>
      <c r="C4159">
        <f>YEAR(Raw_Data!$A4159)</f>
        <v>2002</v>
      </c>
      <c r="D4159" t="s">
        <v>918</v>
      </c>
      <c r="E4159" t="s">
        <v>21</v>
      </c>
      <c r="F4159" t="s">
        <v>16</v>
      </c>
      <c r="H4159">
        <v>1627</v>
      </c>
      <c r="I4159" s="1">
        <v>676120</v>
      </c>
      <c r="J4159" s="1">
        <f>Raw_Data!$I4159/Raw_Data!$H4159</f>
        <v>415.56238475722188</v>
      </c>
    </row>
    <row r="4160" spans="1:10" x14ac:dyDescent="0.3">
      <c r="A4160" s="9">
        <v>41433</v>
      </c>
      <c r="B4160" s="2" t="str">
        <f>TEXT(Raw_Data!$A4160, "MMM")</f>
        <v>Jun</v>
      </c>
      <c r="C4160" s="2">
        <f>YEAR(Raw_Data!$A4160)</f>
        <v>2013</v>
      </c>
      <c r="D4160" s="2" t="s">
        <v>851</v>
      </c>
      <c r="E4160" s="2" t="s">
        <v>23</v>
      </c>
      <c r="F4160" s="2" t="s">
        <v>27</v>
      </c>
      <c r="G4160" s="2">
        <v>5</v>
      </c>
      <c r="H4160" s="2">
        <v>3420</v>
      </c>
      <c r="I4160" s="10">
        <v>725538</v>
      </c>
      <c r="J4160" s="10">
        <f>Raw_Data!$I4160/Raw_Data!$H4160</f>
        <v>212.14561403508773</v>
      </c>
    </row>
    <row r="4161" spans="1:10" x14ac:dyDescent="0.3">
      <c r="A4161" s="8">
        <v>42271</v>
      </c>
      <c r="B4161" t="str">
        <f>TEXT(Raw_Data!$A4161, "MMM")</f>
        <v>Sep</v>
      </c>
      <c r="C4161">
        <f>YEAR(Raw_Data!$A4161)</f>
        <v>2015</v>
      </c>
      <c r="D4161" t="s">
        <v>1958</v>
      </c>
      <c r="E4161" t="s">
        <v>25</v>
      </c>
      <c r="F4161" t="s">
        <v>18</v>
      </c>
      <c r="H4161">
        <v>2200</v>
      </c>
      <c r="I4161" s="1">
        <v>104831</v>
      </c>
      <c r="J4161" s="1">
        <f>Raw_Data!$I4161/Raw_Data!$H4161</f>
        <v>47.650454545454544</v>
      </c>
    </row>
    <row r="4162" spans="1:10" x14ac:dyDescent="0.3">
      <c r="A4162" s="9">
        <v>38363</v>
      </c>
      <c r="B4162" s="2" t="str">
        <f>TEXT(Raw_Data!$A4162, "MMM")</f>
        <v>Jan</v>
      </c>
      <c r="C4162" s="2">
        <f>YEAR(Raw_Data!$A4162)</f>
        <v>2005</v>
      </c>
      <c r="D4162" s="2" t="s">
        <v>442</v>
      </c>
      <c r="E4162" s="2" t="s">
        <v>13</v>
      </c>
      <c r="F4162" s="2" t="s">
        <v>11</v>
      </c>
      <c r="G4162" s="2"/>
      <c r="H4162" s="2">
        <v>1636</v>
      </c>
      <c r="I4162" s="10">
        <v>508011</v>
      </c>
      <c r="J4162" s="10">
        <f>Raw_Data!$I4162/Raw_Data!$H4162</f>
        <v>310.52017114914423</v>
      </c>
    </row>
    <row r="4163" spans="1:10" x14ac:dyDescent="0.3">
      <c r="A4163" s="8">
        <v>41742</v>
      </c>
      <c r="B4163" t="str">
        <f>TEXT(Raw_Data!$A4163, "MMM")</f>
        <v>Apr</v>
      </c>
      <c r="C4163">
        <f>YEAR(Raw_Data!$A4163)</f>
        <v>2014</v>
      </c>
      <c r="D4163" t="s">
        <v>433</v>
      </c>
      <c r="E4163" t="s">
        <v>25</v>
      </c>
      <c r="F4163" t="s">
        <v>18</v>
      </c>
      <c r="G4163">
        <v>4</v>
      </c>
      <c r="H4163">
        <v>2788</v>
      </c>
      <c r="I4163" s="1">
        <v>392537</v>
      </c>
      <c r="J4163" s="1">
        <f>Raw_Data!$I4163/Raw_Data!$H4163</f>
        <v>140.79519368723098</v>
      </c>
    </row>
    <row r="4164" spans="1:10" x14ac:dyDescent="0.3">
      <c r="A4164" s="9">
        <v>38830</v>
      </c>
      <c r="B4164" s="2" t="str">
        <f>TEXT(Raw_Data!$A4164, "MMM")</f>
        <v>Apr</v>
      </c>
      <c r="C4164" s="2">
        <f>YEAR(Raw_Data!$A4164)</f>
        <v>2006</v>
      </c>
      <c r="D4164" s="2" t="s">
        <v>2716</v>
      </c>
      <c r="E4164" s="2" t="s">
        <v>32</v>
      </c>
      <c r="F4164" s="2" t="s">
        <v>16</v>
      </c>
      <c r="G4164" s="2"/>
      <c r="H4164" s="2">
        <v>2095</v>
      </c>
      <c r="I4164" s="10">
        <v>238022</v>
      </c>
      <c r="J4164" s="10">
        <f>Raw_Data!$I4164/Raw_Data!$H4164</f>
        <v>113.61431980906922</v>
      </c>
    </row>
    <row r="4165" spans="1:10" x14ac:dyDescent="0.3">
      <c r="A4165" s="8">
        <v>40563</v>
      </c>
      <c r="B4165" t="str">
        <f>TEXT(Raw_Data!$A4165, "MMM")</f>
        <v>Jan</v>
      </c>
      <c r="C4165">
        <f>YEAR(Raw_Data!$A4165)</f>
        <v>2011</v>
      </c>
      <c r="D4165" t="s">
        <v>2605</v>
      </c>
      <c r="E4165" t="s">
        <v>15</v>
      </c>
      <c r="F4165" t="s">
        <v>18</v>
      </c>
      <c r="H4165">
        <v>1828</v>
      </c>
      <c r="I4165" s="1">
        <v>728548</v>
      </c>
      <c r="J4165" s="1">
        <f>Raw_Data!$I4165/Raw_Data!$H4165</f>
        <v>398.5492341356674</v>
      </c>
    </row>
    <row r="4166" spans="1:10" x14ac:dyDescent="0.3">
      <c r="A4166" s="9">
        <v>41393</v>
      </c>
      <c r="B4166" s="2" t="str">
        <f>TEXT(Raw_Data!$A4166, "MMM")</f>
        <v>Apr</v>
      </c>
      <c r="C4166" s="2">
        <f>YEAR(Raw_Data!$A4166)</f>
        <v>2013</v>
      </c>
      <c r="D4166" s="2" t="s">
        <v>2717</v>
      </c>
      <c r="E4166" s="2" t="s">
        <v>13</v>
      </c>
      <c r="F4166" s="2" t="s">
        <v>27</v>
      </c>
      <c r="G4166" s="2">
        <v>4</v>
      </c>
      <c r="H4166" s="2">
        <v>1276</v>
      </c>
      <c r="I4166" s="10">
        <v>348180</v>
      </c>
      <c r="J4166" s="10">
        <f>Raw_Data!$I4166/Raw_Data!$H4166</f>
        <v>272.86833855799375</v>
      </c>
    </row>
    <row r="4167" spans="1:10" x14ac:dyDescent="0.3">
      <c r="A4167" s="8">
        <v>42911</v>
      </c>
      <c r="B4167" t="str">
        <f>TEXT(Raw_Data!$A4167, "MMM")</f>
        <v>Jun</v>
      </c>
      <c r="C4167">
        <f>YEAR(Raw_Data!$A4167)</f>
        <v>2017</v>
      </c>
      <c r="D4167" t="s">
        <v>2718</v>
      </c>
      <c r="E4167" t="s">
        <v>25</v>
      </c>
      <c r="F4167" t="s">
        <v>18</v>
      </c>
      <c r="G4167">
        <v>4</v>
      </c>
      <c r="H4167">
        <v>2891</v>
      </c>
      <c r="I4167" s="1">
        <v>599207</v>
      </c>
      <c r="J4167" s="1">
        <f>Raw_Data!$I4167/Raw_Data!$H4167</f>
        <v>207.26634382566587</v>
      </c>
    </row>
    <row r="4168" spans="1:10" x14ac:dyDescent="0.3">
      <c r="A4168" s="9">
        <v>43193</v>
      </c>
      <c r="B4168" s="2" t="str">
        <f>TEXT(Raw_Data!$A4168, "MMM")</f>
        <v>Apr</v>
      </c>
      <c r="C4168" s="2">
        <f>YEAR(Raw_Data!$A4168)</f>
        <v>2018</v>
      </c>
      <c r="D4168" s="2" t="s">
        <v>593</v>
      </c>
      <c r="E4168" s="2" t="s">
        <v>32</v>
      </c>
      <c r="F4168" s="2" t="s">
        <v>18</v>
      </c>
      <c r="G4168" s="2">
        <v>5</v>
      </c>
      <c r="H4168" s="2">
        <v>896</v>
      </c>
      <c r="I4168" s="10">
        <v>832026</v>
      </c>
      <c r="J4168" s="10">
        <f>Raw_Data!$I4168/Raw_Data!$H4168</f>
        <v>928.60044642857144</v>
      </c>
    </row>
    <row r="4169" spans="1:10" x14ac:dyDescent="0.3">
      <c r="A4169" s="8">
        <v>41464</v>
      </c>
      <c r="B4169" t="str">
        <f>TEXT(Raw_Data!$A4169, "MMM")</f>
        <v>Jul</v>
      </c>
      <c r="C4169">
        <f>YEAR(Raw_Data!$A4169)</f>
        <v>2013</v>
      </c>
      <c r="D4169" t="s">
        <v>2719</v>
      </c>
      <c r="E4169" t="s">
        <v>21</v>
      </c>
      <c r="F4169" t="s">
        <v>18</v>
      </c>
      <c r="G4169">
        <v>4</v>
      </c>
      <c r="H4169">
        <v>2739</v>
      </c>
      <c r="I4169" s="1">
        <v>296439</v>
      </c>
      <c r="J4169" s="1">
        <f>Raw_Data!$I4169/Raw_Data!$H4169</f>
        <v>108.22891566265061</v>
      </c>
    </row>
    <row r="4170" spans="1:10" x14ac:dyDescent="0.3">
      <c r="A4170" s="9">
        <v>37021</v>
      </c>
      <c r="B4170" s="2" t="str">
        <f>TEXT(Raw_Data!$A4170, "MMM")</f>
        <v>May</v>
      </c>
      <c r="C4170" s="2">
        <f>YEAR(Raw_Data!$A4170)</f>
        <v>2001</v>
      </c>
      <c r="D4170" s="2" t="s">
        <v>631</v>
      </c>
      <c r="E4170" s="2" t="s">
        <v>25</v>
      </c>
      <c r="F4170" s="2" t="s">
        <v>11</v>
      </c>
      <c r="G4170" s="2">
        <v>3</v>
      </c>
      <c r="H4170" s="2">
        <v>1531</v>
      </c>
      <c r="I4170" s="10">
        <v>442879</v>
      </c>
      <c r="J4170" s="10">
        <f>Raw_Data!$I4170/Raw_Data!$H4170</f>
        <v>289.27433050293928</v>
      </c>
    </row>
    <row r="4171" spans="1:10" x14ac:dyDescent="0.3">
      <c r="A4171" s="8">
        <v>41178</v>
      </c>
      <c r="B4171" t="str">
        <f>TEXT(Raw_Data!$A4171, "MMM")</f>
        <v>Sep</v>
      </c>
      <c r="C4171">
        <f>YEAR(Raw_Data!$A4171)</f>
        <v>2012</v>
      </c>
      <c r="D4171" t="s">
        <v>2720</v>
      </c>
      <c r="E4171" t="s">
        <v>32</v>
      </c>
      <c r="F4171" t="s">
        <v>16</v>
      </c>
      <c r="G4171">
        <v>4</v>
      </c>
      <c r="H4171">
        <v>1157</v>
      </c>
      <c r="I4171" s="1">
        <v>691624</v>
      </c>
      <c r="J4171" s="1">
        <f>Raw_Data!$I4171/Raw_Data!$H4171</f>
        <v>597.7735522904062</v>
      </c>
    </row>
    <row r="4172" spans="1:10" x14ac:dyDescent="0.3">
      <c r="A4172" s="9">
        <v>43542</v>
      </c>
      <c r="B4172" s="2" t="str">
        <f>TEXT(Raw_Data!$A4172, "MMM")</f>
        <v>Mar</v>
      </c>
      <c r="C4172" s="2">
        <f>YEAR(Raw_Data!$A4172)</f>
        <v>2019</v>
      </c>
      <c r="D4172" s="2" t="s">
        <v>203</v>
      </c>
      <c r="E4172" s="2" t="s">
        <v>21</v>
      </c>
      <c r="F4172" s="2" t="s">
        <v>27</v>
      </c>
      <c r="G4172" s="2"/>
      <c r="H4172" s="2">
        <v>1795</v>
      </c>
      <c r="I4172" s="10">
        <v>763106</v>
      </c>
      <c r="J4172" s="10">
        <f>Raw_Data!$I4172/Raw_Data!$H4172</f>
        <v>425.12869080779944</v>
      </c>
    </row>
    <row r="4173" spans="1:10" x14ac:dyDescent="0.3">
      <c r="A4173" s="8">
        <v>43836</v>
      </c>
      <c r="B4173" t="str">
        <f>TEXT(Raw_Data!$A4173, "MMM")</f>
        <v>Jan</v>
      </c>
      <c r="C4173">
        <f>YEAR(Raw_Data!$A4173)</f>
        <v>2020</v>
      </c>
      <c r="D4173" t="s">
        <v>1845</v>
      </c>
      <c r="E4173" t="s">
        <v>32</v>
      </c>
      <c r="F4173" t="s">
        <v>18</v>
      </c>
      <c r="G4173">
        <v>4</v>
      </c>
      <c r="H4173">
        <v>1054</v>
      </c>
      <c r="I4173" s="1">
        <v>737099</v>
      </c>
      <c r="J4173" s="1">
        <f>Raw_Data!$I4173/Raw_Data!$H4173</f>
        <v>699.33491461100573</v>
      </c>
    </row>
    <row r="4174" spans="1:10" x14ac:dyDescent="0.3">
      <c r="A4174" s="9">
        <v>43955</v>
      </c>
      <c r="B4174" s="2" t="str">
        <f>TEXT(Raw_Data!$A4174, "MMM")</f>
        <v>May</v>
      </c>
      <c r="C4174" s="2">
        <f>YEAR(Raw_Data!$A4174)</f>
        <v>2020</v>
      </c>
      <c r="D4174" s="2" t="s">
        <v>2721</v>
      </c>
      <c r="E4174" s="2" t="s">
        <v>21</v>
      </c>
      <c r="F4174" s="2" t="s">
        <v>27</v>
      </c>
      <c r="G4174" s="2"/>
      <c r="H4174" s="2">
        <v>2845</v>
      </c>
      <c r="I4174" s="10">
        <v>505040</v>
      </c>
      <c r="J4174" s="10">
        <f>Raw_Data!$I4174/Raw_Data!$H4174</f>
        <v>177.51845342706503</v>
      </c>
    </row>
    <row r="4175" spans="1:10" x14ac:dyDescent="0.3">
      <c r="A4175" s="8">
        <v>44000</v>
      </c>
      <c r="B4175" t="str">
        <f>TEXT(Raw_Data!$A4175, "MMM")</f>
        <v>Jun</v>
      </c>
      <c r="C4175">
        <f>YEAR(Raw_Data!$A4175)</f>
        <v>2020</v>
      </c>
      <c r="D4175" t="s">
        <v>2722</v>
      </c>
      <c r="E4175" t="s">
        <v>25</v>
      </c>
      <c r="F4175" t="s">
        <v>16</v>
      </c>
      <c r="G4175">
        <v>5</v>
      </c>
      <c r="H4175">
        <v>1612</v>
      </c>
      <c r="I4175" s="1">
        <v>446426</v>
      </c>
      <c r="J4175" s="1">
        <f>Raw_Data!$I4175/Raw_Data!$H4175</f>
        <v>276.93920595533501</v>
      </c>
    </row>
    <row r="4176" spans="1:10" x14ac:dyDescent="0.3">
      <c r="A4176" s="9">
        <v>38562</v>
      </c>
      <c r="B4176" s="2" t="str">
        <f>TEXT(Raw_Data!$A4176, "MMM")</f>
        <v>Jul</v>
      </c>
      <c r="C4176" s="2">
        <f>YEAR(Raw_Data!$A4176)</f>
        <v>2005</v>
      </c>
      <c r="D4176" s="2" t="s">
        <v>2723</v>
      </c>
      <c r="E4176" s="2" t="s">
        <v>32</v>
      </c>
      <c r="F4176" s="2" t="s">
        <v>18</v>
      </c>
      <c r="G4176" s="2"/>
      <c r="H4176" s="2">
        <v>3176</v>
      </c>
      <c r="I4176" s="10">
        <v>840278</v>
      </c>
      <c r="J4176" s="10">
        <f>Raw_Data!$I4176/Raw_Data!$H4176</f>
        <v>264.57115869017633</v>
      </c>
    </row>
    <row r="4177" spans="1:10" x14ac:dyDescent="0.3">
      <c r="A4177" s="8">
        <v>37508</v>
      </c>
      <c r="B4177" t="str">
        <f>TEXT(Raw_Data!$A4177, "MMM")</f>
        <v>Sep</v>
      </c>
      <c r="C4177">
        <f>YEAR(Raw_Data!$A4177)</f>
        <v>2002</v>
      </c>
      <c r="D4177" t="s">
        <v>30</v>
      </c>
      <c r="E4177" t="s">
        <v>21</v>
      </c>
      <c r="F4177" t="s">
        <v>27</v>
      </c>
      <c r="G4177">
        <v>4</v>
      </c>
      <c r="H4177">
        <v>1593</v>
      </c>
      <c r="I4177" s="1">
        <v>564972</v>
      </c>
      <c r="J4177" s="1">
        <f>Raw_Data!$I4177/Raw_Data!$H4177</f>
        <v>354.65913370998118</v>
      </c>
    </row>
    <row r="4178" spans="1:10" x14ac:dyDescent="0.3">
      <c r="A4178" s="9">
        <v>42983</v>
      </c>
      <c r="B4178" s="2" t="str">
        <f>TEXT(Raw_Data!$A4178, "MMM")</f>
        <v>Sep</v>
      </c>
      <c r="C4178" s="2">
        <f>YEAR(Raw_Data!$A4178)</f>
        <v>2017</v>
      </c>
      <c r="D4178" s="2" t="s">
        <v>1385</v>
      </c>
      <c r="E4178" s="2" t="s">
        <v>25</v>
      </c>
      <c r="F4178" s="2" t="s">
        <v>18</v>
      </c>
      <c r="G4178" s="2">
        <v>3</v>
      </c>
      <c r="H4178" s="2">
        <v>1748</v>
      </c>
      <c r="I4178" s="10">
        <v>683632</v>
      </c>
      <c r="J4178" s="10">
        <f>Raw_Data!$I4178/Raw_Data!$H4178</f>
        <v>391.09382151029746</v>
      </c>
    </row>
    <row r="4179" spans="1:10" x14ac:dyDescent="0.3">
      <c r="A4179" s="8">
        <v>39827</v>
      </c>
      <c r="B4179" t="str">
        <f>TEXT(Raw_Data!$A4179, "MMM")</f>
        <v>Jan</v>
      </c>
      <c r="C4179">
        <f>YEAR(Raw_Data!$A4179)</f>
        <v>2009</v>
      </c>
      <c r="D4179" t="s">
        <v>2724</v>
      </c>
      <c r="E4179" t="s">
        <v>29</v>
      </c>
      <c r="F4179" t="s">
        <v>16</v>
      </c>
      <c r="G4179">
        <v>4</v>
      </c>
      <c r="H4179">
        <v>1737</v>
      </c>
      <c r="I4179" s="1">
        <v>459186</v>
      </c>
      <c r="J4179" s="1">
        <f>Raw_Data!$I4179/Raw_Data!$H4179</f>
        <v>264.35578583765113</v>
      </c>
    </row>
    <row r="4180" spans="1:10" x14ac:dyDescent="0.3">
      <c r="A4180" s="9">
        <v>37603</v>
      </c>
      <c r="B4180" s="2" t="str">
        <f>TEXT(Raw_Data!$A4180, "MMM")</f>
        <v>Dec</v>
      </c>
      <c r="C4180" s="2">
        <f>YEAR(Raw_Data!$A4180)</f>
        <v>2002</v>
      </c>
      <c r="D4180" s="2" t="s">
        <v>2329</v>
      </c>
      <c r="E4180" s="2" t="s">
        <v>15</v>
      </c>
      <c r="F4180" s="2" t="s">
        <v>16</v>
      </c>
      <c r="G4180" s="2">
        <v>2</v>
      </c>
      <c r="H4180" s="2">
        <v>1567</v>
      </c>
      <c r="I4180" s="10">
        <v>856799</v>
      </c>
      <c r="J4180" s="10">
        <f>Raw_Data!$I4180/Raw_Data!$H4180</f>
        <v>546.77664326738989</v>
      </c>
    </row>
    <row r="4181" spans="1:10" x14ac:dyDescent="0.3">
      <c r="A4181" s="8">
        <v>40830</v>
      </c>
      <c r="B4181" t="str">
        <f>TEXT(Raw_Data!$A4181, "MMM")</f>
        <v>Oct</v>
      </c>
      <c r="C4181">
        <f>YEAR(Raw_Data!$A4181)</f>
        <v>2011</v>
      </c>
      <c r="D4181" t="s">
        <v>2725</v>
      </c>
      <c r="E4181" t="s">
        <v>23</v>
      </c>
      <c r="F4181" t="s">
        <v>27</v>
      </c>
      <c r="G4181">
        <v>3</v>
      </c>
      <c r="H4181">
        <v>1921</v>
      </c>
      <c r="I4181" s="1">
        <v>425618</v>
      </c>
      <c r="J4181" s="1">
        <f>Raw_Data!$I4181/Raw_Data!$H4181</f>
        <v>221.5606454971369</v>
      </c>
    </row>
    <row r="4182" spans="1:10" x14ac:dyDescent="0.3">
      <c r="A4182" s="9">
        <v>43884</v>
      </c>
      <c r="B4182" s="2" t="str">
        <f>TEXT(Raw_Data!$A4182, "MMM")</f>
        <v>Feb</v>
      </c>
      <c r="C4182" s="2">
        <f>YEAR(Raw_Data!$A4182)</f>
        <v>2020</v>
      </c>
      <c r="D4182" s="2" t="s">
        <v>2726</v>
      </c>
      <c r="E4182" s="2" t="s">
        <v>25</v>
      </c>
      <c r="F4182" s="2" t="s">
        <v>16</v>
      </c>
      <c r="G4182" s="2">
        <v>2</v>
      </c>
      <c r="H4182" s="2">
        <v>3353</v>
      </c>
      <c r="I4182" s="10">
        <v>525898</v>
      </c>
      <c r="J4182" s="10">
        <f>Raw_Data!$I4182/Raw_Data!$H4182</f>
        <v>156.84402028034597</v>
      </c>
    </row>
    <row r="4183" spans="1:10" x14ac:dyDescent="0.3">
      <c r="A4183" s="8">
        <v>38716</v>
      </c>
      <c r="B4183" t="str">
        <f>TEXT(Raw_Data!$A4183, "MMM")</f>
        <v>Dec</v>
      </c>
      <c r="C4183">
        <f>YEAR(Raw_Data!$A4183)</f>
        <v>2005</v>
      </c>
      <c r="D4183" t="s">
        <v>2727</v>
      </c>
      <c r="E4183" t="s">
        <v>15</v>
      </c>
      <c r="F4183" t="s">
        <v>11</v>
      </c>
      <c r="G4183">
        <v>4</v>
      </c>
      <c r="H4183">
        <v>2559</v>
      </c>
      <c r="I4183" s="1">
        <v>357088</v>
      </c>
      <c r="J4183" s="1">
        <f>Raw_Data!$I4183/Raw_Data!$H4183</f>
        <v>139.54200859710824</v>
      </c>
    </row>
    <row r="4184" spans="1:10" x14ac:dyDescent="0.3">
      <c r="A4184" s="9">
        <v>38686</v>
      </c>
      <c r="B4184" s="2" t="str">
        <f>TEXT(Raw_Data!$A4184, "MMM")</f>
        <v>Nov</v>
      </c>
      <c r="C4184" s="2">
        <f>YEAR(Raw_Data!$A4184)</f>
        <v>2005</v>
      </c>
      <c r="D4184" s="2" t="s">
        <v>2728</v>
      </c>
      <c r="E4184" s="2" t="s">
        <v>23</v>
      </c>
      <c r="F4184" s="2" t="s">
        <v>16</v>
      </c>
      <c r="G4184" s="2">
        <v>3</v>
      </c>
      <c r="H4184" s="2">
        <v>3286</v>
      </c>
      <c r="I4184" s="10">
        <v>409725</v>
      </c>
      <c r="J4184" s="10">
        <f>Raw_Data!$I4184/Raw_Data!$H4184</f>
        <v>124.68807060255629</v>
      </c>
    </row>
    <row r="4185" spans="1:10" x14ac:dyDescent="0.3">
      <c r="A4185" s="8">
        <v>42173</v>
      </c>
      <c r="B4185" t="str">
        <f>TEXT(Raw_Data!$A4185, "MMM")</f>
        <v>Jun</v>
      </c>
      <c r="C4185">
        <f>YEAR(Raw_Data!$A4185)</f>
        <v>2015</v>
      </c>
      <c r="D4185" t="s">
        <v>1147</v>
      </c>
      <c r="E4185" t="s">
        <v>21</v>
      </c>
      <c r="F4185" t="s">
        <v>27</v>
      </c>
      <c r="G4185">
        <v>2</v>
      </c>
      <c r="H4185">
        <v>2010</v>
      </c>
      <c r="I4185" s="1">
        <v>153575</v>
      </c>
      <c r="J4185" s="1">
        <f>Raw_Data!$I4185/Raw_Data!$H4185</f>
        <v>76.405472636815915</v>
      </c>
    </row>
    <row r="4186" spans="1:10" x14ac:dyDescent="0.3">
      <c r="A4186" s="9">
        <v>42304</v>
      </c>
      <c r="B4186" s="2" t="str">
        <f>TEXT(Raw_Data!$A4186, "MMM")</f>
        <v>Oct</v>
      </c>
      <c r="C4186" s="2">
        <f>YEAR(Raw_Data!$A4186)</f>
        <v>2015</v>
      </c>
      <c r="D4186" s="2" t="s">
        <v>1179</v>
      </c>
      <c r="E4186" s="2" t="s">
        <v>32</v>
      </c>
      <c r="F4186" s="2" t="s">
        <v>11</v>
      </c>
      <c r="G4186" s="2"/>
      <c r="H4186" s="2">
        <v>2355</v>
      </c>
      <c r="I4186" s="10">
        <v>572261</v>
      </c>
      <c r="J4186" s="10">
        <f>Raw_Data!$I4186/Raw_Data!$H4186</f>
        <v>242.99830148619958</v>
      </c>
    </row>
    <row r="4187" spans="1:10" x14ac:dyDescent="0.3">
      <c r="A4187" s="8">
        <v>40175</v>
      </c>
      <c r="B4187" t="str">
        <f>TEXT(Raw_Data!$A4187, "MMM")</f>
        <v>Dec</v>
      </c>
      <c r="C4187">
        <f>YEAR(Raw_Data!$A4187)</f>
        <v>2009</v>
      </c>
      <c r="D4187" t="s">
        <v>2729</v>
      </c>
      <c r="E4187" t="s">
        <v>23</v>
      </c>
      <c r="F4187" t="s">
        <v>18</v>
      </c>
      <c r="H4187">
        <v>3418</v>
      </c>
      <c r="I4187" s="1">
        <v>745572</v>
      </c>
      <c r="J4187" s="1">
        <f>Raw_Data!$I4187/Raw_Data!$H4187</f>
        <v>218.13107080163837</v>
      </c>
    </row>
    <row r="4188" spans="1:10" x14ac:dyDescent="0.3">
      <c r="A4188" s="9">
        <v>44183</v>
      </c>
      <c r="B4188" s="2" t="str">
        <f>TEXT(Raw_Data!$A4188, "MMM")</f>
        <v>Dec</v>
      </c>
      <c r="C4188" s="2">
        <f>YEAR(Raw_Data!$A4188)</f>
        <v>2020</v>
      </c>
      <c r="D4188" s="2" t="s">
        <v>2730</v>
      </c>
      <c r="E4188" s="2" t="s">
        <v>23</v>
      </c>
      <c r="F4188" s="2" t="s">
        <v>18</v>
      </c>
      <c r="G4188" s="2">
        <v>3</v>
      </c>
      <c r="H4188" s="2">
        <v>2663</v>
      </c>
      <c r="I4188" s="10">
        <v>224079</v>
      </c>
      <c r="J4188" s="10">
        <f>Raw_Data!$I4188/Raw_Data!$H4188</f>
        <v>84.145324821629742</v>
      </c>
    </row>
    <row r="4189" spans="1:10" x14ac:dyDescent="0.3">
      <c r="A4189" s="8">
        <v>41414</v>
      </c>
      <c r="B4189" t="str">
        <f>TEXT(Raw_Data!$A4189, "MMM")</f>
        <v>May</v>
      </c>
      <c r="C4189">
        <f>YEAR(Raw_Data!$A4189)</f>
        <v>2013</v>
      </c>
      <c r="D4189" t="s">
        <v>2397</v>
      </c>
      <c r="E4189" t="s">
        <v>13</v>
      </c>
      <c r="F4189" t="s">
        <v>16</v>
      </c>
      <c r="G4189">
        <v>2</v>
      </c>
      <c r="H4189">
        <v>2791</v>
      </c>
      <c r="I4189" s="1"/>
      <c r="J4189" s="1">
        <f>Raw_Data!$I4189/Raw_Data!$H4189</f>
        <v>0</v>
      </c>
    </row>
    <row r="4190" spans="1:10" x14ac:dyDescent="0.3">
      <c r="A4190" s="9">
        <v>42685</v>
      </c>
      <c r="B4190" s="2" t="str">
        <f>TEXT(Raw_Data!$A4190, "MMM")</f>
        <v>Nov</v>
      </c>
      <c r="C4190" s="2">
        <f>YEAR(Raw_Data!$A4190)</f>
        <v>2016</v>
      </c>
      <c r="D4190" s="2" t="s">
        <v>2731</v>
      </c>
      <c r="E4190" s="2" t="s">
        <v>32</v>
      </c>
      <c r="F4190" s="2" t="s">
        <v>11</v>
      </c>
      <c r="G4190" s="2"/>
      <c r="H4190" s="2">
        <v>1742</v>
      </c>
      <c r="I4190" s="10">
        <v>210222</v>
      </c>
      <c r="J4190" s="10">
        <f>Raw_Data!$I4190/Raw_Data!$H4190</f>
        <v>120.67853042479908</v>
      </c>
    </row>
    <row r="4191" spans="1:10" x14ac:dyDescent="0.3">
      <c r="A4191" s="8">
        <v>38600</v>
      </c>
      <c r="B4191" t="str">
        <f>TEXT(Raw_Data!$A4191, "MMM")</f>
        <v>Sep</v>
      </c>
      <c r="C4191">
        <f>YEAR(Raw_Data!$A4191)</f>
        <v>2005</v>
      </c>
      <c r="D4191" t="s">
        <v>1940</v>
      </c>
      <c r="E4191" t="s">
        <v>25</v>
      </c>
      <c r="F4191" t="s">
        <v>27</v>
      </c>
      <c r="G4191">
        <v>2</v>
      </c>
      <c r="H4191">
        <v>1495</v>
      </c>
      <c r="I4191" s="1">
        <v>140141</v>
      </c>
      <c r="J4191" s="1">
        <f>Raw_Data!$I4191/Raw_Data!$H4191</f>
        <v>93.739799331103683</v>
      </c>
    </row>
    <row r="4192" spans="1:10" x14ac:dyDescent="0.3">
      <c r="A4192" s="9">
        <v>39554</v>
      </c>
      <c r="B4192" s="2" t="str">
        <f>TEXT(Raw_Data!$A4192, "MMM")</f>
        <v>Apr</v>
      </c>
      <c r="C4192" s="2">
        <f>YEAR(Raw_Data!$A4192)</f>
        <v>2008</v>
      </c>
      <c r="D4192" s="2" t="s">
        <v>2732</v>
      </c>
      <c r="E4192" s="2" t="s">
        <v>29</v>
      </c>
      <c r="F4192" s="2" t="s">
        <v>18</v>
      </c>
      <c r="G4192" s="2"/>
      <c r="H4192" s="2">
        <v>1002</v>
      </c>
      <c r="I4192" s="10">
        <v>127436</v>
      </c>
      <c r="J4192" s="10">
        <f>Raw_Data!$I4192/Raw_Data!$H4192</f>
        <v>127.18163672654691</v>
      </c>
    </row>
    <row r="4193" spans="1:10" x14ac:dyDescent="0.3">
      <c r="A4193" s="8">
        <v>40786</v>
      </c>
      <c r="B4193" t="str">
        <f>TEXT(Raw_Data!$A4193, "MMM")</f>
        <v>Aug</v>
      </c>
      <c r="C4193">
        <f>YEAR(Raw_Data!$A4193)</f>
        <v>2011</v>
      </c>
      <c r="D4193" t="s">
        <v>475</v>
      </c>
      <c r="E4193" t="s">
        <v>25</v>
      </c>
      <c r="F4193" t="s">
        <v>18</v>
      </c>
      <c r="G4193">
        <v>4</v>
      </c>
      <c r="H4193">
        <v>2546</v>
      </c>
      <c r="I4193" s="1">
        <v>775546</v>
      </c>
      <c r="J4193" s="1">
        <f>Raw_Data!$I4193/Raw_Data!$H4193</f>
        <v>304.61351139041636</v>
      </c>
    </row>
    <row r="4194" spans="1:10" x14ac:dyDescent="0.3">
      <c r="A4194" s="9">
        <v>40220</v>
      </c>
      <c r="B4194" s="2" t="str">
        <f>TEXT(Raw_Data!$A4194, "MMM")</f>
        <v>Feb</v>
      </c>
      <c r="C4194" s="2">
        <f>YEAR(Raw_Data!$A4194)</f>
        <v>2010</v>
      </c>
      <c r="D4194" s="2" t="s">
        <v>523</v>
      </c>
      <c r="E4194" s="2" t="s">
        <v>32</v>
      </c>
      <c r="F4194" s="2" t="s">
        <v>11</v>
      </c>
      <c r="G4194" s="2"/>
      <c r="H4194" s="2">
        <v>2300</v>
      </c>
      <c r="I4194" s="10">
        <v>730797</v>
      </c>
      <c r="J4194" s="10">
        <f>Raw_Data!$I4194/Raw_Data!$H4194</f>
        <v>317.73782608695655</v>
      </c>
    </row>
    <row r="4195" spans="1:10" x14ac:dyDescent="0.3">
      <c r="A4195" s="8">
        <v>37598</v>
      </c>
      <c r="B4195" t="str">
        <f>TEXT(Raw_Data!$A4195, "MMM")</f>
        <v>Dec</v>
      </c>
      <c r="C4195">
        <f>YEAR(Raw_Data!$A4195)</f>
        <v>2002</v>
      </c>
      <c r="D4195" t="s">
        <v>1780</v>
      </c>
      <c r="E4195" t="s">
        <v>25</v>
      </c>
      <c r="F4195" t="s">
        <v>16</v>
      </c>
      <c r="G4195">
        <v>4</v>
      </c>
      <c r="H4195">
        <v>2070</v>
      </c>
      <c r="I4195" s="1">
        <v>713902</v>
      </c>
      <c r="J4195" s="1">
        <f>Raw_Data!$I4195/Raw_Data!$H4195</f>
        <v>344.880193236715</v>
      </c>
    </row>
    <row r="4196" spans="1:10" x14ac:dyDescent="0.3">
      <c r="A4196" s="9">
        <v>37848</v>
      </c>
      <c r="B4196" s="2" t="str">
        <f>TEXT(Raw_Data!$A4196, "MMM")</f>
        <v>Aug</v>
      </c>
      <c r="C4196" s="2">
        <f>YEAR(Raw_Data!$A4196)</f>
        <v>2003</v>
      </c>
      <c r="D4196" s="2" t="s">
        <v>2733</v>
      </c>
      <c r="E4196" s="2" t="s">
        <v>15</v>
      </c>
      <c r="F4196" s="2" t="s">
        <v>11</v>
      </c>
      <c r="G4196" s="2">
        <v>2</v>
      </c>
      <c r="H4196" s="2">
        <v>852</v>
      </c>
      <c r="I4196" s="10">
        <v>709493</v>
      </c>
      <c r="J4196" s="10">
        <f>Raw_Data!$I4196/Raw_Data!$H4196</f>
        <v>832.73826291079808</v>
      </c>
    </row>
    <row r="4197" spans="1:10" x14ac:dyDescent="0.3">
      <c r="A4197" s="8">
        <v>40159</v>
      </c>
      <c r="B4197" t="str">
        <f>TEXT(Raw_Data!$A4197, "MMM")</f>
        <v>Dec</v>
      </c>
      <c r="C4197">
        <f>YEAR(Raw_Data!$A4197)</f>
        <v>2009</v>
      </c>
      <c r="D4197" t="s">
        <v>559</v>
      </c>
      <c r="E4197" t="s">
        <v>25</v>
      </c>
      <c r="F4197" t="s">
        <v>16</v>
      </c>
      <c r="G4197">
        <v>3</v>
      </c>
      <c r="H4197">
        <v>3458</v>
      </c>
      <c r="I4197" s="1">
        <v>160216</v>
      </c>
      <c r="J4197" s="1">
        <f>Raw_Data!$I4197/Raw_Data!$H4197</f>
        <v>46.331983805668017</v>
      </c>
    </row>
    <row r="4198" spans="1:10" x14ac:dyDescent="0.3">
      <c r="A4198" s="9">
        <v>38275</v>
      </c>
      <c r="B4198" s="2" t="str">
        <f>TEXT(Raw_Data!$A4198, "MMM")</f>
        <v>Oct</v>
      </c>
      <c r="C4198" s="2">
        <f>YEAR(Raw_Data!$A4198)</f>
        <v>2004</v>
      </c>
      <c r="D4198" s="2" t="s">
        <v>2734</v>
      </c>
      <c r="E4198" s="2" t="s">
        <v>29</v>
      </c>
      <c r="F4198" s="2" t="s">
        <v>16</v>
      </c>
      <c r="G4198" s="2">
        <v>4</v>
      </c>
      <c r="H4198" s="2">
        <v>1387</v>
      </c>
      <c r="I4198" s="10">
        <v>147371</v>
      </c>
      <c r="J4198" s="10">
        <f>Raw_Data!$I4198/Raw_Data!$H4198</f>
        <v>106.25162220620044</v>
      </c>
    </row>
    <row r="4199" spans="1:10" x14ac:dyDescent="0.3">
      <c r="A4199" s="8">
        <v>43223</v>
      </c>
      <c r="B4199" t="str">
        <f>TEXT(Raw_Data!$A4199, "MMM")</f>
        <v>May</v>
      </c>
      <c r="C4199">
        <f>YEAR(Raw_Data!$A4199)</f>
        <v>2018</v>
      </c>
      <c r="D4199" t="s">
        <v>2735</v>
      </c>
      <c r="E4199" t="s">
        <v>25</v>
      </c>
      <c r="F4199" t="s">
        <v>18</v>
      </c>
      <c r="G4199">
        <v>5</v>
      </c>
      <c r="H4199">
        <v>1843</v>
      </c>
      <c r="I4199" s="1">
        <v>518457</v>
      </c>
      <c r="J4199" s="1">
        <f>Raw_Data!$I4199/Raw_Data!$H4199</f>
        <v>281.31144872490506</v>
      </c>
    </row>
    <row r="4200" spans="1:10" x14ac:dyDescent="0.3">
      <c r="A4200" s="9">
        <v>40324</v>
      </c>
      <c r="B4200" s="2" t="str">
        <f>TEXT(Raw_Data!$A4200, "MMM")</f>
        <v>May</v>
      </c>
      <c r="C4200" s="2">
        <f>YEAR(Raw_Data!$A4200)</f>
        <v>2010</v>
      </c>
      <c r="D4200" s="2" t="s">
        <v>895</v>
      </c>
      <c r="E4200" s="2" t="s">
        <v>21</v>
      </c>
      <c r="F4200" s="2" t="s">
        <v>11</v>
      </c>
      <c r="G4200" s="2">
        <v>3</v>
      </c>
      <c r="H4200" s="2">
        <v>991</v>
      </c>
      <c r="I4200" s="10">
        <v>170164</v>
      </c>
      <c r="J4200" s="10">
        <f>Raw_Data!$I4200/Raw_Data!$H4200</f>
        <v>171.70938446014128</v>
      </c>
    </row>
    <row r="4201" spans="1:10" x14ac:dyDescent="0.3">
      <c r="A4201" s="8">
        <v>39882</v>
      </c>
      <c r="B4201" t="str">
        <f>TEXT(Raw_Data!$A4201, "MMM")</f>
        <v>Mar</v>
      </c>
      <c r="C4201">
        <f>YEAR(Raw_Data!$A4201)</f>
        <v>2009</v>
      </c>
      <c r="D4201" t="s">
        <v>2736</v>
      </c>
      <c r="E4201" t="s">
        <v>29</v>
      </c>
      <c r="F4201" t="s">
        <v>16</v>
      </c>
      <c r="H4201">
        <v>3239</v>
      </c>
      <c r="I4201" s="1">
        <v>750927</v>
      </c>
      <c r="J4201" s="1">
        <f>Raw_Data!$I4201/Raw_Data!$H4201</f>
        <v>231.83914788514974</v>
      </c>
    </row>
    <row r="4202" spans="1:10" x14ac:dyDescent="0.3">
      <c r="A4202" s="9">
        <v>42554</v>
      </c>
      <c r="B4202" s="2" t="str">
        <f>TEXT(Raw_Data!$A4202, "MMM")</f>
        <v>Jul</v>
      </c>
      <c r="C4202" s="2">
        <f>YEAR(Raw_Data!$A4202)</f>
        <v>2016</v>
      </c>
      <c r="D4202" s="2" t="s">
        <v>2737</v>
      </c>
      <c r="E4202" s="2" t="s">
        <v>21</v>
      </c>
      <c r="F4202" s="2" t="s">
        <v>27</v>
      </c>
      <c r="G4202" s="2"/>
      <c r="H4202" s="2">
        <v>869</v>
      </c>
      <c r="I4202" s="10">
        <v>520779</v>
      </c>
      <c r="J4202" s="10">
        <f>Raw_Data!$I4202/Raw_Data!$H4202</f>
        <v>599.28538550057533</v>
      </c>
    </row>
    <row r="4203" spans="1:10" x14ac:dyDescent="0.3">
      <c r="A4203" s="8">
        <v>37892</v>
      </c>
      <c r="B4203" t="str">
        <f>TEXT(Raw_Data!$A4203, "MMM")</f>
        <v>Sep</v>
      </c>
      <c r="C4203">
        <f>YEAR(Raw_Data!$A4203)</f>
        <v>2003</v>
      </c>
      <c r="D4203" t="s">
        <v>2738</v>
      </c>
      <c r="E4203" t="s">
        <v>29</v>
      </c>
      <c r="F4203" t="s">
        <v>27</v>
      </c>
      <c r="H4203">
        <v>1118</v>
      </c>
      <c r="I4203" s="1">
        <v>287517</v>
      </c>
      <c r="J4203" s="1">
        <f>Raw_Data!$I4203/Raw_Data!$H4203</f>
        <v>257.17084078711986</v>
      </c>
    </row>
    <row r="4204" spans="1:10" x14ac:dyDescent="0.3">
      <c r="A4204" s="9">
        <v>36979</v>
      </c>
      <c r="B4204" s="2" t="str">
        <f>TEXT(Raw_Data!$A4204, "MMM")</f>
        <v>Mar</v>
      </c>
      <c r="C4204" s="2">
        <f>YEAR(Raw_Data!$A4204)</f>
        <v>2001</v>
      </c>
      <c r="D4204" s="2" t="s">
        <v>2338</v>
      </c>
      <c r="E4204" s="2" t="s">
        <v>21</v>
      </c>
      <c r="F4204" s="2" t="s">
        <v>27</v>
      </c>
      <c r="G4204" s="2"/>
      <c r="H4204" s="2">
        <v>2310</v>
      </c>
      <c r="I4204" s="10">
        <v>148815</v>
      </c>
      <c r="J4204" s="10">
        <f>Raw_Data!$I4204/Raw_Data!$H4204</f>
        <v>64.422077922077918</v>
      </c>
    </row>
    <row r="4205" spans="1:10" x14ac:dyDescent="0.3">
      <c r="A4205" s="8">
        <v>39420</v>
      </c>
      <c r="B4205" t="str">
        <f>TEXT(Raw_Data!$A4205, "MMM")</f>
        <v>Dec</v>
      </c>
      <c r="C4205">
        <f>YEAR(Raw_Data!$A4205)</f>
        <v>2007</v>
      </c>
      <c r="D4205" t="s">
        <v>2620</v>
      </c>
      <c r="E4205" t="s">
        <v>21</v>
      </c>
      <c r="F4205" t="s">
        <v>18</v>
      </c>
      <c r="G4205">
        <v>3</v>
      </c>
      <c r="H4205">
        <v>908</v>
      </c>
      <c r="I4205" s="1">
        <v>230787</v>
      </c>
      <c r="J4205" s="1">
        <f>Raw_Data!$I4205/Raw_Data!$H4205</f>
        <v>254.17070484581498</v>
      </c>
    </row>
    <row r="4206" spans="1:10" x14ac:dyDescent="0.3">
      <c r="A4206" s="9">
        <v>42735</v>
      </c>
      <c r="B4206" s="2" t="str">
        <f>TEXT(Raw_Data!$A4206, "MMM")</f>
        <v>Dec</v>
      </c>
      <c r="C4206" s="2">
        <f>YEAR(Raw_Data!$A4206)</f>
        <v>2016</v>
      </c>
      <c r="D4206" s="2" t="s">
        <v>2739</v>
      </c>
      <c r="E4206" s="2" t="s">
        <v>13</v>
      </c>
      <c r="F4206" s="2" t="s">
        <v>11</v>
      </c>
      <c r="G4206" s="2"/>
      <c r="H4206" s="2">
        <v>1277</v>
      </c>
      <c r="I4206" s="10">
        <v>660520</v>
      </c>
      <c r="J4206" s="10">
        <f>Raw_Data!$I4206/Raw_Data!$H4206</f>
        <v>517.24353954581045</v>
      </c>
    </row>
    <row r="4207" spans="1:10" x14ac:dyDescent="0.3">
      <c r="A4207" s="8">
        <v>40888</v>
      </c>
      <c r="B4207" t="str">
        <f>TEXT(Raw_Data!$A4207, "MMM")</f>
        <v>Dec</v>
      </c>
      <c r="C4207">
        <f>YEAR(Raw_Data!$A4207)</f>
        <v>2011</v>
      </c>
      <c r="D4207" t="s">
        <v>2740</v>
      </c>
      <c r="E4207" t="s">
        <v>25</v>
      </c>
      <c r="F4207" t="s">
        <v>11</v>
      </c>
      <c r="H4207">
        <v>896</v>
      </c>
      <c r="I4207" s="1">
        <v>800600</v>
      </c>
      <c r="J4207" s="1">
        <f>Raw_Data!$I4207/Raw_Data!$H4207</f>
        <v>893.52678571428567</v>
      </c>
    </row>
    <row r="4208" spans="1:10" x14ac:dyDescent="0.3">
      <c r="A4208" s="9">
        <v>39130</v>
      </c>
      <c r="B4208" s="2" t="str">
        <f>TEXT(Raw_Data!$A4208, "MMM")</f>
        <v>Feb</v>
      </c>
      <c r="C4208" s="2">
        <f>YEAR(Raw_Data!$A4208)</f>
        <v>2007</v>
      </c>
      <c r="D4208" s="2" t="s">
        <v>1364</v>
      </c>
      <c r="E4208" s="2" t="s">
        <v>15</v>
      </c>
      <c r="F4208" s="2" t="s">
        <v>18</v>
      </c>
      <c r="G4208" s="2">
        <v>2</v>
      </c>
      <c r="H4208" s="2">
        <v>2480</v>
      </c>
      <c r="I4208" s="10">
        <v>438341</v>
      </c>
      <c r="J4208" s="10">
        <f>Raw_Data!$I4208/Raw_Data!$H4208</f>
        <v>176.75040322580645</v>
      </c>
    </row>
    <row r="4209" spans="1:10" x14ac:dyDescent="0.3">
      <c r="A4209" s="8">
        <v>39379</v>
      </c>
      <c r="B4209" t="str">
        <f>TEXT(Raw_Data!$A4209, "MMM")</f>
        <v>Oct</v>
      </c>
      <c r="C4209">
        <f>YEAR(Raw_Data!$A4209)</f>
        <v>2007</v>
      </c>
      <c r="D4209" t="s">
        <v>658</v>
      </c>
      <c r="E4209" t="s">
        <v>32</v>
      </c>
      <c r="F4209" t="s">
        <v>16</v>
      </c>
      <c r="G4209">
        <v>2</v>
      </c>
      <c r="H4209">
        <v>1238</v>
      </c>
      <c r="I4209" s="1">
        <v>779151</v>
      </c>
      <c r="J4209" s="1">
        <f>Raw_Data!$I4209/Raw_Data!$H4209</f>
        <v>629.36268174474958</v>
      </c>
    </row>
    <row r="4210" spans="1:10" x14ac:dyDescent="0.3">
      <c r="A4210" s="9">
        <v>38214</v>
      </c>
      <c r="B4210" s="2" t="str">
        <f>TEXT(Raw_Data!$A4210, "MMM")</f>
        <v>Aug</v>
      </c>
      <c r="C4210" s="2">
        <f>YEAR(Raw_Data!$A4210)</f>
        <v>2004</v>
      </c>
      <c r="D4210" s="2" t="s">
        <v>1151</v>
      </c>
      <c r="E4210" s="2" t="s">
        <v>15</v>
      </c>
      <c r="F4210" s="2" t="s">
        <v>18</v>
      </c>
      <c r="G4210" s="2"/>
      <c r="H4210" s="2">
        <v>3208</v>
      </c>
      <c r="I4210" s="10">
        <v>731016</v>
      </c>
      <c r="J4210" s="10">
        <f>Raw_Data!$I4210/Raw_Data!$H4210</f>
        <v>227.87281795511223</v>
      </c>
    </row>
    <row r="4211" spans="1:10" x14ac:dyDescent="0.3">
      <c r="A4211" s="8">
        <v>37604</v>
      </c>
      <c r="B4211" t="str">
        <f>TEXT(Raw_Data!$A4211, "MMM")</f>
        <v>Dec</v>
      </c>
      <c r="C4211">
        <f>YEAR(Raw_Data!$A4211)</f>
        <v>2002</v>
      </c>
      <c r="D4211" t="s">
        <v>1236</v>
      </c>
      <c r="E4211" t="s">
        <v>13</v>
      </c>
      <c r="F4211" t="s">
        <v>18</v>
      </c>
      <c r="G4211">
        <v>5</v>
      </c>
      <c r="H4211">
        <v>2751</v>
      </c>
      <c r="I4211" s="1">
        <v>238520</v>
      </c>
      <c r="J4211" s="1">
        <f>Raw_Data!$I4211/Raw_Data!$H4211</f>
        <v>86.703017084696469</v>
      </c>
    </row>
    <row r="4212" spans="1:10" x14ac:dyDescent="0.3">
      <c r="A4212" s="9">
        <v>39312</v>
      </c>
      <c r="B4212" s="2" t="str">
        <f>TEXT(Raw_Data!$A4212, "MMM")</f>
        <v>Aug</v>
      </c>
      <c r="C4212" s="2">
        <f>YEAR(Raw_Data!$A4212)</f>
        <v>2007</v>
      </c>
      <c r="D4212" s="2" t="s">
        <v>2741</v>
      </c>
      <c r="E4212" s="2" t="s">
        <v>15</v>
      </c>
      <c r="F4212" s="2" t="s">
        <v>27</v>
      </c>
      <c r="G4212" s="2"/>
      <c r="H4212" s="2">
        <v>2805</v>
      </c>
      <c r="I4212" s="10">
        <v>421804</v>
      </c>
      <c r="J4212" s="10">
        <f>Raw_Data!$I4212/Raw_Data!$H4212</f>
        <v>150.37575757575758</v>
      </c>
    </row>
    <row r="4213" spans="1:10" x14ac:dyDescent="0.3">
      <c r="A4213" s="8">
        <v>43030</v>
      </c>
      <c r="B4213" t="str">
        <f>TEXT(Raw_Data!$A4213, "MMM")</f>
        <v>Oct</v>
      </c>
      <c r="C4213">
        <f>YEAR(Raw_Data!$A4213)</f>
        <v>2017</v>
      </c>
      <c r="D4213" t="s">
        <v>2156</v>
      </c>
      <c r="E4213" t="s">
        <v>25</v>
      </c>
      <c r="F4213" t="s">
        <v>27</v>
      </c>
      <c r="G4213">
        <v>4</v>
      </c>
      <c r="H4213">
        <v>1398</v>
      </c>
      <c r="I4213" s="1">
        <v>504006</v>
      </c>
      <c r="J4213" s="1">
        <f>Raw_Data!$I4213/Raw_Data!$H4213</f>
        <v>360.51931330472104</v>
      </c>
    </row>
    <row r="4214" spans="1:10" x14ac:dyDescent="0.3">
      <c r="A4214" s="9">
        <v>41368</v>
      </c>
      <c r="B4214" s="2" t="str">
        <f>TEXT(Raw_Data!$A4214, "MMM")</f>
        <v>Apr</v>
      </c>
      <c r="C4214" s="2">
        <f>YEAR(Raw_Data!$A4214)</f>
        <v>2013</v>
      </c>
      <c r="D4214" s="2" t="s">
        <v>575</v>
      </c>
      <c r="E4214" s="2" t="s">
        <v>23</v>
      </c>
      <c r="F4214" s="2" t="s">
        <v>27</v>
      </c>
      <c r="G4214" s="2">
        <v>2</v>
      </c>
      <c r="H4214" s="2">
        <v>3039</v>
      </c>
      <c r="I4214" s="10">
        <v>783165</v>
      </c>
      <c r="J4214" s="10">
        <f>Raw_Data!$I4214/Raw_Data!$H4214</f>
        <v>257.70483711747283</v>
      </c>
    </row>
    <row r="4215" spans="1:10" x14ac:dyDescent="0.3">
      <c r="A4215" s="8">
        <v>37217</v>
      </c>
      <c r="B4215" t="str">
        <f>TEXT(Raw_Data!$A4215, "MMM")</f>
        <v>Nov</v>
      </c>
      <c r="C4215">
        <f>YEAR(Raw_Data!$A4215)</f>
        <v>2001</v>
      </c>
      <c r="D4215" t="s">
        <v>2294</v>
      </c>
      <c r="E4215" t="s">
        <v>32</v>
      </c>
      <c r="F4215" t="s">
        <v>16</v>
      </c>
      <c r="G4215">
        <v>2</v>
      </c>
      <c r="H4215">
        <v>1310</v>
      </c>
      <c r="I4215" s="1">
        <v>564361</v>
      </c>
      <c r="J4215" s="1">
        <f>Raw_Data!$I4215/Raw_Data!$H4215</f>
        <v>430.80992366412215</v>
      </c>
    </row>
    <row r="4216" spans="1:10" x14ac:dyDescent="0.3">
      <c r="A4216" s="9">
        <v>42400</v>
      </c>
      <c r="B4216" s="2" t="str">
        <f>TEXT(Raw_Data!$A4216, "MMM")</f>
        <v>Jan</v>
      </c>
      <c r="C4216" s="2">
        <f>YEAR(Raw_Data!$A4216)</f>
        <v>2016</v>
      </c>
      <c r="D4216" s="2" t="s">
        <v>2742</v>
      </c>
      <c r="E4216" s="2" t="s">
        <v>21</v>
      </c>
      <c r="F4216" s="2" t="s">
        <v>11</v>
      </c>
      <c r="G4216" s="2">
        <v>4</v>
      </c>
      <c r="H4216" s="2">
        <v>1634</v>
      </c>
      <c r="I4216" s="10">
        <v>169420</v>
      </c>
      <c r="J4216" s="10">
        <f>Raw_Data!$I4216/Raw_Data!$H4216</f>
        <v>103.68421052631579</v>
      </c>
    </row>
    <row r="4217" spans="1:10" x14ac:dyDescent="0.3">
      <c r="A4217" s="8">
        <v>39464</v>
      </c>
      <c r="B4217" t="str">
        <f>TEXT(Raw_Data!$A4217, "MMM")</f>
        <v>Jan</v>
      </c>
      <c r="C4217">
        <f>YEAR(Raw_Data!$A4217)</f>
        <v>2008</v>
      </c>
      <c r="D4217" t="s">
        <v>1618</v>
      </c>
      <c r="E4217" t="s">
        <v>25</v>
      </c>
      <c r="F4217" t="s">
        <v>11</v>
      </c>
      <c r="G4217">
        <v>3</v>
      </c>
      <c r="H4217">
        <v>1463</v>
      </c>
      <c r="I4217" s="1">
        <v>594326</v>
      </c>
      <c r="J4217" s="1">
        <f>Raw_Data!$I4217/Raw_Data!$H4217</f>
        <v>406.23786739576212</v>
      </c>
    </row>
    <row r="4218" spans="1:10" x14ac:dyDescent="0.3">
      <c r="A4218" s="9">
        <v>42686</v>
      </c>
      <c r="B4218" s="2" t="str">
        <f>TEXT(Raw_Data!$A4218, "MMM")</f>
        <v>Nov</v>
      </c>
      <c r="C4218" s="2">
        <f>YEAR(Raw_Data!$A4218)</f>
        <v>2016</v>
      </c>
      <c r="D4218" s="2" t="s">
        <v>2743</v>
      </c>
      <c r="E4218" s="2" t="s">
        <v>32</v>
      </c>
      <c r="F4218" s="2" t="s">
        <v>27</v>
      </c>
      <c r="G4218" s="2">
        <v>3</v>
      </c>
      <c r="H4218" s="2">
        <v>1134</v>
      </c>
      <c r="I4218" s="10">
        <v>400892</v>
      </c>
      <c r="J4218" s="10">
        <f>Raw_Data!$I4218/Raw_Data!$H4218</f>
        <v>353.52028218694886</v>
      </c>
    </row>
    <row r="4219" spans="1:10" x14ac:dyDescent="0.3">
      <c r="A4219" s="8">
        <v>39844</v>
      </c>
      <c r="B4219" t="str">
        <f>TEXT(Raw_Data!$A4219, "MMM")</f>
        <v>Jan</v>
      </c>
      <c r="C4219">
        <f>YEAR(Raw_Data!$A4219)</f>
        <v>2009</v>
      </c>
      <c r="D4219" t="s">
        <v>1987</v>
      </c>
      <c r="E4219" t="s">
        <v>15</v>
      </c>
      <c r="F4219" t="s">
        <v>11</v>
      </c>
      <c r="G4219">
        <v>4</v>
      </c>
      <c r="H4219">
        <v>1941</v>
      </c>
      <c r="I4219" s="1">
        <v>753058</v>
      </c>
      <c r="J4219" s="1">
        <f>Raw_Data!$I4219/Raw_Data!$H4219</f>
        <v>387.97424008243172</v>
      </c>
    </row>
    <row r="4220" spans="1:10" x14ac:dyDescent="0.3">
      <c r="A4220" s="9">
        <v>43288</v>
      </c>
      <c r="B4220" s="2" t="str">
        <f>TEXT(Raw_Data!$A4220, "MMM")</f>
        <v>Jul</v>
      </c>
      <c r="C4220" s="2">
        <f>YEAR(Raw_Data!$A4220)</f>
        <v>2018</v>
      </c>
      <c r="D4220" s="2" t="s">
        <v>544</v>
      </c>
      <c r="E4220" s="2" t="s">
        <v>32</v>
      </c>
      <c r="F4220" s="2" t="s">
        <v>11</v>
      </c>
      <c r="G4220" s="2"/>
      <c r="H4220" s="2">
        <v>2776</v>
      </c>
      <c r="I4220" s="10">
        <v>518571</v>
      </c>
      <c r="J4220" s="10">
        <f>Raw_Data!$I4220/Raw_Data!$H4220</f>
        <v>186.80511527377521</v>
      </c>
    </row>
    <row r="4221" spans="1:10" x14ac:dyDescent="0.3">
      <c r="A4221" s="8">
        <v>42903</v>
      </c>
      <c r="B4221" t="str">
        <f>TEXT(Raw_Data!$A4221, "MMM")</f>
        <v>Jun</v>
      </c>
      <c r="C4221">
        <f>YEAR(Raw_Data!$A4221)</f>
        <v>2017</v>
      </c>
      <c r="D4221" t="s">
        <v>1746</v>
      </c>
      <c r="E4221" t="s">
        <v>15</v>
      </c>
      <c r="F4221" t="s">
        <v>11</v>
      </c>
      <c r="H4221">
        <v>2799</v>
      </c>
      <c r="I4221" s="1">
        <v>210033</v>
      </c>
      <c r="J4221" s="1">
        <f>Raw_Data!$I4221/Raw_Data!$H4221</f>
        <v>75.038585209003216</v>
      </c>
    </row>
    <row r="4222" spans="1:10" x14ac:dyDescent="0.3">
      <c r="A4222" s="9">
        <v>38630</v>
      </c>
      <c r="B4222" s="2" t="str">
        <f>TEXT(Raw_Data!$A4222, "MMM")</f>
        <v>Oct</v>
      </c>
      <c r="C4222" s="2">
        <f>YEAR(Raw_Data!$A4222)</f>
        <v>2005</v>
      </c>
      <c r="D4222" s="2" t="s">
        <v>2068</v>
      </c>
      <c r="E4222" s="2" t="s">
        <v>25</v>
      </c>
      <c r="F4222" s="2" t="s">
        <v>27</v>
      </c>
      <c r="G4222" s="2">
        <v>2</v>
      </c>
      <c r="H4222" s="2">
        <v>2054</v>
      </c>
      <c r="I4222" s="10">
        <v>418725</v>
      </c>
      <c r="J4222" s="10">
        <f>Raw_Data!$I4222/Raw_Data!$H4222</f>
        <v>203.85832521908472</v>
      </c>
    </row>
    <row r="4223" spans="1:10" x14ac:dyDescent="0.3">
      <c r="A4223" s="8">
        <v>42501</v>
      </c>
      <c r="B4223" t="str">
        <f>TEXT(Raw_Data!$A4223, "MMM")</f>
        <v>May</v>
      </c>
      <c r="C4223">
        <f>YEAR(Raw_Data!$A4223)</f>
        <v>2016</v>
      </c>
      <c r="D4223" t="s">
        <v>2525</v>
      </c>
      <c r="E4223" t="s">
        <v>15</v>
      </c>
      <c r="F4223" t="s">
        <v>16</v>
      </c>
      <c r="H4223">
        <v>2639</v>
      </c>
      <c r="I4223" s="1">
        <v>190677</v>
      </c>
      <c r="J4223" s="1">
        <f>Raw_Data!$I4223/Raw_Data!$H4223</f>
        <v>72.253505115574086</v>
      </c>
    </row>
    <row r="4224" spans="1:10" x14ac:dyDescent="0.3">
      <c r="A4224" s="9">
        <v>38879</v>
      </c>
      <c r="B4224" s="2" t="str">
        <f>TEXT(Raw_Data!$A4224, "MMM")</f>
        <v>Jun</v>
      </c>
      <c r="C4224" s="2">
        <f>YEAR(Raw_Data!$A4224)</f>
        <v>2006</v>
      </c>
      <c r="D4224" s="2" t="s">
        <v>1417</v>
      </c>
      <c r="E4224" s="2" t="s">
        <v>21</v>
      </c>
      <c r="F4224" s="2" t="s">
        <v>11</v>
      </c>
      <c r="G4224" s="2"/>
      <c r="H4224" s="2">
        <v>2829</v>
      </c>
      <c r="I4224" s="10">
        <v>127192</v>
      </c>
      <c r="J4224" s="10">
        <f>Raw_Data!$I4224/Raw_Data!$H4224</f>
        <v>44.960056557087313</v>
      </c>
    </row>
    <row r="4225" spans="1:10" x14ac:dyDescent="0.3">
      <c r="A4225" s="8">
        <v>38369</v>
      </c>
      <c r="B4225" t="str">
        <f>TEXT(Raw_Data!$A4225, "MMM")</f>
        <v>Jan</v>
      </c>
      <c r="C4225">
        <f>YEAR(Raw_Data!$A4225)</f>
        <v>2005</v>
      </c>
      <c r="D4225" t="s">
        <v>2744</v>
      </c>
      <c r="E4225" t="s">
        <v>13</v>
      </c>
      <c r="F4225" t="s">
        <v>16</v>
      </c>
      <c r="G4225">
        <v>4</v>
      </c>
      <c r="H4225">
        <v>2639</v>
      </c>
      <c r="I4225" s="1">
        <v>850625</v>
      </c>
      <c r="J4225" s="1">
        <f>Raw_Data!$I4225/Raw_Data!$H4225</f>
        <v>322.3285335354301</v>
      </c>
    </row>
    <row r="4226" spans="1:10" x14ac:dyDescent="0.3">
      <c r="A4226" s="9">
        <v>44037</v>
      </c>
      <c r="B4226" s="2" t="str">
        <f>TEXT(Raw_Data!$A4226, "MMM")</f>
        <v>Jul</v>
      </c>
      <c r="C4226" s="2">
        <f>YEAR(Raw_Data!$A4226)</f>
        <v>2020</v>
      </c>
      <c r="D4226" s="2" t="s">
        <v>1315</v>
      </c>
      <c r="E4226" s="2" t="s">
        <v>25</v>
      </c>
      <c r="F4226" s="2" t="s">
        <v>16</v>
      </c>
      <c r="G4226" s="2">
        <v>3</v>
      </c>
      <c r="H4226" s="2">
        <v>2147</v>
      </c>
      <c r="I4226" s="10">
        <v>541478</v>
      </c>
      <c r="J4226" s="10">
        <f>Raw_Data!$I4226/Raw_Data!$H4226</f>
        <v>252.20214252445271</v>
      </c>
    </row>
    <row r="4227" spans="1:10" x14ac:dyDescent="0.3">
      <c r="A4227" s="8">
        <v>39103</v>
      </c>
      <c r="B4227" t="str">
        <f>TEXT(Raw_Data!$A4227, "MMM")</f>
        <v>Jan</v>
      </c>
      <c r="C4227">
        <f>YEAR(Raw_Data!$A4227)</f>
        <v>2007</v>
      </c>
      <c r="D4227" t="s">
        <v>2745</v>
      </c>
      <c r="E4227" t="s">
        <v>15</v>
      </c>
      <c r="F4227" t="s">
        <v>27</v>
      </c>
      <c r="H4227">
        <v>1332</v>
      </c>
      <c r="I4227" s="1">
        <v>613684</v>
      </c>
      <c r="J4227" s="1">
        <f>Raw_Data!$I4227/Raw_Data!$H4227</f>
        <v>460.72372372372371</v>
      </c>
    </row>
    <row r="4228" spans="1:10" x14ac:dyDescent="0.3">
      <c r="A4228" s="9">
        <v>37969</v>
      </c>
      <c r="B4228" s="2" t="str">
        <f>TEXT(Raw_Data!$A4228, "MMM")</f>
        <v>Dec</v>
      </c>
      <c r="C4228" s="2">
        <f>YEAR(Raw_Data!$A4228)</f>
        <v>2003</v>
      </c>
      <c r="D4228" s="2" t="s">
        <v>2746</v>
      </c>
      <c r="E4228" s="2" t="s">
        <v>32</v>
      </c>
      <c r="F4228" s="2" t="s">
        <v>18</v>
      </c>
      <c r="G4228" s="2"/>
      <c r="H4228" s="2">
        <v>3117</v>
      </c>
      <c r="I4228" s="10">
        <v>627066</v>
      </c>
      <c r="J4228" s="10">
        <f>Raw_Data!$I4228/Raw_Data!$H4228</f>
        <v>201.17613089509143</v>
      </c>
    </row>
    <row r="4229" spans="1:10" x14ac:dyDescent="0.3">
      <c r="A4229" s="8">
        <v>38693</v>
      </c>
      <c r="B4229" t="str">
        <f>TEXT(Raw_Data!$A4229, "MMM")</f>
        <v>Dec</v>
      </c>
      <c r="C4229">
        <f>YEAR(Raw_Data!$A4229)</f>
        <v>2005</v>
      </c>
      <c r="D4229" t="s">
        <v>2517</v>
      </c>
      <c r="E4229" t="s">
        <v>25</v>
      </c>
      <c r="F4229" t="s">
        <v>11</v>
      </c>
      <c r="G4229">
        <v>3</v>
      </c>
      <c r="H4229">
        <v>1652</v>
      </c>
      <c r="I4229" s="1">
        <v>491201</v>
      </c>
      <c r="J4229" s="1">
        <f>Raw_Data!$I4229/Raw_Data!$H4229</f>
        <v>297.3371670702179</v>
      </c>
    </row>
    <row r="4230" spans="1:10" x14ac:dyDescent="0.3">
      <c r="A4230" s="9">
        <v>38355</v>
      </c>
      <c r="B4230" s="2" t="str">
        <f>TEXT(Raw_Data!$A4230, "MMM")</f>
        <v>Jan</v>
      </c>
      <c r="C4230" s="2">
        <f>YEAR(Raw_Data!$A4230)</f>
        <v>2005</v>
      </c>
      <c r="D4230" s="2" t="s">
        <v>2747</v>
      </c>
      <c r="E4230" s="2" t="s">
        <v>13</v>
      </c>
      <c r="F4230" s="2" t="s">
        <v>16</v>
      </c>
      <c r="G4230" s="2">
        <v>5</v>
      </c>
      <c r="H4230" s="2">
        <v>1377</v>
      </c>
      <c r="I4230" s="10">
        <v>596559</v>
      </c>
      <c r="J4230" s="10">
        <f>Raw_Data!$I4230/Raw_Data!$H4230</f>
        <v>433.23093681917209</v>
      </c>
    </row>
    <row r="4231" spans="1:10" x14ac:dyDescent="0.3">
      <c r="A4231" s="8">
        <v>39077</v>
      </c>
      <c r="B4231" t="str">
        <f>TEXT(Raw_Data!$A4231, "MMM")</f>
        <v>Dec</v>
      </c>
      <c r="C4231">
        <f>YEAR(Raw_Data!$A4231)</f>
        <v>2006</v>
      </c>
      <c r="D4231" t="s">
        <v>1436</v>
      </c>
      <c r="E4231" t="s">
        <v>25</v>
      </c>
      <c r="F4231" t="s">
        <v>16</v>
      </c>
      <c r="G4231">
        <v>5</v>
      </c>
      <c r="H4231">
        <v>1791</v>
      </c>
      <c r="I4231" s="1">
        <v>660177</v>
      </c>
      <c r="J4231" s="1">
        <f>Raw_Data!$I4231/Raw_Data!$H4231</f>
        <v>368.60804020100505</v>
      </c>
    </row>
    <row r="4232" spans="1:10" x14ac:dyDescent="0.3">
      <c r="A4232" s="9">
        <v>42707</v>
      </c>
      <c r="B4232" s="2" t="str">
        <f>TEXT(Raw_Data!$A4232, "MMM")</f>
        <v>Dec</v>
      </c>
      <c r="C4232" s="2">
        <f>YEAR(Raw_Data!$A4232)</f>
        <v>2016</v>
      </c>
      <c r="D4232" s="2" t="s">
        <v>1790</v>
      </c>
      <c r="E4232" s="2" t="s">
        <v>32</v>
      </c>
      <c r="F4232" s="2" t="s">
        <v>16</v>
      </c>
      <c r="G4232" s="2">
        <v>3</v>
      </c>
      <c r="H4232" s="2">
        <v>1033</v>
      </c>
      <c r="I4232" s="10">
        <v>262596</v>
      </c>
      <c r="J4232" s="10">
        <f>Raw_Data!$I4232/Raw_Data!$H4232</f>
        <v>254.20716360116165</v>
      </c>
    </row>
    <row r="4233" spans="1:10" x14ac:dyDescent="0.3">
      <c r="A4233" s="8">
        <v>43999</v>
      </c>
      <c r="B4233" t="str">
        <f>TEXT(Raw_Data!$A4233, "MMM")</f>
        <v>Jun</v>
      </c>
      <c r="C4233">
        <f>YEAR(Raw_Data!$A4233)</f>
        <v>2020</v>
      </c>
      <c r="D4233" t="s">
        <v>1362</v>
      </c>
      <c r="E4233" t="s">
        <v>29</v>
      </c>
      <c r="F4233" t="s">
        <v>16</v>
      </c>
      <c r="G4233">
        <v>3</v>
      </c>
      <c r="H4233">
        <v>2595</v>
      </c>
      <c r="I4233" s="1">
        <v>821097</v>
      </c>
      <c r="J4233" s="1">
        <f>Raw_Data!$I4233/Raw_Data!$H4233</f>
        <v>316.4150289017341</v>
      </c>
    </row>
    <row r="4234" spans="1:10" x14ac:dyDescent="0.3">
      <c r="A4234" s="9">
        <v>37942</v>
      </c>
      <c r="B4234" s="2" t="str">
        <f>TEXT(Raw_Data!$A4234, "MMM")</f>
        <v>Nov</v>
      </c>
      <c r="C4234" s="2">
        <f>YEAR(Raw_Data!$A4234)</f>
        <v>2003</v>
      </c>
      <c r="D4234" s="2" t="s">
        <v>2748</v>
      </c>
      <c r="E4234" s="2" t="s">
        <v>13</v>
      </c>
      <c r="F4234" s="2" t="s">
        <v>11</v>
      </c>
      <c r="G4234" s="2">
        <v>5</v>
      </c>
      <c r="H4234" s="2">
        <v>1319</v>
      </c>
      <c r="I4234" s="10">
        <v>427763</v>
      </c>
      <c r="J4234" s="10">
        <f>Raw_Data!$I4234/Raw_Data!$H4234</f>
        <v>324.30856709628506</v>
      </c>
    </row>
    <row r="4235" spans="1:10" x14ac:dyDescent="0.3">
      <c r="A4235" s="8">
        <v>40123</v>
      </c>
      <c r="B4235" t="str">
        <f>TEXT(Raw_Data!$A4235, "MMM")</f>
        <v>Nov</v>
      </c>
      <c r="C4235">
        <f>YEAR(Raw_Data!$A4235)</f>
        <v>2009</v>
      </c>
      <c r="D4235" t="s">
        <v>1831</v>
      </c>
      <c r="E4235" t="s">
        <v>32</v>
      </c>
      <c r="F4235" t="s">
        <v>18</v>
      </c>
      <c r="G4235">
        <v>5</v>
      </c>
      <c r="H4235">
        <v>3362</v>
      </c>
      <c r="I4235" s="1">
        <v>610856</v>
      </c>
      <c r="J4235" s="1">
        <f>Raw_Data!$I4235/Raw_Data!$H4235</f>
        <v>181.69422962522307</v>
      </c>
    </row>
    <row r="4236" spans="1:10" x14ac:dyDescent="0.3">
      <c r="A4236" s="9">
        <v>40462</v>
      </c>
      <c r="B4236" s="2" t="str">
        <f>TEXT(Raw_Data!$A4236, "MMM")</f>
        <v>Oct</v>
      </c>
      <c r="C4236" s="2">
        <f>YEAR(Raw_Data!$A4236)</f>
        <v>2010</v>
      </c>
      <c r="D4236" s="2" t="s">
        <v>1892</v>
      </c>
      <c r="E4236" s="2" t="s">
        <v>32</v>
      </c>
      <c r="F4236" s="2" t="s">
        <v>18</v>
      </c>
      <c r="G4236" s="2">
        <v>4</v>
      </c>
      <c r="H4236" s="2">
        <v>2769</v>
      </c>
      <c r="I4236" s="10"/>
      <c r="J4236" s="10">
        <f>Raw_Data!$I4236/Raw_Data!$H4236</f>
        <v>0</v>
      </c>
    </row>
    <row r="4237" spans="1:10" x14ac:dyDescent="0.3">
      <c r="A4237" s="8">
        <v>38561</v>
      </c>
      <c r="B4237" t="str">
        <f>TEXT(Raw_Data!$A4237, "MMM")</f>
        <v>Jul</v>
      </c>
      <c r="C4237">
        <f>YEAR(Raw_Data!$A4237)</f>
        <v>2005</v>
      </c>
      <c r="D4237" t="s">
        <v>2306</v>
      </c>
      <c r="E4237" t="s">
        <v>21</v>
      </c>
      <c r="F4237" t="s">
        <v>27</v>
      </c>
      <c r="G4237">
        <v>4</v>
      </c>
      <c r="H4237">
        <v>2409</v>
      </c>
      <c r="I4237" s="1">
        <v>545658</v>
      </c>
      <c r="J4237" s="1">
        <f>Raw_Data!$I4237/Raw_Data!$H4237</f>
        <v>226.50809464508094</v>
      </c>
    </row>
    <row r="4238" spans="1:10" x14ac:dyDescent="0.3">
      <c r="A4238" s="9">
        <v>38249</v>
      </c>
      <c r="B4238" s="2" t="str">
        <f>TEXT(Raw_Data!$A4238, "MMM")</f>
        <v>Sep</v>
      </c>
      <c r="C4238" s="2">
        <f>YEAR(Raw_Data!$A4238)</f>
        <v>2004</v>
      </c>
      <c r="D4238" s="2" t="s">
        <v>2749</v>
      </c>
      <c r="E4238" s="2" t="s">
        <v>23</v>
      </c>
      <c r="F4238" s="2" t="s">
        <v>11</v>
      </c>
      <c r="G4238" s="2">
        <v>4</v>
      </c>
      <c r="H4238" s="2">
        <v>2463</v>
      </c>
      <c r="I4238" s="10">
        <v>891546</v>
      </c>
      <c r="J4238" s="10">
        <f>Raw_Data!$I4238/Raw_Data!$H4238</f>
        <v>361.97563946406819</v>
      </c>
    </row>
    <row r="4239" spans="1:10" x14ac:dyDescent="0.3">
      <c r="A4239" s="8">
        <v>41361</v>
      </c>
      <c r="B4239" t="str">
        <f>TEXT(Raw_Data!$A4239, "MMM")</f>
        <v>Mar</v>
      </c>
      <c r="C4239">
        <f>YEAR(Raw_Data!$A4239)</f>
        <v>2013</v>
      </c>
      <c r="D4239" t="s">
        <v>41</v>
      </c>
      <c r="E4239" t="s">
        <v>21</v>
      </c>
      <c r="F4239" t="s">
        <v>27</v>
      </c>
      <c r="H4239">
        <v>971</v>
      </c>
      <c r="I4239" s="1">
        <v>423218</v>
      </c>
      <c r="J4239" s="1">
        <f>Raw_Data!$I4239/Raw_Data!$H4239</f>
        <v>435.85787847579815</v>
      </c>
    </row>
    <row r="4240" spans="1:10" x14ac:dyDescent="0.3">
      <c r="A4240" s="9">
        <v>42762</v>
      </c>
      <c r="B4240" s="2" t="str">
        <f>TEXT(Raw_Data!$A4240, "MMM")</f>
        <v>Jan</v>
      </c>
      <c r="C4240" s="2">
        <f>YEAR(Raw_Data!$A4240)</f>
        <v>2017</v>
      </c>
      <c r="D4240" s="2" t="s">
        <v>2750</v>
      </c>
      <c r="E4240" s="2" t="s">
        <v>32</v>
      </c>
      <c r="F4240" s="2" t="s">
        <v>11</v>
      </c>
      <c r="G4240" s="2"/>
      <c r="H4240" s="2">
        <v>3277</v>
      </c>
      <c r="I4240" s="10">
        <v>635825</v>
      </c>
      <c r="J4240" s="10">
        <f>Raw_Data!$I4240/Raw_Data!$H4240</f>
        <v>194.02654867256638</v>
      </c>
    </row>
    <row r="4241" spans="1:10" x14ac:dyDescent="0.3">
      <c r="A4241" s="8">
        <v>42388</v>
      </c>
      <c r="B4241" t="str">
        <f>TEXT(Raw_Data!$A4241, "MMM")</f>
        <v>Jan</v>
      </c>
      <c r="C4241">
        <f>YEAR(Raw_Data!$A4241)</f>
        <v>2016</v>
      </c>
      <c r="D4241" t="s">
        <v>2751</v>
      </c>
      <c r="E4241" t="s">
        <v>32</v>
      </c>
      <c r="F4241" t="s">
        <v>16</v>
      </c>
      <c r="H4241">
        <v>1893</v>
      </c>
      <c r="I4241" s="1">
        <v>729727</v>
      </c>
      <c r="J4241" s="1">
        <f>Raw_Data!$I4241/Raw_Data!$H4241</f>
        <v>385.48705758055996</v>
      </c>
    </row>
    <row r="4242" spans="1:10" x14ac:dyDescent="0.3">
      <c r="A4242" s="9">
        <v>38935</v>
      </c>
      <c r="B4242" s="2" t="str">
        <f>TEXT(Raw_Data!$A4242, "MMM")</f>
        <v>Aug</v>
      </c>
      <c r="C4242" s="2">
        <f>YEAR(Raw_Data!$A4242)</f>
        <v>2006</v>
      </c>
      <c r="D4242" s="2" t="s">
        <v>2173</v>
      </c>
      <c r="E4242" s="2" t="s">
        <v>15</v>
      </c>
      <c r="F4242" s="2" t="s">
        <v>16</v>
      </c>
      <c r="G4242" s="2">
        <v>2</v>
      </c>
      <c r="H4242" s="2">
        <v>2486</v>
      </c>
      <c r="I4242" s="10">
        <v>204295</v>
      </c>
      <c r="J4242" s="10">
        <f>Raw_Data!$I4242/Raw_Data!$H4242</f>
        <v>82.178197908286407</v>
      </c>
    </row>
    <row r="4243" spans="1:10" x14ac:dyDescent="0.3">
      <c r="A4243" s="8">
        <v>37857</v>
      </c>
      <c r="B4243" t="str">
        <f>TEXT(Raw_Data!$A4243, "MMM")</f>
        <v>Aug</v>
      </c>
      <c r="C4243">
        <f>YEAR(Raw_Data!$A4243)</f>
        <v>2003</v>
      </c>
      <c r="D4243" t="s">
        <v>2752</v>
      </c>
      <c r="E4243" t="s">
        <v>15</v>
      </c>
      <c r="F4243" t="s">
        <v>18</v>
      </c>
      <c r="H4243">
        <v>1591</v>
      </c>
      <c r="I4243" s="1">
        <v>179923</v>
      </c>
      <c r="J4243" s="1">
        <f>Raw_Data!$I4243/Raw_Data!$H4243</f>
        <v>113.0879949717159</v>
      </c>
    </row>
    <row r="4244" spans="1:10" x14ac:dyDescent="0.3">
      <c r="A4244" s="9">
        <v>38464</v>
      </c>
      <c r="B4244" s="2" t="str">
        <f>TEXT(Raw_Data!$A4244, "MMM")</f>
        <v>Apr</v>
      </c>
      <c r="C4244" s="2">
        <f>YEAR(Raw_Data!$A4244)</f>
        <v>2005</v>
      </c>
      <c r="D4244" s="2" t="s">
        <v>895</v>
      </c>
      <c r="E4244" s="2" t="s">
        <v>32</v>
      </c>
      <c r="F4244" s="2" t="s">
        <v>18</v>
      </c>
      <c r="G4244" s="2"/>
      <c r="H4244" s="2">
        <v>2150</v>
      </c>
      <c r="I4244" s="10">
        <v>793671</v>
      </c>
      <c r="J4244" s="10">
        <f>Raw_Data!$I4244/Raw_Data!$H4244</f>
        <v>369.1493023255814</v>
      </c>
    </row>
    <row r="4245" spans="1:10" x14ac:dyDescent="0.3">
      <c r="A4245" s="8">
        <v>38352</v>
      </c>
      <c r="B4245" t="str">
        <f>TEXT(Raw_Data!$A4245, "MMM")</f>
        <v>Dec</v>
      </c>
      <c r="C4245">
        <f>YEAR(Raw_Data!$A4245)</f>
        <v>2004</v>
      </c>
      <c r="D4245" t="s">
        <v>2753</v>
      </c>
      <c r="E4245" t="s">
        <v>15</v>
      </c>
      <c r="F4245" t="s">
        <v>11</v>
      </c>
      <c r="H4245">
        <v>3298</v>
      </c>
      <c r="I4245" s="1"/>
      <c r="J4245" s="1">
        <f>Raw_Data!$I4245/Raw_Data!$H4245</f>
        <v>0</v>
      </c>
    </row>
    <row r="4246" spans="1:10" x14ac:dyDescent="0.3">
      <c r="A4246" s="9">
        <v>41237</v>
      </c>
      <c r="B4246" s="2" t="str">
        <f>TEXT(Raw_Data!$A4246, "MMM")</f>
        <v>Nov</v>
      </c>
      <c r="C4246" s="2">
        <f>YEAR(Raw_Data!$A4246)</f>
        <v>2012</v>
      </c>
      <c r="D4246" s="2" t="s">
        <v>2754</v>
      </c>
      <c r="E4246" s="2" t="s">
        <v>21</v>
      </c>
      <c r="F4246" s="2" t="s">
        <v>16</v>
      </c>
      <c r="G4246" s="2"/>
      <c r="H4246" s="2">
        <v>879</v>
      </c>
      <c r="I4246" s="10">
        <v>234897</v>
      </c>
      <c r="J4246" s="10">
        <f>Raw_Data!$I4246/Raw_Data!$H4246</f>
        <v>267.23208191126281</v>
      </c>
    </row>
    <row r="4247" spans="1:10" x14ac:dyDescent="0.3">
      <c r="A4247" s="8">
        <v>42361</v>
      </c>
      <c r="B4247" t="str">
        <f>TEXT(Raw_Data!$A4247, "MMM")</f>
        <v>Dec</v>
      </c>
      <c r="C4247">
        <f>YEAR(Raw_Data!$A4247)</f>
        <v>2015</v>
      </c>
      <c r="D4247" t="s">
        <v>2755</v>
      </c>
      <c r="E4247" t="s">
        <v>32</v>
      </c>
      <c r="F4247" t="s">
        <v>27</v>
      </c>
      <c r="G4247">
        <v>5</v>
      </c>
      <c r="H4247">
        <v>2911</v>
      </c>
      <c r="I4247" s="1">
        <v>555069</v>
      </c>
      <c r="J4247" s="1">
        <f>Raw_Data!$I4247/Raw_Data!$H4247</f>
        <v>190.67983510821023</v>
      </c>
    </row>
    <row r="4248" spans="1:10" x14ac:dyDescent="0.3">
      <c r="A4248" s="9">
        <v>41595</v>
      </c>
      <c r="B4248" s="2" t="str">
        <f>TEXT(Raw_Data!$A4248, "MMM")</f>
        <v>Nov</v>
      </c>
      <c r="C4248" s="2">
        <f>YEAR(Raw_Data!$A4248)</f>
        <v>2013</v>
      </c>
      <c r="D4248" s="2" t="s">
        <v>2756</v>
      </c>
      <c r="E4248" s="2" t="s">
        <v>32</v>
      </c>
      <c r="F4248" s="2" t="s">
        <v>18</v>
      </c>
      <c r="G4248" s="2"/>
      <c r="H4248" s="2">
        <v>1156</v>
      </c>
      <c r="I4248" s="10">
        <v>451730</v>
      </c>
      <c r="J4248" s="10">
        <f>Raw_Data!$I4248/Raw_Data!$H4248</f>
        <v>390.76989619377161</v>
      </c>
    </row>
    <row r="4249" spans="1:10" x14ac:dyDescent="0.3">
      <c r="A4249" s="8">
        <v>39286</v>
      </c>
      <c r="B4249" t="str">
        <f>TEXT(Raw_Data!$A4249, "MMM")</f>
        <v>Jul</v>
      </c>
      <c r="C4249">
        <f>YEAR(Raw_Data!$A4249)</f>
        <v>2007</v>
      </c>
      <c r="D4249" t="s">
        <v>2757</v>
      </c>
      <c r="E4249" t="s">
        <v>29</v>
      </c>
      <c r="F4249" t="s">
        <v>27</v>
      </c>
      <c r="G4249">
        <v>4</v>
      </c>
      <c r="H4249">
        <v>3395</v>
      </c>
      <c r="I4249" s="1">
        <v>233618</v>
      </c>
      <c r="J4249" s="1">
        <f>Raw_Data!$I4249/Raw_Data!$H4249</f>
        <v>68.812371134020623</v>
      </c>
    </row>
    <row r="4250" spans="1:10" x14ac:dyDescent="0.3">
      <c r="A4250" s="9">
        <v>38695</v>
      </c>
      <c r="B4250" s="2" t="str">
        <f>TEXT(Raw_Data!$A4250, "MMM")</f>
        <v>Dec</v>
      </c>
      <c r="C4250" s="2">
        <f>YEAR(Raw_Data!$A4250)</f>
        <v>2005</v>
      </c>
      <c r="D4250" s="2" t="s">
        <v>1194</v>
      </c>
      <c r="E4250" s="2" t="s">
        <v>25</v>
      </c>
      <c r="F4250" s="2" t="s">
        <v>11</v>
      </c>
      <c r="G4250" s="2"/>
      <c r="H4250" s="2">
        <v>2557</v>
      </c>
      <c r="I4250" s="10">
        <v>169401</v>
      </c>
      <c r="J4250" s="10">
        <f>Raw_Data!$I4250/Raw_Data!$H4250</f>
        <v>66.249902229174808</v>
      </c>
    </row>
    <row r="4251" spans="1:10" x14ac:dyDescent="0.3">
      <c r="A4251" s="8">
        <v>38200</v>
      </c>
      <c r="B4251" t="str">
        <f>TEXT(Raw_Data!$A4251, "MMM")</f>
        <v>Aug</v>
      </c>
      <c r="C4251">
        <f>YEAR(Raw_Data!$A4251)</f>
        <v>2004</v>
      </c>
      <c r="D4251" t="s">
        <v>801</v>
      </c>
      <c r="E4251" t="s">
        <v>15</v>
      </c>
      <c r="F4251" t="s">
        <v>11</v>
      </c>
      <c r="G4251">
        <v>4</v>
      </c>
      <c r="H4251">
        <v>2721</v>
      </c>
      <c r="I4251" s="1">
        <v>474880</v>
      </c>
      <c r="J4251" s="1">
        <f>Raw_Data!$I4251/Raw_Data!$H4251</f>
        <v>174.52407203234105</v>
      </c>
    </row>
    <row r="4252" spans="1:10" x14ac:dyDescent="0.3">
      <c r="A4252" s="9">
        <v>42883</v>
      </c>
      <c r="B4252" s="2" t="str">
        <f>TEXT(Raw_Data!$A4252, "MMM")</f>
        <v>May</v>
      </c>
      <c r="C4252" s="2">
        <f>YEAR(Raw_Data!$A4252)</f>
        <v>2017</v>
      </c>
      <c r="D4252" s="2" t="s">
        <v>1885</v>
      </c>
      <c r="E4252" s="2" t="s">
        <v>25</v>
      </c>
      <c r="F4252" s="2" t="s">
        <v>27</v>
      </c>
      <c r="G4252" s="2">
        <v>3</v>
      </c>
      <c r="H4252" s="2">
        <v>2617</v>
      </c>
      <c r="I4252" s="10">
        <v>799609</v>
      </c>
      <c r="J4252" s="10">
        <f>Raw_Data!$I4252/Raw_Data!$H4252</f>
        <v>305.54413450515858</v>
      </c>
    </row>
    <row r="4253" spans="1:10" x14ac:dyDescent="0.3">
      <c r="A4253" s="8">
        <v>40899</v>
      </c>
      <c r="B4253" t="str">
        <f>TEXT(Raw_Data!$A4253, "MMM")</f>
        <v>Dec</v>
      </c>
      <c r="C4253">
        <f>YEAR(Raw_Data!$A4253)</f>
        <v>2011</v>
      </c>
      <c r="D4253" t="s">
        <v>2758</v>
      </c>
      <c r="E4253" t="s">
        <v>29</v>
      </c>
      <c r="F4253" t="s">
        <v>18</v>
      </c>
      <c r="H4253">
        <v>1536</v>
      </c>
      <c r="I4253" s="1">
        <v>655749</v>
      </c>
      <c r="J4253" s="1">
        <f>Raw_Data!$I4253/Raw_Data!$H4253</f>
        <v>426.919921875</v>
      </c>
    </row>
    <row r="4254" spans="1:10" x14ac:dyDescent="0.3">
      <c r="A4254" s="9">
        <v>42737</v>
      </c>
      <c r="B4254" s="2" t="str">
        <f>TEXT(Raw_Data!$A4254, "MMM")</f>
        <v>Jan</v>
      </c>
      <c r="C4254" s="2">
        <f>YEAR(Raw_Data!$A4254)</f>
        <v>2017</v>
      </c>
      <c r="D4254" s="2" t="s">
        <v>1836</v>
      </c>
      <c r="E4254" s="2" t="s">
        <v>21</v>
      </c>
      <c r="F4254" s="2" t="s">
        <v>16</v>
      </c>
      <c r="G4254" s="2">
        <v>2</v>
      </c>
      <c r="H4254" s="2">
        <v>3094</v>
      </c>
      <c r="I4254" s="10">
        <v>618433</v>
      </c>
      <c r="J4254" s="10">
        <f>Raw_Data!$I4254/Raw_Data!$H4254</f>
        <v>199.8813833225598</v>
      </c>
    </row>
    <row r="4255" spans="1:10" x14ac:dyDescent="0.3">
      <c r="A4255" s="8">
        <v>39500</v>
      </c>
      <c r="B4255" t="str">
        <f>TEXT(Raw_Data!$A4255, "MMM")</f>
        <v>Feb</v>
      </c>
      <c r="C4255">
        <f>YEAR(Raw_Data!$A4255)</f>
        <v>2008</v>
      </c>
      <c r="D4255" t="s">
        <v>581</v>
      </c>
      <c r="E4255" t="s">
        <v>15</v>
      </c>
      <c r="F4255" t="s">
        <v>18</v>
      </c>
      <c r="H4255">
        <v>2289</v>
      </c>
      <c r="I4255" s="1">
        <v>647724</v>
      </c>
      <c r="J4255" s="1">
        <f>Raw_Data!$I4255/Raw_Data!$H4255</f>
        <v>282.97247706422019</v>
      </c>
    </row>
    <row r="4256" spans="1:10" x14ac:dyDescent="0.3">
      <c r="A4256" s="9">
        <v>40650</v>
      </c>
      <c r="B4256" s="2" t="str">
        <f>TEXT(Raw_Data!$A4256, "MMM")</f>
        <v>Apr</v>
      </c>
      <c r="C4256" s="2">
        <f>YEAR(Raw_Data!$A4256)</f>
        <v>2011</v>
      </c>
      <c r="D4256" s="2" t="s">
        <v>2759</v>
      </c>
      <c r="E4256" s="2" t="s">
        <v>25</v>
      </c>
      <c r="F4256" s="2" t="s">
        <v>27</v>
      </c>
      <c r="G4256" s="2">
        <v>4</v>
      </c>
      <c r="H4256" s="2">
        <v>3108</v>
      </c>
      <c r="I4256" s="10">
        <v>591792</v>
      </c>
      <c r="J4256" s="10">
        <f>Raw_Data!$I4256/Raw_Data!$H4256</f>
        <v>190.40926640926642</v>
      </c>
    </row>
    <row r="4257" spans="1:10" x14ac:dyDescent="0.3">
      <c r="A4257" s="8">
        <v>39276</v>
      </c>
      <c r="B4257" t="str">
        <f>TEXT(Raw_Data!$A4257, "MMM")</f>
        <v>Jul</v>
      </c>
      <c r="C4257">
        <f>YEAR(Raw_Data!$A4257)</f>
        <v>2007</v>
      </c>
      <c r="D4257" t="s">
        <v>113</v>
      </c>
      <c r="E4257" t="s">
        <v>29</v>
      </c>
      <c r="F4257" t="s">
        <v>11</v>
      </c>
      <c r="G4257">
        <v>4</v>
      </c>
      <c r="H4257">
        <v>1390</v>
      </c>
      <c r="I4257" s="1">
        <v>666045</v>
      </c>
      <c r="J4257" s="1">
        <f>Raw_Data!$I4257/Raw_Data!$H4257</f>
        <v>479.16906474820144</v>
      </c>
    </row>
    <row r="4258" spans="1:10" x14ac:dyDescent="0.3">
      <c r="A4258" s="9">
        <v>42716</v>
      </c>
      <c r="B4258" s="2" t="str">
        <f>TEXT(Raw_Data!$A4258, "MMM")</f>
        <v>Dec</v>
      </c>
      <c r="C4258" s="2">
        <f>YEAR(Raw_Data!$A4258)</f>
        <v>2016</v>
      </c>
      <c r="D4258" s="2" t="s">
        <v>885</v>
      </c>
      <c r="E4258" s="2" t="s">
        <v>25</v>
      </c>
      <c r="F4258" s="2" t="s">
        <v>11</v>
      </c>
      <c r="G4258" s="2"/>
      <c r="H4258" s="2">
        <v>1073</v>
      </c>
      <c r="I4258" s="10">
        <v>306025</v>
      </c>
      <c r="J4258" s="10">
        <f>Raw_Data!$I4258/Raw_Data!$H4258</f>
        <v>285.20503261882573</v>
      </c>
    </row>
    <row r="4259" spans="1:10" x14ac:dyDescent="0.3">
      <c r="A4259" s="8">
        <v>39406</v>
      </c>
      <c r="B4259" t="str">
        <f>TEXT(Raw_Data!$A4259, "MMM")</f>
        <v>Nov</v>
      </c>
      <c r="C4259">
        <f>YEAR(Raw_Data!$A4259)</f>
        <v>2007</v>
      </c>
      <c r="D4259" t="s">
        <v>2760</v>
      </c>
      <c r="E4259" t="s">
        <v>25</v>
      </c>
      <c r="F4259" t="s">
        <v>27</v>
      </c>
      <c r="G4259">
        <v>3</v>
      </c>
      <c r="H4259">
        <v>2810</v>
      </c>
      <c r="I4259" s="1">
        <v>321097</v>
      </c>
      <c r="J4259" s="1">
        <f>Raw_Data!$I4259/Raw_Data!$H4259</f>
        <v>114.2693950177936</v>
      </c>
    </row>
    <row r="4260" spans="1:10" x14ac:dyDescent="0.3">
      <c r="A4260" s="9">
        <v>38548</v>
      </c>
      <c r="B4260" s="2" t="str">
        <f>TEXT(Raw_Data!$A4260, "MMM")</f>
        <v>Jul</v>
      </c>
      <c r="C4260" s="2">
        <f>YEAR(Raw_Data!$A4260)</f>
        <v>2005</v>
      </c>
      <c r="D4260" s="2" t="s">
        <v>2761</v>
      </c>
      <c r="E4260" s="2" t="s">
        <v>25</v>
      </c>
      <c r="F4260" s="2" t="s">
        <v>11</v>
      </c>
      <c r="G4260" s="2">
        <v>4</v>
      </c>
      <c r="H4260" s="2">
        <v>2956</v>
      </c>
      <c r="I4260" s="10">
        <v>614546</v>
      </c>
      <c r="J4260" s="10">
        <f>Raw_Data!$I4260/Raw_Data!$H4260</f>
        <v>207.89783491204329</v>
      </c>
    </row>
    <row r="4261" spans="1:10" x14ac:dyDescent="0.3">
      <c r="A4261" s="8">
        <v>40778</v>
      </c>
      <c r="B4261" t="str">
        <f>TEXT(Raw_Data!$A4261, "MMM")</f>
        <v>Aug</v>
      </c>
      <c r="C4261">
        <f>YEAR(Raw_Data!$A4261)</f>
        <v>2011</v>
      </c>
      <c r="D4261" t="s">
        <v>2762</v>
      </c>
      <c r="E4261" t="s">
        <v>25</v>
      </c>
      <c r="F4261" t="s">
        <v>16</v>
      </c>
      <c r="G4261">
        <v>2</v>
      </c>
      <c r="H4261">
        <v>1822</v>
      </c>
      <c r="I4261" s="1">
        <v>110042</v>
      </c>
      <c r="J4261" s="1">
        <f>Raw_Data!$I4261/Raw_Data!$H4261</f>
        <v>60.396267837541167</v>
      </c>
    </row>
    <row r="4262" spans="1:10" x14ac:dyDescent="0.3">
      <c r="A4262" s="9">
        <v>42545</v>
      </c>
      <c r="B4262" s="2" t="str">
        <f>TEXT(Raw_Data!$A4262, "MMM")</f>
        <v>Jun</v>
      </c>
      <c r="C4262" s="2">
        <f>YEAR(Raw_Data!$A4262)</f>
        <v>2016</v>
      </c>
      <c r="D4262" s="2" t="s">
        <v>1251</v>
      </c>
      <c r="E4262" s="2" t="s">
        <v>32</v>
      </c>
      <c r="F4262" s="2" t="s">
        <v>16</v>
      </c>
      <c r="G4262" s="2">
        <v>4</v>
      </c>
      <c r="H4262" s="2">
        <v>2330</v>
      </c>
      <c r="I4262" s="10">
        <v>114877</v>
      </c>
      <c r="J4262" s="10">
        <f>Raw_Data!$I4262/Raw_Data!$H4262</f>
        <v>49.303433476394851</v>
      </c>
    </row>
    <row r="4263" spans="1:10" x14ac:dyDescent="0.3">
      <c r="A4263" s="8">
        <v>39278</v>
      </c>
      <c r="B4263" t="str">
        <f>TEXT(Raw_Data!$A4263, "MMM")</f>
        <v>Jul</v>
      </c>
      <c r="C4263">
        <f>YEAR(Raw_Data!$A4263)</f>
        <v>2007</v>
      </c>
      <c r="D4263" t="s">
        <v>2676</v>
      </c>
      <c r="E4263" t="s">
        <v>15</v>
      </c>
      <c r="F4263" t="s">
        <v>27</v>
      </c>
      <c r="H4263">
        <v>1980</v>
      </c>
      <c r="I4263" s="1">
        <v>837542</v>
      </c>
      <c r="J4263" s="1">
        <f>Raw_Data!$I4263/Raw_Data!$H4263</f>
        <v>423.00101010101008</v>
      </c>
    </row>
    <row r="4264" spans="1:10" x14ac:dyDescent="0.3">
      <c r="A4264" s="9">
        <v>43254</v>
      </c>
      <c r="B4264" s="2" t="str">
        <f>TEXT(Raw_Data!$A4264, "MMM")</f>
        <v>Jun</v>
      </c>
      <c r="C4264" s="2">
        <f>YEAR(Raw_Data!$A4264)</f>
        <v>2018</v>
      </c>
      <c r="D4264" s="2" t="s">
        <v>1671</v>
      </c>
      <c r="E4264" s="2" t="s">
        <v>13</v>
      </c>
      <c r="F4264" s="2" t="s">
        <v>27</v>
      </c>
      <c r="G4264" s="2">
        <v>4</v>
      </c>
      <c r="H4264" s="2">
        <v>1631</v>
      </c>
      <c r="I4264" s="10">
        <v>669526</v>
      </c>
      <c r="J4264" s="10">
        <f>Raw_Data!$I4264/Raw_Data!$H4264</f>
        <v>410.5003065603924</v>
      </c>
    </row>
    <row r="4265" spans="1:10" x14ac:dyDescent="0.3">
      <c r="A4265" s="8">
        <v>39450</v>
      </c>
      <c r="B4265" t="str">
        <f>TEXT(Raw_Data!$A4265, "MMM")</f>
        <v>Jan</v>
      </c>
      <c r="C4265">
        <f>YEAR(Raw_Data!$A4265)</f>
        <v>2008</v>
      </c>
      <c r="D4265" t="s">
        <v>2763</v>
      </c>
      <c r="E4265" t="s">
        <v>25</v>
      </c>
      <c r="F4265" t="s">
        <v>18</v>
      </c>
      <c r="G4265">
        <v>4</v>
      </c>
      <c r="H4265">
        <v>2723</v>
      </c>
      <c r="I4265" s="1">
        <v>448992</v>
      </c>
      <c r="J4265" s="1">
        <f>Raw_Data!$I4265/Raw_Data!$H4265</f>
        <v>164.88872567021667</v>
      </c>
    </row>
    <row r="4266" spans="1:10" x14ac:dyDescent="0.3">
      <c r="A4266" s="9">
        <v>43685</v>
      </c>
      <c r="B4266" s="2" t="str">
        <f>TEXT(Raw_Data!$A4266, "MMM")</f>
        <v>Aug</v>
      </c>
      <c r="C4266" s="2">
        <f>YEAR(Raw_Data!$A4266)</f>
        <v>2019</v>
      </c>
      <c r="D4266" s="2" t="s">
        <v>2764</v>
      </c>
      <c r="E4266" s="2" t="s">
        <v>13</v>
      </c>
      <c r="F4266" s="2" t="s">
        <v>27</v>
      </c>
      <c r="G4266" s="2">
        <v>2</v>
      </c>
      <c r="H4266" s="2">
        <v>1301</v>
      </c>
      <c r="I4266" s="10">
        <v>649940</v>
      </c>
      <c r="J4266" s="10">
        <f>Raw_Data!$I4266/Raw_Data!$H4266</f>
        <v>499.56956187548042</v>
      </c>
    </row>
    <row r="4267" spans="1:10" x14ac:dyDescent="0.3">
      <c r="A4267" s="8">
        <v>38966</v>
      </c>
      <c r="B4267" t="str">
        <f>TEXT(Raw_Data!$A4267, "MMM")</f>
        <v>Sep</v>
      </c>
      <c r="C4267">
        <f>YEAR(Raw_Data!$A4267)</f>
        <v>2006</v>
      </c>
      <c r="D4267" t="s">
        <v>1277</v>
      </c>
      <c r="E4267" t="s">
        <v>25</v>
      </c>
      <c r="F4267" t="s">
        <v>16</v>
      </c>
      <c r="H4267">
        <v>2814</v>
      </c>
      <c r="I4267" s="1">
        <v>865761</v>
      </c>
      <c r="J4267" s="1">
        <f>Raw_Data!$I4267/Raw_Data!$H4267</f>
        <v>307.66204690831557</v>
      </c>
    </row>
    <row r="4268" spans="1:10" x14ac:dyDescent="0.3">
      <c r="A4268" s="9">
        <v>38564</v>
      </c>
      <c r="B4268" s="2" t="str">
        <f>TEXT(Raw_Data!$A4268, "MMM")</f>
        <v>Jul</v>
      </c>
      <c r="C4268" s="2">
        <f>YEAR(Raw_Data!$A4268)</f>
        <v>2005</v>
      </c>
      <c r="D4268" s="2" t="s">
        <v>1949</v>
      </c>
      <c r="E4268" s="2" t="s">
        <v>25</v>
      </c>
      <c r="F4268" s="2" t="s">
        <v>27</v>
      </c>
      <c r="G4268" s="2">
        <v>5</v>
      </c>
      <c r="H4268" s="2">
        <v>1375</v>
      </c>
      <c r="I4268" s="10">
        <v>417698</v>
      </c>
      <c r="J4268" s="10">
        <f>Raw_Data!$I4268/Raw_Data!$H4268</f>
        <v>303.78036363636363</v>
      </c>
    </row>
    <row r="4269" spans="1:10" x14ac:dyDescent="0.3">
      <c r="A4269" s="8">
        <v>41881</v>
      </c>
      <c r="B4269" t="str">
        <f>TEXT(Raw_Data!$A4269, "MMM")</f>
        <v>Aug</v>
      </c>
      <c r="C4269">
        <f>YEAR(Raw_Data!$A4269)</f>
        <v>2014</v>
      </c>
      <c r="D4269" t="s">
        <v>92</v>
      </c>
      <c r="E4269" t="s">
        <v>25</v>
      </c>
      <c r="F4269" t="s">
        <v>16</v>
      </c>
      <c r="G4269">
        <v>3</v>
      </c>
      <c r="H4269">
        <v>884</v>
      </c>
      <c r="I4269" s="1">
        <v>210196</v>
      </c>
      <c r="J4269" s="1">
        <f>Raw_Data!$I4269/Raw_Data!$H4269</f>
        <v>237.77828054298644</v>
      </c>
    </row>
    <row r="4270" spans="1:10" x14ac:dyDescent="0.3">
      <c r="A4270" s="9">
        <v>42518</v>
      </c>
      <c r="B4270" s="2" t="str">
        <f>TEXT(Raw_Data!$A4270, "MMM")</f>
        <v>May</v>
      </c>
      <c r="C4270" s="2">
        <f>YEAR(Raw_Data!$A4270)</f>
        <v>2016</v>
      </c>
      <c r="D4270" s="2" t="s">
        <v>1497</v>
      </c>
      <c r="E4270" s="2" t="s">
        <v>25</v>
      </c>
      <c r="F4270" s="2" t="s">
        <v>18</v>
      </c>
      <c r="G4270" s="2"/>
      <c r="H4270" s="2">
        <v>1841</v>
      </c>
      <c r="I4270" s="10">
        <v>849151</v>
      </c>
      <c r="J4270" s="10">
        <f>Raw_Data!$I4270/Raw_Data!$H4270</f>
        <v>461.24443237370991</v>
      </c>
    </row>
    <row r="4271" spans="1:10" x14ac:dyDescent="0.3">
      <c r="A4271" s="8">
        <v>39621</v>
      </c>
      <c r="B4271" t="str">
        <f>TEXT(Raw_Data!$A4271, "MMM")</f>
        <v>Jun</v>
      </c>
      <c r="C4271">
        <f>YEAR(Raw_Data!$A4271)</f>
        <v>2008</v>
      </c>
      <c r="D4271" t="s">
        <v>573</v>
      </c>
      <c r="E4271" t="s">
        <v>21</v>
      </c>
      <c r="F4271" t="s">
        <v>11</v>
      </c>
      <c r="G4271">
        <v>5</v>
      </c>
      <c r="H4271">
        <v>2874</v>
      </c>
      <c r="I4271" s="1">
        <v>119756</v>
      </c>
      <c r="J4271" s="1">
        <f>Raw_Data!$I4271/Raw_Data!$H4271</f>
        <v>41.668754349338897</v>
      </c>
    </row>
    <row r="4272" spans="1:10" x14ac:dyDescent="0.3">
      <c r="A4272" s="9">
        <v>41030</v>
      </c>
      <c r="B4272" s="2" t="str">
        <f>TEXT(Raw_Data!$A4272, "MMM")</f>
        <v>May</v>
      </c>
      <c r="C4272" s="2">
        <f>YEAR(Raw_Data!$A4272)</f>
        <v>2012</v>
      </c>
      <c r="D4272" s="2" t="s">
        <v>689</v>
      </c>
      <c r="E4272" s="2" t="s">
        <v>29</v>
      </c>
      <c r="F4272" s="2" t="s">
        <v>16</v>
      </c>
      <c r="G4272" s="2">
        <v>2</v>
      </c>
      <c r="H4272" s="2">
        <v>1178</v>
      </c>
      <c r="I4272" s="10">
        <v>301925</v>
      </c>
      <c r="J4272" s="10">
        <f>Raw_Data!$I4272/Raw_Data!$H4272</f>
        <v>256.3030560271647</v>
      </c>
    </row>
    <row r="4273" spans="1:10" x14ac:dyDescent="0.3">
      <c r="A4273" s="8">
        <v>42581</v>
      </c>
      <c r="B4273" t="str">
        <f>TEXT(Raw_Data!$A4273, "MMM")</f>
        <v>Jul</v>
      </c>
      <c r="C4273">
        <f>YEAR(Raw_Data!$A4273)</f>
        <v>2016</v>
      </c>
      <c r="D4273" t="s">
        <v>392</v>
      </c>
      <c r="E4273" t="s">
        <v>15</v>
      </c>
      <c r="F4273" t="s">
        <v>18</v>
      </c>
      <c r="G4273">
        <v>2</v>
      </c>
      <c r="H4273">
        <v>3101</v>
      </c>
      <c r="I4273" s="1">
        <v>414196</v>
      </c>
      <c r="J4273" s="1">
        <f>Raw_Data!$I4273/Raw_Data!$H4273</f>
        <v>133.56852628184456</v>
      </c>
    </row>
    <row r="4274" spans="1:10" x14ac:dyDescent="0.3">
      <c r="A4274" s="9">
        <v>40811</v>
      </c>
      <c r="B4274" s="2" t="str">
        <f>TEXT(Raw_Data!$A4274, "MMM")</f>
        <v>Sep</v>
      </c>
      <c r="C4274" s="2">
        <f>YEAR(Raw_Data!$A4274)</f>
        <v>2011</v>
      </c>
      <c r="D4274" s="2" t="s">
        <v>701</v>
      </c>
      <c r="E4274" s="2" t="s">
        <v>23</v>
      </c>
      <c r="F4274" s="2" t="s">
        <v>18</v>
      </c>
      <c r="G4274" s="2">
        <v>4</v>
      </c>
      <c r="H4274" s="2">
        <v>2986</v>
      </c>
      <c r="I4274" s="10">
        <v>245948</v>
      </c>
      <c r="J4274" s="10">
        <f>Raw_Data!$I4274/Raw_Data!$H4274</f>
        <v>82.367046215673142</v>
      </c>
    </row>
    <row r="4275" spans="1:10" x14ac:dyDescent="0.3">
      <c r="A4275" s="8">
        <v>43213</v>
      </c>
      <c r="B4275" t="str">
        <f>TEXT(Raw_Data!$A4275, "MMM")</f>
        <v>Apr</v>
      </c>
      <c r="C4275">
        <f>YEAR(Raw_Data!$A4275)</f>
        <v>2018</v>
      </c>
      <c r="D4275" t="s">
        <v>2765</v>
      </c>
      <c r="E4275" t="s">
        <v>32</v>
      </c>
      <c r="F4275" t="s">
        <v>27</v>
      </c>
      <c r="G4275">
        <v>4</v>
      </c>
      <c r="H4275">
        <v>3012</v>
      </c>
      <c r="I4275" s="1">
        <v>789392</v>
      </c>
      <c r="J4275" s="1">
        <f>Raw_Data!$I4275/Raw_Data!$H4275</f>
        <v>262.0823373173971</v>
      </c>
    </row>
    <row r="4276" spans="1:10" x14ac:dyDescent="0.3">
      <c r="A4276" s="9">
        <v>41205</v>
      </c>
      <c r="B4276" s="2" t="str">
        <f>TEXT(Raw_Data!$A4276, "MMM")</f>
        <v>Oct</v>
      </c>
      <c r="C4276" s="2">
        <f>YEAR(Raw_Data!$A4276)</f>
        <v>2012</v>
      </c>
      <c r="D4276" s="2" t="s">
        <v>2766</v>
      </c>
      <c r="E4276" s="2" t="s">
        <v>15</v>
      </c>
      <c r="F4276" s="2" t="s">
        <v>27</v>
      </c>
      <c r="G4276" s="2">
        <v>4</v>
      </c>
      <c r="H4276" s="2">
        <v>1587</v>
      </c>
      <c r="I4276" s="10">
        <v>101657</v>
      </c>
      <c r="J4276" s="10">
        <f>Raw_Data!$I4276/Raw_Data!$H4276</f>
        <v>64.056080655324507</v>
      </c>
    </row>
    <row r="4277" spans="1:10" x14ac:dyDescent="0.3">
      <c r="A4277" s="8">
        <v>40173</v>
      </c>
      <c r="B4277" t="str">
        <f>TEXT(Raw_Data!$A4277, "MMM")</f>
        <v>Dec</v>
      </c>
      <c r="C4277">
        <f>YEAR(Raw_Data!$A4277)</f>
        <v>2009</v>
      </c>
      <c r="D4277" t="s">
        <v>2450</v>
      </c>
      <c r="E4277" t="s">
        <v>32</v>
      </c>
      <c r="F4277" t="s">
        <v>11</v>
      </c>
      <c r="H4277">
        <v>3077</v>
      </c>
      <c r="I4277" s="1">
        <v>259484</v>
      </c>
      <c r="J4277" s="1">
        <f>Raw_Data!$I4277/Raw_Data!$H4277</f>
        <v>84.330191745206363</v>
      </c>
    </row>
    <row r="4278" spans="1:10" x14ac:dyDescent="0.3">
      <c r="A4278" s="9">
        <v>43683</v>
      </c>
      <c r="B4278" s="2" t="str">
        <f>TEXT(Raw_Data!$A4278, "MMM")</f>
        <v>Aug</v>
      </c>
      <c r="C4278" s="2">
        <f>YEAR(Raw_Data!$A4278)</f>
        <v>2019</v>
      </c>
      <c r="D4278" s="2" t="s">
        <v>1062</v>
      </c>
      <c r="E4278" s="2" t="s">
        <v>23</v>
      </c>
      <c r="F4278" s="2" t="s">
        <v>16</v>
      </c>
      <c r="G4278" s="2">
        <v>2</v>
      </c>
      <c r="H4278" s="2">
        <v>2589</v>
      </c>
      <c r="I4278" s="10">
        <v>711235</v>
      </c>
      <c r="J4278" s="10">
        <f>Raw_Data!$I4278/Raw_Data!$H4278</f>
        <v>274.71417535728079</v>
      </c>
    </row>
    <row r="4279" spans="1:10" x14ac:dyDescent="0.3">
      <c r="A4279" s="8">
        <v>38073</v>
      </c>
      <c r="B4279" t="str">
        <f>TEXT(Raw_Data!$A4279, "MMM")</f>
        <v>Mar</v>
      </c>
      <c r="C4279">
        <f>YEAR(Raw_Data!$A4279)</f>
        <v>2004</v>
      </c>
      <c r="D4279" t="s">
        <v>2575</v>
      </c>
      <c r="E4279" t="s">
        <v>25</v>
      </c>
      <c r="F4279" t="s">
        <v>18</v>
      </c>
      <c r="G4279">
        <v>3</v>
      </c>
      <c r="H4279">
        <v>2208</v>
      </c>
      <c r="I4279" s="1">
        <v>383049</v>
      </c>
      <c r="J4279" s="1">
        <f>Raw_Data!$I4279/Raw_Data!$H4279</f>
        <v>173.48233695652175</v>
      </c>
    </row>
    <row r="4280" spans="1:10" x14ac:dyDescent="0.3">
      <c r="A4280" s="9">
        <v>40042</v>
      </c>
      <c r="B4280" s="2" t="str">
        <f>TEXT(Raw_Data!$A4280, "MMM")</f>
        <v>Aug</v>
      </c>
      <c r="C4280" s="2">
        <f>YEAR(Raw_Data!$A4280)</f>
        <v>2009</v>
      </c>
      <c r="D4280" s="2" t="s">
        <v>992</v>
      </c>
      <c r="E4280" s="2" t="s">
        <v>15</v>
      </c>
      <c r="F4280" s="2" t="s">
        <v>27</v>
      </c>
      <c r="G4280" s="2">
        <v>2</v>
      </c>
      <c r="H4280" s="2">
        <v>1421</v>
      </c>
      <c r="I4280" s="10">
        <v>719371</v>
      </c>
      <c r="J4280" s="10">
        <f>Raw_Data!$I4280/Raw_Data!$H4280</f>
        <v>506.24278676988035</v>
      </c>
    </row>
    <row r="4281" spans="1:10" x14ac:dyDescent="0.3">
      <c r="A4281" s="8">
        <v>38536</v>
      </c>
      <c r="B4281" t="str">
        <f>TEXT(Raw_Data!$A4281, "MMM")</f>
        <v>Jul</v>
      </c>
      <c r="C4281">
        <f>YEAR(Raw_Data!$A4281)</f>
        <v>2005</v>
      </c>
      <c r="D4281" t="s">
        <v>2767</v>
      </c>
      <c r="E4281" t="s">
        <v>13</v>
      </c>
      <c r="F4281" t="s">
        <v>27</v>
      </c>
      <c r="G4281">
        <v>2</v>
      </c>
      <c r="H4281">
        <v>2931</v>
      </c>
      <c r="I4281" s="1">
        <v>472464</v>
      </c>
      <c r="J4281" s="1">
        <f>Raw_Data!$I4281/Raw_Data!$H4281</f>
        <v>161.19549641760491</v>
      </c>
    </row>
    <row r="4282" spans="1:10" x14ac:dyDescent="0.3">
      <c r="A4282" s="9">
        <v>41893</v>
      </c>
      <c r="B4282" s="2" t="str">
        <f>TEXT(Raw_Data!$A4282, "MMM")</f>
        <v>Sep</v>
      </c>
      <c r="C4282" s="2">
        <f>YEAR(Raw_Data!$A4282)</f>
        <v>2014</v>
      </c>
      <c r="D4282" s="2" t="s">
        <v>1535</v>
      </c>
      <c r="E4282" s="2" t="s">
        <v>32</v>
      </c>
      <c r="F4282" s="2" t="s">
        <v>11</v>
      </c>
      <c r="G4282" s="2">
        <v>4</v>
      </c>
      <c r="H4282" s="2">
        <v>3476</v>
      </c>
      <c r="I4282" s="10">
        <v>191625</v>
      </c>
      <c r="J4282" s="10">
        <f>Raw_Data!$I4282/Raw_Data!$H4282</f>
        <v>55.128020713463755</v>
      </c>
    </row>
    <row r="4283" spans="1:10" x14ac:dyDescent="0.3">
      <c r="A4283" s="8">
        <v>39608</v>
      </c>
      <c r="B4283" t="str">
        <f>TEXT(Raw_Data!$A4283, "MMM")</f>
        <v>Jun</v>
      </c>
      <c r="C4283">
        <f>YEAR(Raw_Data!$A4283)</f>
        <v>2008</v>
      </c>
      <c r="D4283" t="s">
        <v>2768</v>
      </c>
      <c r="E4283" t="s">
        <v>32</v>
      </c>
      <c r="F4283" t="s">
        <v>27</v>
      </c>
      <c r="H4283">
        <v>850</v>
      </c>
      <c r="I4283" s="1">
        <v>708294</v>
      </c>
      <c r="J4283" s="1">
        <f>Raw_Data!$I4283/Raw_Data!$H4283</f>
        <v>833.28705882352938</v>
      </c>
    </row>
    <row r="4284" spans="1:10" x14ac:dyDescent="0.3">
      <c r="A4284" s="9">
        <v>38120</v>
      </c>
      <c r="B4284" s="2" t="str">
        <f>TEXT(Raw_Data!$A4284, "MMM")</f>
        <v>May</v>
      </c>
      <c r="C4284" s="2">
        <f>YEAR(Raw_Data!$A4284)</f>
        <v>2004</v>
      </c>
      <c r="D4284" s="2" t="s">
        <v>1996</v>
      </c>
      <c r="E4284" s="2" t="s">
        <v>23</v>
      </c>
      <c r="F4284" s="2" t="s">
        <v>18</v>
      </c>
      <c r="G4284" s="2">
        <v>4</v>
      </c>
      <c r="H4284" s="2">
        <v>1629</v>
      </c>
      <c r="I4284" s="10">
        <v>215128</v>
      </c>
      <c r="J4284" s="10">
        <f>Raw_Data!$I4284/Raw_Data!$H4284</f>
        <v>132.06138735420504</v>
      </c>
    </row>
    <row r="4285" spans="1:10" x14ac:dyDescent="0.3">
      <c r="A4285" s="8">
        <v>41478</v>
      </c>
      <c r="B4285" t="str">
        <f>TEXT(Raw_Data!$A4285, "MMM")</f>
        <v>Jul</v>
      </c>
      <c r="C4285">
        <f>YEAR(Raw_Data!$A4285)</f>
        <v>2013</v>
      </c>
      <c r="D4285" t="s">
        <v>1298</v>
      </c>
      <c r="E4285" t="s">
        <v>32</v>
      </c>
      <c r="F4285" t="s">
        <v>16</v>
      </c>
      <c r="G4285">
        <v>5</v>
      </c>
      <c r="H4285">
        <v>3271</v>
      </c>
      <c r="I4285" s="1">
        <v>560868</v>
      </c>
      <c r="J4285" s="1">
        <f>Raw_Data!$I4285/Raw_Data!$H4285</f>
        <v>171.46682971568328</v>
      </c>
    </row>
    <row r="4286" spans="1:10" x14ac:dyDescent="0.3">
      <c r="A4286" s="9">
        <v>42999</v>
      </c>
      <c r="B4286" s="2" t="str">
        <f>TEXT(Raw_Data!$A4286, "MMM")</f>
        <v>Sep</v>
      </c>
      <c r="C4286" s="2">
        <f>YEAR(Raw_Data!$A4286)</f>
        <v>2017</v>
      </c>
      <c r="D4286" s="2" t="s">
        <v>2544</v>
      </c>
      <c r="E4286" s="2" t="s">
        <v>32</v>
      </c>
      <c r="F4286" s="2" t="s">
        <v>16</v>
      </c>
      <c r="G4286" s="2">
        <v>4</v>
      </c>
      <c r="H4286" s="2">
        <v>1096</v>
      </c>
      <c r="I4286" s="10">
        <v>510712</v>
      </c>
      <c r="J4286" s="10">
        <f>Raw_Data!$I4286/Raw_Data!$H4286</f>
        <v>465.978102189781</v>
      </c>
    </row>
    <row r="4287" spans="1:10" x14ac:dyDescent="0.3">
      <c r="A4287" s="8">
        <v>43316</v>
      </c>
      <c r="B4287" t="str">
        <f>TEXT(Raw_Data!$A4287, "MMM")</f>
        <v>Aug</v>
      </c>
      <c r="C4287">
        <f>YEAR(Raw_Data!$A4287)</f>
        <v>2018</v>
      </c>
      <c r="D4287" t="s">
        <v>2769</v>
      </c>
      <c r="E4287" t="s">
        <v>15</v>
      </c>
      <c r="F4287" t="s">
        <v>11</v>
      </c>
      <c r="G4287">
        <v>3</v>
      </c>
      <c r="H4287">
        <v>1462</v>
      </c>
      <c r="I4287" s="1">
        <v>683390</v>
      </c>
      <c r="J4287" s="1">
        <f>Raw_Data!$I4287/Raw_Data!$H4287</f>
        <v>467.43502051983586</v>
      </c>
    </row>
    <row r="4288" spans="1:10" x14ac:dyDescent="0.3">
      <c r="A4288" s="9">
        <v>40169</v>
      </c>
      <c r="B4288" s="2" t="str">
        <f>TEXT(Raw_Data!$A4288, "MMM")</f>
        <v>Dec</v>
      </c>
      <c r="C4288" s="2">
        <f>YEAR(Raw_Data!$A4288)</f>
        <v>2009</v>
      </c>
      <c r="D4288" s="2" t="s">
        <v>2186</v>
      </c>
      <c r="E4288" s="2" t="s">
        <v>21</v>
      </c>
      <c r="F4288" s="2" t="s">
        <v>18</v>
      </c>
      <c r="G4288" s="2"/>
      <c r="H4288" s="2">
        <v>896</v>
      </c>
      <c r="I4288" s="10">
        <v>765524</v>
      </c>
      <c r="J4288" s="10">
        <f>Raw_Data!$I4288/Raw_Data!$H4288</f>
        <v>854.37946428571433</v>
      </c>
    </row>
    <row r="4289" spans="1:10" x14ac:dyDescent="0.3">
      <c r="A4289" s="8">
        <v>42879</v>
      </c>
      <c r="B4289" t="str">
        <f>TEXT(Raw_Data!$A4289, "MMM")</f>
        <v>May</v>
      </c>
      <c r="C4289">
        <f>YEAR(Raw_Data!$A4289)</f>
        <v>2017</v>
      </c>
      <c r="D4289" t="s">
        <v>49</v>
      </c>
      <c r="E4289" t="s">
        <v>21</v>
      </c>
      <c r="F4289" t="s">
        <v>18</v>
      </c>
      <c r="G4289">
        <v>5</v>
      </c>
      <c r="H4289">
        <v>1215</v>
      </c>
      <c r="I4289" s="1">
        <v>257595</v>
      </c>
      <c r="J4289" s="1">
        <f>Raw_Data!$I4289/Raw_Data!$H4289</f>
        <v>212.01234567901236</v>
      </c>
    </row>
    <row r="4290" spans="1:10" x14ac:dyDescent="0.3">
      <c r="A4290" s="9">
        <v>40697</v>
      </c>
      <c r="B4290" s="2" t="str">
        <f>TEXT(Raw_Data!$A4290, "MMM")</f>
        <v>Jun</v>
      </c>
      <c r="C4290" s="2">
        <f>YEAR(Raw_Data!$A4290)</f>
        <v>2011</v>
      </c>
      <c r="D4290" s="2" t="s">
        <v>2728</v>
      </c>
      <c r="E4290" s="2" t="s">
        <v>25</v>
      </c>
      <c r="F4290" s="2" t="s">
        <v>27</v>
      </c>
      <c r="G4290" s="2">
        <v>3</v>
      </c>
      <c r="H4290" s="2">
        <v>1653</v>
      </c>
      <c r="I4290" s="10">
        <v>218530</v>
      </c>
      <c r="J4290" s="10">
        <f>Raw_Data!$I4290/Raw_Data!$H4290</f>
        <v>132.20205686630368</v>
      </c>
    </row>
    <row r="4291" spans="1:10" x14ac:dyDescent="0.3">
      <c r="A4291" s="8">
        <v>37172</v>
      </c>
      <c r="B4291" t="str">
        <f>TEXT(Raw_Data!$A4291, "MMM")</f>
        <v>Oct</v>
      </c>
      <c r="C4291">
        <f>YEAR(Raw_Data!$A4291)</f>
        <v>2001</v>
      </c>
      <c r="D4291" t="s">
        <v>2108</v>
      </c>
      <c r="E4291" t="s">
        <v>23</v>
      </c>
      <c r="F4291" t="s">
        <v>18</v>
      </c>
      <c r="H4291">
        <v>1823</v>
      </c>
      <c r="I4291" s="1">
        <v>547337</v>
      </c>
      <c r="J4291" s="1">
        <f>Raw_Data!$I4291/Raw_Data!$H4291</f>
        <v>300.2397147558969</v>
      </c>
    </row>
    <row r="4292" spans="1:10" x14ac:dyDescent="0.3">
      <c r="A4292" s="9">
        <v>40602</v>
      </c>
      <c r="B4292" s="2" t="str">
        <f>TEXT(Raw_Data!$A4292, "MMM")</f>
        <v>Feb</v>
      </c>
      <c r="C4292" s="2">
        <f>YEAR(Raw_Data!$A4292)</f>
        <v>2011</v>
      </c>
      <c r="D4292" s="2" t="s">
        <v>2763</v>
      </c>
      <c r="E4292" s="2" t="s">
        <v>23</v>
      </c>
      <c r="F4292" s="2" t="s">
        <v>11</v>
      </c>
      <c r="G4292" s="2"/>
      <c r="H4292" s="2">
        <v>1824</v>
      </c>
      <c r="I4292" s="10">
        <v>120658</v>
      </c>
      <c r="J4292" s="10">
        <f>Raw_Data!$I4292/Raw_Data!$H4292</f>
        <v>66.150219298245617</v>
      </c>
    </row>
    <row r="4293" spans="1:10" x14ac:dyDescent="0.3">
      <c r="A4293" s="8">
        <v>40164</v>
      </c>
      <c r="B4293" t="str">
        <f>TEXT(Raw_Data!$A4293, "MMM")</f>
        <v>Dec</v>
      </c>
      <c r="C4293">
        <f>YEAR(Raw_Data!$A4293)</f>
        <v>2009</v>
      </c>
      <c r="D4293" t="s">
        <v>2770</v>
      </c>
      <c r="E4293" t="s">
        <v>23</v>
      </c>
      <c r="F4293" t="s">
        <v>16</v>
      </c>
      <c r="G4293">
        <v>5</v>
      </c>
      <c r="H4293">
        <v>1890</v>
      </c>
      <c r="I4293" s="1">
        <v>627968</v>
      </c>
      <c r="J4293" s="1">
        <f>Raw_Data!$I4293/Raw_Data!$H4293</f>
        <v>332.25820105820105</v>
      </c>
    </row>
    <row r="4294" spans="1:10" x14ac:dyDescent="0.3">
      <c r="A4294" s="9">
        <v>37418</v>
      </c>
      <c r="B4294" s="2" t="str">
        <f>TEXT(Raw_Data!$A4294, "MMM")</f>
        <v>Jun</v>
      </c>
      <c r="C4294" s="2">
        <f>YEAR(Raw_Data!$A4294)</f>
        <v>2002</v>
      </c>
      <c r="D4294" s="2" t="s">
        <v>2771</v>
      </c>
      <c r="E4294" s="2" t="s">
        <v>15</v>
      </c>
      <c r="F4294" s="2" t="s">
        <v>11</v>
      </c>
      <c r="G4294" s="2">
        <v>2</v>
      </c>
      <c r="H4294" s="2">
        <v>3225</v>
      </c>
      <c r="I4294" s="10">
        <v>194537</v>
      </c>
      <c r="J4294" s="10">
        <f>Raw_Data!$I4294/Raw_Data!$H4294</f>
        <v>60.321550387596901</v>
      </c>
    </row>
    <row r="4295" spans="1:10" x14ac:dyDescent="0.3">
      <c r="A4295" s="8">
        <v>39201</v>
      </c>
      <c r="B4295" t="str">
        <f>TEXT(Raw_Data!$A4295, "MMM")</f>
        <v>Apr</v>
      </c>
      <c r="C4295">
        <f>YEAR(Raw_Data!$A4295)</f>
        <v>2007</v>
      </c>
      <c r="D4295" t="s">
        <v>694</v>
      </c>
      <c r="E4295" t="s">
        <v>23</v>
      </c>
      <c r="F4295" t="s">
        <v>27</v>
      </c>
      <c r="H4295">
        <v>1828</v>
      </c>
      <c r="I4295" s="1">
        <v>870470</v>
      </c>
      <c r="J4295" s="1">
        <f>Raw_Data!$I4295/Raw_Data!$H4295</f>
        <v>476.1870897155361</v>
      </c>
    </row>
    <row r="4296" spans="1:10" x14ac:dyDescent="0.3">
      <c r="A4296" s="9">
        <v>43945</v>
      </c>
      <c r="B4296" s="2" t="str">
        <f>TEXT(Raw_Data!$A4296, "MMM")</f>
        <v>Apr</v>
      </c>
      <c r="C4296" s="2">
        <f>YEAR(Raw_Data!$A4296)</f>
        <v>2020</v>
      </c>
      <c r="D4296" s="2" t="s">
        <v>2772</v>
      </c>
      <c r="E4296" s="2" t="s">
        <v>15</v>
      </c>
      <c r="F4296" s="2" t="s">
        <v>16</v>
      </c>
      <c r="G4296" s="2"/>
      <c r="H4296" s="2">
        <v>1996</v>
      </c>
      <c r="I4296" s="10">
        <v>782742</v>
      </c>
      <c r="J4296" s="10">
        <f>Raw_Data!$I4296/Raw_Data!$H4296</f>
        <v>392.15531062124251</v>
      </c>
    </row>
    <row r="4297" spans="1:10" x14ac:dyDescent="0.3">
      <c r="A4297" s="8">
        <v>41201</v>
      </c>
      <c r="B4297" t="str">
        <f>TEXT(Raw_Data!$A4297, "MMM")</f>
        <v>Oct</v>
      </c>
      <c r="C4297">
        <f>YEAR(Raw_Data!$A4297)</f>
        <v>2012</v>
      </c>
      <c r="D4297" t="s">
        <v>2700</v>
      </c>
      <c r="E4297" t="s">
        <v>32</v>
      </c>
      <c r="F4297" t="s">
        <v>18</v>
      </c>
      <c r="G4297">
        <v>5</v>
      </c>
      <c r="H4297">
        <v>959</v>
      </c>
      <c r="I4297" s="1">
        <v>553719</v>
      </c>
      <c r="J4297" s="1">
        <f>Raw_Data!$I4297/Raw_Data!$H4297</f>
        <v>577.39207507820652</v>
      </c>
    </row>
    <row r="4298" spans="1:10" x14ac:dyDescent="0.3">
      <c r="A4298" s="9">
        <v>38564</v>
      </c>
      <c r="B4298" s="2" t="str">
        <f>TEXT(Raw_Data!$A4298, "MMM")</f>
        <v>Jul</v>
      </c>
      <c r="C4298" s="2">
        <f>YEAR(Raw_Data!$A4298)</f>
        <v>2005</v>
      </c>
      <c r="D4298" s="2" t="s">
        <v>1036</v>
      </c>
      <c r="E4298" s="2" t="s">
        <v>25</v>
      </c>
      <c r="F4298" s="2" t="s">
        <v>27</v>
      </c>
      <c r="G4298" s="2">
        <v>2</v>
      </c>
      <c r="H4298" s="2">
        <v>1682</v>
      </c>
      <c r="I4298" s="10">
        <v>449262</v>
      </c>
      <c r="J4298" s="10">
        <f>Raw_Data!$I4298/Raw_Data!$H4298</f>
        <v>267.09988109393578</v>
      </c>
    </row>
    <row r="4299" spans="1:10" x14ac:dyDescent="0.3">
      <c r="A4299" s="8">
        <v>43580</v>
      </c>
      <c r="B4299" t="str">
        <f>TEXT(Raw_Data!$A4299, "MMM")</f>
        <v>Apr</v>
      </c>
      <c r="C4299">
        <f>YEAR(Raw_Data!$A4299)</f>
        <v>2019</v>
      </c>
      <c r="D4299" t="s">
        <v>1629</v>
      </c>
      <c r="E4299" t="s">
        <v>25</v>
      </c>
      <c r="F4299" t="s">
        <v>11</v>
      </c>
      <c r="G4299">
        <v>4</v>
      </c>
      <c r="H4299">
        <v>2304</v>
      </c>
      <c r="I4299" s="1">
        <v>249012</v>
      </c>
      <c r="J4299" s="1">
        <f>Raw_Data!$I4299/Raw_Data!$H4299</f>
        <v>108.078125</v>
      </c>
    </row>
    <row r="4300" spans="1:10" x14ac:dyDescent="0.3">
      <c r="A4300" s="9">
        <v>39553</v>
      </c>
      <c r="B4300" s="2" t="str">
        <f>TEXT(Raw_Data!$A4300, "MMM")</f>
        <v>Apr</v>
      </c>
      <c r="C4300" s="2">
        <f>YEAR(Raw_Data!$A4300)</f>
        <v>2008</v>
      </c>
      <c r="D4300" s="2" t="s">
        <v>2773</v>
      </c>
      <c r="E4300" s="2" t="s">
        <v>29</v>
      </c>
      <c r="F4300" s="2" t="s">
        <v>11</v>
      </c>
      <c r="G4300" s="2"/>
      <c r="H4300" s="2">
        <v>1524</v>
      </c>
      <c r="I4300" s="10">
        <v>598549</v>
      </c>
      <c r="J4300" s="10">
        <f>Raw_Data!$I4300/Raw_Data!$H4300</f>
        <v>392.748687664042</v>
      </c>
    </row>
    <row r="4301" spans="1:10" x14ac:dyDescent="0.3">
      <c r="A4301" s="8">
        <v>42482</v>
      </c>
      <c r="B4301" t="str">
        <f>TEXT(Raw_Data!$A4301, "MMM")</f>
        <v>Apr</v>
      </c>
      <c r="C4301">
        <f>YEAR(Raw_Data!$A4301)</f>
        <v>2016</v>
      </c>
      <c r="D4301" t="s">
        <v>2774</v>
      </c>
      <c r="E4301" t="s">
        <v>15</v>
      </c>
      <c r="F4301" t="s">
        <v>16</v>
      </c>
      <c r="G4301">
        <v>4</v>
      </c>
      <c r="H4301">
        <v>2384</v>
      </c>
      <c r="I4301" s="1">
        <v>789642</v>
      </c>
      <c r="J4301" s="1">
        <f>Raw_Data!$I4301/Raw_Data!$H4301</f>
        <v>331.2256711409396</v>
      </c>
    </row>
    <row r="4302" spans="1:10" x14ac:dyDescent="0.3">
      <c r="A4302" s="9">
        <v>44175</v>
      </c>
      <c r="B4302" s="2" t="str">
        <f>TEXT(Raw_Data!$A4302, "MMM")</f>
        <v>Dec</v>
      </c>
      <c r="C4302" s="2">
        <f>YEAR(Raw_Data!$A4302)</f>
        <v>2020</v>
      </c>
      <c r="D4302" s="2" t="s">
        <v>2775</v>
      </c>
      <c r="E4302" s="2" t="s">
        <v>32</v>
      </c>
      <c r="F4302" s="2" t="s">
        <v>18</v>
      </c>
      <c r="G4302" s="2">
        <v>4</v>
      </c>
      <c r="H4302" s="2">
        <v>2561</v>
      </c>
      <c r="I4302" s="10">
        <v>775285</v>
      </c>
      <c r="J4302" s="10">
        <f>Raw_Data!$I4302/Raw_Data!$H4302</f>
        <v>302.72745021475987</v>
      </c>
    </row>
    <row r="4303" spans="1:10" x14ac:dyDescent="0.3">
      <c r="A4303" s="8">
        <v>37779</v>
      </c>
      <c r="B4303" t="str">
        <f>TEXT(Raw_Data!$A4303, "MMM")</f>
        <v>Jun</v>
      </c>
      <c r="C4303">
        <f>YEAR(Raw_Data!$A4303)</f>
        <v>2003</v>
      </c>
      <c r="D4303" t="s">
        <v>2776</v>
      </c>
      <c r="E4303" t="s">
        <v>25</v>
      </c>
      <c r="F4303" t="s">
        <v>11</v>
      </c>
      <c r="H4303">
        <v>2394</v>
      </c>
      <c r="I4303" s="1">
        <v>242253</v>
      </c>
      <c r="J4303" s="1">
        <f>Raw_Data!$I4303/Raw_Data!$H4303</f>
        <v>101.19172932330827</v>
      </c>
    </row>
    <row r="4304" spans="1:10" x14ac:dyDescent="0.3">
      <c r="A4304" s="9">
        <v>41119</v>
      </c>
      <c r="B4304" s="2" t="str">
        <f>TEXT(Raw_Data!$A4304, "MMM")</f>
        <v>Jul</v>
      </c>
      <c r="C4304" s="2">
        <f>YEAR(Raw_Data!$A4304)</f>
        <v>2012</v>
      </c>
      <c r="D4304" s="2" t="s">
        <v>2777</v>
      </c>
      <c r="E4304" s="2" t="s">
        <v>32</v>
      </c>
      <c r="F4304" s="2" t="s">
        <v>18</v>
      </c>
      <c r="G4304" s="2">
        <v>4</v>
      </c>
      <c r="H4304" s="2">
        <v>2839</v>
      </c>
      <c r="I4304" s="10">
        <v>118657</v>
      </c>
      <c r="J4304" s="10">
        <f>Raw_Data!$I4304/Raw_Data!$H4304</f>
        <v>41.795350475519548</v>
      </c>
    </row>
    <row r="4305" spans="1:10" x14ac:dyDescent="0.3">
      <c r="A4305" s="8">
        <v>41816</v>
      </c>
      <c r="B4305" t="str">
        <f>TEXT(Raw_Data!$A4305, "MMM")</f>
        <v>Jun</v>
      </c>
      <c r="C4305">
        <f>YEAR(Raw_Data!$A4305)</f>
        <v>2014</v>
      </c>
      <c r="D4305" t="s">
        <v>2139</v>
      </c>
      <c r="E4305" t="s">
        <v>13</v>
      </c>
      <c r="F4305" t="s">
        <v>11</v>
      </c>
      <c r="G4305">
        <v>3</v>
      </c>
      <c r="H4305">
        <v>2958</v>
      </c>
      <c r="I4305" s="1">
        <v>691399</v>
      </c>
      <c r="J4305" s="1">
        <f>Raw_Data!$I4305/Raw_Data!$H4305</f>
        <v>233.73867478025693</v>
      </c>
    </row>
    <row r="4306" spans="1:10" x14ac:dyDescent="0.3">
      <c r="A4306" s="9">
        <v>41197</v>
      </c>
      <c r="B4306" s="2" t="str">
        <f>TEXT(Raw_Data!$A4306, "MMM")</f>
        <v>Oct</v>
      </c>
      <c r="C4306" s="2">
        <f>YEAR(Raw_Data!$A4306)</f>
        <v>2012</v>
      </c>
      <c r="D4306" s="2" t="s">
        <v>1705</v>
      </c>
      <c r="E4306" s="2" t="s">
        <v>25</v>
      </c>
      <c r="F4306" s="2" t="s">
        <v>18</v>
      </c>
      <c r="G4306" s="2">
        <v>5</v>
      </c>
      <c r="H4306" s="2">
        <v>3185</v>
      </c>
      <c r="I4306" s="10">
        <v>212488</v>
      </c>
      <c r="J4306" s="10">
        <f>Raw_Data!$I4306/Raw_Data!$H4306</f>
        <v>66.71522762951335</v>
      </c>
    </row>
    <row r="4307" spans="1:10" x14ac:dyDescent="0.3">
      <c r="A4307" s="8">
        <v>37352</v>
      </c>
      <c r="B4307" t="str">
        <f>TEXT(Raw_Data!$A4307, "MMM")</f>
        <v>Apr</v>
      </c>
      <c r="C4307">
        <f>YEAR(Raw_Data!$A4307)</f>
        <v>2002</v>
      </c>
      <c r="D4307" t="s">
        <v>649</v>
      </c>
      <c r="E4307" t="s">
        <v>32</v>
      </c>
      <c r="F4307" t="s">
        <v>11</v>
      </c>
      <c r="G4307">
        <v>5</v>
      </c>
      <c r="H4307">
        <v>2308</v>
      </c>
      <c r="I4307" s="1">
        <v>479703</v>
      </c>
      <c r="J4307" s="1">
        <f>Raw_Data!$I4307/Raw_Data!$H4307</f>
        <v>207.84358752166378</v>
      </c>
    </row>
    <row r="4308" spans="1:10" x14ac:dyDescent="0.3">
      <c r="A4308" s="9">
        <v>38818</v>
      </c>
      <c r="B4308" s="2" t="str">
        <f>TEXT(Raw_Data!$A4308, "MMM")</f>
        <v>Apr</v>
      </c>
      <c r="C4308" s="2">
        <f>YEAR(Raw_Data!$A4308)</f>
        <v>2006</v>
      </c>
      <c r="D4308" s="2" t="s">
        <v>683</v>
      </c>
      <c r="E4308" s="2" t="s">
        <v>21</v>
      </c>
      <c r="F4308" s="2" t="s">
        <v>27</v>
      </c>
      <c r="G4308" s="2"/>
      <c r="H4308" s="2">
        <v>2491</v>
      </c>
      <c r="I4308" s="10">
        <v>799710</v>
      </c>
      <c r="J4308" s="10">
        <f>Raw_Data!$I4308/Raw_Data!$H4308</f>
        <v>321.03974307507025</v>
      </c>
    </row>
    <row r="4309" spans="1:10" x14ac:dyDescent="0.3">
      <c r="A4309" s="8">
        <v>41076</v>
      </c>
      <c r="B4309" t="str">
        <f>TEXT(Raw_Data!$A4309, "MMM")</f>
        <v>Jun</v>
      </c>
      <c r="C4309">
        <f>YEAR(Raw_Data!$A4309)</f>
        <v>2012</v>
      </c>
      <c r="D4309" t="s">
        <v>1028</v>
      </c>
      <c r="E4309" t="s">
        <v>13</v>
      </c>
      <c r="F4309" t="s">
        <v>16</v>
      </c>
      <c r="G4309">
        <v>5</v>
      </c>
      <c r="H4309">
        <v>2803</v>
      </c>
      <c r="I4309" s="1">
        <v>431602</v>
      </c>
      <c r="J4309" s="1">
        <f>Raw_Data!$I4309/Raw_Data!$H4309</f>
        <v>153.97859436318231</v>
      </c>
    </row>
    <row r="4310" spans="1:10" x14ac:dyDescent="0.3">
      <c r="A4310" s="9">
        <v>40081</v>
      </c>
      <c r="B4310" s="2" t="str">
        <f>TEXT(Raw_Data!$A4310, "MMM")</f>
        <v>Sep</v>
      </c>
      <c r="C4310" s="2">
        <f>YEAR(Raw_Data!$A4310)</f>
        <v>2009</v>
      </c>
      <c r="D4310" s="2" t="s">
        <v>1680</v>
      </c>
      <c r="E4310" s="2" t="s">
        <v>23</v>
      </c>
      <c r="F4310" s="2" t="s">
        <v>18</v>
      </c>
      <c r="G4310" s="2">
        <v>2</v>
      </c>
      <c r="H4310" s="2">
        <v>1293</v>
      </c>
      <c r="I4310" s="10">
        <v>616656</v>
      </c>
      <c r="J4310" s="10">
        <f>Raw_Data!$I4310/Raw_Data!$H4310</f>
        <v>476.91879350348029</v>
      </c>
    </row>
    <row r="4311" spans="1:10" x14ac:dyDescent="0.3">
      <c r="A4311" s="8">
        <v>39365</v>
      </c>
      <c r="B4311" t="str">
        <f>TEXT(Raw_Data!$A4311, "MMM")</f>
        <v>Oct</v>
      </c>
      <c r="C4311">
        <f>YEAR(Raw_Data!$A4311)</f>
        <v>2007</v>
      </c>
      <c r="D4311" t="s">
        <v>1829</v>
      </c>
      <c r="E4311" t="s">
        <v>29</v>
      </c>
      <c r="F4311" t="s">
        <v>18</v>
      </c>
      <c r="G4311">
        <v>4</v>
      </c>
      <c r="H4311">
        <v>2946</v>
      </c>
      <c r="I4311" s="1">
        <v>210087</v>
      </c>
      <c r="J4311" s="1">
        <f>Raw_Data!$I4311/Raw_Data!$H4311</f>
        <v>71.312627291242364</v>
      </c>
    </row>
    <row r="4312" spans="1:10" x14ac:dyDescent="0.3">
      <c r="A4312" s="9">
        <v>40833</v>
      </c>
      <c r="B4312" s="2" t="str">
        <f>TEXT(Raw_Data!$A4312, "MMM")</f>
        <v>Oct</v>
      </c>
      <c r="C4312" s="2">
        <f>YEAR(Raw_Data!$A4312)</f>
        <v>2011</v>
      </c>
      <c r="D4312" s="2" t="s">
        <v>2778</v>
      </c>
      <c r="E4312" s="2" t="s">
        <v>32</v>
      </c>
      <c r="F4312" s="2" t="s">
        <v>18</v>
      </c>
      <c r="G4312" s="2"/>
      <c r="H4312" s="2">
        <v>1894</v>
      </c>
      <c r="I4312" s="10">
        <v>672311</v>
      </c>
      <c r="J4312" s="10">
        <f>Raw_Data!$I4312/Raw_Data!$H4312</f>
        <v>354.96884899683209</v>
      </c>
    </row>
    <row r="4313" spans="1:10" x14ac:dyDescent="0.3">
      <c r="A4313" s="8">
        <v>42091</v>
      </c>
      <c r="B4313" t="str">
        <f>TEXT(Raw_Data!$A4313, "MMM")</f>
        <v>Mar</v>
      </c>
      <c r="C4313">
        <f>YEAR(Raw_Data!$A4313)</f>
        <v>2015</v>
      </c>
      <c r="D4313" t="s">
        <v>2634</v>
      </c>
      <c r="E4313" t="s">
        <v>15</v>
      </c>
      <c r="F4313" t="s">
        <v>27</v>
      </c>
      <c r="G4313">
        <v>4</v>
      </c>
      <c r="H4313">
        <v>3151</v>
      </c>
      <c r="I4313" s="1">
        <v>556994</v>
      </c>
      <c r="J4313" s="1">
        <f>Raw_Data!$I4313/Raw_Data!$H4313</f>
        <v>176.76737543636941</v>
      </c>
    </row>
    <row r="4314" spans="1:10" x14ac:dyDescent="0.3">
      <c r="A4314" s="9">
        <v>39821</v>
      </c>
      <c r="B4314" s="2" t="str">
        <f>TEXT(Raw_Data!$A4314, "MMM")</f>
        <v>Jan</v>
      </c>
      <c r="C4314" s="2">
        <f>YEAR(Raw_Data!$A4314)</f>
        <v>2009</v>
      </c>
      <c r="D4314" s="2" t="s">
        <v>2026</v>
      </c>
      <c r="E4314" s="2" t="s">
        <v>23</v>
      </c>
      <c r="F4314" s="2" t="s">
        <v>16</v>
      </c>
      <c r="G4314" s="2">
        <v>5</v>
      </c>
      <c r="H4314" s="2">
        <v>2382</v>
      </c>
      <c r="I4314" s="10"/>
      <c r="J4314" s="10">
        <f>Raw_Data!$I4314/Raw_Data!$H4314</f>
        <v>0</v>
      </c>
    </row>
    <row r="4315" spans="1:10" x14ac:dyDescent="0.3">
      <c r="A4315" s="8">
        <v>37443</v>
      </c>
      <c r="B4315" t="str">
        <f>TEXT(Raw_Data!$A4315, "MMM")</f>
        <v>Jul</v>
      </c>
      <c r="C4315">
        <f>YEAR(Raw_Data!$A4315)</f>
        <v>2002</v>
      </c>
      <c r="D4315" t="s">
        <v>283</v>
      </c>
      <c r="E4315" t="s">
        <v>13</v>
      </c>
      <c r="F4315" t="s">
        <v>18</v>
      </c>
      <c r="G4315">
        <v>4</v>
      </c>
      <c r="H4315">
        <v>1942</v>
      </c>
      <c r="I4315" s="1">
        <v>732728</v>
      </c>
      <c r="J4315" s="1">
        <f>Raw_Data!$I4315/Raw_Data!$H4315</f>
        <v>377.30587023686923</v>
      </c>
    </row>
    <row r="4316" spans="1:10" x14ac:dyDescent="0.3">
      <c r="A4316" s="9">
        <v>38035</v>
      </c>
      <c r="B4316" s="2" t="str">
        <f>TEXT(Raw_Data!$A4316, "MMM")</f>
        <v>Feb</v>
      </c>
      <c r="C4316" s="2">
        <f>YEAR(Raw_Data!$A4316)</f>
        <v>2004</v>
      </c>
      <c r="D4316" s="2" t="s">
        <v>515</v>
      </c>
      <c r="E4316" s="2" t="s">
        <v>32</v>
      </c>
      <c r="F4316" s="2" t="s">
        <v>11</v>
      </c>
      <c r="G4316" s="2"/>
      <c r="H4316" s="2">
        <v>856</v>
      </c>
      <c r="I4316" s="10">
        <v>670171</v>
      </c>
      <c r="J4316" s="10">
        <f>Raw_Data!$I4316/Raw_Data!$H4316</f>
        <v>782.91004672897191</v>
      </c>
    </row>
    <row r="4317" spans="1:10" x14ac:dyDescent="0.3">
      <c r="A4317" s="8">
        <v>42383</v>
      </c>
      <c r="B4317" t="str">
        <f>TEXT(Raw_Data!$A4317, "MMM")</f>
        <v>Jan</v>
      </c>
      <c r="C4317">
        <f>YEAR(Raw_Data!$A4317)</f>
        <v>2016</v>
      </c>
      <c r="D4317" t="s">
        <v>404</v>
      </c>
      <c r="E4317" t="s">
        <v>13</v>
      </c>
      <c r="F4317" t="s">
        <v>11</v>
      </c>
      <c r="G4317">
        <v>4</v>
      </c>
      <c r="H4317">
        <v>2931</v>
      </c>
      <c r="I4317" s="1">
        <v>865762</v>
      </c>
      <c r="J4317" s="1">
        <f>Raw_Data!$I4317/Raw_Data!$H4317</f>
        <v>295.38109860116003</v>
      </c>
    </row>
    <row r="4318" spans="1:10" x14ac:dyDescent="0.3">
      <c r="A4318" s="9">
        <v>43365</v>
      </c>
      <c r="B4318" s="2" t="str">
        <f>TEXT(Raw_Data!$A4318, "MMM")</f>
        <v>Sep</v>
      </c>
      <c r="C4318" s="2">
        <f>YEAR(Raw_Data!$A4318)</f>
        <v>2018</v>
      </c>
      <c r="D4318" s="2" t="s">
        <v>1176</v>
      </c>
      <c r="E4318" s="2" t="s">
        <v>25</v>
      </c>
      <c r="F4318" s="2" t="s">
        <v>11</v>
      </c>
      <c r="G4318" s="2"/>
      <c r="H4318" s="2">
        <v>2537</v>
      </c>
      <c r="I4318" s="10">
        <v>867766</v>
      </c>
      <c r="J4318" s="10">
        <f>Raw_Data!$I4318/Raw_Data!$H4318</f>
        <v>342.04414662987779</v>
      </c>
    </row>
    <row r="4319" spans="1:10" x14ac:dyDescent="0.3">
      <c r="A4319" s="8">
        <v>38641</v>
      </c>
      <c r="B4319" t="str">
        <f>TEXT(Raw_Data!$A4319, "MMM")</f>
        <v>Oct</v>
      </c>
      <c r="C4319">
        <f>YEAR(Raw_Data!$A4319)</f>
        <v>2005</v>
      </c>
      <c r="D4319" t="s">
        <v>2779</v>
      </c>
      <c r="E4319" t="s">
        <v>29</v>
      </c>
      <c r="F4319" t="s">
        <v>18</v>
      </c>
      <c r="H4319">
        <v>1775</v>
      </c>
      <c r="I4319" s="1">
        <v>398769</v>
      </c>
      <c r="J4319" s="1">
        <f>Raw_Data!$I4319/Raw_Data!$H4319</f>
        <v>224.65859154929578</v>
      </c>
    </row>
    <row r="4320" spans="1:10" x14ac:dyDescent="0.3">
      <c r="A4320" s="9">
        <v>41565</v>
      </c>
      <c r="B4320" s="2" t="str">
        <f>TEXT(Raw_Data!$A4320, "MMM")</f>
        <v>Oct</v>
      </c>
      <c r="C4320" s="2">
        <f>YEAR(Raw_Data!$A4320)</f>
        <v>2013</v>
      </c>
      <c r="D4320" s="2" t="s">
        <v>459</v>
      </c>
      <c r="E4320" s="2" t="s">
        <v>15</v>
      </c>
      <c r="F4320" s="2" t="s">
        <v>11</v>
      </c>
      <c r="G4320" s="2"/>
      <c r="H4320" s="2">
        <v>1329</v>
      </c>
      <c r="I4320" s="10">
        <v>786472</v>
      </c>
      <c r="J4320" s="10">
        <f>Raw_Data!$I4320/Raw_Data!$H4320</f>
        <v>591.77727614747926</v>
      </c>
    </row>
    <row r="4321" spans="1:10" x14ac:dyDescent="0.3">
      <c r="A4321" s="8">
        <v>40648</v>
      </c>
      <c r="B4321" t="str">
        <f>TEXT(Raw_Data!$A4321, "MMM")</f>
        <v>Apr</v>
      </c>
      <c r="C4321">
        <f>YEAR(Raw_Data!$A4321)</f>
        <v>2011</v>
      </c>
      <c r="D4321" t="s">
        <v>2172</v>
      </c>
      <c r="E4321" t="s">
        <v>25</v>
      </c>
      <c r="F4321" t="s">
        <v>11</v>
      </c>
      <c r="G4321">
        <v>2</v>
      </c>
      <c r="H4321">
        <v>2179</v>
      </c>
      <c r="I4321" s="1">
        <v>276883</v>
      </c>
      <c r="J4321" s="1">
        <f>Raw_Data!$I4321/Raw_Data!$H4321</f>
        <v>127.06883891693437</v>
      </c>
    </row>
    <row r="4322" spans="1:10" x14ac:dyDescent="0.3">
      <c r="A4322" s="9">
        <v>36969</v>
      </c>
      <c r="B4322" s="2" t="str">
        <f>TEXT(Raw_Data!$A4322, "MMM")</f>
        <v>Mar</v>
      </c>
      <c r="C4322" s="2">
        <f>YEAR(Raw_Data!$A4322)</f>
        <v>2001</v>
      </c>
      <c r="D4322" s="2" t="s">
        <v>2780</v>
      </c>
      <c r="E4322" s="2" t="s">
        <v>32</v>
      </c>
      <c r="F4322" s="2" t="s">
        <v>11</v>
      </c>
      <c r="G4322" s="2"/>
      <c r="H4322" s="2">
        <v>2648</v>
      </c>
      <c r="I4322" s="10">
        <v>323536</v>
      </c>
      <c r="J4322" s="10">
        <f>Raw_Data!$I4322/Raw_Data!$H4322</f>
        <v>122.18126888217523</v>
      </c>
    </row>
    <row r="4323" spans="1:10" x14ac:dyDescent="0.3">
      <c r="A4323" s="8">
        <v>38602</v>
      </c>
      <c r="B4323" t="str">
        <f>TEXT(Raw_Data!$A4323, "MMM")</f>
        <v>Sep</v>
      </c>
      <c r="C4323">
        <f>YEAR(Raw_Data!$A4323)</f>
        <v>2005</v>
      </c>
      <c r="D4323" t="s">
        <v>905</v>
      </c>
      <c r="E4323" t="s">
        <v>25</v>
      </c>
      <c r="F4323" t="s">
        <v>16</v>
      </c>
      <c r="G4323">
        <v>2</v>
      </c>
      <c r="H4323">
        <v>2325</v>
      </c>
      <c r="I4323" s="1">
        <v>627926</v>
      </c>
      <c r="J4323" s="1">
        <f>Raw_Data!$I4323/Raw_Data!$H4323</f>
        <v>270.07569892473117</v>
      </c>
    </row>
    <row r="4324" spans="1:10" x14ac:dyDescent="0.3">
      <c r="A4324" s="9">
        <v>38248</v>
      </c>
      <c r="B4324" s="2" t="str">
        <f>TEXT(Raw_Data!$A4324, "MMM")</f>
        <v>Sep</v>
      </c>
      <c r="C4324" s="2">
        <f>YEAR(Raw_Data!$A4324)</f>
        <v>2004</v>
      </c>
      <c r="D4324" s="2" t="s">
        <v>1333</v>
      </c>
      <c r="E4324" s="2" t="s">
        <v>23</v>
      </c>
      <c r="F4324" s="2" t="s">
        <v>11</v>
      </c>
      <c r="G4324" s="2"/>
      <c r="H4324" s="2">
        <v>2853</v>
      </c>
      <c r="I4324" s="10">
        <v>316988</v>
      </c>
      <c r="J4324" s="10">
        <f>Raw_Data!$I4324/Raw_Data!$H4324</f>
        <v>111.10690501226779</v>
      </c>
    </row>
    <row r="4325" spans="1:10" x14ac:dyDescent="0.3">
      <c r="A4325" s="8">
        <v>43872</v>
      </c>
      <c r="B4325" t="str">
        <f>TEXT(Raw_Data!$A4325, "MMM")</f>
        <v>Feb</v>
      </c>
      <c r="C4325">
        <f>YEAR(Raw_Data!$A4325)</f>
        <v>2020</v>
      </c>
      <c r="D4325" t="s">
        <v>2781</v>
      </c>
      <c r="E4325" t="s">
        <v>15</v>
      </c>
      <c r="F4325" t="s">
        <v>27</v>
      </c>
      <c r="G4325">
        <v>3</v>
      </c>
      <c r="H4325">
        <v>931</v>
      </c>
      <c r="I4325" s="1">
        <v>387766</v>
      </c>
      <c r="J4325" s="1">
        <f>Raw_Data!$I4325/Raw_Data!$H4325</f>
        <v>416.50483351235232</v>
      </c>
    </row>
    <row r="4326" spans="1:10" x14ac:dyDescent="0.3">
      <c r="A4326" s="9">
        <v>43438</v>
      </c>
      <c r="B4326" s="2" t="str">
        <f>TEXT(Raw_Data!$A4326, "MMM")</f>
        <v>Dec</v>
      </c>
      <c r="C4326" s="2">
        <f>YEAR(Raw_Data!$A4326)</f>
        <v>2018</v>
      </c>
      <c r="D4326" s="2" t="s">
        <v>235</v>
      </c>
      <c r="E4326" s="2" t="s">
        <v>21</v>
      </c>
      <c r="F4326" s="2" t="s">
        <v>27</v>
      </c>
      <c r="G4326" s="2">
        <v>3</v>
      </c>
      <c r="H4326" s="2">
        <v>3323</v>
      </c>
      <c r="I4326" s="10">
        <v>202425</v>
      </c>
      <c r="J4326" s="10">
        <f>Raw_Data!$I4326/Raw_Data!$H4326</f>
        <v>60.916340656033704</v>
      </c>
    </row>
    <row r="4327" spans="1:10" x14ac:dyDescent="0.3">
      <c r="A4327" s="8">
        <v>38399</v>
      </c>
      <c r="B4327" t="str">
        <f>TEXT(Raw_Data!$A4327, "MMM")</f>
        <v>Feb</v>
      </c>
      <c r="C4327">
        <f>YEAR(Raw_Data!$A4327)</f>
        <v>2005</v>
      </c>
      <c r="D4327" t="s">
        <v>2782</v>
      </c>
      <c r="E4327" t="s">
        <v>29</v>
      </c>
      <c r="F4327" t="s">
        <v>18</v>
      </c>
      <c r="H4327">
        <v>2865</v>
      </c>
      <c r="I4327" s="1">
        <v>155765</v>
      </c>
      <c r="J4327" s="1">
        <f>Raw_Data!$I4327/Raw_Data!$H4327</f>
        <v>54.368237347294937</v>
      </c>
    </row>
    <row r="4328" spans="1:10" x14ac:dyDescent="0.3">
      <c r="A4328" s="9">
        <v>41977</v>
      </c>
      <c r="B4328" s="2" t="str">
        <f>TEXT(Raw_Data!$A4328, "MMM")</f>
        <v>Dec</v>
      </c>
      <c r="C4328" s="2">
        <f>YEAR(Raw_Data!$A4328)</f>
        <v>2014</v>
      </c>
      <c r="D4328" s="2" t="s">
        <v>2783</v>
      </c>
      <c r="E4328" s="2" t="s">
        <v>23</v>
      </c>
      <c r="F4328" s="2" t="s">
        <v>16</v>
      </c>
      <c r="G4328" s="2">
        <v>5</v>
      </c>
      <c r="H4328" s="2">
        <v>3225</v>
      </c>
      <c r="I4328" s="10">
        <v>132978</v>
      </c>
      <c r="J4328" s="10">
        <f>Raw_Data!$I4328/Raw_Data!$H4328</f>
        <v>41.233488372093021</v>
      </c>
    </row>
    <row r="4329" spans="1:10" x14ac:dyDescent="0.3">
      <c r="A4329" s="8">
        <v>41050</v>
      </c>
      <c r="B4329" t="str">
        <f>TEXT(Raw_Data!$A4329, "MMM")</f>
        <v>May</v>
      </c>
      <c r="C4329">
        <f>YEAR(Raw_Data!$A4329)</f>
        <v>2012</v>
      </c>
      <c r="D4329" t="s">
        <v>2014</v>
      </c>
      <c r="E4329" t="s">
        <v>13</v>
      </c>
      <c r="F4329" t="s">
        <v>16</v>
      </c>
      <c r="G4329">
        <v>4</v>
      </c>
      <c r="H4329">
        <v>1058</v>
      </c>
      <c r="I4329" s="1">
        <v>683771</v>
      </c>
      <c r="J4329" s="1">
        <f>Raw_Data!$I4329/Raw_Data!$H4329</f>
        <v>646.28638941398867</v>
      </c>
    </row>
    <row r="4330" spans="1:10" x14ac:dyDescent="0.3">
      <c r="A4330" s="9">
        <v>40698</v>
      </c>
      <c r="B4330" s="2" t="str">
        <f>TEXT(Raw_Data!$A4330, "MMM")</f>
        <v>Jun</v>
      </c>
      <c r="C4330" s="2">
        <f>YEAR(Raw_Data!$A4330)</f>
        <v>2011</v>
      </c>
      <c r="D4330" s="2" t="s">
        <v>2784</v>
      </c>
      <c r="E4330" s="2" t="s">
        <v>25</v>
      </c>
      <c r="F4330" s="2" t="s">
        <v>18</v>
      </c>
      <c r="G4330" s="2"/>
      <c r="H4330" s="2">
        <v>1121</v>
      </c>
      <c r="I4330" s="10">
        <v>860829</v>
      </c>
      <c r="J4330" s="10">
        <f>Raw_Data!$I4330/Raw_Data!$H4330</f>
        <v>767.91168599464766</v>
      </c>
    </row>
    <row r="4331" spans="1:10" x14ac:dyDescent="0.3">
      <c r="A4331" s="8">
        <v>43029</v>
      </c>
      <c r="B4331" t="str">
        <f>TEXT(Raw_Data!$A4331, "MMM")</f>
        <v>Oct</v>
      </c>
      <c r="C4331">
        <f>YEAR(Raw_Data!$A4331)</f>
        <v>2017</v>
      </c>
      <c r="D4331" t="s">
        <v>1354</v>
      </c>
      <c r="E4331" t="s">
        <v>15</v>
      </c>
      <c r="F4331" t="s">
        <v>18</v>
      </c>
      <c r="G4331">
        <v>5</v>
      </c>
      <c r="H4331">
        <v>3222</v>
      </c>
      <c r="I4331" s="1">
        <v>327358</v>
      </c>
      <c r="J4331" s="1">
        <f>Raw_Data!$I4331/Raw_Data!$H4331</f>
        <v>101.60086902545004</v>
      </c>
    </row>
    <row r="4332" spans="1:10" x14ac:dyDescent="0.3">
      <c r="A4332" s="9">
        <v>39523</v>
      </c>
      <c r="B4332" s="2" t="str">
        <f>TEXT(Raw_Data!$A4332, "MMM")</f>
        <v>Mar</v>
      </c>
      <c r="C4332" s="2">
        <f>YEAR(Raw_Data!$A4332)</f>
        <v>2008</v>
      </c>
      <c r="D4332" s="2" t="s">
        <v>2785</v>
      </c>
      <c r="E4332" s="2" t="s">
        <v>29</v>
      </c>
      <c r="F4332" s="2" t="s">
        <v>11</v>
      </c>
      <c r="G4332" s="2">
        <v>2</v>
      </c>
      <c r="H4332" s="2">
        <v>2018</v>
      </c>
      <c r="I4332" s="10">
        <v>894509</v>
      </c>
      <c r="J4332" s="10">
        <f>Raw_Data!$I4332/Raw_Data!$H4332</f>
        <v>443.26511397423189</v>
      </c>
    </row>
    <row r="4333" spans="1:10" x14ac:dyDescent="0.3">
      <c r="A4333" s="8">
        <v>42746</v>
      </c>
      <c r="B4333" t="str">
        <f>TEXT(Raw_Data!$A4333, "MMM")</f>
        <v>Jan</v>
      </c>
      <c r="C4333">
        <f>YEAR(Raw_Data!$A4333)</f>
        <v>2017</v>
      </c>
      <c r="D4333" t="s">
        <v>1198</v>
      </c>
      <c r="E4333" t="s">
        <v>15</v>
      </c>
      <c r="F4333" t="s">
        <v>11</v>
      </c>
      <c r="G4333">
        <v>4</v>
      </c>
      <c r="H4333">
        <v>1866</v>
      </c>
      <c r="I4333" s="1">
        <v>205389</v>
      </c>
      <c r="J4333" s="1">
        <f>Raw_Data!$I4333/Raw_Data!$H4333</f>
        <v>110.06913183279742</v>
      </c>
    </row>
    <row r="4334" spans="1:10" x14ac:dyDescent="0.3">
      <c r="A4334" s="9">
        <v>42836</v>
      </c>
      <c r="B4334" s="2" t="str">
        <f>TEXT(Raw_Data!$A4334, "MMM")</f>
        <v>Apr</v>
      </c>
      <c r="C4334" s="2">
        <f>YEAR(Raw_Data!$A4334)</f>
        <v>2017</v>
      </c>
      <c r="D4334" s="2" t="s">
        <v>2786</v>
      </c>
      <c r="E4334" s="2" t="s">
        <v>29</v>
      </c>
      <c r="F4334" s="2" t="s">
        <v>11</v>
      </c>
      <c r="G4334" s="2">
        <v>5</v>
      </c>
      <c r="H4334" s="2">
        <v>2876</v>
      </c>
      <c r="I4334" s="10">
        <v>634866</v>
      </c>
      <c r="J4334" s="10">
        <f>Raw_Data!$I4334/Raw_Data!$H4334</f>
        <v>220.74617524339359</v>
      </c>
    </row>
    <row r="4335" spans="1:10" x14ac:dyDescent="0.3">
      <c r="A4335" s="8">
        <v>38615</v>
      </c>
      <c r="B4335" t="str">
        <f>TEXT(Raw_Data!$A4335, "MMM")</f>
        <v>Sep</v>
      </c>
      <c r="C4335">
        <f>YEAR(Raw_Data!$A4335)</f>
        <v>2005</v>
      </c>
      <c r="D4335" t="s">
        <v>2787</v>
      </c>
      <c r="E4335" t="s">
        <v>25</v>
      </c>
      <c r="F4335" t="s">
        <v>18</v>
      </c>
      <c r="H4335">
        <v>1546</v>
      </c>
      <c r="I4335" s="1">
        <v>194781</v>
      </c>
      <c r="J4335" s="1">
        <f>Raw_Data!$I4335/Raw_Data!$H4335</f>
        <v>125.99029754204399</v>
      </c>
    </row>
    <row r="4336" spans="1:10" x14ac:dyDescent="0.3">
      <c r="A4336" s="9">
        <v>38417</v>
      </c>
      <c r="B4336" s="2" t="str">
        <f>TEXT(Raw_Data!$A4336, "MMM")</f>
        <v>Mar</v>
      </c>
      <c r="C4336" s="2">
        <f>YEAR(Raw_Data!$A4336)</f>
        <v>2005</v>
      </c>
      <c r="D4336" s="2" t="s">
        <v>2659</v>
      </c>
      <c r="E4336" s="2" t="s">
        <v>15</v>
      </c>
      <c r="F4336" s="2" t="s">
        <v>11</v>
      </c>
      <c r="G4336" s="2">
        <v>4</v>
      </c>
      <c r="H4336" s="2">
        <v>1937</v>
      </c>
      <c r="I4336" s="10">
        <v>489828</v>
      </c>
      <c r="J4336" s="10">
        <f>Raw_Data!$I4336/Raw_Data!$H4336</f>
        <v>252.8797108931337</v>
      </c>
    </row>
    <row r="4337" spans="1:10" x14ac:dyDescent="0.3">
      <c r="A4337" s="8">
        <v>38391</v>
      </c>
      <c r="B4337" t="str">
        <f>TEXT(Raw_Data!$A4337, "MMM")</f>
        <v>Feb</v>
      </c>
      <c r="C4337">
        <f>YEAR(Raw_Data!$A4337)</f>
        <v>2005</v>
      </c>
      <c r="D4337" t="s">
        <v>2788</v>
      </c>
      <c r="E4337" t="s">
        <v>23</v>
      </c>
      <c r="F4337" t="s">
        <v>27</v>
      </c>
      <c r="G4337">
        <v>3</v>
      </c>
      <c r="H4337">
        <v>1604</v>
      </c>
      <c r="I4337" s="1">
        <v>413327</v>
      </c>
      <c r="J4337" s="1">
        <f>Raw_Data!$I4337/Raw_Data!$H4337</f>
        <v>257.68516209476309</v>
      </c>
    </row>
    <row r="4338" spans="1:10" x14ac:dyDescent="0.3">
      <c r="A4338" s="9">
        <v>37378</v>
      </c>
      <c r="B4338" s="2" t="str">
        <f>TEXT(Raw_Data!$A4338, "MMM")</f>
        <v>May</v>
      </c>
      <c r="C4338" s="2">
        <f>YEAR(Raw_Data!$A4338)</f>
        <v>2002</v>
      </c>
      <c r="D4338" s="2" t="s">
        <v>2789</v>
      </c>
      <c r="E4338" s="2" t="s">
        <v>32</v>
      </c>
      <c r="F4338" s="2" t="s">
        <v>18</v>
      </c>
      <c r="G4338" s="2">
        <v>4</v>
      </c>
      <c r="H4338" s="2">
        <v>2295</v>
      </c>
      <c r="I4338" s="10">
        <v>607871</v>
      </c>
      <c r="J4338" s="10">
        <f>Raw_Data!$I4338/Raw_Data!$H4338</f>
        <v>264.86753812636164</v>
      </c>
    </row>
    <row r="4339" spans="1:10" x14ac:dyDescent="0.3">
      <c r="A4339" s="8">
        <v>40947</v>
      </c>
      <c r="B4339" t="str">
        <f>TEXT(Raw_Data!$A4339, "MMM")</f>
        <v>Feb</v>
      </c>
      <c r="C4339">
        <f>YEAR(Raw_Data!$A4339)</f>
        <v>2012</v>
      </c>
      <c r="D4339" t="s">
        <v>2790</v>
      </c>
      <c r="E4339" t="s">
        <v>29</v>
      </c>
      <c r="F4339" t="s">
        <v>27</v>
      </c>
      <c r="G4339">
        <v>2</v>
      </c>
      <c r="H4339">
        <v>1586</v>
      </c>
      <c r="I4339" s="1">
        <v>404491</v>
      </c>
      <c r="J4339" s="1">
        <f>Raw_Data!$I4339/Raw_Data!$H4339</f>
        <v>255.03846153846155</v>
      </c>
    </row>
    <row r="4340" spans="1:10" x14ac:dyDescent="0.3">
      <c r="A4340" s="9">
        <v>40733</v>
      </c>
      <c r="B4340" s="2" t="str">
        <f>TEXT(Raw_Data!$A4340, "MMM")</f>
        <v>Jul</v>
      </c>
      <c r="C4340" s="2">
        <f>YEAR(Raw_Data!$A4340)</f>
        <v>2011</v>
      </c>
      <c r="D4340" s="2" t="s">
        <v>2039</v>
      </c>
      <c r="E4340" s="2" t="s">
        <v>32</v>
      </c>
      <c r="F4340" s="2" t="s">
        <v>16</v>
      </c>
      <c r="G4340" s="2">
        <v>2</v>
      </c>
      <c r="H4340" s="2">
        <v>2394</v>
      </c>
      <c r="I4340" s="10">
        <v>604762</v>
      </c>
      <c r="J4340" s="10">
        <f>Raw_Data!$I4340/Raw_Data!$H4340</f>
        <v>252.6157059314954</v>
      </c>
    </row>
    <row r="4341" spans="1:10" x14ac:dyDescent="0.3">
      <c r="A4341" s="8">
        <v>42371</v>
      </c>
      <c r="B4341" t="str">
        <f>TEXT(Raw_Data!$A4341, "MMM")</f>
        <v>Jan</v>
      </c>
      <c r="C4341">
        <f>YEAR(Raw_Data!$A4341)</f>
        <v>2016</v>
      </c>
      <c r="D4341" t="s">
        <v>2791</v>
      </c>
      <c r="E4341" t="s">
        <v>15</v>
      </c>
      <c r="F4341" t="s">
        <v>16</v>
      </c>
      <c r="G4341">
        <v>5</v>
      </c>
      <c r="H4341">
        <v>2554</v>
      </c>
      <c r="I4341" s="1">
        <v>499189</v>
      </c>
      <c r="J4341" s="1">
        <f>Raw_Data!$I4341/Raw_Data!$H4341</f>
        <v>195.45379796397808</v>
      </c>
    </row>
    <row r="4342" spans="1:10" x14ac:dyDescent="0.3">
      <c r="A4342" s="9">
        <v>37047</v>
      </c>
      <c r="B4342" s="2" t="str">
        <f>TEXT(Raw_Data!$A4342, "MMM")</f>
        <v>Jun</v>
      </c>
      <c r="C4342" s="2">
        <f>YEAR(Raw_Data!$A4342)</f>
        <v>2001</v>
      </c>
      <c r="D4342" s="2" t="s">
        <v>182</v>
      </c>
      <c r="E4342" s="2" t="s">
        <v>13</v>
      </c>
      <c r="F4342" s="2" t="s">
        <v>11</v>
      </c>
      <c r="G4342" s="2">
        <v>4</v>
      </c>
      <c r="H4342" s="2">
        <v>2094</v>
      </c>
      <c r="I4342" s="10">
        <v>182770</v>
      </c>
      <c r="J4342" s="10">
        <f>Raw_Data!$I4342/Raw_Data!$H4342</f>
        <v>87.282712511938868</v>
      </c>
    </row>
    <row r="4343" spans="1:10" x14ac:dyDescent="0.3">
      <c r="A4343" s="8">
        <v>37072</v>
      </c>
      <c r="B4343" t="str">
        <f>TEXT(Raw_Data!$A4343, "MMM")</f>
        <v>Jun</v>
      </c>
      <c r="C4343">
        <f>YEAR(Raw_Data!$A4343)</f>
        <v>2001</v>
      </c>
      <c r="D4343" t="s">
        <v>1850</v>
      </c>
      <c r="E4343" t="s">
        <v>21</v>
      </c>
      <c r="F4343" t="s">
        <v>18</v>
      </c>
      <c r="G4343">
        <v>2</v>
      </c>
      <c r="H4343">
        <v>2748</v>
      </c>
      <c r="I4343" s="1">
        <v>419820</v>
      </c>
      <c r="J4343" s="1">
        <f>Raw_Data!$I4343/Raw_Data!$H4343</f>
        <v>152.77292576419214</v>
      </c>
    </row>
    <row r="4344" spans="1:10" x14ac:dyDescent="0.3">
      <c r="A4344" s="9">
        <v>43775</v>
      </c>
      <c r="B4344" s="2" t="str">
        <f>TEXT(Raw_Data!$A4344, "MMM")</f>
        <v>Nov</v>
      </c>
      <c r="C4344" s="2">
        <f>YEAR(Raw_Data!$A4344)</f>
        <v>2019</v>
      </c>
      <c r="D4344" s="2" t="s">
        <v>2792</v>
      </c>
      <c r="E4344" s="2" t="s">
        <v>21</v>
      </c>
      <c r="F4344" s="2" t="s">
        <v>18</v>
      </c>
      <c r="G4344" s="2">
        <v>3</v>
      </c>
      <c r="H4344" s="2">
        <v>1439</v>
      </c>
      <c r="I4344" s="10">
        <v>717745</v>
      </c>
      <c r="J4344" s="10">
        <f>Raw_Data!$I4344/Raw_Data!$H4344</f>
        <v>498.78040305767894</v>
      </c>
    </row>
    <row r="4345" spans="1:10" x14ac:dyDescent="0.3">
      <c r="A4345" s="8">
        <v>39950</v>
      </c>
      <c r="B4345" t="str">
        <f>TEXT(Raw_Data!$A4345, "MMM")</f>
        <v>May</v>
      </c>
      <c r="C4345">
        <f>YEAR(Raw_Data!$A4345)</f>
        <v>2009</v>
      </c>
      <c r="D4345" t="s">
        <v>817</v>
      </c>
      <c r="E4345" t="s">
        <v>21</v>
      </c>
      <c r="F4345" t="s">
        <v>18</v>
      </c>
      <c r="H4345">
        <v>1212</v>
      </c>
      <c r="I4345" s="1"/>
      <c r="J4345" s="1">
        <f>Raw_Data!$I4345/Raw_Data!$H4345</f>
        <v>0</v>
      </c>
    </row>
    <row r="4346" spans="1:10" x14ac:dyDescent="0.3">
      <c r="A4346" s="9">
        <v>38413</v>
      </c>
      <c r="B4346" s="2" t="str">
        <f>TEXT(Raw_Data!$A4346, "MMM")</f>
        <v>Mar</v>
      </c>
      <c r="C4346" s="2">
        <f>YEAR(Raw_Data!$A4346)</f>
        <v>2005</v>
      </c>
      <c r="D4346" s="2" t="s">
        <v>2793</v>
      </c>
      <c r="E4346" s="2" t="s">
        <v>29</v>
      </c>
      <c r="F4346" s="2" t="s">
        <v>11</v>
      </c>
      <c r="G4346" s="2"/>
      <c r="H4346" s="2">
        <v>1295</v>
      </c>
      <c r="I4346" s="10">
        <v>825828</v>
      </c>
      <c r="J4346" s="10">
        <f>Raw_Data!$I4346/Raw_Data!$H4346</f>
        <v>637.70501930501928</v>
      </c>
    </row>
    <row r="4347" spans="1:10" x14ac:dyDescent="0.3">
      <c r="A4347" s="8">
        <v>39817</v>
      </c>
      <c r="B4347" t="str">
        <f>TEXT(Raw_Data!$A4347, "MMM")</f>
        <v>Jan</v>
      </c>
      <c r="C4347">
        <f>YEAR(Raw_Data!$A4347)</f>
        <v>2009</v>
      </c>
      <c r="D4347" t="s">
        <v>2794</v>
      </c>
      <c r="E4347" t="s">
        <v>21</v>
      </c>
      <c r="F4347" t="s">
        <v>18</v>
      </c>
      <c r="H4347">
        <v>1823</v>
      </c>
      <c r="I4347" s="1">
        <v>586246</v>
      </c>
      <c r="J4347" s="1">
        <f>Raw_Data!$I4347/Raw_Data!$H4347</f>
        <v>321.58310477235324</v>
      </c>
    </row>
    <row r="4348" spans="1:10" x14ac:dyDescent="0.3">
      <c r="A4348" s="9">
        <v>38186</v>
      </c>
      <c r="B4348" s="2" t="str">
        <f>TEXT(Raw_Data!$A4348, "MMM")</f>
        <v>Jul</v>
      </c>
      <c r="C4348" s="2">
        <f>YEAR(Raw_Data!$A4348)</f>
        <v>2004</v>
      </c>
      <c r="D4348" s="2" t="s">
        <v>1772</v>
      </c>
      <c r="E4348" s="2" t="s">
        <v>32</v>
      </c>
      <c r="F4348" s="2" t="s">
        <v>18</v>
      </c>
      <c r="G4348" s="2">
        <v>3</v>
      </c>
      <c r="H4348" s="2">
        <v>2008</v>
      </c>
      <c r="I4348" s="10">
        <v>842668</v>
      </c>
      <c r="J4348" s="10">
        <f>Raw_Data!$I4348/Raw_Data!$H4348</f>
        <v>419.65537848605578</v>
      </c>
    </row>
    <row r="4349" spans="1:10" x14ac:dyDescent="0.3">
      <c r="A4349" s="8">
        <v>43346</v>
      </c>
      <c r="B4349" t="str">
        <f>TEXT(Raw_Data!$A4349, "MMM")</f>
        <v>Sep</v>
      </c>
      <c r="C4349">
        <f>YEAR(Raw_Data!$A4349)</f>
        <v>2018</v>
      </c>
      <c r="D4349" t="s">
        <v>2795</v>
      </c>
      <c r="E4349" t="s">
        <v>15</v>
      </c>
      <c r="F4349" t="s">
        <v>11</v>
      </c>
      <c r="G4349">
        <v>5</v>
      </c>
      <c r="H4349">
        <v>1795</v>
      </c>
      <c r="I4349" s="1">
        <v>488218</v>
      </c>
      <c r="J4349" s="1">
        <f>Raw_Data!$I4349/Raw_Data!$H4349</f>
        <v>271.9877437325905</v>
      </c>
    </row>
    <row r="4350" spans="1:10" x14ac:dyDescent="0.3">
      <c r="A4350" s="9">
        <v>38655</v>
      </c>
      <c r="B4350" s="2" t="str">
        <f>TEXT(Raw_Data!$A4350, "MMM")</f>
        <v>Oct</v>
      </c>
      <c r="C4350" s="2">
        <f>YEAR(Raw_Data!$A4350)</f>
        <v>2005</v>
      </c>
      <c r="D4350" s="2" t="s">
        <v>1467</v>
      </c>
      <c r="E4350" s="2" t="s">
        <v>25</v>
      </c>
      <c r="F4350" s="2" t="s">
        <v>16</v>
      </c>
      <c r="G4350" s="2">
        <v>2</v>
      </c>
      <c r="H4350" s="2">
        <v>2900</v>
      </c>
      <c r="I4350" s="10">
        <v>578815</v>
      </c>
      <c r="J4350" s="10">
        <f>Raw_Data!$I4350/Raw_Data!$H4350</f>
        <v>199.59137931034482</v>
      </c>
    </row>
    <row r="4351" spans="1:10" x14ac:dyDescent="0.3">
      <c r="A4351" s="8">
        <v>43058</v>
      </c>
      <c r="B4351" t="str">
        <f>TEXT(Raw_Data!$A4351, "MMM")</f>
        <v>Nov</v>
      </c>
      <c r="C4351">
        <f>YEAR(Raw_Data!$A4351)</f>
        <v>2017</v>
      </c>
      <c r="D4351" t="s">
        <v>1055</v>
      </c>
      <c r="E4351" t="s">
        <v>21</v>
      </c>
      <c r="F4351" t="s">
        <v>27</v>
      </c>
      <c r="G4351">
        <v>3</v>
      </c>
      <c r="H4351">
        <v>1616</v>
      </c>
      <c r="I4351" s="1">
        <v>225900</v>
      </c>
      <c r="J4351" s="1">
        <f>Raw_Data!$I4351/Raw_Data!$H4351</f>
        <v>139.78960396039605</v>
      </c>
    </row>
    <row r="4352" spans="1:10" x14ac:dyDescent="0.3">
      <c r="A4352" s="9">
        <v>44153</v>
      </c>
      <c r="B4352" s="2" t="str">
        <f>TEXT(Raw_Data!$A4352, "MMM")</f>
        <v>Nov</v>
      </c>
      <c r="C4352" s="2">
        <f>YEAR(Raw_Data!$A4352)</f>
        <v>2020</v>
      </c>
      <c r="D4352" s="2" t="s">
        <v>2048</v>
      </c>
      <c r="E4352" s="2" t="s">
        <v>32</v>
      </c>
      <c r="F4352" s="2" t="s">
        <v>27</v>
      </c>
      <c r="G4352" s="2">
        <v>5</v>
      </c>
      <c r="H4352" s="2">
        <v>2935</v>
      </c>
      <c r="I4352" s="10">
        <v>150416</v>
      </c>
      <c r="J4352" s="10">
        <f>Raw_Data!$I4352/Raw_Data!$H4352</f>
        <v>51.249063032367971</v>
      </c>
    </row>
    <row r="4353" spans="1:10" x14ac:dyDescent="0.3">
      <c r="A4353" s="8">
        <v>39966</v>
      </c>
      <c r="B4353" t="str">
        <f>TEXT(Raw_Data!$A4353, "MMM")</f>
        <v>Jun</v>
      </c>
      <c r="C4353">
        <f>YEAR(Raw_Data!$A4353)</f>
        <v>2009</v>
      </c>
      <c r="D4353" t="s">
        <v>2796</v>
      </c>
      <c r="E4353" t="s">
        <v>25</v>
      </c>
      <c r="F4353" t="s">
        <v>11</v>
      </c>
      <c r="G4353">
        <v>2</v>
      </c>
      <c r="H4353">
        <v>955</v>
      </c>
      <c r="I4353" s="1">
        <v>898607</v>
      </c>
      <c r="J4353" s="1">
        <f>Raw_Data!$I4353/Raw_Data!$H4353</f>
        <v>940.94973821989527</v>
      </c>
    </row>
    <row r="4354" spans="1:10" x14ac:dyDescent="0.3">
      <c r="A4354" s="9">
        <v>42447</v>
      </c>
      <c r="B4354" s="2" t="str">
        <f>TEXT(Raw_Data!$A4354, "MMM")</f>
        <v>Mar</v>
      </c>
      <c r="C4354" s="2">
        <f>YEAR(Raw_Data!$A4354)</f>
        <v>2016</v>
      </c>
      <c r="D4354" s="2" t="s">
        <v>2797</v>
      </c>
      <c r="E4354" s="2" t="s">
        <v>32</v>
      </c>
      <c r="F4354" s="2" t="s">
        <v>18</v>
      </c>
      <c r="G4354" s="2"/>
      <c r="H4354" s="2">
        <v>3031</v>
      </c>
      <c r="I4354" s="10">
        <v>282560</v>
      </c>
      <c r="J4354" s="10">
        <f>Raw_Data!$I4354/Raw_Data!$H4354</f>
        <v>93.223358627515665</v>
      </c>
    </row>
    <row r="4355" spans="1:10" x14ac:dyDescent="0.3">
      <c r="A4355" s="8">
        <v>40717</v>
      </c>
      <c r="B4355" t="str">
        <f>TEXT(Raw_Data!$A4355, "MMM")</f>
        <v>Jun</v>
      </c>
      <c r="C4355">
        <f>YEAR(Raw_Data!$A4355)</f>
        <v>2011</v>
      </c>
      <c r="D4355" t="s">
        <v>2798</v>
      </c>
      <c r="E4355" t="s">
        <v>25</v>
      </c>
      <c r="F4355" t="s">
        <v>16</v>
      </c>
      <c r="G4355">
        <v>5</v>
      </c>
      <c r="H4355">
        <v>1694</v>
      </c>
      <c r="I4355" s="1">
        <v>738955</v>
      </c>
      <c r="J4355" s="1">
        <f>Raw_Data!$I4355/Raw_Data!$H4355</f>
        <v>436.21900826446279</v>
      </c>
    </row>
    <row r="4356" spans="1:10" x14ac:dyDescent="0.3">
      <c r="A4356" s="9">
        <v>43515</v>
      </c>
      <c r="B4356" s="2" t="str">
        <f>TEXT(Raw_Data!$A4356, "MMM")</f>
        <v>Feb</v>
      </c>
      <c r="C4356" s="2">
        <f>YEAR(Raw_Data!$A4356)</f>
        <v>2019</v>
      </c>
      <c r="D4356" s="2" t="s">
        <v>612</v>
      </c>
      <c r="E4356" s="2" t="s">
        <v>25</v>
      </c>
      <c r="F4356" s="2" t="s">
        <v>27</v>
      </c>
      <c r="G4356" s="2">
        <v>3</v>
      </c>
      <c r="H4356" s="2">
        <v>2158</v>
      </c>
      <c r="I4356" s="10">
        <v>170619</v>
      </c>
      <c r="J4356" s="10">
        <f>Raw_Data!$I4356/Raw_Data!$H4356</f>
        <v>79.063484708063015</v>
      </c>
    </row>
    <row r="4357" spans="1:10" x14ac:dyDescent="0.3">
      <c r="A4357" s="8">
        <v>37685</v>
      </c>
      <c r="B4357" t="str">
        <f>TEXT(Raw_Data!$A4357, "MMM")</f>
        <v>Mar</v>
      </c>
      <c r="C4357">
        <f>YEAR(Raw_Data!$A4357)</f>
        <v>2003</v>
      </c>
      <c r="D4357" t="s">
        <v>2799</v>
      </c>
      <c r="E4357" t="s">
        <v>23</v>
      </c>
      <c r="F4357" t="s">
        <v>27</v>
      </c>
      <c r="H4357">
        <v>3399</v>
      </c>
      <c r="I4357" s="1">
        <v>227916</v>
      </c>
      <c r="J4357" s="1">
        <f>Raw_Data!$I4357/Raw_Data!$H4357</f>
        <v>67.053839364518979</v>
      </c>
    </row>
    <row r="4358" spans="1:10" x14ac:dyDescent="0.3">
      <c r="A4358" s="9">
        <v>37165</v>
      </c>
      <c r="B4358" s="2" t="str">
        <f>TEXT(Raw_Data!$A4358, "MMM")</f>
        <v>Oct</v>
      </c>
      <c r="C4358" s="2">
        <f>YEAR(Raw_Data!$A4358)</f>
        <v>2001</v>
      </c>
      <c r="D4358" s="2" t="s">
        <v>2800</v>
      </c>
      <c r="E4358" s="2" t="s">
        <v>32</v>
      </c>
      <c r="F4358" s="2" t="s">
        <v>27</v>
      </c>
      <c r="G4358" s="2">
        <v>2</v>
      </c>
      <c r="H4358" s="2">
        <v>1161</v>
      </c>
      <c r="I4358" s="10">
        <v>399867</v>
      </c>
      <c r="J4358" s="10">
        <f>Raw_Data!$I4358/Raw_Data!$H4358</f>
        <v>344.41602067183464</v>
      </c>
    </row>
    <row r="4359" spans="1:10" x14ac:dyDescent="0.3">
      <c r="A4359" s="8">
        <v>37748</v>
      </c>
      <c r="B4359" t="str">
        <f>TEXT(Raw_Data!$A4359, "MMM")</f>
        <v>May</v>
      </c>
      <c r="C4359">
        <f>YEAR(Raw_Data!$A4359)</f>
        <v>2003</v>
      </c>
      <c r="D4359" t="s">
        <v>2801</v>
      </c>
      <c r="E4359" t="s">
        <v>15</v>
      </c>
      <c r="F4359" t="s">
        <v>16</v>
      </c>
      <c r="G4359">
        <v>2</v>
      </c>
      <c r="H4359">
        <v>1777</v>
      </c>
      <c r="I4359" s="1">
        <v>433532</v>
      </c>
      <c r="J4359" s="1">
        <f>Raw_Data!$I4359/Raw_Data!$H4359</f>
        <v>243.96848621271806</v>
      </c>
    </row>
    <row r="4360" spans="1:10" x14ac:dyDescent="0.3">
      <c r="A4360" s="9">
        <v>41097</v>
      </c>
      <c r="B4360" s="2" t="str">
        <f>TEXT(Raw_Data!$A4360, "MMM")</f>
        <v>Jul</v>
      </c>
      <c r="C4360" s="2">
        <f>YEAR(Raw_Data!$A4360)</f>
        <v>2012</v>
      </c>
      <c r="D4360" s="2" t="s">
        <v>1668</v>
      </c>
      <c r="E4360" s="2" t="s">
        <v>13</v>
      </c>
      <c r="F4360" s="2" t="s">
        <v>27</v>
      </c>
      <c r="G4360" s="2">
        <v>4</v>
      </c>
      <c r="H4360" s="2">
        <v>2531</v>
      </c>
      <c r="I4360" s="10">
        <v>320412</v>
      </c>
      <c r="J4360" s="10">
        <f>Raw_Data!$I4360/Raw_Data!$H4360</f>
        <v>126.59502173054129</v>
      </c>
    </row>
    <row r="4361" spans="1:10" x14ac:dyDescent="0.3">
      <c r="A4361" s="8">
        <v>42137</v>
      </c>
      <c r="B4361" t="str">
        <f>TEXT(Raw_Data!$A4361, "MMM")</f>
        <v>May</v>
      </c>
      <c r="C4361">
        <f>YEAR(Raw_Data!$A4361)</f>
        <v>2015</v>
      </c>
      <c r="D4361" t="s">
        <v>2802</v>
      </c>
      <c r="E4361" t="s">
        <v>29</v>
      </c>
      <c r="F4361" t="s">
        <v>18</v>
      </c>
      <c r="G4361">
        <v>4</v>
      </c>
      <c r="H4361">
        <v>1574</v>
      </c>
      <c r="I4361" s="1">
        <v>112616</v>
      </c>
      <c r="J4361" s="1">
        <f>Raw_Data!$I4361/Raw_Data!$H4361</f>
        <v>71.547649301143579</v>
      </c>
    </row>
    <row r="4362" spans="1:10" x14ac:dyDescent="0.3">
      <c r="A4362" s="9">
        <v>43597</v>
      </c>
      <c r="B4362" s="2" t="str">
        <f>TEXT(Raw_Data!$A4362, "MMM")</f>
        <v>May</v>
      </c>
      <c r="C4362" s="2">
        <f>YEAR(Raw_Data!$A4362)</f>
        <v>2019</v>
      </c>
      <c r="D4362" s="2" t="s">
        <v>2803</v>
      </c>
      <c r="E4362" s="2" t="s">
        <v>15</v>
      </c>
      <c r="F4362" s="2" t="s">
        <v>16</v>
      </c>
      <c r="G4362" s="2">
        <v>3</v>
      </c>
      <c r="H4362" s="2">
        <v>837</v>
      </c>
      <c r="I4362" s="10">
        <v>560318</v>
      </c>
      <c r="J4362" s="10">
        <f>Raw_Data!$I4362/Raw_Data!$H4362</f>
        <v>669.43608124253285</v>
      </c>
    </row>
    <row r="4363" spans="1:10" x14ac:dyDescent="0.3">
      <c r="A4363" s="8">
        <v>43465</v>
      </c>
      <c r="B4363" t="str">
        <f>TEXT(Raw_Data!$A4363, "MMM")</f>
        <v>Dec</v>
      </c>
      <c r="C4363">
        <f>YEAR(Raw_Data!$A4363)</f>
        <v>2018</v>
      </c>
      <c r="D4363" t="s">
        <v>2804</v>
      </c>
      <c r="E4363" t="s">
        <v>23</v>
      </c>
      <c r="F4363" t="s">
        <v>11</v>
      </c>
      <c r="G4363">
        <v>3</v>
      </c>
      <c r="H4363">
        <v>2641</v>
      </c>
      <c r="I4363" s="1">
        <v>500410</v>
      </c>
      <c r="J4363" s="1">
        <f>Raw_Data!$I4363/Raw_Data!$H4363</f>
        <v>189.4774706550549</v>
      </c>
    </row>
    <row r="4364" spans="1:10" x14ac:dyDescent="0.3">
      <c r="A4364" s="9">
        <v>42947</v>
      </c>
      <c r="B4364" s="2" t="str">
        <f>TEXT(Raw_Data!$A4364, "MMM")</f>
        <v>Jul</v>
      </c>
      <c r="C4364" s="2">
        <f>YEAR(Raw_Data!$A4364)</f>
        <v>2017</v>
      </c>
      <c r="D4364" s="2" t="s">
        <v>789</v>
      </c>
      <c r="E4364" s="2" t="s">
        <v>32</v>
      </c>
      <c r="F4364" s="2" t="s">
        <v>11</v>
      </c>
      <c r="G4364" s="2"/>
      <c r="H4364" s="2">
        <v>1797</v>
      </c>
      <c r="I4364" s="10">
        <v>234487</v>
      </c>
      <c r="J4364" s="10">
        <f>Raw_Data!$I4364/Raw_Data!$H4364</f>
        <v>130.48803561491374</v>
      </c>
    </row>
    <row r="4365" spans="1:10" x14ac:dyDescent="0.3">
      <c r="A4365" s="8">
        <v>39212</v>
      </c>
      <c r="B4365" t="str">
        <f>TEXT(Raw_Data!$A4365, "MMM")</f>
        <v>May</v>
      </c>
      <c r="C4365">
        <f>YEAR(Raw_Data!$A4365)</f>
        <v>2007</v>
      </c>
      <c r="D4365" t="s">
        <v>2805</v>
      </c>
      <c r="E4365" t="s">
        <v>32</v>
      </c>
      <c r="F4365" t="s">
        <v>16</v>
      </c>
      <c r="G4365">
        <v>3</v>
      </c>
      <c r="H4365">
        <v>2737</v>
      </c>
      <c r="I4365" s="1">
        <v>397334</v>
      </c>
      <c r="J4365" s="1">
        <f>Raw_Data!$I4365/Raw_Data!$H4365</f>
        <v>145.17135549872123</v>
      </c>
    </row>
    <row r="4366" spans="1:10" x14ac:dyDescent="0.3">
      <c r="A4366" s="9">
        <v>38295</v>
      </c>
      <c r="B4366" s="2" t="str">
        <f>TEXT(Raw_Data!$A4366, "MMM")</f>
        <v>Nov</v>
      </c>
      <c r="C4366" s="2">
        <f>YEAR(Raw_Data!$A4366)</f>
        <v>2004</v>
      </c>
      <c r="D4366" s="2" t="s">
        <v>2563</v>
      </c>
      <c r="E4366" s="2" t="s">
        <v>32</v>
      </c>
      <c r="F4366" s="2" t="s">
        <v>18</v>
      </c>
      <c r="G4366" s="2"/>
      <c r="H4366" s="2">
        <v>3256</v>
      </c>
      <c r="I4366" s="10">
        <v>548611</v>
      </c>
      <c r="J4366" s="10">
        <f>Raw_Data!$I4366/Raw_Data!$H4366</f>
        <v>168.49232186732186</v>
      </c>
    </row>
    <row r="4367" spans="1:10" x14ac:dyDescent="0.3">
      <c r="A4367" s="8">
        <v>42172</v>
      </c>
      <c r="B4367" t="str">
        <f>TEXT(Raw_Data!$A4367, "MMM")</f>
        <v>Jun</v>
      </c>
      <c r="C4367">
        <f>YEAR(Raw_Data!$A4367)</f>
        <v>2015</v>
      </c>
      <c r="D4367" t="s">
        <v>1360</v>
      </c>
      <c r="E4367" t="s">
        <v>32</v>
      </c>
      <c r="F4367" t="s">
        <v>16</v>
      </c>
      <c r="H4367">
        <v>1867</v>
      </c>
      <c r="I4367" s="1">
        <v>727272</v>
      </c>
      <c r="J4367" s="1">
        <f>Raw_Data!$I4367/Raw_Data!$H4367</f>
        <v>389.54043920728441</v>
      </c>
    </row>
    <row r="4368" spans="1:10" x14ac:dyDescent="0.3">
      <c r="A4368" s="9">
        <v>37081</v>
      </c>
      <c r="B4368" s="2" t="str">
        <f>TEXT(Raw_Data!$A4368, "MMM")</f>
        <v>Jul</v>
      </c>
      <c r="C4368" s="2">
        <f>YEAR(Raw_Data!$A4368)</f>
        <v>2001</v>
      </c>
      <c r="D4368" s="2" t="s">
        <v>2806</v>
      </c>
      <c r="E4368" s="2" t="s">
        <v>21</v>
      </c>
      <c r="F4368" s="2" t="s">
        <v>27</v>
      </c>
      <c r="G4368" s="2"/>
      <c r="H4368" s="2">
        <v>2963</v>
      </c>
      <c r="I4368" s="10">
        <v>525548</v>
      </c>
      <c r="J4368" s="10">
        <f>Raw_Data!$I4368/Raw_Data!$H4368</f>
        <v>177.3702328720891</v>
      </c>
    </row>
    <row r="4369" spans="1:10" x14ac:dyDescent="0.3">
      <c r="A4369" s="8">
        <v>43441</v>
      </c>
      <c r="B4369" t="str">
        <f>TEXT(Raw_Data!$A4369, "MMM")</f>
        <v>Dec</v>
      </c>
      <c r="C4369">
        <f>YEAR(Raw_Data!$A4369)</f>
        <v>2018</v>
      </c>
      <c r="D4369" t="s">
        <v>423</v>
      </c>
      <c r="E4369" t="s">
        <v>32</v>
      </c>
      <c r="F4369" t="s">
        <v>11</v>
      </c>
      <c r="G4369">
        <v>2</v>
      </c>
      <c r="H4369">
        <v>2339</v>
      </c>
      <c r="I4369" s="1">
        <v>849511</v>
      </c>
      <c r="J4369" s="1">
        <f>Raw_Data!$I4369/Raw_Data!$H4369</f>
        <v>363.19410004275329</v>
      </c>
    </row>
    <row r="4370" spans="1:10" x14ac:dyDescent="0.3">
      <c r="A4370" s="9">
        <v>43823</v>
      </c>
      <c r="B4370" s="2" t="str">
        <f>TEXT(Raw_Data!$A4370, "MMM")</f>
        <v>Dec</v>
      </c>
      <c r="C4370" s="2">
        <f>YEAR(Raw_Data!$A4370)</f>
        <v>2019</v>
      </c>
      <c r="D4370" s="2" t="s">
        <v>2807</v>
      </c>
      <c r="E4370" s="2" t="s">
        <v>25</v>
      </c>
      <c r="F4370" s="2" t="s">
        <v>16</v>
      </c>
      <c r="G4370" s="2">
        <v>3</v>
      </c>
      <c r="H4370" s="2">
        <v>805</v>
      </c>
      <c r="I4370" s="10">
        <v>411120</v>
      </c>
      <c r="J4370" s="10">
        <f>Raw_Data!$I4370/Raw_Data!$H4370</f>
        <v>510.70807453416148</v>
      </c>
    </row>
    <row r="4371" spans="1:10" x14ac:dyDescent="0.3">
      <c r="A4371" s="8">
        <v>38930</v>
      </c>
      <c r="B4371" t="str">
        <f>TEXT(Raw_Data!$A4371, "MMM")</f>
        <v>Aug</v>
      </c>
      <c r="C4371">
        <f>YEAR(Raw_Data!$A4371)</f>
        <v>2006</v>
      </c>
      <c r="D4371" t="s">
        <v>2808</v>
      </c>
      <c r="E4371" t="s">
        <v>25</v>
      </c>
      <c r="F4371" t="s">
        <v>16</v>
      </c>
      <c r="H4371">
        <v>2840</v>
      </c>
      <c r="I4371" s="1">
        <v>706528</v>
      </c>
      <c r="J4371" s="1">
        <f>Raw_Data!$I4371/Raw_Data!$H4371</f>
        <v>248.7774647887324</v>
      </c>
    </row>
    <row r="4372" spans="1:10" x14ac:dyDescent="0.3">
      <c r="A4372" s="9">
        <v>38506</v>
      </c>
      <c r="B4372" s="2" t="str">
        <f>TEXT(Raw_Data!$A4372, "MMM")</f>
        <v>Jun</v>
      </c>
      <c r="C4372" s="2">
        <f>YEAR(Raw_Data!$A4372)</f>
        <v>2005</v>
      </c>
      <c r="D4372" s="2" t="s">
        <v>2809</v>
      </c>
      <c r="E4372" s="2" t="s">
        <v>21</v>
      </c>
      <c r="F4372" s="2" t="s">
        <v>27</v>
      </c>
      <c r="G4372" s="2">
        <v>5</v>
      </c>
      <c r="H4372" s="2">
        <v>2457</v>
      </c>
      <c r="I4372" s="10">
        <v>180902</v>
      </c>
      <c r="J4372" s="10">
        <f>Raw_Data!$I4372/Raw_Data!$H4372</f>
        <v>73.627187627187624</v>
      </c>
    </row>
    <row r="4373" spans="1:10" x14ac:dyDescent="0.3">
      <c r="A4373" s="8">
        <v>43220</v>
      </c>
      <c r="B4373" t="str">
        <f>TEXT(Raw_Data!$A4373, "MMM")</f>
        <v>Apr</v>
      </c>
      <c r="C4373">
        <f>YEAR(Raw_Data!$A4373)</f>
        <v>2018</v>
      </c>
      <c r="D4373" t="s">
        <v>2201</v>
      </c>
      <c r="E4373" t="s">
        <v>15</v>
      </c>
      <c r="F4373" t="s">
        <v>11</v>
      </c>
      <c r="G4373">
        <v>5</v>
      </c>
      <c r="H4373">
        <v>1773</v>
      </c>
      <c r="I4373" s="1">
        <v>118852</v>
      </c>
      <c r="J4373" s="1">
        <f>Raw_Data!$I4373/Raw_Data!$H4373</f>
        <v>67.034404963338972</v>
      </c>
    </row>
    <row r="4374" spans="1:10" x14ac:dyDescent="0.3">
      <c r="A4374" s="9">
        <v>38683</v>
      </c>
      <c r="B4374" s="2" t="str">
        <f>TEXT(Raw_Data!$A4374, "MMM")</f>
        <v>Nov</v>
      </c>
      <c r="C4374" s="2">
        <f>YEAR(Raw_Data!$A4374)</f>
        <v>2005</v>
      </c>
      <c r="D4374" s="2" t="s">
        <v>2372</v>
      </c>
      <c r="E4374" s="2" t="s">
        <v>23</v>
      </c>
      <c r="F4374" s="2" t="s">
        <v>16</v>
      </c>
      <c r="G4374" s="2">
        <v>2</v>
      </c>
      <c r="H4374" s="2">
        <v>2621</v>
      </c>
      <c r="I4374" s="10">
        <v>650067</v>
      </c>
      <c r="J4374" s="10">
        <f>Raw_Data!$I4374/Raw_Data!$H4374</f>
        <v>248.02251049217855</v>
      </c>
    </row>
    <row r="4375" spans="1:10" x14ac:dyDescent="0.3">
      <c r="A4375" s="8">
        <v>37485</v>
      </c>
      <c r="B4375" t="str">
        <f>TEXT(Raw_Data!$A4375, "MMM")</f>
        <v>Aug</v>
      </c>
      <c r="C4375">
        <f>YEAR(Raw_Data!$A4375)</f>
        <v>2002</v>
      </c>
      <c r="D4375" t="s">
        <v>2810</v>
      </c>
      <c r="E4375" t="s">
        <v>32</v>
      </c>
      <c r="F4375" t="s">
        <v>27</v>
      </c>
      <c r="G4375">
        <v>3</v>
      </c>
      <c r="H4375">
        <v>1405</v>
      </c>
      <c r="I4375" s="1">
        <v>659896</v>
      </c>
      <c r="J4375" s="1">
        <f>Raw_Data!$I4375/Raw_Data!$H4375</f>
        <v>469.67686832740213</v>
      </c>
    </row>
    <row r="4376" spans="1:10" x14ac:dyDescent="0.3">
      <c r="A4376" s="9">
        <v>41730</v>
      </c>
      <c r="B4376" s="2" t="str">
        <f>TEXT(Raw_Data!$A4376, "MMM")</f>
        <v>Apr</v>
      </c>
      <c r="C4376" s="2">
        <f>YEAR(Raw_Data!$A4376)</f>
        <v>2014</v>
      </c>
      <c r="D4376" s="2" t="s">
        <v>413</v>
      </c>
      <c r="E4376" s="2" t="s">
        <v>15</v>
      </c>
      <c r="F4376" s="2" t="s">
        <v>18</v>
      </c>
      <c r="G4376" s="2">
        <v>5</v>
      </c>
      <c r="H4376" s="2">
        <v>2705</v>
      </c>
      <c r="I4376" s="10">
        <v>641699</v>
      </c>
      <c r="J4376" s="10">
        <f>Raw_Data!$I4376/Raw_Data!$H4376</f>
        <v>237.22698706099814</v>
      </c>
    </row>
    <row r="4377" spans="1:10" x14ac:dyDescent="0.3">
      <c r="A4377" s="8">
        <v>38180</v>
      </c>
      <c r="B4377" t="str">
        <f>TEXT(Raw_Data!$A4377, "MMM")</f>
        <v>Jul</v>
      </c>
      <c r="C4377">
        <f>YEAR(Raw_Data!$A4377)</f>
        <v>2004</v>
      </c>
      <c r="D4377" t="s">
        <v>2172</v>
      </c>
      <c r="E4377" t="s">
        <v>32</v>
      </c>
      <c r="F4377" t="s">
        <v>16</v>
      </c>
      <c r="G4377">
        <v>3</v>
      </c>
      <c r="H4377">
        <v>2879</v>
      </c>
      <c r="I4377" s="1">
        <v>351390</v>
      </c>
      <c r="J4377" s="1">
        <f>Raw_Data!$I4377/Raw_Data!$H4377</f>
        <v>122.05279610976034</v>
      </c>
    </row>
    <row r="4378" spans="1:10" x14ac:dyDescent="0.3">
      <c r="A4378" s="9">
        <v>37386</v>
      </c>
      <c r="B4378" s="2" t="str">
        <f>TEXT(Raw_Data!$A4378, "MMM")</f>
        <v>May</v>
      </c>
      <c r="C4378" s="2">
        <f>YEAR(Raw_Data!$A4378)</f>
        <v>2002</v>
      </c>
      <c r="D4378" s="2" t="s">
        <v>1988</v>
      </c>
      <c r="E4378" s="2" t="s">
        <v>15</v>
      </c>
      <c r="F4378" s="2" t="s">
        <v>16</v>
      </c>
      <c r="G4378" s="2">
        <v>2</v>
      </c>
      <c r="H4378" s="2">
        <v>1399</v>
      </c>
      <c r="I4378" s="10">
        <v>550827</v>
      </c>
      <c r="J4378" s="10">
        <f>Raw_Data!$I4378/Raw_Data!$H4378</f>
        <v>393.72909220872049</v>
      </c>
    </row>
    <row r="4379" spans="1:10" x14ac:dyDescent="0.3">
      <c r="A4379" s="8">
        <v>37606</v>
      </c>
      <c r="B4379" t="str">
        <f>TEXT(Raw_Data!$A4379, "MMM")</f>
        <v>Dec</v>
      </c>
      <c r="C4379">
        <f>YEAR(Raw_Data!$A4379)</f>
        <v>2002</v>
      </c>
      <c r="D4379" t="s">
        <v>2304</v>
      </c>
      <c r="E4379" t="s">
        <v>15</v>
      </c>
      <c r="F4379" t="s">
        <v>11</v>
      </c>
      <c r="H4379">
        <v>3336</v>
      </c>
      <c r="I4379" s="1">
        <v>767971</v>
      </c>
      <c r="J4379" s="1">
        <f>Raw_Data!$I4379/Raw_Data!$H4379</f>
        <v>230.20713429256594</v>
      </c>
    </row>
    <row r="4380" spans="1:10" x14ac:dyDescent="0.3">
      <c r="A4380" s="9">
        <v>40267</v>
      </c>
      <c r="B4380" s="2" t="str">
        <f>TEXT(Raw_Data!$A4380, "MMM")</f>
        <v>Mar</v>
      </c>
      <c r="C4380" s="2">
        <f>YEAR(Raw_Data!$A4380)</f>
        <v>2010</v>
      </c>
      <c r="D4380" s="2" t="s">
        <v>889</v>
      </c>
      <c r="E4380" s="2" t="s">
        <v>25</v>
      </c>
      <c r="F4380" s="2" t="s">
        <v>18</v>
      </c>
      <c r="G4380" s="2">
        <v>2</v>
      </c>
      <c r="H4380" s="2">
        <v>3337</v>
      </c>
      <c r="I4380" s="10">
        <v>367468</v>
      </c>
      <c r="J4380" s="10">
        <f>Raw_Data!$I4380/Raw_Data!$H4380</f>
        <v>110.11926880431525</v>
      </c>
    </row>
    <row r="4381" spans="1:10" x14ac:dyDescent="0.3">
      <c r="A4381" s="8">
        <v>39183</v>
      </c>
      <c r="B4381" t="str">
        <f>TEXT(Raw_Data!$A4381, "MMM")</f>
        <v>Apr</v>
      </c>
      <c r="C4381">
        <f>YEAR(Raw_Data!$A4381)</f>
        <v>2007</v>
      </c>
      <c r="D4381" t="s">
        <v>2116</v>
      </c>
      <c r="E4381" t="s">
        <v>15</v>
      </c>
      <c r="F4381" t="s">
        <v>11</v>
      </c>
      <c r="H4381">
        <v>1334</v>
      </c>
      <c r="I4381" s="1">
        <v>441170</v>
      </c>
      <c r="J4381" s="1">
        <f>Raw_Data!$I4381/Raw_Data!$H4381</f>
        <v>330.71214392803597</v>
      </c>
    </row>
    <row r="4382" spans="1:10" x14ac:dyDescent="0.3">
      <c r="A4382" s="9">
        <v>40653</v>
      </c>
      <c r="B4382" s="2" t="str">
        <f>TEXT(Raw_Data!$A4382, "MMM")</f>
        <v>Apr</v>
      </c>
      <c r="C4382" s="2">
        <f>YEAR(Raw_Data!$A4382)</f>
        <v>2011</v>
      </c>
      <c r="D4382" s="2" t="s">
        <v>1714</v>
      </c>
      <c r="E4382" s="2" t="s">
        <v>13</v>
      </c>
      <c r="F4382" s="2" t="s">
        <v>18</v>
      </c>
      <c r="G4382" s="2">
        <v>5</v>
      </c>
      <c r="H4382" s="2">
        <v>1952</v>
      </c>
      <c r="I4382" s="10">
        <v>306087</v>
      </c>
      <c r="J4382" s="10">
        <f>Raw_Data!$I4382/Raw_Data!$H4382</f>
        <v>156.80686475409837</v>
      </c>
    </row>
    <row r="4383" spans="1:10" x14ac:dyDescent="0.3">
      <c r="A4383" s="8">
        <v>37185</v>
      </c>
      <c r="B4383" t="str">
        <f>TEXT(Raw_Data!$A4383, "MMM")</f>
        <v>Oct</v>
      </c>
      <c r="C4383">
        <f>YEAR(Raw_Data!$A4383)</f>
        <v>2001</v>
      </c>
      <c r="D4383" t="s">
        <v>2287</v>
      </c>
      <c r="E4383" t="s">
        <v>13</v>
      </c>
      <c r="F4383" t="s">
        <v>27</v>
      </c>
      <c r="G4383">
        <v>3</v>
      </c>
      <c r="H4383">
        <v>1100</v>
      </c>
      <c r="I4383" s="1">
        <v>888897</v>
      </c>
      <c r="J4383" s="1">
        <f>Raw_Data!$I4383/Raw_Data!$H4383</f>
        <v>808.08818181818185</v>
      </c>
    </row>
    <row r="4384" spans="1:10" x14ac:dyDescent="0.3">
      <c r="A4384" s="9">
        <v>42951</v>
      </c>
      <c r="B4384" s="2" t="str">
        <f>TEXT(Raw_Data!$A4384, "MMM")</f>
        <v>Aug</v>
      </c>
      <c r="C4384" s="2">
        <f>YEAR(Raw_Data!$A4384)</f>
        <v>2017</v>
      </c>
      <c r="D4384" s="2" t="s">
        <v>2811</v>
      </c>
      <c r="E4384" s="2" t="s">
        <v>32</v>
      </c>
      <c r="F4384" s="2" t="s">
        <v>27</v>
      </c>
      <c r="G4384" s="2">
        <v>2</v>
      </c>
      <c r="H4384" s="2">
        <v>1859</v>
      </c>
      <c r="I4384" s="10">
        <v>593484</v>
      </c>
      <c r="J4384" s="10">
        <f>Raw_Data!$I4384/Raw_Data!$H4384</f>
        <v>319.249058633674</v>
      </c>
    </row>
    <row r="4385" spans="1:10" x14ac:dyDescent="0.3">
      <c r="A4385" s="8">
        <v>39430</v>
      </c>
      <c r="B4385" t="str">
        <f>TEXT(Raw_Data!$A4385, "MMM")</f>
        <v>Dec</v>
      </c>
      <c r="C4385">
        <f>YEAR(Raw_Data!$A4385)</f>
        <v>2007</v>
      </c>
      <c r="D4385" t="s">
        <v>2812</v>
      </c>
      <c r="E4385" t="s">
        <v>23</v>
      </c>
      <c r="F4385" t="s">
        <v>16</v>
      </c>
      <c r="H4385">
        <v>3309</v>
      </c>
      <c r="I4385" s="1">
        <v>892655</v>
      </c>
      <c r="J4385" s="1">
        <f>Raw_Data!$I4385/Raw_Data!$H4385</f>
        <v>269.76579026896343</v>
      </c>
    </row>
    <row r="4386" spans="1:10" x14ac:dyDescent="0.3">
      <c r="A4386" s="9">
        <v>39066</v>
      </c>
      <c r="B4386" s="2" t="str">
        <f>TEXT(Raw_Data!$A4386, "MMM")</f>
        <v>Dec</v>
      </c>
      <c r="C4386" s="2">
        <f>YEAR(Raw_Data!$A4386)</f>
        <v>2006</v>
      </c>
      <c r="D4386" s="2" t="s">
        <v>460</v>
      </c>
      <c r="E4386" s="2" t="s">
        <v>32</v>
      </c>
      <c r="F4386" s="2" t="s">
        <v>16</v>
      </c>
      <c r="G4386" s="2">
        <v>2</v>
      </c>
      <c r="H4386" s="2">
        <v>2910</v>
      </c>
      <c r="I4386" s="10">
        <v>331532</v>
      </c>
      <c r="J4386" s="10">
        <f>Raw_Data!$I4386/Raw_Data!$H4386</f>
        <v>113.92852233676976</v>
      </c>
    </row>
    <row r="4387" spans="1:10" x14ac:dyDescent="0.3">
      <c r="A4387" s="8">
        <v>42311</v>
      </c>
      <c r="B4387" t="str">
        <f>TEXT(Raw_Data!$A4387, "MMM")</f>
        <v>Nov</v>
      </c>
      <c r="C4387">
        <f>YEAR(Raw_Data!$A4387)</f>
        <v>2015</v>
      </c>
      <c r="D4387" t="s">
        <v>2395</v>
      </c>
      <c r="E4387" t="s">
        <v>13</v>
      </c>
      <c r="F4387" t="s">
        <v>18</v>
      </c>
      <c r="G4387">
        <v>5</v>
      </c>
      <c r="H4387">
        <v>1915</v>
      </c>
      <c r="I4387" s="1">
        <v>818912</v>
      </c>
      <c r="J4387" s="1">
        <f>Raw_Data!$I4387/Raw_Data!$H4387</f>
        <v>427.6302872062663</v>
      </c>
    </row>
    <row r="4388" spans="1:10" x14ac:dyDescent="0.3">
      <c r="A4388" s="9">
        <v>38664</v>
      </c>
      <c r="B4388" s="2" t="str">
        <f>TEXT(Raw_Data!$A4388, "MMM")</f>
        <v>Nov</v>
      </c>
      <c r="C4388" s="2">
        <f>YEAR(Raw_Data!$A4388)</f>
        <v>2005</v>
      </c>
      <c r="D4388" s="2" t="s">
        <v>971</v>
      </c>
      <c r="E4388" s="2" t="s">
        <v>15</v>
      </c>
      <c r="F4388" s="2" t="s">
        <v>18</v>
      </c>
      <c r="G4388" s="2"/>
      <c r="H4388" s="2">
        <v>2089</v>
      </c>
      <c r="I4388" s="10">
        <v>491054</v>
      </c>
      <c r="J4388" s="10">
        <f>Raw_Data!$I4388/Raw_Data!$H4388</f>
        <v>235.06653901388225</v>
      </c>
    </row>
    <row r="4389" spans="1:10" x14ac:dyDescent="0.3">
      <c r="A4389" s="8">
        <v>44040</v>
      </c>
      <c r="B4389" t="str">
        <f>TEXT(Raw_Data!$A4389, "MMM")</f>
        <v>Jul</v>
      </c>
      <c r="C4389">
        <f>YEAR(Raw_Data!$A4389)</f>
        <v>2020</v>
      </c>
      <c r="D4389" t="s">
        <v>1918</v>
      </c>
      <c r="E4389" t="s">
        <v>21</v>
      </c>
      <c r="F4389" t="s">
        <v>16</v>
      </c>
      <c r="G4389">
        <v>2</v>
      </c>
      <c r="H4389">
        <v>2039</v>
      </c>
      <c r="I4389" s="1">
        <v>695936</v>
      </c>
      <c r="J4389" s="1">
        <f>Raw_Data!$I4389/Raw_Data!$H4389</f>
        <v>341.31240804315843</v>
      </c>
    </row>
    <row r="4390" spans="1:10" x14ac:dyDescent="0.3">
      <c r="A4390" s="9">
        <v>42121</v>
      </c>
      <c r="B4390" s="2" t="str">
        <f>TEXT(Raw_Data!$A4390, "MMM")</f>
        <v>Apr</v>
      </c>
      <c r="C4390" s="2">
        <f>YEAR(Raw_Data!$A4390)</f>
        <v>2015</v>
      </c>
      <c r="D4390" s="2" t="s">
        <v>2813</v>
      </c>
      <c r="E4390" s="2" t="s">
        <v>25</v>
      </c>
      <c r="F4390" s="2" t="s">
        <v>27</v>
      </c>
      <c r="G4390" s="2">
        <v>4</v>
      </c>
      <c r="H4390" s="2">
        <v>3367</v>
      </c>
      <c r="I4390" s="10">
        <v>135432</v>
      </c>
      <c r="J4390" s="10">
        <f>Raw_Data!$I4390/Raw_Data!$H4390</f>
        <v>40.22334422334422</v>
      </c>
    </row>
    <row r="4391" spans="1:10" x14ac:dyDescent="0.3">
      <c r="A4391" s="8">
        <v>41625</v>
      </c>
      <c r="B4391" t="str">
        <f>TEXT(Raw_Data!$A4391, "MMM")</f>
        <v>Dec</v>
      </c>
      <c r="C4391">
        <f>YEAR(Raw_Data!$A4391)</f>
        <v>2013</v>
      </c>
      <c r="D4391" t="s">
        <v>2365</v>
      </c>
      <c r="E4391" t="s">
        <v>29</v>
      </c>
      <c r="F4391" t="s">
        <v>18</v>
      </c>
      <c r="G4391">
        <v>3</v>
      </c>
      <c r="H4391">
        <v>1226</v>
      </c>
      <c r="I4391" s="1">
        <v>695996</v>
      </c>
      <c r="J4391" s="1">
        <f>Raw_Data!$I4391/Raw_Data!$H4391</f>
        <v>567.69657422512239</v>
      </c>
    </row>
    <row r="4392" spans="1:10" x14ac:dyDescent="0.3">
      <c r="A4392" s="9">
        <v>37398</v>
      </c>
      <c r="B4392" s="2" t="str">
        <f>TEXT(Raw_Data!$A4392, "MMM")</f>
        <v>May</v>
      </c>
      <c r="C4392" s="2">
        <f>YEAR(Raw_Data!$A4392)</f>
        <v>2002</v>
      </c>
      <c r="D4392" s="2" t="s">
        <v>670</v>
      </c>
      <c r="E4392" s="2" t="s">
        <v>25</v>
      </c>
      <c r="F4392" s="2" t="s">
        <v>11</v>
      </c>
      <c r="G4392" s="2">
        <v>5</v>
      </c>
      <c r="H4392" s="2">
        <v>954</v>
      </c>
      <c r="I4392" s="10">
        <v>244341</v>
      </c>
      <c r="J4392" s="10">
        <f>Raw_Data!$I4392/Raw_Data!$H4392</f>
        <v>256.12264150943395</v>
      </c>
    </row>
    <row r="4393" spans="1:10" x14ac:dyDescent="0.3">
      <c r="A4393" s="8">
        <v>37780</v>
      </c>
      <c r="B4393" t="str">
        <f>TEXT(Raw_Data!$A4393, "MMM")</f>
        <v>Jun</v>
      </c>
      <c r="C4393">
        <f>YEAR(Raw_Data!$A4393)</f>
        <v>2003</v>
      </c>
      <c r="D4393" t="s">
        <v>1289</v>
      </c>
      <c r="E4393" t="s">
        <v>32</v>
      </c>
      <c r="F4393" t="s">
        <v>27</v>
      </c>
      <c r="G4393">
        <v>2</v>
      </c>
      <c r="H4393">
        <v>1437</v>
      </c>
      <c r="I4393" s="1">
        <v>147609</v>
      </c>
      <c r="J4393" s="1">
        <f>Raw_Data!$I4393/Raw_Data!$H4393</f>
        <v>102.72025052192066</v>
      </c>
    </row>
    <row r="4394" spans="1:10" x14ac:dyDescent="0.3">
      <c r="A4394" s="9">
        <v>38186</v>
      </c>
      <c r="B4394" s="2" t="str">
        <f>TEXT(Raw_Data!$A4394, "MMM")</f>
        <v>Jul</v>
      </c>
      <c r="C4394" s="2">
        <f>YEAR(Raw_Data!$A4394)</f>
        <v>2004</v>
      </c>
      <c r="D4394" s="2" t="s">
        <v>2359</v>
      </c>
      <c r="E4394" s="2" t="s">
        <v>23</v>
      </c>
      <c r="F4394" s="2" t="s">
        <v>18</v>
      </c>
      <c r="G4394" s="2">
        <v>4</v>
      </c>
      <c r="H4394" s="2">
        <v>2090</v>
      </c>
      <c r="I4394" s="10">
        <v>718075</v>
      </c>
      <c r="J4394" s="10">
        <f>Raw_Data!$I4394/Raw_Data!$H4394</f>
        <v>343.57655502392345</v>
      </c>
    </row>
    <row r="4395" spans="1:10" x14ac:dyDescent="0.3">
      <c r="A4395" s="8">
        <v>38270</v>
      </c>
      <c r="B4395" t="str">
        <f>TEXT(Raw_Data!$A4395, "MMM")</f>
        <v>Oct</v>
      </c>
      <c r="C4395">
        <f>YEAR(Raw_Data!$A4395)</f>
        <v>2004</v>
      </c>
      <c r="D4395" t="s">
        <v>459</v>
      </c>
      <c r="E4395" t="s">
        <v>21</v>
      </c>
      <c r="F4395" t="s">
        <v>27</v>
      </c>
      <c r="G4395">
        <v>4</v>
      </c>
      <c r="H4395">
        <v>1200</v>
      </c>
      <c r="I4395" s="1">
        <v>452001</v>
      </c>
      <c r="J4395" s="1">
        <f>Raw_Data!$I4395/Raw_Data!$H4395</f>
        <v>376.66750000000002</v>
      </c>
    </row>
    <row r="4396" spans="1:10" x14ac:dyDescent="0.3">
      <c r="A4396" s="9">
        <v>40040</v>
      </c>
      <c r="B4396" s="2" t="str">
        <f>TEXT(Raw_Data!$A4396, "MMM")</f>
        <v>Aug</v>
      </c>
      <c r="C4396" s="2">
        <f>YEAR(Raw_Data!$A4396)</f>
        <v>2009</v>
      </c>
      <c r="D4396" s="2" t="s">
        <v>786</v>
      </c>
      <c r="E4396" s="2" t="s">
        <v>32</v>
      </c>
      <c r="F4396" s="2" t="s">
        <v>27</v>
      </c>
      <c r="G4396" s="2">
        <v>4</v>
      </c>
      <c r="H4396" s="2">
        <v>3225</v>
      </c>
      <c r="I4396" s="10">
        <v>619149</v>
      </c>
      <c r="J4396" s="10">
        <f>Raw_Data!$I4396/Raw_Data!$H4396</f>
        <v>191.98418604651164</v>
      </c>
    </row>
    <row r="4397" spans="1:10" x14ac:dyDescent="0.3">
      <c r="A4397" s="8">
        <v>43432</v>
      </c>
      <c r="B4397" t="str">
        <f>TEXT(Raw_Data!$A4397, "MMM")</f>
        <v>Nov</v>
      </c>
      <c r="C4397">
        <f>YEAR(Raw_Data!$A4397)</f>
        <v>2018</v>
      </c>
      <c r="D4397" t="s">
        <v>2814</v>
      </c>
      <c r="E4397" t="s">
        <v>13</v>
      </c>
      <c r="F4397" t="s">
        <v>11</v>
      </c>
      <c r="H4397">
        <v>2279</v>
      </c>
      <c r="I4397" s="1">
        <v>579110</v>
      </c>
      <c r="J4397" s="1">
        <f>Raw_Data!$I4397/Raw_Data!$H4397</f>
        <v>254.10706450197455</v>
      </c>
    </row>
    <row r="4398" spans="1:10" x14ac:dyDescent="0.3">
      <c r="A4398" s="9">
        <v>40523</v>
      </c>
      <c r="B4398" s="2" t="str">
        <f>TEXT(Raw_Data!$A4398, "MMM")</f>
        <v>Dec</v>
      </c>
      <c r="C4398" s="2">
        <f>YEAR(Raw_Data!$A4398)</f>
        <v>2010</v>
      </c>
      <c r="D4398" s="2" t="s">
        <v>862</v>
      </c>
      <c r="E4398" s="2" t="s">
        <v>21</v>
      </c>
      <c r="F4398" s="2" t="s">
        <v>27</v>
      </c>
      <c r="G4398" s="2">
        <v>4</v>
      </c>
      <c r="H4398" s="2">
        <v>2195</v>
      </c>
      <c r="I4398" s="10">
        <v>684067</v>
      </c>
      <c r="J4398" s="10">
        <f>Raw_Data!$I4398/Raw_Data!$H4398</f>
        <v>311.64783599088838</v>
      </c>
    </row>
    <row r="4399" spans="1:10" x14ac:dyDescent="0.3">
      <c r="A4399" s="8">
        <v>38922</v>
      </c>
      <c r="B4399" t="str">
        <f>TEXT(Raw_Data!$A4399, "MMM")</f>
        <v>Jul</v>
      </c>
      <c r="C4399">
        <f>YEAR(Raw_Data!$A4399)</f>
        <v>2006</v>
      </c>
      <c r="D4399" t="s">
        <v>2815</v>
      </c>
      <c r="E4399" t="s">
        <v>13</v>
      </c>
      <c r="F4399" t="s">
        <v>18</v>
      </c>
      <c r="G4399">
        <v>3</v>
      </c>
      <c r="H4399">
        <v>2699</v>
      </c>
      <c r="I4399" s="1">
        <v>715126</v>
      </c>
      <c r="J4399" s="1">
        <f>Raw_Data!$I4399/Raw_Data!$H4399</f>
        <v>264.95961467210077</v>
      </c>
    </row>
    <row r="4400" spans="1:10" x14ac:dyDescent="0.3">
      <c r="A4400" s="9">
        <v>42038</v>
      </c>
      <c r="B4400" s="2" t="str">
        <f>TEXT(Raw_Data!$A4400, "MMM")</f>
        <v>Feb</v>
      </c>
      <c r="C4400" s="2">
        <f>YEAR(Raw_Data!$A4400)</f>
        <v>2015</v>
      </c>
      <c r="D4400" s="2" t="s">
        <v>1163</v>
      </c>
      <c r="E4400" s="2" t="s">
        <v>32</v>
      </c>
      <c r="F4400" s="2" t="s">
        <v>16</v>
      </c>
      <c r="G4400" s="2">
        <v>2</v>
      </c>
      <c r="H4400" s="2">
        <v>2860</v>
      </c>
      <c r="I4400" s="10">
        <v>821258</v>
      </c>
      <c r="J4400" s="10">
        <f>Raw_Data!$I4400/Raw_Data!$H4400</f>
        <v>287.15314685314684</v>
      </c>
    </row>
    <row r="4401" spans="1:10" x14ac:dyDescent="0.3">
      <c r="A4401" s="8">
        <v>41340</v>
      </c>
      <c r="B4401" t="str">
        <f>TEXT(Raw_Data!$A4401, "MMM")</f>
        <v>Mar</v>
      </c>
      <c r="C4401">
        <f>YEAR(Raw_Data!$A4401)</f>
        <v>2013</v>
      </c>
      <c r="D4401" t="s">
        <v>2429</v>
      </c>
      <c r="E4401" t="s">
        <v>25</v>
      </c>
      <c r="F4401" t="s">
        <v>27</v>
      </c>
      <c r="H4401">
        <v>2550</v>
      </c>
      <c r="I4401" s="1">
        <v>629450</v>
      </c>
      <c r="J4401" s="1">
        <f>Raw_Data!$I4401/Raw_Data!$H4401</f>
        <v>246.84313725490196</v>
      </c>
    </row>
    <row r="4402" spans="1:10" x14ac:dyDescent="0.3">
      <c r="A4402" s="9">
        <v>40476</v>
      </c>
      <c r="B4402" s="2" t="str">
        <f>TEXT(Raw_Data!$A4402, "MMM")</f>
        <v>Oct</v>
      </c>
      <c r="C4402" s="2">
        <f>YEAR(Raw_Data!$A4402)</f>
        <v>2010</v>
      </c>
      <c r="D4402" s="2" t="s">
        <v>2079</v>
      </c>
      <c r="E4402" s="2" t="s">
        <v>32</v>
      </c>
      <c r="F4402" s="2" t="s">
        <v>16</v>
      </c>
      <c r="G4402" s="2">
        <v>5</v>
      </c>
      <c r="H4402" s="2">
        <v>2470</v>
      </c>
      <c r="I4402" s="10">
        <v>598491</v>
      </c>
      <c r="J4402" s="10">
        <f>Raw_Data!$I4402/Raw_Data!$H4402</f>
        <v>242.30404858299596</v>
      </c>
    </row>
    <row r="4403" spans="1:10" x14ac:dyDescent="0.3">
      <c r="A4403" s="8">
        <v>43168</v>
      </c>
      <c r="B4403" t="str">
        <f>TEXT(Raw_Data!$A4403, "MMM")</f>
        <v>Mar</v>
      </c>
      <c r="C4403">
        <f>YEAR(Raw_Data!$A4403)</f>
        <v>2018</v>
      </c>
      <c r="D4403" t="s">
        <v>2816</v>
      </c>
      <c r="E4403" t="s">
        <v>29</v>
      </c>
      <c r="F4403" t="s">
        <v>18</v>
      </c>
      <c r="G4403">
        <v>5</v>
      </c>
      <c r="H4403">
        <v>3318</v>
      </c>
      <c r="I4403" s="1">
        <v>141845</v>
      </c>
      <c r="J4403" s="1">
        <f>Raw_Data!$I4403/Raw_Data!$H4403</f>
        <v>42.750150693188665</v>
      </c>
    </row>
    <row r="4404" spans="1:10" x14ac:dyDescent="0.3">
      <c r="A4404" s="9">
        <v>41380</v>
      </c>
      <c r="B4404" s="2" t="str">
        <f>TEXT(Raw_Data!$A4404, "MMM")</f>
        <v>Apr</v>
      </c>
      <c r="C4404" s="2">
        <f>YEAR(Raw_Data!$A4404)</f>
        <v>2013</v>
      </c>
      <c r="D4404" s="2" t="s">
        <v>2817</v>
      </c>
      <c r="E4404" s="2" t="s">
        <v>21</v>
      </c>
      <c r="F4404" s="2" t="s">
        <v>16</v>
      </c>
      <c r="G4404" s="2">
        <v>3</v>
      </c>
      <c r="H4404" s="2">
        <v>1573</v>
      </c>
      <c r="I4404" s="10">
        <v>119640</v>
      </c>
      <c r="J4404" s="10">
        <f>Raw_Data!$I4404/Raw_Data!$H4404</f>
        <v>76.058486967577878</v>
      </c>
    </row>
    <row r="4405" spans="1:10" x14ac:dyDescent="0.3">
      <c r="A4405" s="8">
        <v>42911</v>
      </c>
      <c r="B4405" t="str">
        <f>TEXT(Raw_Data!$A4405, "MMM")</f>
        <v>Jun</v>
      </c>
      <c r="C4405">
        <f>YEAR(Raw_Data!$A4405)</f>
        <v>2017</v>
      </c>
      <c r="D4405" t="s">
        <v>2818</v>
      </c>
      <c r="E4405" t="s">
        <v>25</v>
      </c>
      <c r="F4405" t="s">
        <v>16</v>
      </c>
      <c r="G4405">
        <v>3</v>
      </c>
      <c r="H4405">
        <v>1704</v>
      </c>
      <c r="I4405" s="1">
        <v>243384</v>
      </c>
      <c r="J4405" s="1">
        <f>Raw_Data!$I4405/Raw_Data!$H4405</f>
        <v>142.83098591549296</v>
      </c>
    </row>
    <row r="4406" spans="1:10" x14ac:dyDescent="0.3">
      <c r="A4406" s="9">
        <v>41614</v>
      </c>
      <c r="B4406" s="2" t="str">
        <f>TEXT(Raw_Data!$A4406, "MMM")</f>
        <v>Dec</v>
      </c>
      <c r="C4406" s="2">
        <f>YEAR(Raw_Data!$A4406)</f>
        <v>2013</v>
      </c>
      <c r="D4406" s="2" t="s">
        <v>1825</v>
      </c>
      <c r="E4406" s="2" t="s">
        <v>29</v>
      </c>
      <c r="F4406" s="2" t="s">
        <v>11</v>
      </c>
      <c r="G4406" s="2">
        <v>3</v>
      </c>
      <c r="H4406" s="2">
        <v>2592</v>
      </c>
      <c r="I4406" s="10">
        <v>604422</v>
      </c>
      <c r="J4406" s="10">
        <f>Raw_Data!$I4406/Raw_Data!$H4406</f>
        <v>233.1875</v>
      </c>
    </row>
    <row r="4407" spans="1:10" x14ac:dyDescent="0.3">
      <c r="A4407" s="8">
        <v>44088</v>
      </c>
      <c r="B4407" t="str">
        <f>TEXT(Raw_Data!$A4407, "MMM")</f>
        <v>Sep</v>
      </c>
      <c r="C4407">
        <f>YEAR(Raw_Data!$A4407)</f>
        <v>2020</v>
      </c>
      <c r="D4407" t="s">
        <v>1145</v>
      </c>
      <c r="E4407" t="s">
        <v>15</v>
      </c>
      <c r="F4407" t="s">
        <v>27</v>
      </c>
      <c r="G4407">
        <v>3</v>
      </c>
      <c r="H4407">
        <v>3005</v>
      </c>
      <c r="I4407" s="1">
        <v>264543</v>
      </c>
      <c r="J4407" s="1">
        <f>Raw_Data!$I4407/Raw_Data!$H4407</f>
        <v>88.034276206322801</v>
      </c>
    </row>
    <row r="4408" spans="1:10" x14ac:dyDescent="0.3">
      <c r="A4408" s="9">
        <v>43037</v>
      </c>
      <c r="B4408" s="2" t="str">
        <f>TEXT(Raw_Data!$A4408, "MMM")</f>
        <v>Oct</v>
      </c>
      <c r="C4408" s="2">
        <f>YEAR(Raw_Data!$A4408)</f>
        <v>2017</v>
      </c>
      <c r="D4408" s="2" t="s">
        <v>2819</v>
      </c>
      <c r="E4408" s="2" t="s">
        <v>32</v>
      </c>
      <c r="F4408" s="2" t="s">
        <v>11</v>
      </c>
      <c r="G4408" s="2">
        <v>4</v>
      </c>
      <c r="H4408" s="2">
        <v>1782</v>
      </c>
      <c r="I4408" s="10">
        <v>321402</v>
      </c>
      <c r="J4408" s="10">
        <f>Raw_Data!$I4408/Raw_Data!$H4408</f>
        <v>180.36026936026937</v>
      </c>
    </row>
    <row r="4409" spans="1:10" x14ac:dyDescent="0.3">
      <c r="A4409" s="8">
        <v>42559</v>
      </c>
      <c r="B4409" t="str">
        <f>TEXT(Raw_Data!$A4409, "MMM")</f>
        <v>Jul</v>
      </c>
      <c r="C4409">
        <f>YEAR(Raw_Data!$A4409)</f>
        <v>2016</v>
      </c>
      <c r="D4409" t="s">
        <v>2820</v>
      </c>
      <c r="E4409" t="s">
        <v>23</v>
      </c>
      <c r="F4409" t="s">
        <v>16</v>
      </c>
      <c r="H4409">
        <v>1993</v>
      </c>
      <c r="I4409" s="1">
        <v>131550</v>
      </c>
      <c r="J4409" s="1">
        <f>Raw_Data!$I4409/Raw_Data!$H4409</f>
        <v>66.006021073758149</v>
      </c>
    </row>
    <row r="4410" spans="1:10" x14ac:dyDescent="0.3">
      <c r="A4410" s="9">
        <v>43591</v>
      </c>
      <c r="B4410" s="2" t="str">
        <f>TEXT(Raw_Data!$A4410, "MMM")</f>
        <v>May</v>
      </c>
      <c r="C4410" s="2">
        <f>YEAR(Raw_Data!$A4410)</f>
        <v>2019</v>
      </c>
      <c r="D4410" s="2" t="s">
        <v>1221</v>
      </c>
      <c r="E4410" s="2" t="s">
        <v>21</v>
      </c>
      <c r="F4410" s="2" t="s">
        <v>27</v>
      </c>
      <c r="G4410" s="2">
        <v>4</v>
      </c>
      <c r="H4410" s="2">
        <v>1824</v>
      </c>
      <c r="I4410" s="10">
        <v>563853</v>
      </c>
      <c r="J4410" s="10">
        <f>Raw_Data!$I4410/Raw_Data!$H4410</f>
        <v>309.1299342105263</v>
      </c>
    </row>
    <row r="4411" spans="1:10" x14ac:dyDescent="0.3">
      <c r="A4411" s="8">
        <v>42039</v>
      </c>
      <c r="B4411" t="str">
        <f>TEXT(Raw_Data!$A4411, "MMM")</f>
        <v>Feb</v>
      </c>
      <c r="C4411">
        <f>YEAR(Raw_Data!$A4411)</f>
        <v>2015</v>
      </c>
      <c r="D4411" t="s">
        <v>2821</v>
      </c>
      <c r="E4411" t="s">
        <v>23</v>
      </c>
      <c r="F4411" t="s">
        <v>11</v>
      </c>
      <c r="G4411">
        <v>4</v>
      </c>
      <c r="H4411">
        <v>3468</v>
      </c>
      <c r="I4411" s="1">
        <v>570315</v>
      </c>
      <c r="J4411" s="1">
        <f>Raw_Data!$I4411/Raw_Data!$H4411</f>
        <v>164.4506920415225</v>
      </c>
    </row>
    <row r="4412" spans="1:10" x14ac:dyDescent="0.3">
      <c r="A4412" s="9">
        <v>42405</v>
      </c>
      <c r="B4412" s="2" t="str">
        <f>TEXT(Raw_Data!$A4412, "MMM")</f>
        <v>Feb</v>
      </c>
      <c r="C4412" s="2">
        <f>YEAR(Raw_Data!$A4412)</f>
        <v>2016</v>
      </c>
      <c r="D4412" s="2" t="s">
        <v>2582</v>
      </c>
      <c r="E4412" s="2" t="s">
        <v>15</v>
      </c>
      <c r="F4412" s="2" t="s">
        <v>27</v>
      </c>
      <c r="G4412" s="2">
        <v>5</v>
      </c>
      <c r="H4412" s="2">
        <v>1152</v>
      </c>
      <c r="I4412" s="10">
        <v>445893</v>
      </c>
      <c r="J4412" s="10">
        <f>Raw_Data!$I4412/Raw_Data!$H4412</f>
        <v>387.05989583333331</v>
      </c>
    </row>
    <row r="4413" spans="1:10" x14ac:dyDescent="0.3">
      <c r="A4413" s="8">
        <v>43240</v>
      </c>
      <c r="B4413" t="str">
        <f>TEXT(Raw_Data!$A4413, "MMM")</f>
        <v>May</v>
      </c>
      <c r="C4413">
        <f>YEAR(Raw_Data!$A4413)</f>
        <v>2018</v>
      </c>
      <c r="D4413" t="s">
        <v>358</v>
      </c>
      <c r="E4413" t="s">
        <v>15</v>
      </c>
      <c r="F4413" t="s">
        <v>27</v>
      </c>
      <c r="G4413">
        <v>4</v>
      </c>
      <c r="H4413">
        <v>3430</v>
      </c>
      <c r="I4413" s="1">
        <v>798809</v>
      </c>
      <c r="J4413" s="1">
        <f>Raw_Data!$I4413/Raw_Data!$H4413</f>
        <v>232.88892128279883</v>
      </c>
    </row>
    <row r="4414" spans="1:10" x14ac:dyDescent="0.3">
      <c r="A4414" s="9">
        <v>38172</v>
      </c>
      <c r="B4414" s="2" t="str">
        <f>TEXT(Raw_Data!$A4414, "MMM")</f>
        <v>Jul</v>
      </c>
      <c r="C4414" s="2">
        <f>YEAR(Raw_Data!$A4414)</f>
        <v>2004</v>
      </c>
      <c r="D4414" s="2" t="s">
        <v>1625</v>
      </c>
      <c r="E4414" s="2" t="s">
        <v>32</v>
      </c>
      <c r="F4414" s="2" t="s">
        <v>27</v>
      </c>
      <c r="G4414" s="2"/>
      <c r="H4414" s="2">
        <v>1228</v>
      </c>
      <c r="I4414" s="10">
        <v>748758</v>
      </c>
      <c r="J4414" s="10">
        <f>Raw_Data!$I4414/Raw_Data!$H4414</f>
        <v>609.73778501628669</v>
      </c>
    </row>
    <row r="4415" spans="1:10" x14ac:dyDescent="0.3">
      <c r="A4415" s="8">
        <v>38893</v>
      </c>
      <c r="B4415" t="str">
        <f>TEXT(Raw_Data!$A4415, "MMM")</f>
        <v>Jun</v>
      </c>
      <c r="C4415">
        <f>YEAR(Raw_Data!$A4415)</f>
        <v>2006</v>
      </c>
      <c r="D4415" t="s">
        <v>2485</v>
      </c>
      <c r="E4415" t="s">
        <v>32</v>
      </c>
      <c r="F4415" t="s">
        <v>16</v>
      </c>
      <c r="G4415">
        <v>3</v>
      </c>
      <c r="H4415">
        <v>3241</v>
      </c>
      <c r="I4415" s="1">
        <v>439271</v>
      </c>
      <c r="J4415" s="1">
        <f>Raw_Data!$I4415/Raw_Data!$H4415</f>
        <v>135.53563714902808</v>
      </c>
    </row>
    <row r="4416" spans="1:10" x14ac:dyDescent="0.3">
      <c r="A4416" s="9">
        <v>38041</v>
      </c>
      <c r="B4416" s="2" t="str">
        <f>TEXT(Raw_Data!$A4416, "MMM")</f>
        <v>Feb</v>
      </c>
      <c r="C4416" s="2">
        <f>YEAR(Raw_Data!$A4416)</f>
        <v>2004</v>
      </c>
      <c r="D4416" s="2" t="s">
        <v>2822</v>
      </c>
      <c r="E4416" s="2" t="s">
        <v>32</v>
      </c>
      <c r="F4416" s="2" t="s">
        <v>11</v>
      </c>
      <c r="G4416" s="2"/>
      <c r="H4416" s="2">
        <v>3369</v>
      </c>
      <c r="I4416" s="10">
        <v>760769</v>
      </c>
      <c r="J4416" s="10">
        <f>Raw_Data!$I4416/Raw_Data!$H4416</f>
        <v>225.81448501038884</v>
      </c>
    </row>
    <row r="4417" spans="1:10" x14ac:dyDescent="0.3">
      <c r="A4417" s="8">
        <v>40949</v>
      </c>
      <c r="B4417" t="str">
        <f>TEXT(Raw_Data!$A4417, "MMM")</f>
        <v>Feb</v>
      </c>
      <c r="C4417">
        <f>YEAR(Raw_Data!$A4417)</f>
        <v>2012</v>
      </c>
      <c r="D4417" t="s">
        <v>2426</v>
      </c>
      <c r="E4417" t="s">
        <v>25</v>
      </c>
      <c r="F4417" t="s">
        <v>11</v>
      </c>
      <c r="G4417">
        <v>3</v>
      </c>
      <c r="H4417">
        <v>1195</v>
      </c>
      <c r="I4417" s="1">
        <v>389882</v>
      </c>
      <c r="J4417" s="1">
        <f>Raw_Data!$I4417/Raw_Data!$H4417</f>
        <v>326.26108786610877</v>
      </c>
    </row>
    <row r="4418" spans="1:10" x14ac:dyDescent="0.3">
      <c r="A4418" s="9">
        <v>40138</v>
      </c>
      <c r="B4418" s="2" t="str">
        <f>TEXT(Raw_Data!$A4418, "MMM")</f>
        <v>Nov</v>
      </c>
      <c r="C4418" s="2">
        <f>YEAR(Raw_Data!$A4418)</f>
        <v>2009</v>
      </c>
      <c r="D4418" s="2" t="s">
        <v>2246</v>
      </c>
      <c r="E4418" s="2" t="s">
        <v>32</v>
      </c>
      <c r="F4418" s="2" t="s">
        <v>11</v>
      </c>
      <c r="G4418" s="2">
        <v>5</v>
      </c>
      <c r="H4418" s="2">
        <v>1114</v>
      </c>
      <c r="I4418" s="10">
        <v>611813</v>
      </c>
      <c r="J4418" s="10">
        <f>Raw_Data!$I4418/Raw_Data!$H4418</f>
        <v>549.20377019748651</v>
      </c>
    </row>
    <row r="4419" spans="1:10" x14ac:dyDescent="0.3">
      <c r="A4419" s="8">
        <v>41360</v>
      </c>
      <c r="B4419" t="str">
        <f>TEXT(Raw_Data!$A4419, "MMM")</f>
        <v>Mar</v>
      </c>
      <c r="C4419">
        <f>YEAR(Raw_Data!$A4419)</f>
        <v>2013</v>
      </c>
      <c r="D4419" t="s">
        <v>494</v>
      </c>
      <c r="E4419" t="s">
        <v>32</v>
      </c>
      <c r="F4419" t="s">
        <v>18</v>
      </c>
      <c r="H4419">
        <v>2691</v>
      </c>
      <c r="I4419" s="1">
        <v>261414</v>
      </c>
      <c r="J4419" s="1">
        <f>Raw_Data!$I4419/Raw_Data!$H4419</f>
        <v>97.143812709030101</v>
      </c>
    </row>
    <row r="4420" spans="1:10" x14ac:dyDescent="0.3">
      <c r="A4420" s="9">
        <v>41580</v>
      </c>
      <c r="B4420" s="2" t="str">
        <f>TEXT(Raw_Data!$A4420, "MMM")</f>
        <v>Nov</v>
      </c>
      <c r="C4420" s="2">
        <f>YEAR(Raw_Data!$A4420)</f>
        <v>2013</v>
      </c>
      <c r="D4420" s="2" t="s">
        <v>2823</v>
      </c>
      <c r="E4420" s="2" t="s">
        <v>15</v>
      </c>
      <c r="F4420" s="2" t="s">
        <v>11</v>
      </c>
      <c r="G4420" s="2">
        <v>2</v>
      </c>
      <c r="H4420" s="2">
        <v>3157</v>
      </c>
      <c r="I4420" s="10">
        <v>214432</v>
      </c>
      <c r="J4420" s="10">
        <f>Raw_Data!$I4420/Raw_Data!$H4420</f>
        <v>67.92271143490656</v>
      </c>
    </row>
    <row r="4421" spans="1:10" x14ac:dyDescent="0.3">
      <c r="A4421" s="8">
        <v>38676</v>
      </c>
      <c r="B4421" t="str">
        <f>TEXT(Raw_Data!$A4421, "MMM")</f>
        <v>Nov</v>
      </c>
      <c r="C4421">
        <f>YEAR(Raw_Data!$A4421)</f>
        <v>2005</v>
      </c>
      <c r="D4421" t="s">
        <v>2311</v>
      </c>
      <c r="E4421" t="s">
        <v>32</v>
      </c>
      <c r="F4421" t="s">
        <v>16</v>
      </c>
      <c r="G4421">
        <v>3</v>
      </c>
      <c r="H4421">
        <v>2327</v>
      </c>
      <c r="I4421" s="1">
        <v>772862</v>
      </c>
      <c r="J4421" s="1">
        <f>Raw_Data!$I4421/Raw_Data!$H4421</f>
        <v>332.12806188225181</v>
      </c>
    </row>
    <row r="4422" spans="1:10" x14ac:dyDescent="0.3">
      <c r="A4422" s="9">
        <v>38845</v>
      </c>
      <c r="B4422" s="2" t="str">
        <f>TEXT(Raw_Data!$A4422, "MMM")</f>
        <v>May</v>
      </c>
      <c r="C4422" s="2">
        <f>YEAR(Raw_Data!$A4422)</f>
        <v>2006</v>
      </c>
      <c r="D4422" s="2" t="s">
        <v>2824</v>
      </c>
      <c r="E4422" s="2" t="s">
        <v>32</v>
      </c>
      <c r="F4422" s="2" t="s">
        <v>27</v>
      </c>
      <c r="G4422" s="2"/>
      <c r="H4422" s="2">
        <v>3212</v>
      </c>
      <c r="I4422" s="10">
        <v>690244</v>
      </c>
      <c r="J4422" s="10">
        <f>Raw_Data!$I4422/Raw_Data!$H4422</f>
        <v>214.89539227895392</v>
      </c>
    </row>
    <row r="4423" spans="1:10" x14ac:dyDescent="0.3">
      <c r="A4423" s="8">
        <v>38928</v>
      </c>
      <c r="B4423" t="str">
        <f>TEXT(Raw_Data!$A4423, "MMM")</f>
        <v>Jul</v>
      </c>
      <c r="C4423">
        <f>YEAR(Raw_Data!$A4423)</f>
        <v>2006</v>
      </c>
      <c r="D4423" t="s">
        <v>1693</v>
      </c>
      <c r="E4423" t="s">
        <v>29</v>
      </c>
      <c r="F4423" t="s">
        <v>18</v>
      </c>
      <c r="G4423">
        <v>4</v>
      </c>
      <c r="H4423">
        <v>1636</v>
      </c>
      <c r="I4423" s="1">
        <v>143369</v>
      </c>
      <c r="J4423" s="1">
        <f>Raw_Data!$I4423/Raw_Data!$H4423</f>
        <v>87.633863080684591</v>
      </c>
    </row>
    <row r="4424" spans="1:10" x14ac:dyDescent="0.3">
      <c r="A4424" s="9">
        <v>38720</v>
      </c>
      <c r="B4424" s="2" t="str">
        <f>TEXT(Raw_Data!$A4424, "MMM")</f>
        <v>Jan</v>
      </c>
      <c r="C4424" s="2">
        <f>YEAR(Raw_Data!$A4424)</f>
        <v>2006</v>
      </c>
      <c r="D4424" s="2" t="s">
        <v>1043</v>
      </c>
      <c r="E4424" s="2" t="s">
        <v>32</v>
      </c>
      <c r="F4424" s="2" t="s">
        <v>18</v>
      </c>
      <c r="G4424" s="2">
        <v>5</v>
      </c>
      <c r="H4424" s="2">
        <v>979</v>
      </c>
      <c r="I4424" s="10">
        <v>430457</v>
      </c>
      <c r="J4424" s="10">
        <f>Raw_Data!$I4424/Raw_Data!$H4424</f>
        <v>439.69050051072526</v>
      </c>
    </row>
    <row r="4425" spans="1:10" x14ac:dyDescent="0.3">
      <c r="A4425" s="8">
        <v>38850</v>
      </c>
      <c r="B4425" t="str">
        <f>TEXT(Raw_Data!$A4425, "MMM")</f>
        <v>May</v>
      </c>
      <c r="C4425">
        <f>YEAR(Raw_Data!$A4425)</f>
        <v>2006</v>
      </c>
      <c r="D4425" t="s">
        <v>2825</v>
      </c>
      <c r="E4425" t="s">
        <v>29</v>
      </c>
      <c r="F4425" t="s">
        <v>27</v>
      </c>
      <c r="G4425">
        <v>3</v>
      </c>
      <c r="H4425">
        <v>1785</v>
      </c>
      <c r="I4425" s="1">
        <v>539380</v>
      </c>
      <c r="J4425" s="1">
        <f>Raw_Data!$I4425/Raw_Data!$H4425</f>
        <v>302.17366946778714</v>
      </c>
    </row>
    <row r="4426" spans="1:10" x14ac:dyDescent="0.3">
      <c r="A4426" s="9">
        <v>39830</v>
      </c>
      <c r="B4426" s="2" t="str">
        <f>TEXT(Raw_Data!$A4426, "MMM")</f>
        <v>Jan</v>
      </c>
      <c r="C4426" s="2">
        <f>YEAR(Raw_Data!$A4426)</f>
        <v>2009</v>
      </c>
      <c r="D4426" s="2" t="s">
        <v>1788</v>
      </c>
      <c r="E4426" s="2" t="s">
        <v>23</v>
      </c>
      <c r="F4426" s="2" t="s">
        <v>18</v>
      </c>
      <c r="G4426" s="2"/>
      <c r="H4426" s="2">
        <v>2699</v>
      </c>
      <c r="I4426" s="10">
        <v>741251</v>
      </c>
      <c r="J4426" s="10">
        <f>Raw_Data!$I4426/Raw_Data!$H4426</f>
        <v>274.63912560207484</v>
      </c>
    </row>
    <row r="4427" spans="1:10" x14ac:dyDescent="0.3">
      <c r="A4427" s="8">
        <v>39797</v>
      </c>
      <c r="B4427" t="str">
        <f>TEXT(Raw_Data!$A4427, "MMM")</f>
        <v>Dec</v>
      </c>
      <c r="C4427">
        <f>YEAR(Raw_Data!$A4427)</f>
        <v>2008</v>
      </c>
      <c r="D4427" t="s">
        <v>689</v>
      </c>
      <c r="E4427" t="s">
        <v>25</v>
      </c>
      <c r="F4427" t="s">
        <v>18</v>
      </c>
      <c r="G4427">
        <v>2</v>
      </c>
      <c r="H4427">
        <v>3135</v>
      </c>
      <c r="I4427" s="1">
        <v>216156</v>
      </c>
      <c r="J4427" s="1">
        <f>Raw_Data!$I4427/Raw_Data!$H4427</f>
        <v>68.949282296650722</v>
      </c>
    </row>
    <row r="4428" spans="1:10" x14ac:dyDescent="0.3">
      <c r="A4428" s="9">
        <v>43494</v>
      </c>
      <c r="B4428" s="2" t="str">
        <f>TEXT(Raw_Data!$A4428, "MMM")</f>
        <v>Jan</v>
      </c>
      <c r="C4428" s="2">
        <f>YEAR(Raw_Data!$A4428)</f>
        <v>2019</v>
      </c>
      <c r="D4428" s="2" t="s">
        <v>2826</v>
      </c>
      <c r="E4428" s="2" t="s">
        <v>23</v>
      </c>
      <c r="F4428" s="2" t="s">
        <v>11</v>
      </c>
      <c r="G4428" s="2">
        <v>3</v>
      </c>
      <c r="H4428" s="2">
        <v>1732</v>
      </c>
      <c r="I4428" s="10">
        <v>468219</v>
      </c>
      <c r="J4428" s="10">
        <f>Raw_Data!$I4428/Raw_Data!$H4428</f>
        <v>270.33429561200921</v>
      </c>
    </row>
    <row r="4429" spans="1:10" x14ac:dyDescent="0.3">
      <c r="A4429" s="8">
        <v>40640</v>
      </c>
      <c r="B4429" t="str">
        <f>TEXT(Raw_Data!$A4429, "MMM")</f>
        <v>Apr</v>
      </c>
      <c r="C4429">
        <f>YEAR(Raw_Data!$A4429)</f>
        <v>2011</v>
      </c>
      <c r="D4429" t="s">
        <v>2827</v>
      </c>
      <c r="E4429" t="s">
        <v>32</v>
      </c>
      <c r="F4429" t="s">
        <v>11</v>
      </c>
      <c r="G4429">
        <v>5</v>
      </c>
      <c r="H4429">
        <v>2799</v>
      </c>
      <c r="I4429" s="1">
        <v>647557</v>
      </c>
      <c r="J4429" s="1">
        <f>Raw_Data!$I4429/Raw_Data!$H4429</f>
        <v>231.35298320828866</v>
      </c>
    </row>
    <row r="4430" spans="1:10" x14ac:dyDescent="0.3">
      <c r="A4430" s="9">
        <v>41412</v>
      </c>
      <c r="B4430" s="2" t="str">
        <f>TEXT(Raw_Data!$A4430, "MMM")</f>
        <v>May</v>
      </c>
      <c r="C4430" s="2">
        <f>YEAR(Raw_Data!$A4430)</f>
        <v>2013</v>
      </c>
      <c r="D4430" s="2" t="s">
        <v>617</v>
      </c>
      <c r="E4430" s="2" t="s">
        <v>25</v>
      </c>
      <c r="F4430" s="2" t="s">
        <v>18</v>
      </c>
      <c r="G4430" s="2">
        <v>2</v>
      </c>
      <c r="H4430" s="2">
        <v>1623</v>
      </c>
      <c r="I4430" s="10">
        <v>235461</v>
      </c>
      <c r="J4430" s="10">
        <f>Raw_Data!$I4430/Raw_Data!$H4430</f>
        <v>145.07763401109057</v>
      </c>
    </row>
    <row r="4431" spans="1:10" x14ac:dyDescent="0.3">
      <c r="A4431" s="8">
        <v>43600</v>
      </c>
      <c r="B4431" t="str">
        <f>TEXT(Raw_Data!$A4431, "MMM")</f>
        <v>May</v>
      </c>
      <c r="C4431">
        <f>YEAR(Raw_Data!$A4431)</f>
        <v>2019</v>
      </c>
      <c r="D4431" t="s">
        <v>2828</v>
      </c>
      <c r="E4431" t="s">
        <v>32</v>
      </c>
      <c r="F4431" t="s">
        <v>11</v>
      </c>
      <c r="H4431">
        <v>2216</v>
      </c>
      <c r="I4431" s="1">
        <v>531358</v>
      </c>
      <c r="J4431" s="1">
        <f>Raw_Data!$I4431/Raw_Data!$H4431</f>
        <v>239.78249097472923</v>
      </c>
    </row>
    <row r="4432" spans="1:10" x14ac:dyDescent="0.3">
      <c r="A4432" s="9">
        <v>43913</v>
      </c>
      <c r="B4432" s="2" t="str">
        <f>TEXT(Raw_Data!$A4432, "MMM")</f>
        <v>Mar</v>
      </c>
      <c r="C4432" s="2">
        <f>YEAR(Raw_Data!$A4432)</f>
        <v>2020</v>
      </c>
      <c r="D4432" s="2" t="s">
        <v>2469</v>
      </c>
      <c r="E4432" s="2" t="s">
        <v>32</v>
      </c>
      <c r="F4432" s="2" t="s">
        <v>27</v>
      </c>
      <c r="G4432" s="2">
        <v>4</v>
      </c>
      <c r="H4432" s="2">
        <v>2754</v>
      </c>
      <c r="I4432" s="10">
        <v>524237</v>
      </c>
      <c r="J4432" s="10">
        <f>Raw_Data!$I4432/Raw_Data!$H4432</f>
        <v>190.35475671750183</v>
      </c>
    </row>
    <row r="4433" spans="1:10" x14ac:dyDescent="0.3">
      <c r="A4433" s="8">
        <v>40748</v>
      </c>
      <c r="B4433" t="str">
        <f>TEXT(Raw_Data!$A4433, "MMM")</f>
        <v>Jul</v>
      </c>
      <c r="C4433">
        <f>YEAR(Raw_Data!$A4433)</f>
        <v>2011</v>
      </c>
      <c r="D4433" t="s">
        <v>334</v>
      </c>
      <c r="E4433" t="s">
        <v>29</v>
      </c>
      <c r="F4433" t="s">
        <v>16</v>
      </c>
      <c r="H4433">
        <v>1913</v>
      </c>
      <c r="I4433" s="1"/>
      <c r="J4433" s="1">
        <f>Raw_Data!$I4433/Raw_Data!$H4433</f>
        <v>0</v>
      </c>
    </row>
    <row r="4434" spans="1:10" x14ac:dyDescent="0.3">
      <c r="A4434" s="9">
        <v>38740</v>
      </c>
      <c r="B4434" s="2" t="str">
        <f>TEXT(Raw_Data!$A4434, "MMM")</f>
        <v>Jan</v>
      </c>
      <c r="C4434" s="2">
        <f>YEAR(Raw_Data!$A4434)</f>
        <v>2006</v>
      </c>
      <c r="D4434" s="2" t="s">
        <v>416</v>
      </c>
      <c r="E4434" s="2" t="s">
        <v>25</v>
      </c>
      <c r="F4434" s="2" t="s">
        <v>18</v>
      </c>
      <c r="G4434" s="2">
        <v>2</v>
      </c>
      <c r="H4434" s="2">
        <v>3480</v>
      </c>
      <c r="I4434" s="10">
        <v>284585</v>
      </c>
      <c r="J4434" s="10">
        <f>Raw_Data!$I4434/Raw_Data!$H4434</f>
        <v>81.777298850574709</v>
      </c>
    </row>
    <row r="4435" spans="1:10" x14ac:dyDescent="0.3">
      <c r="A4435" s="8">
        <v>42481</v>
      </c>
      <c r="B4435" t="str">
        <f>TEXT(Raw_Data!$A4435, "MMM")</f>
        <v>Apr</v>
      </c>
      <c r="C4435">
        <f>YEAR(Raw_Data!$A4435)</f>
        <v>2016</v>
      </c>
      <c r="D4435" t="s">
        <v>2829</v>
      </c>
      <c r="E4435" t="s">
        <v>32</v>
      </c>
      <c r="F4435" t="s">
        <v>18</v>
      </c>
      <c r="G4435">
        <v>3</v>
      </c>
      <c r="H4435">
        <v>2972</v>
      </c>
      <c r="I4435" s="1">
        <v>114761</v>
      </c>
      <c r="J4435" s="1">
        <f>Raw_Data!$I4435/Raw_Data!$H4435</f>
        <v>38.614064602960966</v>
      </c>
    </row>
    <row r="4436" spans="1:10" x14ac:dyDescent="0.3">
      <c r="A4436" s="9">
        <v>41543</v>
      </c>
      <c r="B4436" s="2" t="str">
        <f>TEXT(Raw_Data!$A4436, "MMM")</f>
        <v>Sep</v>
      </c>
      <c r="C4436" s="2">
        <f>YEAR(Raw_Data!$A4436)</f>
        <v>2013</v>
      </c>
      <c r="D4436" s="2" t="s">
        <v>2830</v>
      </c>
      <c r="E4436" s="2" t="s">
        <v>29</v>
      </c>
      <c r="F4436" s="2" t="s">
        <v>27</v>
      </c>
      <c r="G4436" s="2">
        <v>4</v>
      </c>
      <c r="H4436" s="2">
        <v>2369</v>
      </c>
      <c r="I4436" s="10">
        <v>193544</v>
      </c>
      <c r="J4436" s="10">
        <f>Raw_Data!$I4436/Raw_Data!$H4436</f>
        <v>81.698607007176022</v>
      </c>
    </row>
    <row r="4437" spans="1:10" x14ac:dyDescent="0.3">
      <c r="A4437" s="8">
        <v>42796</v>
      </c>
      <c r="B4437" t="str">
        <f>TEXT(Raw_Data!$A4437, "MMM")</f>
        <v>Mar</v>
      </c>
      <c r="C4437">
        <f>YEAR(Raw_Data!$A4437)</f>
        <v>2017</v>
      </c>
      <c r="D4437" t="s">
        <v>1930</v>
      </c>
      <c r="E4437" t="s">
        <v>13</v>
      </c>
      <c r="F4437" t="s">
        <v>18</v>
      </c>
      <c r="H4437">
        <v>2273</v>
      </c>
      <c r="I4437" s="1">
        <v>168138</v>
      </c>
      <c r="J4437" s="1">
        <f>Raw_Data!$I4437/Raw_Data!$H4437</f>
        <v>73.971843378794546</v>
      </c>
    </row>
    <row r="4438" spans="1:10" x14ac:dyDescent="0.3">
      <c r="A4438" s="9">
        <v>38021</v>
      </c>
      <c r="B4438" s="2" t="str">
        <f>TEXT(Raw_Data!$A4438, "MMM")</f>
        <v>Feb</v>
      </c>
      <c r="C4438" s="2">
        <f>YEAR(Raw_Data!$A4438)</f>
        <v>2004</v>
      </c>
      <c r="D4438" s="2" t="s">
        <v>317</v>
      </c>
      <c r="E4438" s="2" t="s">
        <v>21</v>
      </c>
      <c r="F4438" s="2" t="s">
        <v>27</v>
      </c>
      <c r="G4438" s="2">
        <v>4</v>
      </c>
      <c r="H4438" s="2">
        <v>1408</v>
      </c>
      <c r="I4438" s="10">
        <v>543371</v>
      </c>
      <c r="J4438" s="10">
        <f>Raw_Data!$I4438/Raw_Data!$H4438</f>
        <v>385.91690340909093</v>
      </c>
    </row>
    <row r="4439" spans="1:10" x14ac:dyDescent="0.3">
      <c r="A4439" s="8">
        <v>36995</v>
      </c>
      <c r="B4439" t="str">
        <f>TEXT(Raw_Data!$A4439, "MMM")</f>
        <v>Apr</v>
      </c>
      <c r="C4439">
        <f>YEAR(Raw_Data!$A4439)</f>
        <v>2001</v>
      </c>
      <c r="D4439" t="s">
        <v>2831</v>
      </c>
      <c r="E4439" t="s">
        <v>21</v>
      </c>
      <c r="F4439" t="s">
        <v>16</v>
      </c>
      <c r="H4439">
        <v>1919</v>
      </c>
      <c r="I4439" s="1">
        <v>741355</v>
      </c>
      <c r="J4439" s="1">
        <f>Raw_Data!$I4439/Raw_Data!$H4439</f>
        <v>386.32360604481499</v>
      </c>
    </row>
    <row r="4440" spans="1:10" x14ac:dyDescent="0.3">
      <c r="A4440" s="9">
        <v>43394</v>
      </c>
      <c r="B4440" s="2" t="str">
        <f>TEXT(Raw_Data!$A4440, "MMM")</f>
        <v>Oct</v>
      </c>
      <c r="C4440" s="2">
        <f>YEAR(Raw_Data!$A4440)</f>
        <v>2018</v>
      </c>
      <c r="D4440" s="2" t="s">
        <v>2601</v>
      </c>
      <c r="E4440" s="2" t="s">
        <v>15</v>
      </c>
      <c r="F4440" s="2" t="s">
        <v>11</v>
      </c>
      <c r="G4440" s="2"/>
      <c r="H4440" s="2">
        <v>865</v>
      </c>
      <c r="I4440" s="10">
        <v>428645</v>
      </c>
      <c r="J4440" s="10">
        <f>Raw_Data!$I4440/Raw_Data!$H4440</f>
        <v>495.54335260115607</v>
      </c>
    </row>
    <row r="4441" spans="1:10" x14ac:dyDescent="0.3">
      <c r="A4441" s="8">
        <v>40809</v>
      </c>
      <c r="B4441" t="str">
        <f>TEXT(Raw_Data!$A4441, "MMM")</f>
        <v>Sep</v>
      </c>
      <c r="C4441">
        <f>YEAR(Raw_Data!$A4441)</f>
        <v>2011</v>
      </c>
      <c r="D4441" t="s">
        <v>2832</v>
      </c>
      <c r="E4441" t="s">
        <v>15</v>
      </c>
      <c r="F4441" t="s">
        <v>27</v>
      </c>
      <c r="G4441">
        <v>5</v>
      </c>
      <c r="H4441">
        <v>1723</v>
      </c>
      <c r="I4441" s="1">
        <v>226139</v>
      </c>
      <c r="J4441" s="1">
        <f>Raw_Data!$I4441/Raw_Data!$H4441</f>
        <v>131.24724318049914</v>
      </c>
    </row>
    <row r="4442" spans="1:10" x14ac:dyDescent="0.3">
      <c r="A4442" s="9">
        <v>43736</v>
      </c>
      <c r="B4442" s="2" t="str">
        <f>TEXT(Raw_Data!$A4442, "MMM")</f>
        <v>Sep</v>
      </c>
      <c r="C4442" s="2">
        <f>YEAR(Raw_Data!$A4442)</f>
        <v>2019</v>
      </c>
      <c r="D4442" s="2" t="s">
        <v>1124</v>
      </c>
      <c r="E4442" s="2" t="s">
        <v>29</v>
      </c>
      <c r="F4442" s="2" t="s">
        <v>11</v>
      </c>
      <c r="G4442" s="2"/>
      <c r="H4442" s="2">
        <v>2692</v>
      </c>
      <c r="I4442" s="10">
        <v>353819</v>
      </c>
      <c r="J4442" s="10">
        <f>Raw_Data!$I4442/Raw_Data!$H4442</f>
        <v>131.43350668647847</v>
      </c>
    </row>
    <row r="4443" spans="1:10" x14ac:dyDescent="0.3">
      <c r="A4443" s="8">
        <v>38523</v>
      </c>
      <c r="B4443" t="str">
        <f>TEXT(Raw_Data!$A4443, "MMM")</f>
        <v>Jun</v>
      </c>
      <c r="C4443">
        <f>YEAR(Raw_Data!$A4443)</f>
        <v>2005</v>
      </c>
      <c r="D4443" t="s">
        <v>645</v>
      </c>
      <c r="E4443" t="s">
        <v>25</v>
      </c>
      <c r="F4443" t="s">
        <v>16</v>
      </c>
      <c r="H4443">
        <v>3060</v>
      </c>
      <c r="I4443" s="1">
        <v>872921</v>
      </c>
      <c r="J4443" s="1">
        <f>Raw_Data!$I4443/Raw_Data!$H4443</f>
        <v>285.26830065359479</v>
      </c>
    </row>
    <row r="4444" spans="1:10" x14ac:dyDescent="0.3">
      <c r="A4444" s="9">
        <v>43658</v>
      </c>
      <c r="B4444" s="2" t="str">
        <f>TEXT(Raw_Data!$A4444, "MMM")</f>
        <v>Jul</v>
      </c>
      <c r="C4444" s="2">
        <f>YEAR(Raw_Data!$A4444)</f>
        <v>2019</v>
      </c>
      <c r="D4444" s="2" t="s">
        <v>1634</v>
      </c>
      <c r="E4444" s="2" t="s">
        <v>29</v>
      </c>
      <c r="F4444" s="2" t="s">
        <v>18</v>
      </c>
      <c r="G4444" s="2">
        <v>4</v>
      </c>
      <c r="H4444" s="2">
        <v>1583</v>
      </c>
      <c r="I4444" s="10">
        <v>547613</v>
      </c>
      <c r="J4444" s="10">
        <f>Raw_Data!$I4444/Raw_Data!$H4444</f>
        <v>345.93367024636768</v>
      </c>
    </row>
    <row r="4445" spans="1:10" x14ac:dyDescent="0.3">
      <c r="A4445" s="8">
        <v>43575</v>
      </c>
      <c r="B4445" t="str">
        <f>TEXT(Raw_Data!$A4445, "MMM")</f>
        <v>Apr</v>
      </c>
      <c r="C4445">
        <f>YEAR(Raw_Data!$A4445)</f>
        <v>2019</v>
      </c>
      <c r="D4445" t="s">
        <v>2833</v>
      </c>
      <c r="E4445" t="s">
        <v>21</v>
      </c>
      <c r="F4445" t="s">
        <v>27</v>
      </c>
      <c r="G4445">
        <v>4</v>
      </c>
      <c r="H4445">
        <v>1401</v>
      </c>
      <c r="I4445" s="1">
        <v>263387</v>
      </c>
      <c r="J4445" s="1">
        <f>Raw_Data!$I4445/Raw_Data!$H4445</f>
        <v>187.99928622412563</v>
      </c>
    </row>
    <row r="4446" spans="1:10" x14ac:dyDescent="0.3">
      <c r="A4446" s="9">
        <v>41285</v>
      </c>
      <c r="B4446" s="2" t="str">
        <f>TEXT(Raw_Data!$A4446, "MMM")</f>
        <v>Jan</v>
      </c>
      <c r="C4446" s="2">
        <f>YEAR(Raw_Data!$A4446)</f>
        <v>2013</v>
      </c>
      <c r="D4446" s="2" t="s">
        <v>2834</v>
      </c>
      <c r="E4446" s="2" t="s">
        <v>13</v>
      </c>
      <c r="F4446" s="2" t="s">
        <v>11</v>
      </c>
      <c r="G4446" s="2">
        <v>5</v>
      </c>
      <c r="H4446" s="2">
        <v>1836</v>
      </c>
      <c r="I4446" s="10">
        <v>703243</v>
      </c>
      <c r="J4446" s="10">
        <f>Raw_Data!$I4446/Raw_Data!$H4446</f>
        <v>383.02995642701524</v>
      </c>
    </row>
    <row r="4447" spans="1:10" x14ac:dyDescent="0.3">
      <c r="A4447" s="8">
        <v>38623</v>
      </c>
      <c r="B4447" t="str">
        <f>TEXT(Raw_Data!$A4447, "MMM")</f>
        <v>Sep</v>
      </c>
      <c r="C4447">
        <f>YEAR(Raw_Data!$A4447)</f>
        <v>2005</v>
      </c>
      <c r="D4447" t="s">
        <v>2479</v>
      </c>
      <c r="E4447" t="s">
        <v>13</v>
      </c>
      <c r="F4447" t="s">
        <v>11</v>
      </c>
      <c r="H4447">
        <v>2143</v>
      </c>
      <c r="I4447" s="1">
        <v>581064</v>
      </c>
      <c r="J4447" s="1">
        <f>Raw_Data!$I4447/Raw_Data!$H4447</f>
        <v>271.14512365842279</v>
      </c>
    </row>
    <row r="4448" spans="1:10" x14ac:dyDescent="0.3">
      <c r="A4448" s="9">
        <v>40131</v>
      </c>
      <c r="B4448" s="2" t="str">
        <f>TEXT(Raw_Data!$A4448, "MMM")</f>
        <v>Nov</v>
      </c>
      <c r="C4448" s="2">
        <f>YEAR(Raw_Data!$A4448)</f>
        <v>2009</v>
      </c>
      <c r="D4448" s="2" t="s">
        <v>1945</v>
      </c>
      <c r="E4448" s="2" t="s">
        <v>15</v>
      </c>
      <c r="F4448" s="2" t="s">
        <v>16</v>
      </c>
      <c r="G4448" s="2">
        <v>4</v>
      </c>
      <c r="H4448" s="2">
        <v>2910</v>
      </c>
      <c r="I4448" s="10">
        <v>204312</v>
      </c>
      <c r="J4448" s="10">
        <f>Raw_Data!$I4448/Raw_Data!$H4448</f>
        <v>70.210309278350522</v>
      </c>
    </row>
    <row r="4449" spans="1:10" x14ac:dyDescent="0.3">
      <c r="A4449" s="8">
        <v>39686</v>
      </c>
      <c r="B4449" t="str">
        <f>TEXT(Raw_Data!$A4449, "MMM")</f>
        <v>Aug</v>
      </c>
      <c r="C4449">
        <f>YEAR(Raw_Data!$A4449)</f>
        <v>2008</v>
      </c>
      <c r="D4449" t="s">
        <v>2835</v>
      </c>
      <c r="E4449" t="s">
        <v>13</v>
      </c>
      <c r="F4449" t="s">
        <v>16</v>
      </c>
      <c r="G4449">
        <v>3</v>
      </c>
      <c r="H4449">
        <v>966</v>
      </c>
      <c r="I4449" s="1">
        <v>789845</v>
      </c>
      <c r="J4449" s="1">
        <f>Raw_Data!$I4449/Raw_Data!$H4449</f>
        <v>817.64492753623188</v>
      </c>
    </row>
    <row r="4450" spans="1:10" x14ac:dyDescent="0.3">
      <c r="A4450" s="9">
        <v>43165</v>
      </c>
      <c r="B4450" s="2" t="str">
        <f>TEXT(Raw_Data!$A4450, "MMM")</f>
        <v>Mar</v>
      </c>
      <c r="C4450" s="2">
        <f>YEAR(Raw_Data!$A4450)</f>
        <v>2018</v>
      </c>
      <c r="D4450" s="2" t="s">
        <v>2836</v>
      </c>
      <c r="E4450" s="2" t="s">
        <v>25</v>
      </c>
      <c r="F4450" s="2" t="s">
        <v>11</v>
      </c>
      <c r="G4450" s="2">
        <v>3</v>
      </c>
      <c r="H4450" s="2">
        <v>2404</v>
      </c>
      <c r="I4450" s="10">
        <v>320014</v>
      </c>
      <c r="J4450" s="10">
        <f>Raw_Data!$I4450/Raw_Data!$H4450</f>
        <v>133.11730449251249</v>
      </c>
    </row>
    <row r="4451" spans="1:10" x14ac:dyDescent="0.3">
      <c r="A4451" s="8">
        <v>37581</v>
      </c>
      <c r="B4451" t="str">
        <f>TEXT(Raw_Data!$A4451, "MMM")</f>
        <v>Nov</v>
      </c>
      <c r="C4451">
        <f>YEAR(Raw_Data!$A4451)</f>
        <v>2002</v>
      </c>
      <c r="D4451" t="s">
        <v>1581</v>
      </c>
      <c r="E4451" t="s">
        <v>25</v>
      </c>
      <c r="F4451" t="s">
        <v>18</v>
      </c>
      <c r="G4451">
        <v>3</v>
      </c>
      <c r="H4451">
        <v>2996</v>
      </c>
      <c r="I4451" s="1">
        <v>691222</v>
      </c>
      <c r="J4451" s="1">
        <f>Raw_Data!$I4451/Raw_Data!$H4451</f>
        <v>230.71495327102804</v>
      </c>
    </row>
    <row r="4452" spans="1:10" x14ac:dyDescent="0.3">
      <c r="A4452" s="9">
        <v>43798</v>
      </c>
      <c r="B4452" s="2" t="str">
        <f>TEXT(Raw_Data!$A4452, "MMM")</f>
        <v>Nov</v>
      </c>
      <c r="C4452" s="2">
        <f>YEAR(Raw_Data!$A4452)</f>
        <v>2019</v>
      </c>
      <c r="D4452" s="2" t="s">
        <v>2837</v>
      </c>
      <c r="E4452" s="2" t="s">
        <v>13</v>
      </c>
      <c r="F4452" s="2" t="s">
        <v>18</v>
      </c>
      <c r="G4452" s="2"/>
      <c r="H4452" s="2">
        <v>3378</v>
      </c>
      <c r="I4452" s="10">
        <v>157536</v>
      </c>
      <c r="J4452" s="10">
        <f>Raw_Data!$I4452/Raw_Data!$H4452</f>
        <v>46.635879218472468</v>
      </c>
    </row>
    <row r="4453" spans="1:10" x14ac:dyDescent="0.3">
      <c r="A4453" s="8">
        <v>44186</v>
      </c>
      <c r="B4453" t="str">
        <f>TEXT(Raw_Data!$A4453, "MMM")</f>
        <v>Dec</v>
      </c>
      <c r="C4453">
        <f>YEAR(Raw_Data!$A4453)</f>
        <v>2020</v>
      </c>
      <c r="D4453" t="s">
        <v>2793</v>
      </c>
      <c r="E4453" t="s">
        <v>15</v>
      </c>
      <c r="F4453" t="s">
        <v>16</v>
      </c>
      <c r="G4453">
        <v>3</v>
      </c>
      <c r="H4453">
        <v>1750</v>
      </c>
      <c r="I4453" s="1">
        <v>872437</v>
      </c>
      <c r="J4453" s="1">
        <f>Raw_Data!$I4453/Raw_Data!$H4453</f>
        <v>498.53542857142855</v>
      </c>
    </row>
    <row r="4454" spans="1:10" x14ac:dyDescent="0.3">
      <c r="A4454" s="9">
        <v>38020</v>
      </c>
      <c r="B4454" s="2" t="str">
        <f>TEXT(Raw_Data!$A4454, "MMM")</f>
        <v>Feb</v>
      </c>
      <c r="C4454" s="2">
        <f>YEAR(Raw_Data!$A4454)</f>
        <v>2004</v>
      </c>
      <c r="D4454" s="2" t="s">
        <v>841</v>
      </c>
      <c r="E4454" s="2" t="s">
        <v>21</v>
      </c>
      <c r="F4454" s="2" t="s">
        <v>18</v>
      </c>
      <c r="G4454" s="2">
        <v>4</v>
      </c>
      <c r="H4454" s="2">
        <v>2083</v>
      </c>
      <c r="I4454" s="10">
        <v>742999</v>
      </c>
      <c r="J4454" s="10">
        <f>Raw_Data!$I4454/Raw_Data!$H4454</f>
        <v>356.69659145463277</v>
      </c>
    </row>
    <row r="4455" spans="1:10" x14ac:dyDescent="0.3">
      <c r="A4455" s="8">
        <v>38330</v>
      </c>
      <c r="B4455" t="str">
        <f>TEXT(Raw_Data!$A4455, "MMM")</f>
        <v>Dec</v>
      </c>
      <c r="C4455">
        <f>YEAR(Raw_Data!$A4455)</f>
        <v>2004</v>
      </c>
      <c r="D4455" t="s">
        <v>2838</v>
      </c>
      <c r="E4455" t="s">
        <v>32</v>
      </c>
      <c r="F4455" t="s">
        <v>18</v>
      </c>
      <c r="G4455">
        <v>2</v>
      </c>
      <c r="H4455">
        <v>2842</v>
      </c>
      <c r="I4455" s="1">
        <v>747494</v>
      </c>
      <c r="J4455" s="1">
        <f>Raw_Data!$I4455/Raw_Data!$H4455</f>
        <v>263.01688951442645</v>
      </c>
    </row>
    <row r="4456" spans="1:10" x14ac:dyDescent="0.3">
      <c r="A4456" s="9">
        <v>37778</v>
      </c>
      <c r="B4456" s="2" t="str">
        <f>TEXT(Raw_Data!$A4456, "MMM")</f>
        <v>Jun</v>
      </c>
      <c r="C4456" s="2">
        <f>YEAR(Raw_Data!$A4456)</f>
        <v>2003</v>
      </c>
      <c r="D4456" s="2" t="s">
        <v>2839</v>
      </c>
      <c r="E4456" s="2" t="s">
        <v>23</v>
      </c>
      <c r="F4456" s="2" t="s">
        <v>16</v>
      </c>
      <c r="G4456" s="2">
        <v>4</v>
      </c>
      <c r="H4456" s="2">
        <v>2882</v>
      </c>
      <c r="I4456" s="10">
        <v>306766</v>
      </c>
      <c r="J4456" s="10">
        <f>Raw_Data!$I4456/Raw_Data!$H4456</f>
        <v>106.44205412907704</v>
      </c>
    </row>
    <row r="4457" spans="1:10" x14ac:dyDescent="0.3">
      <c r="A4457" s="8">
        <v>38228</v>
      </c>
      <c r="B4457" t="str">
        <f>TEXT(Raw_Data!$A4457, "MMM")</f>
        <v>Aug</v>
      </c>
      <c r="C4457">
        <f>YEAR(Raw_Data!$A4457)</f>
        <v>2004</v>
      </c>
      <c r="D4457" t="s">
        <v>2040</v>
      </c>
      <c r="E4457" t="s">
        <v>32</v>
      </c>
      <c r="F4457" t="s">
        <v>16</v>
      </c>
      <c r="G4457">
        <v>5</v>
      </c>
      <c r="H4457">
        <v>1453</v>
      </c>
      <c r="I4457" s="1">
        <v>571905</v>
      </c>
      <c r="J4457" s="1">
        <f>Raw_Data!$I4457/Raw_Data!$H4457</f>
        <v>393.60289057123191</v>
      </c>
    </row>
    <row r="4458" spans="1:10" x14ac:dyDescent="0.3">
      <c r="A4458" s="9">
        <v>44161</v>
      </c>
      <c r="B4458" s="2" t="str">
        <f>TEXT(Raw_Data!$A4458, "MMM")</f>
        <v>Nov</v>
      </c>
      <c r="C4458" s="2">
        <f>YEAR(Raw_Data!$A4458)</f>
        <v>2020</v>
      </c>
      <c r="D4458" s="2" t="s">
        <v>309</v>
      </c>
      <c r="E4458" s="2" t="s">
        <v>32</v>
      </c>
      <c r="F4458" s="2" t="s">
        <v>18</v>
      </c>
      <c r="G4458" s="2">
        <v>5</v>
      </c>
      <c r="H4458" s="2">
        <v>2383</v>
      </c>
      <c r="I4458" s="10">
        <v>480692</v>
      </c>
      <c r="J4458" s="10">
        <f>Raw_Data!$I4458/Raw_Data!$H4458</f>
        <v>201.71716323961394</v>
      </c>
    </row>
    <row r="4459" spans="1:10" x14ac:dyDescent="0.3">
      <c r="A4459" s="8">
        <v>40372</v>
      </c>
      <c r="B4459" t="str">
        <f>TEXT(Raw_Data!$A4459, "MMM")</f>
        <v>Jul</v>
      </c>
      <c r="C4459">
        <f>YEAR(Raw_Data!$A4459)</f>
        <v>2010</v>
      </c>
      <c r="D4459" t="s">
        <v>751</v>
      </c>
      <c r="E4459" t="s">
        <v>32</v>
      </c>
      <c r="F4459" t="s">
        <v>11</v>
      </c>
      <c r="G4459">
        <v>5</v>
      </c>
      <c r="H4459">
        <v>1907</v>
      </c>
      <c r="I4459" s="1">
        <v>378578</v>
      </c>
      <c r="J4459" s="1">
        <f>Raw_Data!$I4459/Raw_Data!$H4459</f>
        <v>198.52018877818563</v>
      </c>
    </row>
    <row r="4460" spans="1:10" x14ac:dyDescent="0.3">
      <c r="A4460" s="9">
        <v>36936</v>
      </c>
      <c r="B4460" s="2" t="str">
        <f>TEXT(Raw_Data!$A4460, "MMM")</f>
        <v>Feb</v>
      </c>
      <c r="C4460" s="2">
        <f>YEAR(Raw_Data!$A4460)</f>
        <v>2001</v>
      </c>
      <c r="D4460" s="2" t="s">
        <v>1106</v>
      </c>
      <c r="E4460" s="2" t="s">
        <v>13</v>
      </c>
      <c r="F4460" s="2" t="s">
        <v>16</v>
      </c>
      <c r="G4460" s="2">
        <v>5</v>
      </c>
      <c r="H4460" s="2">
        <v>1833</v>
      </c>
      <c r="I4460" s="10">
        <v>882837</v>
      </c>
      <c r="J4460" s="10">
        <f>Raw_Data!$I4460/Raw_Data!$H4460</f>
        <v>481.63502454991817</v>
      </c>
    </row>
    <row r="4461" spans="1:10" x14ac:dyDescent="0.3">
      <c r="A4461" s="8">
        <v>40652</v>
      </c>
      <c r="B4461" t="str">
        <f>TEXT(Raw_Data!$A4461, "MMM")</f>
        <v>Apr</v>
      </c>
      <c r="C4461">
        <f>YEAR(Raw_Data!$A4461)</f>
        <v>2011</v>
      </c>
      <c r="D4461" t="s">
        <v>2840</v>
      </c>
      <c r="E4461" t="s">
        <v>13</v>
      </c>
      <c r="F4461" t="s">
        <v>11</v>
      </c>
      <c r="G4461">
        <v>5</v>
      </c>
      <c r="H4461">
        <v>2009</v>
      </c>
      <c r="I4461" s="1">
        <v>793409</v>
      </c>
      <c r="J4461" s="1">
        <f>Raw_Data!$I4461/Raw_Data!$H4461</f>
        <v>394.9273270283723</v>
      </c>
    </row>
    <row r="4462" spans="1:10" x14ac:dyDescent="0.3">
      <c r="A4462" s="9">
        <v>42921</v>
      </c>
      <c r="B4462" s="2" t="str">
        <f>TEXT(Raw_Data!$A4462, "MMM")</f>
        <v>Jul</v>
      </c>
      <c r="C4462" s="2">
        <f>YEAR(Raw_Data!$A4462)</f>
        <v>2017</v>
      </c>
      <c r="D4462" s="2" t="s">
        <v>2460</v>
      </c>
      <c r="E4462" s="2" t="s">
        <v>13</v>
      </c>
      <c r="F4462" s="2" t="s">
        <v>16</v>
      </c>
      <c r="G4462" s="2">
        <v>5</v>
      </c>
      <c r="H4462" s="2">
        <v>1355</v>
      </c>
      <c r="I4462" s="10">
        <v>874389</v>
      </c>
      <c r="J4462" s="10">
        <f>Raw_Data!$I4462/Raw_Data!$H4462</f>
        <v>645.30553505535056</v>
      </c>
    </row>
    <row r="4463" spans="1:10" x14ac:dyDescent="0.3">
      <c r="A4463" s="8">
        <v>43995</v>
      </c>
      <c r="B4463" t="str">
        <f>TEXT(Raw_Data!$A4463, "MMM")</f>
        <v>Jun</v>
      </c>
      <c r="C4463">
        <f>YEAR(Raw_Data!$A4463)</f>
        <v>2020</v>
      </c>
      <c r="D4463" t="s">
        <v>2841</v>
      </c>
      <c r="E4463" t="s">
        <v>32</v>
      </c>
      <c r="F4463" t="s">
        <v>11</v>
      </c>
      <c r="G4463">
        <v>4</v>
      </c>
      <c r="H4463">
        <v>1205</v>
      </c>
      <c r="I4463" s="1">
        <v>363884</v>
      </c>
      <c r="J4463" s="1">
        <f>Raw_Data!$I4463/Raw_Data!$H4463</f>
        <v>301.97842323651452</v>
      </c>
    </row>
    <row r="4464" spans="1:10" x14ac:dyDescent="0.3">
      <c r="A4464" s="9">
        <v>40783</v>
      </c>
      <c r="B4464" s="2" t="str">
        <f>TEXT(Raw_Data!$A4464, "MMM")</f>
        <v>Aug</v>
      </c>
      <c r="C4464" s="2">
        <f>YEAR(Raw_Data!$A4464)</f>
        <v>2011</v>
      </c>
      <c r="D4464" s="2" t="s">
        <v>1885</v>
      </c>
      <c r="E4464" s="2" t="s">
        <v>32</v>
      </c>
      <c r="F4464" s="2" t="s">
        <v>16</v>
      </c>
      <c r="G4464" s="2">
        <v>2</v>
      </c>
      <c r="H4464" s="2">
        <v>1742</v>
      </c>
      <c r="I4464" s="10">
        <v>743825</v>
      </c>
      <c r="J4464" s="10">
        <f>Raw_Data!$I4464/Raw_Data!$H4464</f>
        <v>426.99483352468428</v>
      </c>
    </row>
    <row r="4465" spans="1:10" x14ac:dyDescent="0.3">
      <c r="A4465" s="8">
        <v>41594</v>
      </c>
      <c r="B4465" t="str">
        <f>TEXT(Raw_Data!$A4465, "MMM")</f>
        <v>Nov</v>
      </c>
      <c r="C4465">
        <f>YEAR(Raw_Data!$A4465)</f>
        <v>2013</v>
      </c>
      <c r="D4465" t="s">
        <v>2842</v>
      </c>
      <c r="E4465" t="s">
        <v>25</v>
      </c>
      <c r="F4465" t="s">
        <v>18</v>
      </c>
      <c r="H4465">
        <v>2287</v>
      </c>
      <c r="I4465" s="1">
        <v>847688</v>
      </c>
      <c r="J4465" s="1">
        <f>Raw_Data!$I4465/Raw_Data!$H4465</f>
        <v>370.65500655881067</v>
      </c>
    </row>
    <row r="4466" spans="1:10" x14ac:dyDescent="0.3">
      <c r="A4466" s="9">
        <v>40203</v>
      </c>
      <c r="B4466" s="2" t="str">
        <f>TEXT(Raw_Data!$A4466, "MMM")</f>
        <v>Jan</v>
      </c>
      <c r="C4466" s="2">
        <f>YEAR(Raw_Data!$A4466)</f>
        <v>2010</v>
      </c>
      <c r="D4466" s="2" t="s">
        <v>2657</v>
      </c>
      <c r="E4466" s="2" t="s">
        <v>23</v>
      </c>
      <c r="F4466" s="2" t="s">
        <v>18</v>
      </c>
      <c r="G4466" s="2"/>
      <c r="H4466" s="2">
        <v>1010</v>
      </c>
      <c r="I4466" s="10">
        <v>427396</v>
      </c>
      <c r="J4466" s="10">
        <f>Raw_Data!$I4466/Raw_Data!$H4466</f>
        <v>423.16435643564358</v>
      </c>
    </row>
    <row r="4467" spans="1:10" x14ac:dyDescent="0.3">
      <c r="A4467" s="8">
        <v>41748</v>
      </c>
      <c r="B4467" t="str">
        <f>TEXT(Raw_Data!$A4467, "MMM")</f>
        <v>Apr</v>
      </c>
      <c r="C4467">
        <f>YEAR(Raw_Data!$A4467)</f>
        <v>2014</v>
      </c>
      <c r="D4467" t="s">
        <v>2843</v>
      </c>
      <c r="E4467" t="s">
        <v>25</v>
      </c>
      <c r="F4467" t="s">
        <v>18</v>
      </c>
      <c r="G4467">
        <v>3</v>
      </c>
      <c r="H4467">
        <v>2702</v>
      </c>
      <c r="I4467" s="1">
        <v>492316</v>
      </c>
      <c r="J4467" s="1">
        <f>Raw_Data!$I4467/Raw_Data!$H4467</f>
        <v>182.20429311621021</v>
      </c>
    </row>
    <row r="4468" spans="1:10" x14ac:dyDescent="0.3">
      <c r="A4468" s="9">
        <v>43420</v>
      </c>
      <c r="B4468" s="2" t="str">
        <f>TEXT(Raw_Data!$A4468, "MMM")</f>
        <v>Nov</v>
      </c>
      <c r="C4468" s="2">
        <f>YEAR(Raw_Data!$A4468)</f>
        <v>2018</v>
      </c>
      <c r="D4468" s="2" t="s">
        <v>20</v>
      </c>
      <c r="E4468" s="2" t="s">
        <v>25</v>
      </c>
      <c r="F4468" s="2" t="s">
        <v>27</v>
      </c>
      <c r="G4468" s="2">
        <v>4</v>
      </c>
      <c r="H4468" s="2">
        <v>3458</v>
      </c>
      <c r="I4468" s="10">
        <v>166590</v>
      </c>
      <c r="J4468" s="10">
        <f>Raw_Data!$I4468/Raw_Data!$H4468</f>
        <v>48.175245806824755</v>
      </c>
    </row>
    <row r="4469" spans="1:10" x14ac:dyDescent="0.3">
      <c r="A4469" s="8">
        <v>40868</v>
      </c>
      <c r="B4469" t="str">
        <f>TEXT(Raw_Data!$A4469, "MMM")</f>
        <v>Nov</v>
      </c>
      <c r="C4469">
        <f>YEAR(Raw_Data!$A4469)</f>
        <v>2011</v>
      </c>
      <c r="D4469" t="s">
        <v>65</v>
      </c>
      <c r="E4469" t="s">
        <v>21</v>
      </c>
      <c r="F4469" t="s">
        <v>27</v>
      </c>
      <c r="G4469">
        <v>3</v>
      </c>
      <c r="H4469">
        <v>1469</v>
      </c>
      <c r="I4469" s="1">
        <v>408244</v>
      </c>
      <c r="J4469" s="1">
        <f>Raw_Data!$I4469/Raw_Data!$H4469</f>
        <v>277.90605854322666</v>
      </c>
    </row>
    <row r="4470" spans="1:10" x14ac:dyDescent="0.3">
      <c r="A4470" s="9">
        <v>43643</v>
      </c>
      <c r="B4470" s="2" t="str">
        <f>TEXT(Raw_Data!$A4470, "MMM")</f>
        <v>Jun</v>
      </c>
      <c r="C4470" s="2">
        <f>YEAR(Raw_Data!$A4470)</f>
        <v>2019</v>
      </c>
      <c r="D4470" s="2" t="s">
        <v>534</v>
      </c>
      <c r="E4470" s="2" t="s">
        <v>32</v>
      </c>
      <c r="F4470" s="2" t="s">
        <v>11</v>
      </c>
      <c r="G4470" s="2">
        <v>5</v>
      </c>
      <c r="H4470" s="2">
        <v>1870</v>
      </c>
      <c r="I4470" s="10">
        <v>335624</v>
      </c>
      <c r="J4470" s="10">
        <f>Raw_Data!$I4470/Raw_Data!$H4470</f>
        <v>179.47807486631015</v>
      </c>
    </row>
    <row r="4471" spans="1:10" x14ac:dyDescent="0.3">
      <c r="A4471" s="8">
        <v>42986</v>
      </c>
      <c r="B4471" t="str">
        <f>TEXT(Raw_Data!$A4471, "MMM")</f>
        <v>Sep</v>
      </c>
      <c r="C4471">
        <f>YEAR(Raw_Data!$A4471)</f>
        <v>2017</v>
      </c>
      <c r="D4471" t="s">
        <v>88</v>
      </c>
      <c r="E4471" t="s">
        <v>15</v>
      </c>
      <c r="F4471" t="s">
        <v>11</v>
      </c>
      <c r="G4471">
        <v>4</v>
      </c>
      <c r="H4471">
        <v>2048</v>
      </c>
      <c r="I4471" s="1">
        <v>546120</v>
      </c>
      <c r="J4471" s="1">
        <f>Raw_Data!$I4471/Raw_Data!$H4471</f>
        <v>266.66015625</v>
      </c>
    </row>
    <row r="4472" spans="1:10" x14ac:dyDescent="0.3">
      <c r="A4472" s="9">
        <v>43637</v>
      </c>
      <c r="B4472" s="2" t="str">
        <f>TEXT(Raw_Data!$A4472, "MMM")</f>
        <v>Jun</v>
      </c>
      <c r="C4472" s="2">
        <f>YEAR(Raw_Data!$A4472)</f>
        <v>2019</v>
      </c>
      <c r="D4472" s="2" t="s">
        <v>2042</v>
      </c>
      <c r="E4472" s="2" t="s">
        <v>29</v>
      </c>
      <c r="F4472" s="2" t="s">
        <v>27</v>
      </c>
      <c r="G4472" s="2">
        <v>5</v>
      </c>
      <c r="H4472" s="2">
        <v>998</v>
      </c>
      <c r="I4472" s="10">
        <v>493641</v>
      </c>
      <c r="J4472" s="10">
        <f>Raw_Data!$I4472/Raw_Data!$H4472</f>
        <v>494.63026052104209</v>
      </c>
    </row>
    <row r="4473" spans="1:10" x14ac:dyDescent="0.3">
      <c r="A4473" s="8">
        <v>37282</v>
      </c>
      <c r="B4473" t="str">
        <f>TEXT(Raw_Data!$A4473, "MMM")</f>
        <v>Jan</v>
      </c>
      <c r="C4473">
        <f>YEAR(Raw_Data!$A4473)</f>
        <v>2002</v>
      </c>
      <c r="D4473" t="s">
        <v>2588</v>
      </c>
      <c r="E4473" t="s">
        <v>13</v>
      </c>
      <c r="F4473" t="s">
        <v>16</v>
      </c>
      <c r="G4473">
        <v>4</v>
      </c>
      <c r="H4473">
        <v>3037</v>
      </c>
      <c r="I4473" s="1">
        <v>312194</v>
      </c>
      <c r="J4473" s="1">
        <f>Raw_Data!$I4473/Raw_Data!$H4473</f>
        <v>102.79683898584129</v>
      </c>
    </row>
    <row r="4474" spans="1:10" x14ac:dyDescent="0.3">
      <c r="A4474" s="9">
        <v>38845</v>
      </c>
      <c r="B4474" s="2" t="str">
        <f>TEXT(Raw_Data!$A4474, "MMM")</f>
        <v>May</v>
      </c>
      <c r="C4474" s="2">
        <f>YEAR(Raw_Data!$A4474)</f>
        <v>2006</v>
      </c>
      <c r="D4474" s="2" t="s">
        <v>947</v>
      </c>
      <c r="E4474" s="2" t="s">
        <v>25</v>
      </c>
      <c r="F4474" s="2" t="s">
        <v>16</v>
      </c>
      <c r="G4474" s="2">
        <v>3</v>
      </c>
      <c r="H4474" s="2">
        <v>1384</v>
      </c>
      <c r="I4474" s="10">
        <v>494579</v>
      </c>
      <c r="J4474" s="10">
        <f>Raw_Data!$I4474/Raw_Data!$H4474</f>
        <v>357.35476878612718</v>
      </c>
    </row>
    <row r="4475" spans="1:10" x14ac:dyDescent="0.3">
      <c r="A4475" s="8">
        <v>38186</v>
      </c>
      <c r="B4475" t="str">
        <f>TEXT(Raw_Data!$A4475, "MMM")</f>
        <v>Jul</v>
      </c>
      <c r="C4475">
        <f>YEAR(Raw_Data!$A4475)</f>
        <v>2004</v>
      </c>
      <c r="D4475" t="s">
        <v>1649</v>
      </c>
      <c r="E4475" t="s">
        <v>25</v>
      </c>
      <c r="F4475" t="s">
        <v>18</v>
      </c>
      <c r="G4475">
        <v>3</v>
      </c>
      <c r="H4475">
        <v>2300</v>
      </c>
      <c r="I4475" s="1">
        <v>630075</v>
      </c>
      <c r="J4475" s="1">
        <f>Raw_Data!$I4475/Raw_Data!$H4475</f>
        <v>273.94565217391306</v>
      </c>
    </row>
    <row r="4476" spans="1:10" x14ac:dyDescent="0.3">
      <c r="A4476" s="9">
        <v>42923</v>
      </c>
      <c r="B4476" s="2" t="str">
        <f>TEXT(Raw_Data!$A4476, "MMM")</f>
        <v>Jul</v>
      </c>
      <c r="C4476" s="2">
        <f>YEAR(Raw_Data!$A4476)</f>
        <v>2017</v>
      </c>
      <c r="D4476" s="2" t="s">
        <v>2844</v>
      </c>
      <c r="E4476" s="2" t="s">
        <v>32</v>
      </c>
      <c r="F4476" s="2" t="s">
        <v>16</v>
      </c>
      <c r="G4476" s="2">
        <v>4</v>
      </c>
      <c r="H4476" s="2">
        <v>2913</v>
      </c>
      <c r="I4476" s="10">
        <v>715496</v>
      </c>
      <c r="J4476" s="10">
        <f>Raw_Data!$I4476/Raw_Data!$H4476</f>
        <v>245.62169584620665</v>
      </c>
    </row>
    <row r="4477" spans="1:10" x14ac:dyDescent="0.3">
      <c r="A4477" s="8">
        <v>37908</v>
      </c>
      <c r="B4477" t="str">
        <f>TEXT(Raw_Data!$A4477, "MMM")</f>
        <v>Oct</v>
      </c>
      <c r="C4477">
        <f>YEAR(Raw_Data!$A4477)</f>
        <v>2003</v>
      </c>
      <c r="D4477" t="s">
        <v>1701</v>
      </c>
      <c r="E4477" t="s">
        <v>13</v>
      </c>
      <c r="F4477" t="s">
        <v>16</v>
      </c>
      <c r="G4477">
        <v>5</v>
      </c>
      <c r="H4477">
        <v>1599</v>
      </c>
      <c r="I4477" s="1">
        <v>659138</v>
      </c>
      <c r="J4477" s="1">
        <f>Raw_Data!$I4477/Raw_Data!$H4477</f>
        <v>412.21888680425263</v>
      </c>
    </row>
    <row r="4478" spans="1:10" x14ac:dyDescent="0.3">
      <c r="A4478" s="9">
        <v>41287</v>
      </c>
      <c r="B4478" s="2" t="str">
        <f>TEXT(Raw_Data!$A4478, "MMM")</f>
        <v>Jan</v>
      </c>
      <c r="C4478" s="2">
        <f>YEAR(Raw_Data!$A4478)</f>
        <v>2013</v>
      </c>
      <c r="D4478" s="2" t="s">
        <v>642</v>
      </c>
      <c r="E4478" s="2" t="s">
        <v>15</v>
      </c>
      <c r="F4478" s="2" t="s">
        <v>16</v>
      </c>
      <c r="G4478" s="2"/>
      <c r="H4478" s="2">
        <v>1767</v>
      </c>
      <c r="I4478" s="10">
        <v>749735</v>
      </c>
      <c r="J4478" s="10">
        <f>Raw_Data!$I4478/Raw_Data!$H4478</f>
        <v>424.29824561403507</v>
      </c>
    </row>
    <row r="4479" spans="1:10" x14ac:dyDescent="0.3">
      <c r="A4479" s="8">
        <v>39693</v>
      </c>
      <c r="B4479" t="str">
        <f>TEXT(Raw_Data!$A4479, "MMM")</f>
        <v>Sep</v>
      </c>
      <c r="C4479">
        <f>YEAR(Raw_Data!$A4479)</f>
        <v>2008</v>
      </c>
      <c r="D4479" t="s">
        <v>571</v>
      </c>
      <c r="E4479" t="s">
        <v>23</v>
      </c>
      <c r="F4479" t="s">
        <v>11</v>
      </c>
      <c r="G4479">
        <v>2</v>
      </c>
      <c r="H4479">
        <v>1540</v>
      </c>
      <c r="I4479" s="1">
        <v>531927</v>
      </c>
      <c r="J4479" s="1">
        <f>Raw_Data!$I4479/Raw_Data!$H4479</f>
        <v>345.40714285714284</v>
      </c>
    </row>
    <row r="4480" spans="1:10" x14ac:dyDescent="0.3">
      <c r="A4480" s="9">
        <v>44064</v>
      </c>
      <c r="B4480" s="2" t="str">
        <f>TEXT(Raw_Data!$A4480, "MMM")</f>
        <v>Aug</v>
      </c>
      <c r="C4480" s="2">
        <f>YEAR(Raw_Data!$A4480)</f>
        <v>2020</v>
      </c>
      <c r="D4480" s="2" t="s">
        <v>2845</v>
      </c>
      <c r="E4480" s="2" t="s">
        <v>21</v>
      </c>
      <c r="F4480" s="2" t="s">
        <v>18</v>
      </c>
      <c r="G4480" s="2">
        <v>2</v>
      </c>
      <c r="H4480" s="2">
        <v>1815</v>
      </c>
      <c r="I4480" s="10">
        <v>752489</v>
      </c>
      <c r="J4480" s="10">
        <f>Raw_Data!$I4480/Raw_Data!$H4480</f>
        <v>414.59449035812673</v>
      </c>
    </row>
    <row r="4481" spans="1:10" x14ac:dyDescent="0.3">
      <c r="A4481" s="8">
        <v>40274</v>
      </c>
      <c r="B4481" t="str">
        <f>TEXT(Raw_Data!$A4481, "MMM")</f>
        <v>Apr</v>
      </c>
      <c r="C4481">
        <f>YEAR(Raw_Data!$A4481)</f>
        <v>2010</v>
      </c>
      <c r="D4481" t="s">
        <v>2846</v>
      </c>
      <c r="E4481" t="s">
        <v>15</v>
      </c>
      <c r="F4481" t="s">
        <v>16</v>
      </c>
      <c r="H4481">
        <v>2122</v>
      </c>
      <c r="I4481" s="1">
        <v>638872</v>
      </c>
      <c r="J4481" s="1">
        <f>Raw_Data!$I4481/Raw_Data!$H4481</f>
        <v>301.07068803016023</v>
      </c>
    </row>
    <row r="4482" spans="1:10" x14ac:dyDescent="0.3">
      <c r="A4482" s="9">
        <v>37329</v>
      </c>
      <c r="B4482" s="2" t="str">
        <f>TEXT(Raw_Data!$A4482, "MMM")</f>
        <v>Mar</v>
      </c>
      <c r="C4482" s="2">
        <f>YEAR(Raw_Data!$A4482)</f>
        <v>2002</v>
      </c>
      <c r="D4482" s="2" t="s">
        <v>1324</v>
      </c>
      <c r="E4482" s="2" t="s">
        <v>15</v>
      </c>
      <c r="F4482" s="2" t="s">
        <v>16</v>
      </c>
      <c r="G4482" s="2">
        <v>4</v>
      </c>
      <c r="H4482" s="2">
        <v>1760</v>
      </c>
      <c r="I4482" s="10">
        <v>676878</v>
      </c>
      <c r="J4482" s="10">
        <f>Raw_Data!$I4482/Raw_Data!$H4482</f>
        <v>384.5897727272727</v>
      </c>
    </row>
    <row r="4483" spans="1:10" x14ac:dyDescent="0.3">
      <c r="A4483" s="8">
        <v>39135</v>
      </c>
      <c r="B4483" t="str">
        <f>TEXT(Raw_Data!$A4483, "MMM")</f>
        <v>Feb</v>
      </c>
      <c r="C4483">
        <f>YEAR(Raw_Data!$A4483)</f>
        <v>2007</v>
      </c>
      <c r="D4483" t="s">
        <v>2642</v>
      </c>
      <c r="E4483" t="s">
        <v>21</v>
      </c>
      <c r="F4483" t="s">
        <v>16</v>
      </c>
      <c r="G4483">
        <v>5</v>
      </c>
      <c r="H4483">
        <v>2577</v>
      </c>
      <c r="I4483" s="1">
        <v>433775</v>
      </c>
      <c r="J4483" s="1">
        <f>Raw_Data!$I4483/Raw_Data!$H4483</f>
        <v>168.32557237097399</v>
      </c>
    </row>
    <row r="4484" spans="1:10" x14ac:dyDescent="0.3">
      <c r="A4484" s="9">
        <v>39411</v>
      </c>
      <c r="B4484" s="2" t="str">
        <f>TEXT(Raw_Data!$A4484, "MMM")</f>
        <v>Nov</v>
      </c>
      <c r="C4484" s="2">
        <f>YEAR(Raw_Data!$A4484)</f>
        <v>2007</v>
      </c>
      <c r="D4484" s="2" t="s">
        <v>1912</v>
      </c>
      <c r="E4484" s="2" t="s">
        <v>32</v>
      </c>
      <c r="F4484" s="2" t="s">
        <v>11</v>
      </c>
      <c r="G4484" s="2"/>
      <c r="H4484" s="2">
        <v>2219</v>
      </c>
      <c r="I4484" s="10">
        <v>611556</v>
      </c>
      <c r="J4484" s="10">
        <f>Raw_Data!$I4484/Raw_Data!$H4484</f>
        <v>275.59981973862102</v>
      </c>
    </row>
    <row r="4485" spans="1:10" x14ac:dyDescent="0.3">
      <c r="A4485" s="8">
        <v>41168</v>
      </c>
      <c r="B4485" t="str">
        <f>TEXT(Raw_Data!$A4485, "MMM")</f>
        <v>Sep</v>
      </c>
      <c r="C4485">
        <f>YEAR(Raw_Data!$A4485)</f>
        <v>2012</v>
      </c>
      <c r="D4485" t="s">
        <v>215</v>
      </c>
      <c r="E4485" t="s">
        <v>25</v>
      </c>
      <c r="F4485" t="s">
        <v>11</v>
      </c>
      <c r="G4485">
        <v>4</v>
      </c>
      <c r="H4485">
        <v>1398</v>
      </c>
      <c r="I4485" s="1">
        <v>399854</v>
      </c>
      <c r="J4485" s="1">
        <f>Raw_Data!$I4485/Raw_Data!$H4485</f>
        <v>286.01859799713878</v>
      </c>
    </row>
    <row r="4486" spans="1:10" x14ac:dyDescent="0.3">
      <c r="A4486" s="9">
        <v>38292</v>
      </c>
      <c r="B4486" s="2" t="str">
        <f>TEXT(Raw_Data!$A4486, "MMM")</f>
        <v>Nov</v>
      </c>
      <c r="C4486" s="2">
        <f>YEAR(Raw_Data!$A4486)</f>
        <v>2004</v>
      </c>
      <c r="D4486" s="2" t="s">
        <v>503</v>
      </c>
      <c r="E4486" s="2" t="s">
        <v>13</v>
      </c>
      <c r="F4486" s="2" t="s">
        <v>18</v>
      </c>
      <c r="G4486" s="2">
        <v>5</v>
      </c>
      <c r="H4486" s="2">
        <v>1145</v>
      </c>
      <c r="I4486" s="10">
        <v>492096</v>
      </c>
      <c r="J4486" s="10">
        <f>Raw_Data!$I4486/Raw_Data!$H4486</f>
        <v>429.77816593886462</v>
      </c>
    </row>
    <row r="4487" spans="1:10" x14ac:dyDescent="0.3">
      <c r="A4487" s="8">
        <v>38544</v>
      </c>
      <c r="B4487" t="str">
        <f>TEXT(Raw_Data!$A4487, "MMM")</f>
        <v>Jul</v>
      </c>
      <c r="C4487">
        <f>YEAR(Raw_Data!$A4487)</f>
        <v>2005</v>
      </c>
      <c r="D4487" t="s">
        <v>2847</v>
      </c>
      <c r="E4487" t="s">
        <v>29</v>
      </c>
      <c r="F4487" t="s">
        <v>27</v>
      </c>
      <c r="H4487">
        <v>2024</v>
      </c>
      <c r="I4487" s="1">
        <v>505600</v>
      </c>
      <c r="J4487" s="1">
        <f>Raw_Data!$I4487/Raw_Data!$H4487</f>
        <v>249.80237154150197</v>
      </c>
    </row>
    <row r="4488" spans="1:10" x14ac:dyDescent="0.3">
      <c r="A4488" s="9">
        <v>37571</v>
      </c>
      <c r="B4488" s="2" t="str">
        <f>TEXT(Raw_Data!$A4488, "MMM")</f>
        <v>Nov</v>
      </c>
      <c r="C4488" s="2">
        <f>YEAR(Raw_Data!$A4488)</f>
        <v>2002</v>
      </c>
      <c r="D4488" s="2" t="s">
        <v>1353</v>
      </c>
      <c r="E4488" s="2" t="s">
        <v>21</v>
      </c>
      <c r="F4488" s="2" t="s">
        <v>27</v>
      </c>
      <c r="G4488" s="2">
        <v>4</v>
      </c>
      <c r="H4488" s="2">
        <v>3034</v>
      </c>
      <c r="I4488" s="10">
        <v>892806</v>
      </c>
      <c r="J4488" s="10">
        <f>Raw_Data!$I4488/Raw_Data!$H4488</f>
        <v>294.26697429136453</v>
      </c>
    </row>
    <row r="4489" spans="1:10" x14ac:dyDescent="0.3">
      <c r="A4489" s="8">
        <v>40258</v>
      </c>
      <c r="B4489" t="str">
        <f>TEXT(Raw_Data!$A4489, "MMM")</f>
        <v>Mar</v>
      </c>
      <c r="C4489">
        <f>YEAR(Raw_Data!$A4489)</f>
        <v>2010</v>
      </c>
      <c r="D4489" t="s">
        <v>2848</v>
      </c>
      <c r="E4489" t="s">
        <v>32</v>
      </c>
      <c r="F4489" t="s">
        <v>18</v>
      </c>
      <c r="G4489">
        <v>3</v>
      </c>
      <c r="H4489">
        <v>1253</v>
      </c>
      <c r="I4489" s="1">
        <v>178984</v>
      </c>
      <c r="J4489" s="1">
        <f>Raw_Data!$I4489/Raw_Data!$H4489</f>
        <v>142.84437350359138</v>
      </c>
    </row>
    <row r="4490" spans="1:10" x14ac:dyDescent="0.3">
      <c r="A4490" s="9">
        <v>42538</v>
      </c>
      <c r="B4490" s="2" t="str">
        <f>TEXT(Raw_Data!$A4490, "MMM")</f>
        <v>Jun</v>
      </c>
      <c r="C4490" s="2">
        <f>YEAR(Raw_Data!$A4490)</f>
        <v>2016</v>
      </c>
      <c r="D4490" s="2" t="s">
        <v>614</v>
      </c>
      <c r="E4490" s="2" t="s">
        <v>32</v>
      </c>
      <c r="F4490" s="2" t="s">
        <v>18</v>
      </c>
      <c r="G4490" s="2">
        <v>4</v>
      </c>
      <c r="H4490" s="2">
        <v>2031</v>
      </c>
      <c r="I4490" s="10">
        <v>242761</v>
      </c>
      <c r="J4490" s="10">
        <f>Raw_Data!$I4490/Raw_Data!$H4490</f>
        <v>119.52781880846874</v>
      </c>
    </row>
    <row r="4491" spans="1:10" x14ac:dyDescent="0.3">
      <c r="A4491" s="8">
        <v>40141</v>
      </c>
      <c r="B4491" t="str">
        <f>TEXT(Raw_Data!$A4491, "MMM")</f>
        <v>Nov</v>
      </c>
      <c r="C4491">
        <f>YEAR(Raw_Data!$A4491)</f>
        <v>2009</v>
      </c>
      <c r="D4491" t="s">
        <v>2786</v>
      </c>
      <c r="E4491" t="s">
        <v>15</v>
      </c>
      <c r="F4491" t="s">
        <v>18</v>
      </c>
      <c r="H4491">
        <v>3238</v>
      </c>
      <c r="I4491" s="1">
        <v>761255</v>
      </c>
      <c r="J4491" s="1">
        <f>Raw_Data!$I4491/Raw_Data!$H4491</f>
        <v>235.10037059913526</v>
      </c>
    </row>
    <row r="4492" spans="1:10" x14ac:dyDescent="0.3">
      <c r="A4492" s="9">
        <v>42710</v>
      </c>
      <c r="B4492" s="2" t="str">
        <f>TEXT(Raw_Data!$A4492, "MMM")</f>
        <v>Dec</v>
      </c>
      <c r="C4492" s="2">
        <f>YEAR(Raw_Data!$A4492)</f>
        <v>2016</v>
      </c>
      <c r="D4492" s="2" t="s">
        <v>128</v>
      </c>
      <c r="E4492" s="2" t="s">
        <v>32</v>
      </c>
      <c r="F4492" s="2" t="s">
        <v>11</v>
      </c>
      <c r="G4492" s="2">
        <v>5</v>
      </c>
      <c r="H4492" s="2">
        <v>2818</v>
      </c>
      <c r="I4492" s="10">
        <v>536492</v>
      </c>
      <c r="J4492" s="10">
        <f>Raw_Data!$I4492/Raw_Data!$H4492</f>
        <v>190.38041163946062</v>
      </c>
    </row>
    <row r="4493" spans="1:10" x14ac:dyDescent="0.3">
      <c r="A4493" s="8">
        <v>44008</v>
      </c>
      <c r="B4493" t="str">
        <f>TEXT(Raw_Data!$A4493, "MMM")</f>
        <v>Jun</v>
      </c>
      <c r="C4493">
        <f>YEAR(Raw_Data!$A4493)</f>
        <v>2020</v>
      </c>
      <c r="D4493" t="s">
        <v>2849</v>
      </c>
      <c r="E4493" t="s">
        <v>23</v>
      </c>
      <c r="F4493" t="s">
        <v>16</v>
      </c>
      <c r="G4493">
        <v>2</v>
      </c>
      <c r="H4493">
        <v>1842</v>
      </c>
      <c r="I4493" s="1">
        <v>205233</v>
      </c>
      <c r="J4493" s="1">
        <f>Raw_Data!$I4493/Raw_Data!$H4493</f>
        <v>111.4185667752443</v>
      </c>
    </row>
    <row r="4494" spans="1:10" x14ac:dyDescent="0.3">
      <c r="A4494" s="9">
        <v>39461</v>
      </c>
      <c r="B4494" s="2" t="str">
        <f>TEXT(Raw_Data!$A4494, "MMM")</f>
        <v>Jan</v>
      </c>
      <c r="C4494" s="2">
        <f>YEAR(Raw_Data!$A4494)</f>
        <v>2008</v>
      </c>
      <c r="D4494" s="2" t="s">
        <v>1873</v>
      </c>
      <c r="E4494" s="2" t="s">
        <v>32</v>
      </c>
      <c r="F4494" s="2" t="s">
        <v>11</v>
      </c>
      <c r="G4494" s="2"/>
      <c r="H4494" s="2">
        <v>2285</v>
      </c>
      <c r="I4494" s="10">
        <v>162108</v>
      </c>
      <c r="J4494" s="10">
        <f>Raw_Data!$I4494/Raw_Data!$H4494</f>
        <v>70.944420131291025</v>
      </c>
    </row>
    <row r="4495" spans="1:10" x14ac:dyDescent="0.3">
      <c r="A4495" s="8">
        <v>37058</v>
      </c>
      <c r="B4495" t="str">
        <f>TEXT(Raw_Data!$A4495, "MMM")</f>
        <v>Jun</v>
      </c>
      <c r="C4495">
        <f>YEAR(Raw_Data!$A4495)</f>
        <v>2001</v>
      </c>
      <c r="D4495" t="s">
        <v>511</v>
      </c>
      <c r="E4495" t="s">
        <v>15</v>
      </c>
      <c r="F4495" t="s">
        <v>27</v>
      </c>
      <c r="G4495">
        <v>3</v>
      </c>
      <c r="H4495">
        <v>2464</v>
      </c>
      <c r="I4495" s="1">
        <v>378805</v>
      </c>
      <c r="J4495" s="1">
        <f>Raw_Data!$I4495/Raw_Data!$H4495</f>
        <v>153.73579545454547</v>
      </c>
    </row>
    <row r="4496" spans="1:10" x14ac:dyDescent="0.3">
      <c r="A4496" s="9">
        <v>43267</v>
      </c>
      <c r="B4496" s="2" t="str">
        <f>TEXT(Raw_Data!$A4496, "MMM")</f>
        <v>Jun</v>
      </c>
      <c r="C4496" s="2">
        <f>YEAR(Raw_Data!$A4496)</f>
        <v>2018</v>
      </c>
      <c r="D4496" s="2" t="s">
        <v>2850</v>
      </c>
      <c r="E4496" s="2" t="s">
        <v>29</v>
      </c>
      <c r="F4496" s="2" t="s">
        <v>16</v>
      </c>
      <c r="G4496" s="2"/>
      <c r="H4496" s="2">
        <v>3465</v>
      </c>
      <c r="I4496" s="10">
        <v>444615</v>
      </c>
      <c r="J4496" s="10">
        <f>Raw_Data!$I4496/Raw_Data!$H4496</f>
        <v>128.31601731601731</v>
      </c>
    </row>
    <row r="4497" spans="1:10" x14ac:dyDescent="0.3">
      <c r="A4497" s="8">
        <v>37499</v>
      </c>
      <c r="B4497" t="str">
        <f>TEXT(Raw_Data!$A4497, "MMM")</f>
        <v>Aug</v>
      </c>
      <c r="C4497">
        <f>YEAR(Raw_Data!$A4497)</f>
        <v>2002</v>
      </c>
      <c r="D4497" t="s">
        <v>2851</v>
      </c>
      <c r="E4497" t="s">
        <v>23</v>
      </c>
      <c r="F4497" t="s">
        <v>27</v>
      </c>
      <c r="H4497">
        <v>2255</v>
      </c>
      <c r="I4497" s="1">
        <v>365777</v>
      </c>
      <c r="J4497" s="1">
        <f>Raw_Data!$I4497/Raw_Data!$H4497</f>
        <v>162.20709534368072</v>
      </c>
    </row>
    <row r="4498" spans="1:10" x14ac:dyDescent="0.3">
      <c r="A4498" s="9">
        <v>44138</v>
      </c>
      <c r="B4498" s="2" t="str">
        <f>TEXT(Raw_Data!$A4498, "MMM")</f>
        <v>Nov</v>
      </c>
      <c r="C4498" s="2">
        <f>YEAR(Raw_Data!$A4498)</f>
        <v>2020</v>
      </c>
      <c r="D4498" s="2" t="s">
        <v>2438</v>
      </c>
      <c r="E4498" s="2" t="s">
        <v>32</v>
      </c>
      <c r="F4498" s="2" t="s">
        <v>16</v>
      </c>
      <c r="G4498" s="2"/>
      <c r="H4498" s="2">
        <v>3294</v>
      </c>
      <c r="I4498" s="10"/>
      <c r="J4498" s="10">
        <f>Raw_Data!$I4498/Raw_Data!$H4498</f>
        <v>0</v>
      </c>
    </row>
    <row r="4499" spans="1:10" x14ac:dyDescent="0.3">
      <c r="A4499" s="8">
        <v>38134</v>
      </c>
      <c r="B4499" t="str">
        <f>TEXT(Raw_Data!$A4499, "MMM")</f>
        <v>May</v>
      </c>
      <c r="C4499">
        <f>YEAR(Raw_Data!$A4499)</f>
        <v>2004</v>
      </c>
      <c r="D4499" t="s">
        <v>2852</v>
      </c>
      <c r="E4499" t="s">
        <v>21</v>
      </c>
      <c r="F4499" t="s">
        <v>16</v>
      </c>
      <c r="G4499">
        <v>4</v>
      </c>
      <c r="H4499">
        <v>2121</v>
      </c>
      <c r="I4499" s="1">
        <v>672821</v>
      </c>
      <c r="J4499" s="1">
        <f>Raw_Data!$I4499/Raw_Data!$H4499</f>
        <v>317.21876473361624</v>
      </c>
    </row>
    <row r="4500" spans="1:10" x14ac:dyDescent="0.3">
      <c r="A4500" s="9">
        <v>36906</v>
      </c>
      <c r="B4500" s="2" t="str">
        <f>TEXT(Raw_Data!$A4500, "MMM")</f>
        <v>Jan</v>
      </c>
      <c r="C4500" s="2">
        <f>YEAR(Raw_Data!$A4500)</f>
        <v>2001</v>
      </c>
      <c r="D4500" s="2" t="s">
        <v>1569</v>
      </c>
      <c r="E4500" s="2" t="s">
        <v>29</v>
      </c>
      <c r="F4500" s="2" t="s">
        <v>11</v>
      </c>
      <c r="G4500" s="2">
        <v>4</v>
      </c>
      <c r="H4500" s="2">
        <v>2038</v>
      </c>
      <c r="I4500" s="10">
        <v>627987</v>
      </c>
      <c r="J4500" s="10">
        <f>Raw_Data!$I4500/Raw_Data!$H4500</f>
        <v>308.13886162904811</v>
      </c>
    </row>
    <row r="4501" spans="1:10" x14ac:dyDescent="0.3">
      <c r="A4501" s="8">
        <v>40437</v>
      </c>
      <c r="B4501" t="str">
        <f>TEXT(Raw_Data!$A4501, "MMM")</f>
        <v>Sep</v>
      </c>
      <c r="C4501">
        <f>YEAR(Raw_Data!$A4501)</f>
        <v>2010</v>
      </c>
      <c r="D4501" t="s">
        <v>2853</v>
      </c>
      <c r="E4501" t="s">
        <v>29</v>
      </c>
      <c r="F4501" t="s">
        <v>11</v>
      </c>
      <c r="G4501">
        <v>2</v>
      </c>
      <c r="H4501">
        <v>1091</v>
      </c>
      <c r="I4501" s="1">
        <v>107417</v>
      </c>
      <c r="J4501" s="1">
        <f>Raw_Data!$I4501/Raw_Data!$H4501</f>
        <v>98.457378551787357</v>
      </c>
    </row>
    <row r="4502" spans="1:10" x14ac:dyDescent="0.3">
      <c r="A4502" s="9">
        <v>39027</v>
      </c>
      <c r="B4502" s="2" t="str">
        <f>TEXT(Raw_Data!$A4502, "MMM")</f>
        <v>Nov</v>
      </c>
      <c r="C4502" s="2">
        <f>YEAR(Raw_Data!$A4502)</f>
        <v>2006</v>
      </c>
      <c r="D4502" s="2" t="s">
        <v>1807</v>
      </c>
      <c r="E4502" s="2" t="s">
        <v>15</v>
      </c>
      <c r="F4502" s="2" t="s">
        <v>16</v>
      </c>
      <c r="G4502" s="2"/>
      <c r="H4502" s="2">
        <v>2961</v>
      </c>
      <c r="I4502" s="10">
        <v>483510</v>
      </c>
      <c r="J4502" s="10">
        <f>Raw_Data!$I4502/Raw_Data!$H4502</f>
        <v>163.29280648429585</v>
      </c>
    </row>
    <row r="4503" spans="1:10" x14ac:dyDescent="0.3">
      <c r="A4503" s="8">
        <v>43469</v>
      </c>
      <c r="B4503" t="str">
        <f>TEXT(Raw_Data!$A4503, "MMM")</f>
        <v>Jan</v>
      </c>
      <c r="C4503">
        <f>YEAR(Raw_Data!$A4503)</f>
        <v>2019</v>
      </c>
      <c r="D4503" t="s">
        <v>1818</v>
      </c>
      <c r="E4503" t="s">
        <v>21</v>
      </c>
      <c r="F4503" t="s">
        <v>18</v>
      </c>
      <c r="G4503">
        <v>2</v>
      </c>
      <c r="H4503">
        <v>3047</v>
      </c>
      <c r="I4503" s="1">
        <v>627132</v>
      </c>
      <c r="J4503" s="1">
        <f>Raw_Data!$I4503/Raw_Data!$H4503</f>
        <v>205.81949458483754</v>
      </c>
    </row>
    <row r="4504" spans="1:10" x14ac:dyDescent="0.3">
      <c r="A4504" s="9">
        <v>39505</v>
      </c>
      <c r="B4504" s="2" t="str">
        <f>TEXT(Raw_Data!$A4504, "MMM")</f>
        <v>Feb</v>
      </c>
      <c r="C4504" s="2">
        <f>YEAR(Raw_Data!$A4504)</f>
        <v>2008</v>
      </c>
      <c r="D4504" s="2" t="s">
        <v>352</v>
      </c>
      <c r="E4504" s="2" t="s">
        <v>15</v>
      </c>
      <c r="F4504" s="2" t="s">
        <v>18</v>
      </c>
      <c r="G4504" s="2">
        <v>2</v>
      </c>
      <c r="H4504" s="2">
        <v>2547</v>
      </c>
      <c r="I4504" s="10">
        <v>296068</v>
      </c>
      <c r="J4504" s="10">
        <f>Raw_Data!$I4504/Raw_Data!$H4504</f>
        <v>116.24185316058107</v>
      </c>
    </row>
    <row r="4505" spans="1:10" x14ac:dyDescent="0.3">
      <c r="A4505" s="8">
        <v>40834</v>
      </c>
      <c r="B4505" t="str">
        <f>TEXT(Raw_Data!$A4505, "MMM")</f>
        <v>Oct</v>
      </c>
      <c r="C4505">
        <f>YEAR(Raw_Data!$A4505)</f>
        <v>2011</v>
      </c>
      <c r="D4505" t="s">
        <v>2208</v>
      </c>
      <c r="E4505" t="s">
        <v>13</v>
      </c>
      <c r="F4505" t="s">
        <v>27</v>
      </c>
      <c r="H4505">
        <v>2578</v>
      </c>
      <c r="I4505" s="1">
        <v>693144</v>
      </c>
      <c r="J4505" s="1">
        <f>Raw_Data!$I4505/Raw_Data!$H4505</f>
        <v>268.8688906128782</v>
      </c>
    </row>
    <row r="4506" spans="1:10" x14ac:dyDescent="0.3">
      <c r="A4506" s="9">
        <v>43531</v>
      </c>
      <c r="B4506" s="2" t="str">
        <f>TEXT(Raw_Data!$A4506, "MMM")</f>
        <v>Mar</v>
      </c>
      <c r="C4506" s="2">
        <f>YEAR(Raw_Data!$A4506)</f>
        <v>2019</v>
      </c>
      <c r="D4506" s="2" t="s">
        <v>2854</v>
      </c>
      <c r="E4506" s="2" t="s">
        <v>25</v>
      </c>
      <c r="F4506" s="2" t="s">
        <v>27</v>
      </c>
      <c r="G4506" s="2">
        <v>4</v>
      </c>
      <c r="H4506" s="2">
        <v>1543</v>
      </c>
      <c r="I4506" s="10">
        <v>447139</v>
      </c>
      <c r="J4506" s="10">
        <f>Raw_Data!$I4506/Raw_Data!$H4506</f>
        <v>289.7854828256643</v>
      </c>
    </row>
    <row r="4507" spans="1:10" x14ac:dyDescent="0.3">
      <c r="A4507" s="8">
        <v>37247</v>
      </c>
      <c r="B4507" t="str">
        <f>TEXT(Raw_Data!$A4507, "MMM")</f>
        <v>Dec</v>
      </c>
      <c r="C4507">
        <f>YEAR(Raw_Data!$A4507)</f>
        <v>2001</v>
      </c>
      <c r="D4507" t="s">
        <v>2735</v>
      </c>
      <c r="E4507" t="s">
        <v>13</v>
      </c>
      <c r="F4507" t="s">
        <v>18</v>
      </c>
      <c r="G4507">
        <v>4</v>
      </c>
      <c r="H4507">
        <v>1555</v>
      </c>
      <c r="I4507" s="1">
        <v>747123</v>
      </c>
      <c r="J4507" s="1">
        <f>Raw_Data!$I4507/Raw_Data!$H4507</f>
        <v>480.46495176848873</v>
      </c>
    </row>
    <row r="4508" spans="1:10" x14ac:dyDescent="0.3">
      <c r="A4508" s="9">
        <v>41742</v>
      </c>
      <c r="B4508" s="2" t="str">
        <f>TEXT(Raw_Data!$A4508, "MMM")</f>
        <v>Apr</v>
      </c>
      <c r="C4508" s="2">
        <f>YEAR(Raw_Data!$A4508)</f>
        <v>2014</v>
      </c>
      <c r="D4508" s="2" t="s">
        <v>2562</v>
      </c>
      <c r="E4508" s="2" t="s">
        <v>29</v>
      </c>
      <c r="F4508" s="2" t="s">
        <v>18</v>
      </c>
      <c r="G4508" s="2">
        <v>3</v>
      </c>
      <c r="H4508" s="2">
        <v>3431</v>
      </c>
      <c r="I4508" s="10">
        <v>571013</v>
      </c>
      <c r="J4508" s="10">
        <f>Raw_Data!$I4508/Raw_Data!$H4508</f>
        <v>166.42757213640337</v>
      </c>
    </row>
    <row r="4509" spans="1:10" x14ac:dyDescent="0.3">
      <c r="A4509" s="8">
        <v>41881</v>
      </c>
      <c r="B4509" t="str">
        <f>TEXT(Raw_Data!$A4509, "MMM")</f>
        <v>Aug</v>
      </c>
      <c r="C4509">
        <f>YEAR(Raw_Data!$A4509)</f>
        <v>2014</v>
      </c>
      <c r="D4509" t="s">
        <v>441</v>
      </c>
      <c r="E4509" t="s">
        <v>13</v>
      </c>
      <c r="F4509" t="s">
        <v>11</v>
      </c>
      <c r="G4509">
        <v>4</v>
      </c>
      <c r="H4509">
        <v>2742</v>
      </c>
      <c r="I4509" s="1">
        <v>320166</v>
      </c>
      <c r="J4509" s="1">
        <f>Raw_Data!$I4509/Raw_Data!$H4509</f>
        <v>116.76367614879649</v>
      </c>
    </row>
    <row r="4510" spans="1:10" x14ac:dyDescent="0.3">
      <c r="A4510" s="9">
        <v>37531</v>
      </c>
      <c r="B4510" s="2" t="str">
        <f>TEXT(Raw_Data!$A4510, "MMM")</f>
        <v>Oct</v>
      </c>
      <c r="C4510" s="2">
        <f>YEAR(Raw_Data!$A4510)</f>
        <v>2002</v>
      </c>
      <c r="D4510" s="2" t="s">
        <v>857</v>
      </c>
      <c r="E4510" s="2" t="s">
        <v>15</v>
      </c>
      <c r="F4510" s="2" t="s">
        <v>27</v>
      </c>
      <c r="G4510" s="2"/>
      <c r="H4510" s="2">
        <v>1747</v>
      </c>
      <c r="I4510" s="10">
        <v>490311</v>
      </c>
      <c r="J4510" s="10">
        <f>Raw_Data!$I4510/Raw_Data!$H4510</f>
        <v>280.65884373211219</v>
      </c>
    </row>
    <row r="4511" spans="1:10" x14ac:dyDescent="0.3">
      <c r="A4511" s="8">
        <v>41188</v>
      </c>
      <c r="B4511" t="str">
        <f>TEXT(Raw_Data!$A4511, "MMM")</f>
        <v>Oct</v>
      </c>
      <c r="C4511">
        <f>YEAR(Raw_Data!$A4511)</f>
        <v>2012</v>
      </c>
      <c r="D4511" t="s">
        <v>2094</v>
      </c>
      <c r="E4511" t="s">
        <v>15</v>
      </c>
      <c r="F4511" t="s">
        <v>18</v>
      </c>
      <c r="G4511">
        <v>5</v>
      </c>
      <c r="H4511">
        <v>2236</v>
      </c>
      <c r="I4511" s="1">
        <v>629708</v>
      </c>
      <c r="J4511" s="1">
        <f>Raw_Data!$I4511/Raw_Data!$H4511</f>
        <v>281.62254025044723</v>
      </c>
    </row>
    <row r="4512" spans="1:10" x14ac:dyDescent="0.3">
      <c r="A4512" s="9">
        <v>38301</v>
      </c>
      <c r="B4512" s="2" t="str">
        <f>TEXT(Raw_Data!$A4512, "MMM")</f>
        <v>Nov</v>
      </c>
      <c r="C4512" s="2">
        <f>YEAR(Raw_Data!$A4512)</f>
        <v>2004</v>
      </c>
      <c r="D4512" s="2" t="s">
        <v>1080</v>
      </c>
      <c r="E4512" s="2" t="s">
        <v>15</v>
      </c>
      <c r="F4512" s="2" t="s">
        <v>18</v>
      </c>
      <c r="G4512" s="2">
        <v>5</v>
      </c>
      <c r="H4512" s="2">
        <v>1240</v>
      </c>
      <c r="I4512" s="10">
        <v>375650</v>
      </c>
      <c r="J4512" s="10">
        <f>Raw_Data!$I4512/Raw_Data!$H4512</f>
        <v>302.94354838709677</v>
      </c>
    </row>
    <row r="4513" spans="1:10" x14ac:dyDescent="0.3">
      <c r="A4513" s="8">
        <v>39405</v>
      </c>
      <c r="B4513" t="str">
        <f>TEXT(Raw_Data!$A4513, "MMM")</f>
        <v>Nov</v>
      </c>
      <c r="C4513">
        <f>YEAR(Raw_Data!$A4513)</f>
        <v>2007</v>
      </c>
      <c r="D4513" t="s">
        <v>948</v>
      </c>
      <c r="E4513" t="s">
        <v>13</v>
      </c>
      <c r="F4513" t="s">
        <v>27</v>
      </c>
      <c r="G4513">
        <v>3</v>
      </c>
      <c r="H4513">
        <v>1296</v>
      </c>
      <c r="I4513" s="1">
        <v>466981</v>
      </c>
      <c r="J4513" s="1">
        <f>Raw_Data!$I4513/Raw_Data!$H4513</f>
        <v>360.32484567901236</v>
      </c>
    </row>
    <row r="4514" spans="1:10" x14ac:dyDescent="0.3">
      <c r="A4514" s="9">
        <v>37568</v>
      </c>
      <c r="B4514" s="2" t="str">
        <f>TEXT(Raw_Data!$A4514, "MMM")</f>
        <v>Nov</v>
      </c>
      <c r="C4514" s="2">
        <f>YEAR(Raw_Data!$A4514)</f>
        <v>2002</v>
      </c>
      <c r="D4514" s="2" t="s">
        <v>2575</v>
      </c>
      <c r="E4514" s="2" t="s">
        <v>15</v>
      </c>
      <c r="F4514" s="2" t="s">
        <v>11</v>
      </c>
      <c r="G4514" s="2">
        <v>3</v>
      </c>
      <c r="H4514" s="2">
        <v>1144</v>
      </c>
      <c r="I4514" s="10">
        <v>261321</v>
      </c>
      <c r="J4514" s="10">
        <f>Raw_Data!$I4514/Raw_Data!$H4514</f>
        <v>228.42744755244755</v>
      </c>
    </row>
    <row r="4515" spans="1:10" x14ac:dyDescent="0.3">
      <c r="A4515" s="8">
        <v>41029</v>
      </c>
      <c r="B4515" t="str">
        <f>TEXT(Raw_Data!$A4515, "MMM")</f>
        <v>Apr</v>
      </c>
      <c r="C4515">
        <f>YEAR(Raw_Data!$A4515)</f>
        <v>2012</v>
      </c>
      <c r="D4515" t="s">
        <v>1589</v>
      </c>
      <c r="E4515" t="s">
        <v>32</v>
      </c>
      <c r="F4515" t="s">
        <v>27</v>
      </c>
      <c r="H4515">
        <v>1232</v>
      </c>
      <c r="I4515" s="1">
        <v>612957</v>
      </c>
      <c r="J4515" s="1">
        <f>Raw_Data!$I4515/Raw_Data!$H4515</f>
        <v>497.53003246753246</v>
      </c>
    </row>
    <row r="4516" spans="1:10" x14ac:dyDescent="0.3">
      <c r="A4516" s="9">
        <v>44012</v>
      </c>
      <c r="B4516" s="2" t="str">
        <f>TEXT(Raw_Data!$A4516, "MMM")</f>
        <v>Jun</v>
      </c>
      <c r="C4516" s="2">
        <f>YEAR(Raw_Data!$A4516)</f>
        <v>2020</v>
      </c>
      <c r="D4516" s="2" t="s">
        <v>924</v>
      </c>
      <c r="E4516" s="2" t="s">
        <v>32</v>
      </c>
      <c r="F4516" s="2" t="s">
        <v>27</v>
      </c>
      <c r="G4516" s="2">
        <v>5</v>
      </c>
      <c r="H4516" s="2">
        <v>1689</v>
      </c>
      <c r="I4516" s="10">
        <v>482714</v>
      </c>
      <c r="J4516" s="10">
        <f>Raw_Data!$I4516/Raw_Data!$H4516</f>
        <v>285.79869745411486</v>
      </c>
    </row>
    <row r="4517" spans="1:10" x14ac:dyDescent="0.3">
      <c r="A4517" s="8">
        <v>43323</v>
      </c>
      <c r="B4517" t="str">
        <f>TEXT(Raw_Data!$A4517, "MMM")</f>
        <v>Aug</v>
      </c>
      <c r="C4517">
        <f>YEAR(Raw_Data!$A4517)</f>
        <v>2018</v>
      </c>
      <c r="D4517" t="s">
        <v>2049</v>
      </c>
      <c r="E4517" t="s">
        <v>15</v>
      </c>
      <c r="F4517" t="s">
        <v>16</v>
      </c>
      <c r="G4517">
        <v>3</v>
      </c>
      <c r="H4517">
        <v>2180</v>
      </c>
      <c r="I4517" s="1">
        <v>548742</v>
      </c>
      <c r="J4517" s="1">
        <f>Raw_Data!$I4517/Raw_Data!$H4517</f>
        <v>251.71651376146789</v>
      </c>
    </row>
    <row r="4518" spans="1:10" x14ac:dyDescent="0.3">
      <c r="A4518" s="9">
        <v>38451</v>
      </c>
      <c r="B4518" s="2" t="str">
        <f>TEXT(Raw_Data!$A4518, "MMM")</f>
        <v>Apr</v>
      </c>
      <c r="C4518" s="2">
        <f>YEAR(Raw_Data!$A4518)</f>
        <v>2005</v>
      </c>
      <c r="D4518" s="2" t="s">
        <v>2855</v>
      </c>
      <c r="E4518" s="2" t="s">
        <v>32</v>
      </c>
      <c r="F4518" s="2" t="s">
        <v>11</v>
      </c>
      <c r="G4518" s="2">
        <v>4</v>
      </c>
      <c r="H4518" s="2">
        <v>1838</v>
      </c>
      <c r="I4518" s="10">
        <v>596437</v>
      </c>
      <c r="J4518" s="10">
        <f>Raw_Data!$I4518/Raw_Data!$H4518</f>
        <v>324.50326441784546</v>
      </c>
    </row>
    <row r="4519" spans="1:10" x14ac:dyDescent="0.3">
      <c r="A4519" s="8">
        <v>37698</v>
      </c>
      <c r="B4519" t="str">
        <f>TEXT(Raw_Data!$A4519, "MMM")</f>
        <v>Mar</v>
      </c>
      <c r="C4519">
        <f>YEAR(Raw_Data!$A4519)</f>
        <v>2003</v>
      </c>
      <c r="D4519" t="s">
        <v>1715</v>
      </c>
      <c r="E4519" t="s">
        <v>15</v>
      </c>
      <c r="F4519" t="s">
        <v>27</v>
      </c>
      <c r="H4519">
        <v>1229</v>
      </c>
      <c r="I4519" s="1">
        <v>812918</v>
      </c>
      <c r="J4519" s="1">
        <f>Raw_Data!$I4519/Raw_Data!$H4519</f>
        <v>661.44670463791704</v>
      </c>
    </row>
    <row r="4520" spans="1:10" x14ac:dyDescent="0.3">
      <c r="A4520" s="9">
        <v>43690</v>
      </c>
      <c r="B4520" s="2" t="str">
        <f>TEXT(Raw_Data!$A4520, "MMM")</f>
        <v>Aug</v>
      </c>
      <c r="C4520" s="2">
        <f>YEAR(Raw_Data!$A4520)</f>
        <v>2019</v>
      </c>
      <c r="D4520" s="2" t="s">
        <v>1790</v>
      </c>
      <c r="E4520" s="2" t="s">
        <v>25</v>
      </c>
      <c r="F4520" s="2" t="s">
        <v>16</v>
      </c>
      <c r="G4520" s="2"/>
      <c r="H4520" s="2">
        <v>3170</v>
      </c>
      <c r="I4520" s="10">
        <v>280566</v>
      </c>
      <c r="J4520" s="10">
        <f>Raw_Data!$I4520/Raw_Data!$H4520</f>
        <v>88.50662460567824</v>
      </c>
    </row>
    <row r="4521" spans="1:10" x14ac:dyDescent="0.3">
      <c r="A4521" s="8">
        <v>43421</v>
      </c>
      <c r="B4521" t="str">
        <f>TEXT(Raw_Data!$A4521, "MMM")</f>
        <v>Nov</v>
      </c>
      <c r="C4521">
        <f>YEAR(Raw_Data!$A4521)</f>
        <v>2018</v>
      </c>
      <c r="D4521" t="s">
        <v>2856</v>
      </c>
      <c r="E4521" t="s">
        <v>13</v>
      </c>
      <c r="F4521" t="s">
        <v>11</v>
      </c>
      <c r="H4521">
        <v>2884</v>
      </c>
      <c r="I4521" s="1">
        <v>747815</v>
      </c>
      <c r="J4521" s="1">
        <f>Raw_Data!$I4521/Raw_Data!$H4521</f>
        <v>259.29785020804439</v>
      </c>
    </row>
    <row r="4522" spans="1:10" x14ac:dyDescent="0.3">
      <c r="A4522" s="9">
        <v>38468</v>
      </c>
      <c r="B4522" s="2" t="str">
        <f>TEXT(Raw_Data!$A4522, "MMM")</f>
        <v>Apr</v>
      </c>
      <c r="C4522" s="2">
        <f>YEAR(Raw_Data!$A4522)</f>
        <v>2005</v>
      </c>
      <c r="D4522" s="2" t="s">
        <v>2857</v>
      </c>
      <c r="E4522" s="2" t="s">
        <v>25</v>
      </c>
      <c r="F4522" s="2" t="s">
        <v>16</v>
      </c>
      <c r="G4522" s="2">
        <v>2</v>
      </c>
      <c r="H4522" s="2">
        <v>2453</v>
      </c>
      <c r="I4522" s="10">
        <v>456493</v>
      </c>
      <c r="J4522" s="10">
        <f>Raw_Data!$I4522/Raw_Data!$H4522</f>
        <v>186.09580105992663</v>
      </c>
    </row>
    <row r="4523" spans="1:10" x14ac:dyDescent="0.3">
      <c r="A4523" s="8">
        <v>39767</v>
      </c>
      <c r="B4523" t="str">
        <f>TEXT(Raw_Data!$A4523, "MMM")</f>
        <v>Nov</v>
      </c>
      <c r="C4523">
        <f>YEAR(Raw_Data!$A4523)</f>
        <v>2008</v>
      </c>
      <c r="D4523" t="s">
        <v>2858</v>
      </c>
      <c r="E4523" t="s">
        <v>32</v>
      </c>
      <c r="F4523" t="s">
        <v>18</v>
      </c>
      <c r="H4523">
        <v>2282</v>
      </c>
      <c r="I4523" s="1">
        <v>858153</v>
      </c>
      <c r="J4523" s="1">
        <f>Raw_Data!$I4523/Raw_Data!$H4523</f>
        <v>376.05302366345313</v>
      </c>
    </row>
    <row r="4524" spans="1:10" x14ac:dyDescent="0.3">
      <c r="A4524" s="9">
        <v>42694</v>
      </c>
      <c r="B4524" s="2" t="str">
        <f>TEXT(Raw_Data!$A4524, "MMM")</f>
        <v>Nov</v>
      </c>
      <c r="C4524" s="2">
        <f>YEAR(Raw_Data!$A4524)</f>
        <v>2016</v>
      </c>
      <c r="D4524" s="2" t="s">
        <v>2667</v>
      </c>
      <c r="E4524" s="2" t="s">
        <v>29</v>
      </c>
      <c r="F4524" s="2" t="s">
        <v>18</v>
      </c>
      <c r="G4524" s="2">
        <v>4</v>
      </c>
      <c r="H4524" s="2">
        <v>1109</v>
      </c>
      <c r="I4524" s="10">
        <v>633909</v>
      </c>
      <c r="J4524" s="10">
        <f>Raw_Data!$I4524/Raw_Data!$H4524</f>
        <v>571.60414788097387</v>
      </c>
    </row>
    <row r="4525" spans="1:10" x14ac:dyDescent="0.3">
      <c r="A4525" s="8">
        <v>40353</v>
      </c>
      <c r="B4525" t="str">
        <f>TEXT(Raw_Data!$A4525, "MMM")</f>
        <v>Jun</v>
      </c>
      <c r="C4525">
        <f>YEAR(Raw_Data!$A4525)</f>
        <v>2010</v>
      </c>
      <c r="D4525" t="s">
        <v>1865</v>
      </c>
      <c r="E4525" t="s">
        <v>25</v>
      </c>
      <c r="F4525" t="s">
        <v>27</v>
      </c>
      <c r="G4525">
        <v>4</v>
      </c>
      <c r="H4525">
        <v>2747</v>
      </c>
      <c r="I4525" s="1">
        <v>594638</v>
      </c>
      <c r="J4525" s="1">
        <f>Raw_Data!$I4525/Raw_Data!$H4525</f>
        <v>216.4681470695304</v>
      </c>
    </row>
    <row r="4526" spans="1:10" x14ac:dyDescent="0.3">
      <c r="A4526" s="9">
        <v>37278</v>
      </c>
      <c r="B4526" s="2" t="str">
        <f>TEXT(Raw_Data!$A4526, "MMM")</f>
        <v>Jan</v>
      </c>
      <c r="C4526" s="2">
        <f>YEAR(Raw_Data!$A4526)</f>
        <v>2002</v>
      </c>
      <c r="D4526" s="2" t="s">
        <v>1242</v>
      </c>
      <c r="E4526" s="2" t="s">
        <v>15</v>
      </c>
      <c r="F4526" s="2" t="s">
        <v>18</v>
      </c>
      <c r="G4526" s="2">
        <v>2</v>
      </c>
      <c r="H4526" s="2">
        <v>1099</v>
      </c>
      <c r="I4526" s="10">
        <v>386689</v>
      </c>
      <c r="J4526" s="10">
        <f>Raw_Data!$I4526/Raw_Data!$H4526</f>
        <v>351.8553230209281</v>
      </c>
    </row>
    <row r="4527" spans="1:10" x14ac:dyDescent="0.3">
      <c r="A4527" s="8">
        <v>41731</v>
      </c>
      <c r="B4527" t="str">
        <f>TEXT(Raw_Data!$A4527, "MMM")</f>
        <v>Apr</v>
      </c>
      <c r="C4527">
        <f>YEAR(Raw_Data!$A4527)</f>
        <v>2014</v>
      </c>
      <c r="D4527" t="s">
        <v>473</v>
      </c>
      <c r="E4527" t="s">
        <v>15</v>
      </c>
      <c r="F4527" t="s">
        <v>27</v>
      </c>
      <c r="G4527">
        <v>4</v>
      </c>
      <c r="H4527">
        <v>2560</v>
      </c>
      <c r="I4527" s="1">
        <v>756223</v>
      </c>
      <c r="J4527" s="1">
        <f>Raw_Data!$I4527/Raw_Data!$H4527</f>
        <v>295.39960937500001</v>
      </c>
    </row>
    <row r="4528" spans="1:10" x14ac:dyDescent="0.3">
      <c r="A4528" s="9">
        <v>41845</v>
      </c>
      <c r="B4528" s="2" t="str">
        <f>TEXT(Raw_Data!$A4528, "MMM")</f>
        <v>Jul</v>
      </c>
      <c r="C4528" s="2">
        <f>YEAR(Raw_Data!$A4528)</f>
        <v>2014</v>
      </c>
      <c r="D4528" s="2" t="s">
        <v>2859</v>
      </c>
      <c r="E4528" s="2" t="s">
        <v>21</v>
      </c>
      <c r="F4528" s="2" t="s">
        <v>18</v>
      </c>
      <c r="G4528" s="2">
        <v>2</v>
      </c>
      <c r="H4528" s="2">
        <v>1123</v>
      </c>
      <c r="I4528" s="10">
        <v>183179</v>
      </c>
      <c r="J4528" s="10">
        <f>Raw_Data!$I4528/Raw_Data!$H4528</f>
        <v>163.11576135351737</v>
      </c>
    </row>
    <row r="4529" spans="1:10" x14ac:dyDescent="0.3">
      <c r="A4529" s="8">
        <v>40843</v>
      </c>
      <c r="B4529" t="str">
        <f>TEXT(Raw_Data!$A4529, "MMM")</f>
        <v>Oct</v>
      </c>
      <c r="C4529">
        <f>YEAR(Raw_Data!$A4529)</f>
        <v>2011</v>
      </c>
      <c r="D4529" t="s">
        <v>222</v>
      </c>
      <c r="E4529" t="s">
        <v>29</v>
      </c>
      <c r="F4529" t="s">
        <v>18</v>
      </c>
      <c r="G4529">
        <v>4</v>
      </c>
      <c r="H4529">
        <v>1901</v>
      </c>
      <c r="I4529" s="1">
        <v>235081</v>
      </c>
      <c r="J4529" s="1">
        <f>Raw_Data!$I4529/Raw_Data!$H4529</f>
        <v>123.66175697001579</v>
      </c>
    </row>
    <row r="4530" spans="1:10" x14ac:dyDescent="0.3">
      <c r="A4530" s="9">
        <v>37192</v>
      </c>
      <c r="B4530" s="2" t="str">
        <f>TEXT(Raw_Data!$A4530, "MMM")</f>
        <v>Oct</v>
      </c>
      <c r="C4530" s="2">
        <f>YEAR(Raw_Data!$A4530)</f>
        <v>2001</v>
      </c>
      <c r="D4530" s="2" t="s">
        <v>2860</v>
      </c>
      <c r="E4530" s="2" t="s">
        <v>29</v>
      </c>
      <c r="F4530" s="2" t="s">
        <v>16</v>
      </c>
      <c r="G4530" s="2"/>
      <c r="H4530" s="2">
        <v>1950</v>
      </c>
      <c r="I4530" s="10">
        <v>695787</v>
      </c>
      <c r="J4530" s="10">
        <f>Raw_Data!$I4530/Raw_Data!$H4530</f>
        <v>356.81384615384616</v>
      </c>
    </row>
    <row r="4531" spans="1:10" x14ac:dyDescent="0.3">
      <c r="A4531" s="8">
        <v>37947</v>
      </c>
      <c r="B4531" t="str">
        <f>TEXT(Raw_Data!$A4531, "MMM")</f>
        <v>Nov</v>
      </c>
      <c r="C4531">
        <f>YEAR(Raw_Data!$A4531)</f>
        <v>2003</v>
      </c>
      <c r="D4531" t="s">
        <v>2861</v>
      </c>
      <c r="E4531" t="s">
        <v>15</v>
      </c>
      <c r="F4531" t="s">
        <v>27</v>
      </c>
      <c r="H4531">
        <v>3067</v>
      </c>
      <c r="I4531" s="1">
        <v>793007</v>
      </c>
      <c r="J4531" s="1">
        <f>Raw_Data!$I4531/Raw_Data!$H4531</f>
        <v>258.56113465927615</v>
      </c>
    </row>
    <row r="4532" spans="1:10" x14ac:dyDescent="0.3">
      <c r="A4532" s="9">
        <v>40965</v>
      </c>
      <c r="B4532" s="2" t="str">
        <f>TEXT(Raw_Data!$A4532, "MMM")</f>
        <v>Feb</v>
      </c>
      <c r="C4532" s="2">
        <f>YEAR(Raw_Data!$A4532)</f>
        <v>2012</v>
      </c>
      <c r="D4532" s="2" t="s">
        <v>882</v>
      </c>
      <c r="E4532" s="2" t="s">
        <v>29</v>
      </c>
      <c r="F4532" s="2" t="s">
        <v>18</v>
      </c>
      <c r="G4532" s="2"/>
      <c r="H4532" s="2">
        <v>3119</v>
      </c>
      <c r="I4532" s="10">
        <v>821943</v>
      </c>
      <c r="J4532" s="10">
        <f>Raw_Data!$I4532/Raw_Data!$H4532</f>
        <v>263.52773324783584</v>
      </c>
    </row>
    <row r="4533" spans="1:10" x14ac:dyDescent="0.3">
      <c r="A4533" s="8">
        <v>43896</v>
      </c>
      <c r="B4533" t="str">
        <f>TEXT(Raw_Data!$A4533, "MMM")</f>
        <v>Mar</v>
      </c>
      <c r="C4533">
        <f>YEAR(Raw_Data!$A4533)</f>
        <v>2020</v>
      </c>
      <c r="D4533" t="s">
        <v>860</v>
      </c>
      <c r="E4533" t="s">
        <v>15</v>
      </c>
      <c r="F4533" t="s">
        <v>16</v>
      </c>
      <c r="G4533">
        <v>4</v>
      </c>
      <c r="H4533">
        <v>2844</v>
      </c>
      <c r="I4533" s="1">
        <v>209454</v>
      </c>
      <c r="J4533" s="1">
        <f>Raw_Data!$I4533/Raw_Data!$H4533</f>
        <v>73.647679324894511</v>
      </c>
    </row>
    <row r="4534" spans="1:10" x14ac:dyDescent="0.3">
      <c r="A4534" s="9">
        <v>41720</v>
      </c>
      <c r="B4534" s="2" t="str">
        <f>TEXT(Raw_Data!$A4534, "MMM")</f>
        <v>Mar</v>
      </c>
      <c r="C4534" s="2">
        <f>YEAR(Raw_Data!$A4534)</f>
        <v>2014</v>
      </c>
      <c r="D4534" s="2" t="s">
        <v>350</v>
      </c>
      <c r="E4534" s="2" t="s">
        <v>29</v>
      </c>
      <c r="F4534" s="2" t="s">
        <v>18</v>
      </c>
      <c r="G4534" s="2">
        <v>5</v>
      </c>
      <c r="H4534" s="2">
        <v>1727</v>
      </c>
      <c r="I4534" s="10">
        <v>513235</v>
      </c>
      <c r="J4534" s="10">
        <f>Raw_Data!$I4534/Raw_Data!$H4534</f>
        <v>297.18297625940937</v>
      </c>
    </row>
    <row r="4535" spans="1:10" x14ac:dyDescent="0.3">
      <c r="A4535" s="8">
        <v>38076</v>
      </c>
      <c r="B4535" t="str">
        <f>TEXT(Raw_Data!$A4535, "MMM")</f>
        <v>Mar</v>
      </c>
      <c r="C4535">
        <f>YEAR(Raw_Data!$A4535)</f>
        <v>2004</v>
      </c>
      <c r="D4535" t="s">
        <v>2862</v>
      </c>
      <c r="E4535" t="s">
        <v>23</v>
      </c>
      <c r="F4535" t="s">
        <v>11</v>
      </c>
      <c r="H4535">
        <v>1536</v>
      </c>
      <c r="I4535" s="1">
        <v>789897</v>
      </c>
      <c r="J4535" s="1">
        <f>Raw_Data!$I4535/Raw_Data!$H4535</f>
        <v>514.255859375</v>
      </c>
    </row>
    <row r="4536" spans="1:10" x14ac:dyDescent="0.3">
      <c r="A4536" s="9">
        <v>43472</v>
      </c>
      <c r="B4536" s="2" t="str">
        <f>TEXT(Raw_Data!$A4536, "MMM")</f>
        <v>Jan</v>
      </c>
      <c r="C4536" s="2">
        <f>YEAR(Raw_Data!$A4536)</f>
        <v>2019</v>
      </c>
      <c r="D4536" s="2" t="s">
        <v>2863</v>
      </c>
      <c r="E4536" s="2" t="s">
        <v>21</v>
      </c>
      <c r="F4536" s="2" t="s">
        <v>11</v>
      </c>
      <c r="G4536" s="2">
        <v>3</v>
      </c>
      <c r="H4536" s="2">
        <v>2944</v>
      </c>
      <c r="I4536" s="10">
        <v>379266</v>
      </c>
      <c r="J4536" s="10">
        <f>Raw_Data!$I4536/Raw_Data!$H4536</f>
        <v>128.82676630434781</v>
      </c>
    </row>
    <row r="4537" spans="1:10" x14ac:dyDescent="0.3">
      <c r="A4537" s="8">
        <v>43218</v>
      </c>
      <c r="B4537" t="str">
        <f>TEXT(Raw_Data!$A4537, "MMM")</f>
        <v>Apr</v>
      </c>
      <c r="C4537">
        <f>YEAR(Raw_Data!$A4537)</f>
        <v>2018</v>
      </c>
      <c r="D4537" t="s">
        <v>2864</v>
      </c>
      <c r="E4537" t="s">
        <v>15</v>
      </c>
      <c r="F4537" t="s">
        <v>16</v>
      </c>
      <c r="G4537">
        <v>3</v>
      </c>
      <c r="H4537">
        <v>2073</v>
      </c>
      <c r="I4537" s="1">
        <v>163653</v>
      </c>
      <c r="J4537" s="1">
        <f>Raw_Data!$I4537/Raw_Data!$H4537</f>
        <v>78.945007235890017</v>
      </c>
    </row>
    <row r="4538" spans="1:10" x14ac:dyDescent="0.3">
      <c r="A4538" s="9">
        <v>42505</v>
      </c>
      <c r="B4538" s="2" t="str">
        <f>TEXT(Raw_Data!$A4538, "MMM")</f>
        <v>May</v>
      </c>
      <c r="C4538" s="2">
        <f>YEAR(Raw_Data!$A4538)</f>
        <v>2016</v>
      </c>
      <c r="D4538" s="2" t="s">
        <v>2120</v>
      </c>
      <c r="E4538" s="2" t="s">
        <v>23</v>
      </c>
      <c r="F4538" s="2" t="s">
        <v>18</v>
      </c>
      <c r="G4538" s="2"/>
      <c r="H4538" s="2">
        <v>2448</v>
      </c>
      <c r="I4538" s="10">
        <v>491792</v>
      </c>
      <c r="J4538" s="10">
        <f>Raw_Data!$I4538/Raw_Data!$H4538</f>
        <v>200.89542483660131</v>
      </c>
    </row>
    <row r="4539" spans="1:10" x14ac:dyDescent="0.3">
      <c r="A4539" s="8">
        <v>43621</v>
      </c>
      <c r="B4539" t="str">
        <f>TEXT(Raw_Data!$A4539, "MMM")</f>
        <v>Jun</v>
      </c>
      <c r="C4539">
        <f>YEAR(Raw_Data!$A4539)</f>
        <v>2019</v>
      </c>
      <c r="D4539" t="s">
        <v>1092</v>
      </c>
      <c r="E4539" t="s">
        <v>15</v>
      </c>
      <c r="F4539" t="s">
        <v>27</v>
      </c>
      <c r="G4539">
        <v>4</v>
      </c>
      <c r="H4539">
        <v>991</v>
      </c>
      <c r="I4539" s="1">
        <v>616497</v>
      </c>
      <c r="J4539" s="1">
        <f>Raw_Data!$I4539/Raw_Data!$H4539</f>
        <v>622.09586276488392</v>
      </c>
    </row>
    <row r="4540" spans="1:10" x14ac:dyDescent="0.3">
      <c r="A4540" s="9">
        <v>38512</v>
      </c>
      <c r="B4540" s="2" t="str">
        <f>TEXT(Raw_Data!$A4540, "MMM")</f>
        <v>Jun</v>
      </c>
      <c r="C4540" s="2">
        <f>YEAR(Raw_Data!$A4540)</f>
        <v>2005</v>
      </c>
      <c r="D4540" s="2" t="s">
        <v>371</v>
      </c>
      <c r="E4540" s="2" t="s">
        <v>32</v>
      </c>
      <c r="F4540" s="2" t="s">
        <v>11</v>
      </c>
      <c r="G4540" s="2"/>
      <c r="H4540" s="2">
        <v>1977</v>
      </c>
      <c r="I4540" s="10">
        <v>820350</v>
      </c>
      <c r="J4540" s="10">
        <f>Raw_Data!$I4540/Raw_Data!$H4540</f>
        <v>414.94688922610015</v>
      </c>
    </row>
    <row r="4541" spans="1:10" x14ac:dyDescent="0.3">
      <c r="A4541" s="8">
        <v>40984</v>
      </c>
      <c r="B4541" t="str">
        <f>TEXT(Raw_Data!$A4541, "MMM")</f>
        <v>Mar</v>
      </c>
      <c r="C4541">
        <f>YEAR(Raw_Data!$A4541)</f>
        <v>2012</v>
      </c>
      <c r="D4541" t="s">
        <v>2666</v>
      </c>
      <c r="E4541" t="s">
        <v>32</v>
      </c>
      <c r="F4541" t="s">
        <v>18</v>
      </c>
      <c r="G4541">
        <v>3</v>
      </c>
      <c r="H4541">
        <v>2968</v>
      </c>
      <c r="I4541" s="1">
        <v>394498</v>
      </c>
      <c r="J4541" s="1">
        <f>Raw_Data!$I4541/Raw_Data!$H4541</f>
        <v>132.91711590296495</v>
      </c>
    </row>
    <row r="4542" spans="1:10" x14ac:dyDescent="0.3">
      <c r="A4542" s="9">
        <v>40741</v>
      </c>
      <c r="B4542" s="2" t="str">
        <f>TEXT(Raw_Data!$A4542, "MMM")</f>
        <v>Jul</v>
      </c>
      <c r="C4542" s="2">
        <f>YEAR(Raw_Data!$A4542)</f>
        <v>2011</v>
      </c>
      <c r="D4542" s="2" t="s">
        <v>1374</v>
      </c>
      <c r="E4542" s="2" t="s">
        <v>15</v>
      </c>
      <c r="F4542" s="2" t="s">
        <v>11</v>
      </c>
      <c r="G4542" s="2">
        <v>3</v>
      </c>
      <c r="H4542" s="2">
        <v>1593</v>
      </c>
      <c r="I4542" s="10">
        <v>717945</v>
      </c>
      <c r="J4542" s="10">
        <f>Raw_Data!$I4542/Raw_Data!$H4542</f>
        <v>450.68738229755178</v>
      </c>
    </row>
    <row r="4543" spans="1:10" x14ac:dyDescent="0.3">
      <c r="A4543" s="8">
        <v>41064</v>
      </c>
      <c r="B4543" t="str">
        <f>TEXT(Raw_Data!$A4543, "MMM")</f>
        <v>Jun</v>
      </c>
      <c r="C4543">
        <f>YEAR(Raw_Data!$A4543)</f>
        <v>2012</v>
      </c>
      <c r="D4543" t="s">
        <v>2865</v>
      </c>
      <c r="E4543" t="s">
        <v>15</v>
      </c>
      <c r="F4543" t="s">
        <v>16</v>
      </c>
      <c r="G4543">
        <v>2</v>
      </c>
      <c r="H4543">
        <v>2924</v>
      </c>
      <c r="I4543" s="1">
        <v>860298</v>
      </c>
      <c r="J4543" s="1">
        <f>Raw_Data!$I4543/Raw_Data!$H4543</f>
        <v>294.21956224350203</v>
      </c>
    </row>
    <row r="4544" spans="1:10" x14ac:dyDescent="0.3">
      <c r="A4544" s="9">
        <v>39647</v>
      </c>
      <c r="B4544" s="2" t="str">
        <f>TEXT(Raw_Data!$A4544, "MMM")</f>
        <v>Jul</v>
      </c>
      <c r="C4544" s="2">
        <f>YEAR(Raw_Data!$A4544)</f>
        <v>2008</v>
      </c>
      <c r="D4544" s="2" t="s">
        <v>903</v>
      </c>
      <c r="E4544" s="2" t="s">
        <v>29</v>
      </c>
      <c r="F4544" s="2" t="s">
        <v>11</v>
      </c>
      <c r="G4544" s="2">
        <v>4</v>
      </c>
      <c r="H4544" s="2">
        <v>1370</v>
      </c>
      <c r="I4544" s="10">
        <v>783120</v>
      </c>
      <c r="J4544" s="10">
        <f>Raw_Data!$I4544/Raw_Data!$H4544</f>
        <v>571.62043795620434</v>
      </c>
    </row>
    <row r="4545" spans="1:10" x14ac:dyDescent="0.3">
      <c r="A4545" s="8">
        <v>39994</v>
      </c>
      <c r="B4545" t="str">
        <f>TEXT(Raw_Data!$A4545, "MMM")</f>
        <v>Jun</v>
      </c>
      <c r="C4545">
        <f>YEAR(Raw_Data!$A4545)</f>
        <v>2009</v>
      </c>
      <c r="D4545" t="s">
        <v>2142</v>
      </c>
      <c r="E4545" t="s">
        <v>25</v>
      </c>
      <c r="F4545" t="s">
        <v>16</v>
      </c>
      <c r="G4545">
        <v>5</v>
      </c>
      <c r="H4545">
        <v>1821</v>
      </c>
      <c r="I4545" s="1">
        <v>262788</v>
      </c>
      <c r="J4545" s="1">
        <f>Raw_Data!$I4545/Raw_Data!$H4545</f>
        <v>144.30971993410213</v>
      </c>
    </row>
    <row r="4546" spans="1:10" x14ac:dyDescent="0.3">
      <c r="A4546" s="9">
        <v>43716</v>
      </c>
      <c r="B4546" s="2" t="str">
        <f>TEXT(Raw_Data!$A4546, "MMM")</f>
        <v>Sep</v>
      </c>
      <c r="C4546" s="2">
        <f>YEAR(Raw_Data!$A4546)</f>
        <v>2019</v>
      </c>
      <c r="D4546" s="2" t="s">
        <v>2866</v>
      </c>
      <c r="E4546" s="2" t="s">
        <v>25</v>
      </c>
      <c r="F4546" s="2" t="s">
        <v>27</v>
      </c>
      <c r="G4546" s="2">
        <v>3</v>
      </c>
      <c r="H4546" s="2">
        <v>1252</v>
      </c>
      <c r="I4546" s="10">
        <v>678170</v>
      </c>
      <c r="J4546" s="10">
        <f>Raw_Data!$I4546/Raw_Data!$H4546</f>
        <v>541.66932907348246</v>
      </c>
    </row>
    <row r="4547" spans="1:10" x14ac:dyDescent="0.3">
      <c r="A4547" s="8">
        <v>37201</v>
      </c>
      <c r="B4547" t="str">
        <f>TEXT(Raw_Data!$A4547, "MMM")</f>
        <v>Nov</v>
      </c>
      <c r="C4547">
        <f>YEAR(Raw_Data!$A4547)</f>
        <v>2001</v>
      </c>
      <c r="D4547" t="s">
        <v>1660</v>
      </c>
      <c r="E4547" t="s">
        <v>15</v>
      </c>
      <c r="F4547" t="s">
        <v>16</v>
      </c>
      <c r="G4547">
        <v>5</v>
      </c>
      <c r="H4547">
        <v>1666</v>
      </c>
      <c r="I4547" s="1">
        <v>781228</v>
      </c>
      <c r="J4547" s="1">
        <f>Raw_Data!$I4547/Raw_Data!$H4547</f>
        <v>468.92436974789916</v>
      </c>
    </row>
    <row r="4548" spans="1:10" x14ac:dyDescent="0.3">
      <c r="A4548" s="9">
        <v>43886</v>
      </c>
      <c r="B4548" s="2" t="str">
        <f>TEXT(Raw_Data!$A4548, "MMM")</f>
        <v>Feb</v>
      </c>
      <c r="C4548" s="2">
        <f>YEAR(Raw_Data!$A4548)</f>
        <v>2020</v>
      </c>
      <c r="D4548" s="2" t="s">
        <v>1780</v>
      </c>
      <c r="E4548" s="2" t="s">
        <v>21</v>
      </c>
      <c r="F4548" s="2" t="s">
        <v>16</v>
      </c>
      <c r="G4548" s="2">
        <v>5</v>
      </c>
      <c r="H4548" s="2">
        <v>2862</v>
      </c>
      <c r="I4548" s="10">
        <v>857452</v>
      </c>
      <c r="J4548" s="10">
        <f>Raw_Data!$I4548/Raw_Data!$H4548</f>
        <v>299.59888190076867</v>
      </c>
    </row>
    <row r="4549" spans="1:10" x14ac:dyDescent="0.3">
      <c r="A4549" s="8">
        <v>39226</v>
      </c>
      <c r="B4549" t="str">
        <f>TEXT(Raw_Data!$A4549, "MMM")</f>
        <v>May</v>
      </c>
      <c r="C4549">
        <f>YEAR(Raw_Data!$A4549)</f>
        <v>2007</v>
      </c>
      <c r="D4549" t="s">
        <v>1855</v>
      </c>
      <c r="E4549" t="s">
        <v>15</v>
      </c>
      <c r="F4549" t="s">
        <v>11</v>
      </c>
      <c r="G4549">
        <v>2</v>
      </c>
      <c r="H4549">
        <v>1022</v>
      </c>
      <c r="I4549" s="1">
        <v>604591</v>
      </c>
      <c r="J4549" s="1">
        <f>Raw_Data!$I4549/Raw_Data!$H4549</f>
        <v>591.57632093933466</v>
      </c>
    </row>
    <row r="4550" spans="1:10" x14ac:dyDescent="0.3">
      <c r="A4550" s="9">
        <v>40512</v>
      </c>
      <c r="B4550" s="2" t="str">
        <f>TEXT(Raw_Data!$A4550, "MMM")</f>
        <v>Nov</v>
      </c>
      <c r="C4550" s="2">
        <f>YEAR(Raw_Data!$A4550)</f>
        <v>2010</v>
      </c>
      <c r="D4550" s="2" t="s">
        <v>2466</v>
      </c>
      <c r="E4550" s="2" t="s">
        <v>15</v>
      </c>
      <c r="F4550" s="2" t="s">
        <v>27</v>
      </c>
      <c r="G4550" s="2">
        <v>2</v>
      </c>
      <c r="H4550" s="2">
        <v>2788</v>
      </c>
      <c r="I4550" s="10">
        <v>428723</v>
      </c>
      <c r="J4550" s="10">
        <f>Raw_Data!$I4550/Raw_Data!$H4550</f>
        <v>153.77439024390245</v>
      </c>
    </row>
    <row r="4551" spans="1:10" x14ac:dyDescent="0.3">
      <c r="A4551" s="8">
        <v>43064</v>
      </c>
      <c r="B4551" t="str">
        <f>TEXT(Raw_Data!$A4551, "MMM")</f>
        <v>Nov</v>
      </c>
      <c r="C4551">
        <f>YEAR(Raw_Data!$A4551)</f>
        <v>2017</v>
      </c>
      <c r="D4551" t="s">
        <v>2867</v>
      </c>
      <c r="E4551" t="s">
        <v>32</v>
      </c>
      <c r="F4551" t="s">
        <v>27</v>
      </c>
      <c r="G4551">
        <v>3</v>
      </c>
      <c r="H4551">
        <v>2152</v>
      </c>
      <c r="I4551" s="1">
        <v>602348</v>
      </c>
      <c r="J4551" s="1">
        <f>Raw_Data!$I4551/Raw_Data!$H4551</f>
        <v>279.90148698884758</v>
      </c>
    </row>
    <row r="4552" spans="1:10" x14ac:dyDescent="0.3">
      <c r="A4552" s="9">
        <v>42459</v>
      </c>
      <c r="B4552" s="2" t="str">
        <f>TEXT(Raw_Data!$A4552, "MMM")</f>
        <v>Mar</v>
      </c>
      <c r="C4552" s="2">
        <f>YEAR(Raw_Data!$A4552)</f>
        <v>2016</v>
      </c>
      <c r="D4552" s="2" t="s">
        <v>2868</v>
      </c>
      <c r="E4552" s="2" t="s">
        <v>15</v>
      </c>
      <c r="F4552" s="2" t="s">
        <v>11</v>
      </c>
      <c r="G4552" s="2">
        <v>3</v>
      </c>
      <c r="H4552" s="2">
        <v>3319</v>
      </c>
      <c r="I4552" s="10">
        <v>791142</v>
      </c>
      <c r="J4552" s="10">
        <f>Raw_Data!$I4552/Raw_Data!$H4552</f>
        <v>238.36758059656523</v>
      </c>
    </row>
    <row r="4553" spans="1:10" x14ac:dyDescent="0.3">
      <c r="A4553" s="8">
        <v>37315</v>
      </c>
      <c r="B4553" t="str">
        <f>TEXT(Raw_Data!$A4553, "MMM")</f>
        <v>Feb</v>
      </c>
      <c r="C4553">
        <f>YEAR(Raw_Data!$A4553)</f>
        <v>2002</v>
      </c>
      <c r="D4553" t="s">
        <v>2869</v>
      </c>
      <c r="E4553" t="s">
        <v>15</v>
      </c>
      <c r="F4553" t="s">
        <v>16</v>
      </c>
      <c r="G4553">
        <v>5</v>
      </c>
      <c r="H4553">
        <v>2286</v>
      </c>
      <c r="I4553" s="1">
        <v>392336</v>
      </c>
      <c r="J4553" s="1">
        <f>Raw_Data!$I4553/Raw_Data!$H4553</f>
        <v>171.62554680664917</v>
      </c>
    </row>
    <row r="4554" spans="1:10" x14ac:dyDescent="0.3">
      <c r="A4554" s="9">
        <v>37105</v>
      </c>
      <c r="B4554" s="2" t="str">
        <f>TEXT(Raw_Data!$A4554, "MMM")</f>
        <v>Aug</v>
      </c>
      <c r="C4554" s="2">
        <f>YEAR(Raw_Data!$A4554)</f>
        <v>2001</v>
      </c>
      <c r="D4554" s="2" t="s">
        <v>2021</v>
      </c>
      <c r="E4554" s="2" t="s">
        <v>29</v>
      </c>
      <c r="F4554" s="2" t="s">
        <v>27</v>
      </c>
      <c r="G4554" s="2">
        <v>2</v>
      </c>
      <c r="H4554" s="2">
        <v>3376</v>
      </c>
      <c r="I4554" s="10">
        <v>364448</v>
      </c>
      <c r="J4554" s="10">
        <f>Raw_Data!$I4554/Raw_Data!$H4554</f>
        <v>107.95260663507109</v>
      </c>
    </row>
    <row r="4555" spans="1:10" x14ac:dyDescent="0.3">
      <c r="A4555" s="8">
        <v>42258</v>
      </c>
      <c r="B4555" t="str">
        <f>TEXT(Raw_Data!$A4555, "MMM")</f>
        <v>Sep</v>
      </c>
      <c r="C4555">
        <f>YEAR(Raw_Data!$A4555)</f>
        <v>2015</v>
      </c>
      <c r="D4555" t="s">
        <v>749</v>
      </c>
      <c r="E4555" t="s">
        <v>32</v>
      </c>
      <c r="F4555" t="s">
        <v>27</v>
      </c>
      <c r="G4555">
        <v>3</v>
      </c>
      <c r="H4555">
        <v>1669</v>
      </c>
      <c r="I4555" s="1">
        <v>358924</v>
      </c>
      <c r="J4555" s="1">
        <f>Raw_Data!$I4555/Raw_Data!$H4555</f>
        <v>215.05332534451767</v>
      </c>
    </row>
    <row r="4556" spans="1:10" x14ac:dyDescent="0.3">
      <c r="A4556" s="9">
        <v>37548</v>
      </c>
      <c r="B4556" s="2" t="str">
        <f>TEXT(Raw_Data!$A4556, "MMM")</f>
        <v>Oct</v>
      </c>
      <c r="C4556" s="2">
        <f>YEAR(Raw_Data!$A4556)</f>
        <v>2002</v>
      </c>
      <c r="D4556" s="2" t="s">
        <v>2870</v>
      </c>
      <c r="E4556" s="2" t="s">
        <v>13</v>
      </c>
      <c r="F4556" s="2" t="s">
        <v>18</v>
      </c>
      <c r="G4556" s="2">
        <v>5</v>
      </c>
      <c r="H4556" s="2">
        <v>1724</v>
      </c>
      <c r="I4556" s="10">
        <v>653319</v>
      </c>
      <c r="J4556" s="10">
        <f>Raw_Data!$I4556/Raw_Data!$H4556</f>
        <v>378.95533642691413</v>
      </c>
    </row>
    <row r="4557" spans="1:10" x14ac:dyDescent="0.3">
      <c r="A4557" s="8">
        <v>43559</v>
      </c>
      <c r="B4557" t="str">
        <f>TEXT(Raw_Data!$A4557, "MMM")</f>
        <v>Apr</v>
      </c>
      <c r="C4557">
        <f>YEAR(Raw_Data!$A4557)</f>
        <v>2019</v>
      </c>
      <c r="D4557" t="s">
        <v>1335</v>
      </c>
      <c r="E4557" t="s">
        <v>25</v>
      </c>
      <c r="F4557" t="s">
        <v>27</v>
      </c>
      <c r="G4557">
        <v>4</v>
      </c>
      <c r="H4557">
        <v>1430</v>
      </c>
      <c r="I4557" s="1">
        <v>416486</v>
      </c>
      <c r="J4557" s="1">
        <f>Raw_Data!$I4557/Raw_Data!$H4557</f>
        <v>291.24895104895103</v>
      </c>
    </row>
    <row r="4558" spans="1:10" x14ac:dyDescent="0.3">
      <c r="A4558" s="9">
        <v>37453</v>
      </c>
      <c r="B4558" s="2" t="str">
        <f>TEXT(Raw_Data!$A4558, "MMM")</f>
        <v>Jul</v>
      </c>
      <c r="C4558" s="2">
        <f>YEAR(Raw_Data!$A4558)</f>
        <v>2002</v>
      </c>
      <c r="D4558" s="2" t="s">
        <v>1193</v>
      </c>
      <c r="E4558" s="2" t="s">
        <v>15</v>
      </c>
      <c r="F4558" s="2" t="s">
        <v>18</v>
      </c>
      <c r="G4558" s="2"/>
      <c r="H4558" s="2">
        <v>1614</v>
      </c>
      <c r="I4558" s="10">
        <v>106434</v>
      </c>
      <c r="J4558" s="10">
        <f>Raw_Data!$I4558/Raw_Data!$H4558</f>
        <v>65.94423791821562</v>
      </c>
    </row>
    <row r="4559" spans="1:10" x14ac:dyDescent="0.3">
      <c r="A4559" s="8">
        <v>42089</v>
      </c>
      <c r="B4559" t="str">
        <f>TEXT(Raw_Data!$A4559, "MMM")</f>
        <v>Mar</v>
      </c>
      <c r="C4559">
        <f>YEAR(Raw_Data!$A4559)</f>
        <v>2015</v>
      </c>
      <c r="D4559" t="s">
        <v>1651</v>
      </c>
      <c r="E4559" t="s">
        <v>32</v>
      </c>
      <c r="F4559" t="s">
        <v>16</v>
      </c>
      <c r="G4559">
        <v>3</v>
      </c>
      <c r="H4559">
        <v>1558</v>
      </c>
      <c r="I4559" s="1">
        <v>314900</v>
      </c>
      <c r="J4559" s="1">
        <f>Raw_Data!$I4559/Raw_Data!$H4559</f>
        <v>202.11810012836972</v>
      </c>
    </row>
    <row r="4560" spans="1:10" x14ac:dyDescent="0.3">
      <c r="A4560" s="9">
        <v>43598</v>
      </c>
      <c r="B4560" s="2" t="str">
        <f>TEXT(Raw_Data!$A4560, "MMM")</f>
        <v>May</v>
      </c>
      <c r="C4560" s="2">
        <f>YEAR(Raw_Data!$A4560)</f>
        <v>2019</v>
      </c>
      <c r="D4560" s="2" t="s">
        <v>2255</v>
      </c>
      <c r="E4560" s="2" t="s">
        <v>15</v>
      </c>
      <c r="F4560" s="2" t="s">
        <v>18</v>
      </c>
      <c r="G4560" s="2">
        <v>2</v>
      </c>
      <c r="H4560" s="2">
        <v>1125</v>
      </c>
      <c r="I4560" s="10">
        <v>532886</v>
      </c>
      <c r="J4560" s="10">
        <f>Raw_Data!$I4560/Raw_Data!$H4560</f>
        <v>473.67644444444443</v>
      </c>
    </row>
    <row r="4561" spans="1:10" x14ac:dyDescent="0.3">
      <c r="A4561" s="8">
        <v>42478</v>
      </c>
      <c r="B4561" t="str">
        <f>TEXT(Raw_Data!$A4561, "MMM")</f>
        <v>Apr</v>
      </c>
      <c r="C4561">
        <f>YEAR(Raw_Data!$A4561)</f>
        <v>2016</v>
      </c>
      <c r="D4561" t="s">
        <v>2731</v>
      </c>
      <c r="E4561" t="s">
        <v>32</v>
      </c>
      <c r="F4561" t="s">
        <v>11</v>
      </c>
      <c r="G4561">
        <v>3</v>
      </c>
      <c r="H4561">
        <v>1580</v>
      </c>
      <c r="I4561" s="1"/>
      <c r="J4561" s="1">
        <f>Raw_Data!$I4561/Raw_Data!$H4561</f>
        <v>0</v>
      </c>
    </row>
    <row r="4562" spans="1:10" x14ac:dyDescent="0.3">
      <c r="A4562" s="9">
        <v>42671</v>
      </c>
      <c r="B4562" s="2" t="str">
        <f>TEXT(Raw_Data!$A4562, "MMM")</f>
        <v>Oct</v>
      </c>
      <c r="C4562" s="2">
        <f>YEAR(Raw_Data!$A4562)</f>
        <v>2016</v>
      </c>
      <c r="D4562" s="2" t="s">
        <v>68</v>
      </c>
      <c r="E4562" s="2" t="s">
        <v>13</v>
      </c>
      <c r="F4562" s="2" t="s">
        <v>11</v>
      </c>
      <c r="G4562" s="2"/>
      <c r="H4562" s="2">
        <v>2129</v>
      </c>
      <c r="I4562" s="10">
        <v>147867</v>
      </c>
      <c r="J4562" s="10">
        <f>Raw_Data!$I4562/Raw_Data!$H4562</f>
        <v>69.453734147487083</v>
      </c>
    </row>
    <row r="4563" spans="1:10" x14ac:dyDescent="0.3">
      <c r="A4563" s="8">
        <v>43118</v>
      </c>
      <c r="B4563" t="str">
        <f>TEXT(Raw_Data!$A4563, "MMM")</f>
        <v>Jan</v>
      </c>
      <c r="C4563">
        <f>YEAR(Raw_Data!$A4563)</f>
        <v>2018</v>
      </c>
      <c r="D4563" t="s">
        <v>1048</v>
      </c>
      <c r="E4563" t="s">
        <v>21</v>
      </c>
      <c r="F4563" t="s">
        <v>27</v>
      </c>
      <c r="H4563">
        <v>1460</v>
      </c>
      <c r="I4563" s="1">
        <v>890204</v>
      </c>
      <c r="J4563" s="1">
        <f>Raw_Data!$I4563/Raw_Data!$H4563</f>
        <v>609.72876712328764</v>
      </c>
    </row>
    <row r="4564" spans="1:10" x14ac:dyDescent="0.3">
      <c r="A4564" s="9">
        <v>39136</v>
      </c>
      <c r="B4564" s="2" t="str">
        <f>TEXT(Raw_Data!$A4564, "MMM")</f>
        <v>Feb</v>
      </c>
      <c r="C4564" s="2">
        <f>YEAR(Raw_Data!$A4564)</f>
        <v>2007</v>
      </c>
      <c r="D4564" s="2" t="s">
        <v>1282</v>
      </c>
      <c r="E4564" s="2" t="s">
        <v>25</v>
      </c>
      <c r="F4564" s="2" t="s">
        <v>18</v>
      </c>
      <c r="G4564" s="2"/>
      <c r="H4564" s="2">
        <v>2565</v>
      </c>
      <c r="I4564" s="10">
        <v>161166</v>
      </c>
      <c r="J4564" s="10">
        <f>Raw_Data!$I4564/Raw_Data!$H4564</f>
        <v>62.832748538011693</v>
      </c>
    </row>
    <row r="4565" spans="1:10" x14ac:dyDescent="0.3">
      <c r="A4565" s="8">
        <v>42392</v>
      </c>
      <c r="B4565" t="str">
        <f>TEXT(Raw_Data!$A4565, "MMM")</f>
        <v>Jan</v>
      </c>
      <c r="C4565">
        <f>YEAR(Raw_Data!$A4565)</f>
        <v>2016</v>
      </c>
      <c r="D4565" t="s">
        <v>2871</v>
      </c>
      <c r="E4565" t="s">
        <v>29</v>
      </c>
      <c r="F4565" t="s">
        <v>18</v>
      </c>
      <c r="G4565">
        <v>5</v>
      </c>
      <c r="H4565">
        <v>2757</v>
      </c>
      <c r="I4565" s="1">
        <v>256595</v>
      </c>
      <c r="J4565" s="1">
        <f>Raw_Data!$I4565/Raw_Data!$H4565</f>
        <v>93.070366340224879</v>
      </c>
    </row>
    <row r="4566" spans="1:10" x14ac:dyDescent="0.3">
      <c r="A4566" s="9">
        <v>41675</v>
      </c>
      <c r="B4566" s="2" t="str">
        <f>TEXT(Raw_Data!$A4566, "MMM")</f>
        <v>Feb</v>
      </c>
      <c r="C4566" s="2">
        <f>YEAR(Raw_Data!$A4566)</f>
        <v>2014</v>
      </c>
      <c r="D4566" s="2" t="s">
        <v>2872</v>
      </c>
      <c r="E4566" s="2" t="s">
        <v>32</v>
      </c>
      <c r="F4566" s="2" t="s">
        <v>27</v>
      </c>
      <c r="G4566" s="2"/>
      <c r="H4566" s="2">
        <v>2811</v>
      </c>
      <c r="I4566" s="10">
        <v>410379</v>
      </c>
      <c r="J4566" s="10">
        <f>Raw_Data!$I4566/Raw_Data!$H4566</f>
        <v>145.99039487726787</v>
      </c>
    </row>
    <row r="4567" spans="1:10" x14ac:dyDescent="0.3">
      <c r="A4567" s="8">
        <v>37011</v>
      </c>
      <c r="B4567" t="str">
        <f>TEXT(Raw_Data!$A4567, "MMM")</f>
        <v>Apr</v>
      </c>
      <c r="C4567">
        <f>YEAR(Raw_Data!$A4567)</f>
        <v>2001</v>
      </c>
      <c r="D4567" t="s">
        <v>2767</v>
      </c>
      <c r="E4567" t="s">
        <v>32</v>
      </c>
      <c r="F4567" t="s">
        <v>16</v>
      </c>
      <c r="G4567">
        <v>2</v>
      </c>
      <c r="H4567">
        <v>2309</v>
      </c>
      <c r="I4567" s="1">
        <v>517373</v>
      </c>
      <c r="J4567" s="1">
        <f>Raw_Data!$I4567/Raw_Data!$H4567</f>
        <v>224.06799480294501</v>
      </c>
    </row>
    <row r="4568" spans="1:10" x14ac:dyDescent="0.3">
      <c r="A4568" s="9">
        <v>38642</v>
      </c>
      <c r="B4568" s="2" t="str">
        <f>TEXT(Raw_Data!$A4568, "MMM")</f>
        <v>Oct</v>
      </c>
      <c r="C4568" s="2">
        <f>YEAR(Raw_Data!$A4568)</f>
        <v>2005</v>
      </c>
      <c r="D4568" s="2" t="s">
        <v>2873</v>
      </c>
      <c r="E4568" s="2" t="s">
        <v>23</v>
      </c>
      <c r="F4568" s="2" t="s">
        <v>11</v>
      </c>
      <c r="G4568" s="2">
        <v>2</v>
      </c>
      <c r="H4568" s="2">
        <v>2610</v>
      </c>
      <c r="I4568" s="10">
        <v>295618</v>
      </c>
      <c r="J4568" s="10">
        <f>Raw_Data!$I4568/Raw_Data!$H4568</f>
        <v>113.26360153256705</v>
      </c>
    </row>
    <row r="4569" spans="1:10" x14ac:dyDescent="0.3">
      <c r="A4569" s="8">
        <v>39345</v>
      </c>
      <c r="B4569" t="str">
        <f>TEXT(Raw_Data!$A4569, "MMM")</f>
        <v>Sep</v>
      </c>
      <c r="C4569">
        <f>YEAR(Raw_Data!$A4569)</f>
        <v>2007</v>
      </c>
      <c r="D4569" t="s">
        <v>2874</v>
      </c>
      <c r="E4569" t="s">
        <v>23</v>
      </c>
      <c r="F4569" t="s">
        <v>18</v>
      </c>
      <c r="G4569">
        <v>5</v>
      </c>
      <c r="H4569">
        <v>2306</v>
      </c>
      <c r="I4569" s="1">
        <v>714113</v>
      </c>
      <c r="J4569" s="1">
        <f>Raw_Data!$I4569/Raw_Data!$H4569</f>
        <v>309.6760624457936</v>
      </c>
    </row>
    <row r="4570" spans="1:10" x14ac:dyDescent="0.3">
      <c r="A4570" s="9">
        <v>39168</v>
      </c>
      <c r="B4570" s="2" t="str">
        <f>TEXT(Raw_Data!$A4570, "MMM")</f>
        <v>Mar</v>
      </c>
      <c r="C4570" s="2">
        <f>YEAR(Raw_Data!$A4570)</f>
        <v>2007</v>
      </c>
      <c r="D4570" s="2" t="s">
        <v>2875</v>
      </c>
      <c r="E4570" s="2" t="s">
        <v>32</v>
      </c>
      <c r="F4570" s="2" t="s">
        <v>11</v>
      </c>
      <c r="G4570" s="2"/>
      <c r="H4570" s="2">
        <v>2573</v>
      </c>
      <c r="I4570" s="10">
        <v>252380</v>
      </c>
      <c r="J4570" s="10">
        <f>Raw_Data!$I4570/Raw_Data!$H4570</f>
        <v>98.087835211815005</v>
      </c>
    </row>
    <row r="4571" spans="1:10" x14ac:dyDescent="0.3">
      <c r="A4571" s="8">
        <v>41102</v>
      </c>
      <c r="B4571" t="str">
        <f>TEXT(Raw_Data!$A4571, "MMM")</f>
        <v>Jul</v>
      </c>
      <c r="C4571">
        <f>YEAR(Raw_Data!$A4571)</f>
        <v>2012</v>
      </c>
      <c r="D4571" t="s">
        <v>2602</v>
      </c>
      <c r="E4571" t="s">
        <v>21</v>
      </c>
      <c r="F4571" t="s">
        <v>16</v>
      </c>
      <c r="G4571">
        <v>5</v>
      </c>
      <c r="H4571">
        <v>1288</v>
      </c>
      <c r="I4571" s="1">
        <v>272653</v>
      </c>
      <c r="J4571" s="1">
        <f>Raw_Data!$I4571/Raw_Data!$H4571</f>
        <v>211.68711180124222</v>
      </c>
    </row>
    <row r="4572" spans="1:10" x14ac:dyDescent="0.3">
      <c r="A4572" s="9">
        <v>37840</v>
      </c>
      <c r="B4572" s="2" t="str">
        <f>TEXT(Raw_Data!$A4572, "MMM")</f>
        <v>Aug</v>
      </c>
      <c r="C4572" s="2">
        <f>YEAR(Raw_Data!$A4572)</f>
        <v>2003</v>
      </c>
      <c r="D4572" s="2" t="s">
        <v>306</v>
      </c>
      <c r="E4572" s="2" t="s">
        <v>13</v>
      </c>
      <c r="F4572" s="2" t="s">
        <v>11</v>
      </c>
      <c r="G4572" s="2">
        <v>4</v>
      </c>
      <c r="H4572" s="2">
        <v>2857</v>
      </c>
      <c r="I4572" s="10">
        <v>252728</v>
      </c>
      <c r="J4572" s="10">
        <f>Raw_Data!$I4572/Raw_Data!$H4572</f>
        <v>88.459222961148058</v>
      </c>
    </row>
    <row r="4573" spans="1:10" x14ac:dyDescent="0.3">
      <c r="A4573" s="8">
        <v>42461</v>
      </c>
      <c r="B4573" t="str">
        <f>TEXT(Raw_Data!$A4573, "MMM")</f>
        <v>Apr</v>
      </c>
      <c r="C4573">
        <f>YEAR(Raw_Data!$A4573)</f>
        <v>2016</v>
      </c>
      <c r="D4573" t="s">
        <v>2876</v>
      </c>
      <c r="E4573" t="s">
        <v>32</v>
      </c>
      <c r="F4573" t="s">
        <v>16</v>
      </c>
      <c r="G4573">
        <v>4</v>
      </c>
      <c r="H4573">
        <v>2895</v>
      </c>
      <c r="I4573" s="1">
        <v>156972</v>
      </c>
      <c r="J4573" s="1">
        <f>Raw_Data!$I4573/Raw_Data!$H4573</f>
        <v>54.221761658031085</v>
      </c>
    </row>
    <row r="4574" spans="1:10" x14ac:dyDescent="0.3">
      <c r="A4574" s="9">
        <v>42537</v>
      </c>
      <c r="B4574" s="2" t="str">
        <f>TEXT(Raw_Data!$A4574, "MMM")</f>
        <v>Jun</v>
      </c>
      <c r="C4574" s="2">
        <f>YEAR(Raw_Data!$A4574)</f>
        <v>2016</v>
      </c>
      <c r="D4574" s="2" t="s">
        <v>1838</v>
      </c>
      <c r="E4574" s="2" t="s">
        <v>32</v>
      </c>
      <c r="F4574" s="2" t="s">
        <v>27</v>
      </c>
      <c r="G4574" s="2"/>
      <c r="H4574" s="2">
        <v>2562</v>
      </c>
      <c r="I4574" s="10">
        <v>270464</v>
      </c>
      <c r="J4574" s="10">
        <f>Raw_Data!$I4574/Raw_Data!$H4574</f>
        <v>105.56752537080406</v>
      </c>
    </row>
    <row r="4575" spans="1:10" x14ac:dyDescent="0.3">
      <c r="A4575" s="8">
        <v>40752</v>
      </c>
      <c r="B4575" t="str">
        <f>TEXT(Raw_Data!$A4575, "MMM")</f>
        <v>Jul</v>
      </c>
      <c r="C4575">
        <f>YEAR(Raw_Data!$A4575)</f>
        <v>2011</v>
      </c>
      <c r="D4575" t="s">
        <v>2877</v>
      </c>
      <c r="E4575" t="s">
        <v>13</v>
      </c>
      <c r="F4575" t="s">
        <v>16</v>
      </c>
      <c r="H4575">
        <v>2636</v>
      </c>
      <c r="I4575" s="1">
        <v>627828</v>
      </c>
      <c r="J4575" s="1">
        <f>Raw_Data!$I4575/Raw_Data!$H4575</f>
        <v>238.17450682852808</v>
      </c>
    </row>
    <row r="4576" spans="1:10" x14ac:dyDescent="0.3">
      <c r="A4576" s="9">
        <v>40649</v>
      </c>
      <c r="B4576" s="2" t="str">
        <f>TEXT(Raw_Data!$A4576, "MMM")</f>
        <v>Apr</v>
      </c>
      <c r="C4576" s="2">
        <f>YEAR(Raw_Data!$A4576)</f>
        <v>2011</v>
      </c>
      <c r="D4576" s="2" t="s">
        <v>2474</v>
      </c>
      <c r="E4576" s="2" t="s">
        <v>25</v>
      </c>
      <c r="F4576" s="2" t="s">
        <v>16</v>
      </c>
      <c r="G4576" s="2"/>
      <c r="H4576" s="2">
        <v>2041</v>
      </c>
      <c r="I4576" s="10">
        <v>878942</v>
      </c>
      <c r="J4576" s="10">
        <f>Raw_Data!$I4576/Raw_Data!$H4576</f>
        <v>430.64282214600684</v>
      </c>
    </row>
    <row r="4577" spans="1:10" x14ac:dyDescent="0.3">
      <c r="A4577" s="8">
        <v>40302</v>
      </c>
      <c r="B4577" t="str">
        <f>TEXT(Raw_Data!$A4577, "MMM")</f>
        <v>May</v>
      </c>
      <c r="C4577">
        <f>YEAR(Raw_Data!$A4577)</f>
        <v>2010</v>
      </c>
      <c r="D4577" t="s">
        <v>256</v>
      </c>
      <c r="E4577" t="s">
        <v>15</v>
      </c>
      <c r="F4577" t="s">
        <v>18</v>
      </c>
      <c r="G4577">
        <v>3</v>
      </c>
      <c r="H4577">
        <v>1039</v>
      </c>
      <c r="I4577" s="1">
        <v>638074</v>
      </c>
      <c r="J4577" s="1">
        <f>Raw_Data!$I4577/Raw_Data!$H4577</f>
        <v>614.12319538017323</v>
      </c>
    </row>
    <row r="4578" spans="1:10" x14ac:dyDescent="0.3">
      <c r="A4578" s="9">
        <v>42535</v>
      </c>
      <c r="B4578" s="2" t="str">
        <f>TEXT(Raw_Data!$A4578, "MMM")</f>
        <v>Jun</v>
      </c>
      <c r="C4578" s="2">
        <f>YEAR(Raw_Data!$A4578)</f>
        <v>2016</v>
      </c>
      <c r="D4578" s="2" t="s">
        <v>2860</v>
      </c>
      <c r="E4578" s="2" t="s">
        <v>13</v>
      </c>
      <c r="F4578" s="2" t="s">
        <v>18</v>
      </c>
      <c r="G4578" s="2">
        <v>5</v>
      </c>
      <c r="H4578" s="2">
        <v>2995</v>
      </c>
      <c r="I4578" s="10">
        <v>519662</v>
      </c>
      <c r="J4578" s="10">
        <f>Raw_Data!$I4578/Raw_Data!$H4578</f>
        <v>173.50984974958263</v>
      </c>
    </row>
    <row r="4579" spans="1:10" x14ac:dyDescent="0.3">
      <c r="A4579" s="8">
        <v>39530</v>
      </c>
      <c r="B4579" t="str">
        <f>TEXT(Raw_Data!$A4579, "MMM")</f>
        <v>Mar</v>
      </c>
      <c r="C4579">
        <f>YEAR(Raw_Data!$A4579)</f>
        <v>2008</v>
      </c>
      <c r="D4579" t="s">
        <v>90</v>
      </c>
      <c r="E4579" t="s">
        <v>25</v>
      </c>
      <c r="F4579" t="s">
        <v>27</v>
      </c>
      <c r="G4579">
        <v>4</v>
      </c>
      <c r="H4579">
        <v>2645</v>
      </c>
      <c r="I4579" s="1">
        <v>714617</v>
      </c>
      <c r="J4579" s="1">
        <f>Raw_Data!$I4579/Raw_Data!$H4579</f>
        <v>270.1765595463138</v>
      </c>
    </row>
    <row r="4580" spans="1:10" x14ac:dyDescent="0.3">
      <c r="A4580" s="9">
        <v>38223</v>
      </c>
      <c r="B4580" s="2" t="str">
        <f>TEXT(Raw_Data!$A4580, "MMM")</f>
        <v>Aug</v>
      </c>
      <c r="C4580" s="2">
        <f>YEAR(Raw_Data!$A4580)</f>
        <v>2004</v>
      </c>
      <c r="D4580" s="2" t="s">
        <v>1644</v>
      </c>
      <c r="E4580" s="2" t="s">
        <v>25</v>
      </c>
      <c r="F4580" s="2" t="s">
        <v>11</v>
      </c>
      <c r="G4580" s="2">
        <v>5</v>
      </c>
      <c r="H4580" s="2">
        <v>3219</v>
      </c>
      <c r="I4580" s="10">
        <v>569901</v>
      </c>
      <c r="J4580" s="10">
        <f>Raw_Data!$I4580/Raw_Data!$H4580</f>
        <v>177.04287045666356</v>
      </c>
    </row>
    <row r="4581" spans="1:10" x14ac:dyDescent="0.3">
      <c r="A4581" s="8">
        <v>40432</v>
      </c>
      <c r="B4581" t="str">
        <f>TEXT(Raw_Data!$A4581, "MMM")</f>
        <v>Sep</v>
      </c>
      <c r="C4581">
        <f>YEAR(Raw_Data!$A4581)</f>
        <v>2010</v>
      </c>
      <c r="D4581" t="s">
        <v>764</v>
      </c>
      <c r="E4581" t="s">
        <v>25</v>
      </c>
      <c r="F4581" t="s">
        <v>27</v>
      </c>
      <c r="H4581">
        <v>1549</v>
      </c>
      <c r="I4581" s="1">
        <v>185591</v>
      </c>
      <c r="J4581" s="1">
        <f>Raw_Data!$I4581/Raw_Data!$H4581</f>
        <v>119.81342801807618</v>
      </c>
    </row>
    <row r="4582" spans="1:10" x14ac:dyDescent="0.3">
      <c r="A4582" s="9">
        <v>38963</v>
      </c>
      <c r="B4582" s="2" t="str">
        <f>TEXT(Raw_Data!$A4582, "MMM")</f>
        <v>Sep</v>
      </c>
      <c r="C4582" s="2">
        <f>YEAR(Raw_Data!$A4582)</f>
        <v>2006</v>
      </c>
      <c r="D4582" s="2" t="s">
        <v>797</v>
      </c>
      <c r="E4582" s="2" t="s">
        <v>32</v>
      </c>
      <c r="F4582" s="2" t="s">
        <v>11</v>
      </c>
      <c r="G4582" s="2">
        <v>2</v>
      </c>
      <c r="H4582" s="2">
        <v>2911</v>
      </c>
      <c r="I4582" s="10">
        <v>296281</v>
      </c>
      <c r="J4582" s="10">
        <f>Raw_Data!$I4582/Raw_Data!$H4582</f>
        <v>101.77980075575404</v>
      </c>
    </row>
    <row r="4583" spans="1:10" x14ac:dyDescent="0.3">
      <c r="A4583" s="8">
        <v>42945</v>
      </c>
      <c r="B4583" t="str">
        <f>TEXT(Raw_Data!$A4583, "MMM")</f>
        <v>Jul</v>
      </c>
      <c r="C4583">
        <f>YEAR(Raw_Data!$A4583)</f>
        <v>2017</v>
      </c>
      <c r="D4583" t="s">
        <v>705</v>
      </c>
      <c r="E4583" t="s">
        <v>23</v>
      </c>
      <c r="F4583" t="s">
        <v>11</v>
      </c>
      <c r="H4583">
        <v>2357</v>
      </c>
      <c r="I4583" s="1">
        <v>605635</v>
      </c>
      <c r="J4583" s="1">
        <f>Raw_Data!$I4583/Raw_Data!$H4583</f>
        <v>256.95163343232923</v>
      </c>
    </row>
    <row r="4584" spans="1:10" x14ac:dyDescent="0.3">
      <c r="A4584" s="9">
        <v>40571</v>
      </c>
      <c r="B4584" s="2" t="str">
        <f>TEXT(Raw_Data!$A4584, "MMM")</f>
        <v>Jan</v>
      </c>
      <c r="C4584" s="2">
        <f>YEAR(Raw_Data!$A4584)</f>
        <v>2011</v>
      </c>
      <c r="D4584" s="2" t="s">
        <v>2147</v>
      </c>
      <c r="E4584" s="2" t="s">
        <v>29</v>
      </c>
      <c r="F4584" s="2" t="s">
        <v>16</v>
      </c>
      <c r="G4584" s="2">
        <v>4</v>
      </c>
      <c r="H4584" s="2">
        <v>1894</v>
      </c>
      <c r="I4584" s="10">
        <v>739180</v>
      </c>
      <c r="J4584" s="10">
        <f>Raw_Data!$I4584/Raw_Data!$H4584</f>
        <v>390.27455121436117</v>
      </c>
    </row>
    <row r="4585" spans="1:10" x14ac:dyDescent="0.3">
      <c r="A4585" s="8">
        <v>42569</v>
      </c>
      <c r="B4585" t="str">
        <f>TEXT(Raw_Data!$A4585, "MMM")</f>
        <v>Jul</v>
      </c>
      <c r="C4585">
        <f>YEAR(Raw_Data!$A4585)</f>
        <v>2016</v>
      </c>
      <c r="D4585" t="s">
        <v>2878</v>
      </c>
      <c r="E4585" t="s">
        <v>21</v>
      </c>
      <c r="F4585" t="s">
        <v>16</v>
      </c>
      <c r="H4585">
        <v>1554</v>
      </c>
      <c r="I4585" s="1">
        <v>548151</v>
      </c>
      <c r="J4585" s="1">
        <f>Raw_Data!$I4585/Raw_Data!$H4585</f>
        <v>352.73552123552122</v>
      </c>
    </row>
    <row r="4586" spans="1:10" x14ac:dyDescent="0.3">
      <c r="A4586" s="9">
        <v>44054</v>
      </c>
      <c r="B4586" s="2" t="str">
        <f>TEXT(Raw_Data!$A4586, "MMM")</f>
        <v>Aug</v>
      </c>
      <c r="C4586" s="2">
        <f>YEAR(Raw_Data!$A4586)</f>
        <v>2020</v>
      </c>
      <c r="D4586" s="2" t="s">
        <v>2879</v>
      </c>
      <c r="E4586" s="2" t="s">
        <v>15</v>
      </c>
      <c r="F4586" s="2" t="s">
        <v>11</v>
      </c>
      <c r="G4586" s="2"/>
      <c r="H4586" s="2">
        <v>2446</v>
      </c>
      <c r="I4586" s="10">
        <v>878372</v>
      </c>
      <c r="J4586" s="10">
        <f>Raw_Data!$I4586/Raw_Data!$H4586</f>
        <v>359.10547833197057</v>
      </c>
    </row>
    <row r="4587" spans="1:10" x14ac:dyDescent="0.3">
      <c r="A4587" s="8">
        <v>42878</v>
      </c>
      <c r="B4587" t="str">
        <f>TEXT(Raw_Data!$A4587, "MMM")</f>
        <v>May</v>
      </c>
      <c r="C4587">
        <f>YEAR(Raw_Data!$A4587)</f>
        <v>2017</v>
      </c>
      <c r="D4587" t="s">
        <v>1743</v>
      </c>
      <c r="E4587" t="s">
        <v>13</v>
      </c>
      <c r="F4587" t="s">
        <v>18</v>
      </c>
      <c r="G4587">
        <v>2</v>
      </c>
      <c r="H4587">
        <v>2129</v>
      </c>
      <c r="I4587" s="1">
        <v>621563</v>
      </c>
      <c r="J4587" s="1">
        <f>Raw_Data!$I4587/Raw_Data!$H4587</f>
        <v>291.95068107092533</v>
      </c>
    </row>
    <row r="4588" spans="1:10" x14ac:dyDescent="0.3">
      <c r="A4588" s="9">
        <v>40597</v>
      </c>
      <c r="B4588" s="2" t="str">
        <f>TEXT(Raw_Data!$A4588, "MMM")</f>
        <v>Feb</v>
      </c>
      <c r="C4588" s="2">
        <f>YEAR(Raw_Data!$A4588)</f>
        <v>2011</v>
      </c>
      <c r="D4588" s="2" t="s">
        <v>2880</v>
      </c>
      <c r="E4588" s="2" t="s">
        <v>25</v>
      </c>
      <c r="F4588" s="2" t="s">
        <v>27</v>
      </c>
      <c r="G4588" s="2"/>
      <c r="H4588" s="2">
        <v>1765</v>
      </c>
      <c r="I4588" s="10">
        <v>717561</v>
      </c>
      <c r="J4588" s="10">
        <f>Raw_Data!$I4588/Raw_Data!$H4588</f>
        <v>406.55014164305948</v>
      </c>
    </row>
    <row r="4589" spans="1:10" x14ac:dyDescent="0.3">
      <c r="A4589" s="8">
        <v>37247</v>
      </c>
      <c r="B4589" t="str">
        <f>TEXT(Raw_Data!$A4589, "MMM")</f>
        <v>Dec</v>
      </c>
      <c r="C4589">
        <f>YEAR(Raw_Data!$A4589)</f>
        <v>2001</v>
      </c>
      <c r="D4589" t="s">
        <v>778</v>
      </c>
      <c r="E4589" t="s">
        <v>21</v>
      </c>
      <c r="F4589" t="s">
        <v>16</v>
      </c>
      <c r="G4589">
        <v>3</v>
      </c>
      <c r="H4589">
        <v>1204</v>
      </c>
      <c r="I4589" s="1">
        <v>370990</v>
      </c>
      <c r="J4589" s="1">
        <f>Raw_Data!$I4589/Raw_Data!$H4589</f>
        <v>308.13122923588043</v>
      </c>
    </row>
    <row r="4590" spans="1:10" x14ac:dyDescent="0.3">
      <c r="A4590" s="9">
        <v>39171</v>
      </c>
      <c r="B4590" s="2" t="str">
        <f>TEXT(Raw_Data!$A4590, "MMM")</f>
        <v>Mar</v>
      </c>
      <c r="C4590" s="2">
        <f>YEAR(Raw_Data!$A4590)</f>
        <v>2007</v>
      </c>
      <c r="D4590" s="2" t="s">
        <v>2881</v>
      </c>
      <c r="E4590" s="2" t="s">
        <v>21</v>
      </c>
      <c r="F4590" s="2" t="s">
        <v>27</v>
      </c>
      <c r="G4590" s="2">
        <v>4</v>
      </c>
      <c r="H4590" s="2">
        <v>1319</v>
      </c>
      <c r="I4590" s="10">
        <v>857143</v>
      </c>
      <c r="J4590" s="10">
        <f>Raw_Data!$I4590/Raw_Data!$H4590</f>
        <v>649.84306292645942</v>
      </c>
    </row>
    <row r="4591" spans="1:10" x14ac:dyDescent="0.3">
      <c r="A4591" s="8">
        <v>43350</v>
      </c>
      <c r="B4591" t="str">
        <f>TEXT(Raw_Data!$A4591, "MMM")</f>
        <v>Sep</v>
      </c>
      <c r="C4591">
        <f>YEAR(Raw_Data!$A4591)</f>
        <v>2018</v>
      </c>
      <c r="D4591" t="s">
        <v>191</v>
      </c>
      <c r="E4591" t="s">
        <v>13</v>
      </c>
      <c r="F4591" t="s">
        <v>11</v>
      </c>
      <c r="G4591">
        <v>4</v>
      </c>
      <c r="H4591">
        <v>2784</v>
      </c>
      <c r="I4591" s="1">
        <v>438492</v>
      </c>
      <c r="J4591" s="1">
        <f>Raw_Data!$I4591/Raw_Data!$H4591</f>
        <v>157.50431034482759</v>
      </c>
    </row>
    <row r="4592" spans="1:10" x14ac:dyDescent="0.3">
      <c r="A4592" s="9">
        <v>37370</v>
      </c>
      <c r="B4592" s="2" t="str">
        <f>TEXT(Raw_Data!$A4592, "MMM")</f>
        <v>Apr</v>
      </c>
      <c r="C4592" s="2">
        <f>YEAR(Raw_Data!$A4592)</f>
        <v>2002</v>
      </c>
      <c r="D4592" s="2" t="s">
        <v>596</v>
      </c>
      <c r="E4592" s="2" t="s">
        <v>25</v>
      </c>
      <c r="F4592" s="2" t="s">
        <v>18</v>
      </c>
      <c r="G4592" s="2"/>
      <c r="H4592" s="2">
        <v>1979</v>
      </c>
      <c r="I4592" s="10">
        <v>256897</v>
      </c>
      <c r="J4592" s="10">
        <f>Raw_Data!$I4592/Raw_Data!$H4592</f>
        <v>129.81152097018696</v>
      </c>
    </row>
    <row r="4593" spans="1:10" x14ac:dyDescent="0.3">
      <c r="A4593" s="8">
        <v>43087</v>
      </c>
      <c r="B4593" t="str">
        <f>TEXT(Raw_Data!$A4593, "MMM")</f>
        <v>Dec</v>
      </c>
      <c r="C4593">
        <f>YEAR(Raw_Data!$A4593)</f>
        <v>2017</v>
      </c>
      <c r="D4593" t="s">
        <v>44</v>
      </c>
      <c r="E4593" t="s">
        <v>21</v>
      </c>
      <c r="F4593" t="s">
        <v>11</v>
      </c>
      <c r="G4593">
        <v>4</v>
      </c>
      <c r="H4593">
        <v>1277</v>
      </c>
      <c r="I4593" s="1">
        <v>178419</v>
      </c>
      <c r="J4593" s="1">
        <f>Raw_Data!$I4593/Raw_Data!$H4593</f>
        <v>139.71730618637432</v>
      </c>
    </row>
    <row r="4594" spans="1:10" x14ac:dyDescent="0.3">
      <c r="A4594" s="9">
        <v>40001</v>
      </c>
      <c r="B4594" s="2" t="str">
        <f>TEXT(Raw_Data!$A4594, "MMM")</f>
        <v>Jul</v>
      </c>
      <c r="C4594" s="2">
        <f>YEAR(Raw_Data!$A4594)</f>
        <v>2009</v>
      </c>
      <c r="D4594" s="2" t="s">
        <v>2882</v>
      </c>
      <c r="E4594" s="2" t="s">
        <v>25</v>
      </c>
      <c r="F4594" s="2" t="s">
        <v>18</v>
      </c>
      <c r="G4594" s="2"/>
      <c r="H4594" s="2">
        <v>3318</v>
      </c>
      <c r="I4594" s="10">
        <v>807593</v>
      </c>
      <c r="J4594" s="10">
        <f>Raw_Data!$I4594/Raw_Data!$H4594</f>
        <v>243.39752863170585</v>
      </c>
    </row>
    <row r="4595" spans="1:10" x14ac:dyDescent="0.3">
      <c r="A4595" s="8">
        <v>42304</v>
      </c>
      <c r="B4595" t="str">
        <f>TEXT(Raw_Data!$A4595, "MMM")</f>
        <v>Oct</v>
      </c>
      <c r="C4595">
        <f>YEAR(Raw_Data!$A4595)</f>
        <v>2015</v>
      </c>
      <c r="D4595" t="s">
        <v>323</v>
      </c>
      <c r="E4595" t="s">
        <v>15</v>
      </c>
      <c r="F4595" t="s">
        <v>16</v>
      </c>
      <c r="G4595">
        <v>4</v>
      </c>
      <c r="H4595">
        <v>2599</v>
      </c>
      <c r="I4595" s="1">
        <v>626474</v>
      </c>
      <c r="J4595" s="1">
        <f>Raw_Data!$I4595/Raw_Data!$H4595</f>
        <v>241.04424778761063</v>
      </c>
    </row>
    <row r="4596" spans="1:10" x14ac:dyDescent="0.3">
      <c r="A4596" s="9">
        <v>37839</v>
      </c>
      <c r="B4596" s="2" t="str">
        <f>TEXT(Raw_Data!$A4596, "MMM")</f>
        <v>Aug</v>
      </c>
      <c r="C4596" s="2">
        <f>YEAR(Raw_Data!$A4596)</f>
        <v>2003</v>
      </c>
      <c r="D4596" s="2" t="s">
        <v>2883</v>
      </c>
      <c r="E4596" s="2" t="s">
        <v>32</v>
      </c>
      <c r="F4596" s="2" t="s">
        <v>11</v>
      </c>
      <c r="G4596" s="2"/>
      <c r="H4596" s="2">
        <v>2566</v>
      </c>
      <c r="I4596" s="10">
        <v>573735</v>
      </c>
      <c r="J4596" s="10">
        <f>Raw_Data!$I4596/Raw_Data!$H4596</f>
        <v>223.59119251753702</v>
      </c>
    </row>
    <row r="4597" spans="1:10" x14ac:dyDescent="0.3">
      <c r="A4597" s="8">
        <v>40174</v>
      </c>
      <c r="B4597" t="str">
        <f>TEXT(Raw_Data!$A4597, "MMM")</f>
        <v>Dec</v>
      </c>
      <c r="C4597">
        <f>YEAR(Raw_Data!$A4597)</f>
        <v>2009</v>
      </c>
      <c r="D4597" t="s">
        <v>2884</v>
      </c>
      <c r="E4597" t="s">
        <v>29</v>
      </c>
      <c r="F4597" t="s">
        <v>18</v>
      </c>
      <c r="G4597">
        <v>3</v>
      </c>
      <c r="H4597">
        <v>2048</v>
      </c>
      <c r="I4597" s="1">
        <v>264556</v>
      </c>
      <c r="J4597" s="1">
        <f>Raw_Data!$I4597/Raw_Data!$H4597</f>
        <v>129.177734375</v>
      </c>
    </row>
    <row r="4598" spans="1:10" x14ac:dyDescent="0.3">
      <c r="A4598" s="9">
        <v>44034</v>
      </c>
      <c r="B4598" s="2" t="str">
        <f>TEXT(Raw_Data!$A4598, "MMM")</f>
        <v>Jul</v>
      </c>
      <c r="C4598" s="2">
        <f>YEAR(Raw_Data!$A4598)</f>
        <v>2020</v>
      </c>
      <c r="D4598" s="2" t="s">
        <v>280</v>
      </c>
      <c r="E4598" s="2" t="s">
        <v>13</v>
      </c>
      <c r="F4598" s="2" t="s">
        <v>27</v>
      </c>
      <c r="G4598" s="2">
        <v>2</v>
      </c>
      <c r="H4598" s="2">
        <v>3414</v>
      </c>
      <c r="I4598" s="10">
        <v>314749</v>
      </c>
      <c r="J4598" s="10">
        <f>Raw_Data!$I4598/Raw_Data!$H4598</f>
        <v>92.193614528412425</v>
      </c>
    </row>
    <row r="4599" spans="1:10" x14ac:dyDescent="0.3">
      <c r="A4599" s="8">
        <v>41646</v>
      </c>
      <c r="B4599" t="str">
        <f>TEXT(Raw_Data!$A4599, "MMM")</f>
        <v>Jan</v>
      </c>
      <c r="C4599">
        <f>YEAR(Raw_Data!$A4599)</f>
        <v>2014</v>
      </c>
      <c r="D4599" t="s">
        <v>2885</v>
      </c>
      <c r="E4599" t="s">
        <v>29</v>
      </c>
      <c r="F4599" t="s">
        <v>11</v>
      </c>
      <c r="H4599">
        <v>2961</v>
      </c>
      <c r="I4599" s="1">
        <v>185234</v>
      </c>
      <c r="J4599" s="1">
        <f>Raw_Data!$I4599/Raw_Data!$H4599</f>
        <v>62.557919621749406</v>
      </c>
    </row>
    <row r="4600" spans="1:10" x14ac:dyDescent="0.3">
      <c r="A4600" s="9">
        <v>37825</v>
      </c>
      <c r="B4600" s="2" t="str">
        <f>TEXT(Raw_Data!$A4600, "MMM")</f>
        <v>Jul</v>
      </c>
      <c r="C4600" s="2">
        <f>YEAR(Raw_Data!$A4600)</f>
        <v>2003</v>
      </c>
      <c r="D4600" s="2" t="s">
        <v>2886</v>
      </c>
      <c r="E4600" s="2" t="s">
        <v>15</v>
      </c>
      <c r="F4600" s="2" t="s">
        <v>16</v>
      </c>
      <c r="G4600" s="2">
        <v>2</v>
      </c>
      <c r="H4600" s="2">
        <v>3382</v>
      </c>
      <c r="I4600" s="10">
        <v>394102</v>
      </c>
      <c r="J4600" s="10">
        <f>Raw_Data!$I4600/Raw_Data!$H4600</f>
        <v>116.52927261975162</v>
      </c>
    </row>
    <row r="4601" spans="1:10" x14ac:dyDescent="0.3">
      <c r="A4601" s="8">
        <v>42689</v>
      </c>
      <c r="B4601" t="str">
        <f>TEXT(Raw_Data!$A4601, "MMM")</f>
        <v>Nov</v>
      </c>
      <c r="C4601">
        <f>YEAR(Raw_Data!$A4601)</f>
        <v>2016</v>
      </c>
      <c r="D4601" t="s">
        <v>2887</v>
      </c>
      <c r="E4601" t="s">
        <v>25</v>
      </c>
      <c r="F4601" t="s">
        <v>27</v>
      </c>
      <c r="G4601">
        <v>5</v>
      </c>
      <c r="H4601">
        <v>2369</v>
      </c>
      <c r="I4601" s="1">
        <v>562726</v>
      </c>
      <c r="J4601" s="1">
        <f>Raw_Data!$I4601/Raw_Data!$H4601</f>
        <v>237.53735753482482</v>
      </c>
    </row>
    <row r="4602" spans="1:10" x14ac:dyDescent="0.3">
      <c r="A4602" s="9">
        <v>37832</v>
      </c>
      <c r="B4602" s="2" t="str">
        <f>TEXT(Raw_Data!$A4602, "MMM")</f>
        <v>Jul</v>
      </c>
      <c r="C4602" s="2">
        <f>YEAR(Raw_Data!$A4602)</f>
        <v>2003</v>
      </c>
      <c r="D4602" s="2" t="s">
        <v>237</v>
      </c>
      <c r="E4602" s="2" t="s">
        <v>25</v>
      </c>
      <c r="F4602" s="2" t="s">
        <v>16</v>
      </c>
      <c r="G4602" s="2">
        <v>5</v>
      </c>
      <c r="H4602" s="2">
        <v>837</v>
      </c>
      <c r="I4602" s="10">
        <v>291255</v>
      </c>
      <c r="J4602" s="10">
        <f>Raw_Data!$I4602/Raw_Data!$H4602</f>
        <v>347.97491039426524</v>
      </c>
    </row>
    <row r="4603" spans="1:10" x14ac:dyDescent="0.3">
      <c r="A4603" s="8">
        <v>42884</v>
      </c>
      <c r="B4603" t="str">
        <f>TEXT(Raw_Data!$A4603, "MMM")</f>
        <v>May</v>
      </c>
      <c r="C4603">
        <f>YEAR(Raw_Data!$A4603)</f>
        <v>2017</v>
      </c>
      <c r="D4603" t="s">
        <v>786</v>
      </c>
      <c r="E4603" t="s">
        <v>13</v>
      </c>
      <c r="F4603" t="s">
        <v>16</v>
      </c>
      <c r="G4603">
        <v>4</v>
      </c>
      <c r="H4603">
        <v>2481</v>
      </c>
      <c r="I4603" s="1">
        <v>818358</v>
      </c>
      <c r="J4603" s="1">
        <f>Raw_Data!$I4603/Raw_Data!$H4603</f>
        <v>329.85006045949211</v>
      </c>
    </row>
    <row r="4604" spans="1:10" x14ac:dyDescent="0.3">
      <c r="A4604" s="9">
        <v>41596</v>
      </c>
      <c r="B4604" s="2" t="str">
        <f>TEXT(Raw_Data!$A4604, "MMM")</f>
        <v>Nov</v>
      </c>
      <c r="C4604" s="2">
        <f>YEAR(Raw_Data!$A4604)</f>
        <v>2013</v>
      </c>
      <c r="D4604" s="2" t="s">
        <v>518</v>
      </c>
      <c r="E4604" s="2" t="s">
        <v>32</v>
      </c>
      <c r="F4604" s="2" t="s">
        <v>27</v>
      </c>
      <c r="G4604" s="2">
        <v>5</v>
      </c>
      <c r="H4604" s="2">
        <v>1270</v>
      </c>
      <c r="I4604" s="10">
        <v>118039</v>
      </c>
      <c r="J4604" s="10">
        <f>Raw_Data!$I4604/Raw_Data!$H4604</f>
        <v>92.944094488188981</v>
      </c>
    </row>
    <row r="4605" spans="1:10" x14ac:dyDescent="0.3">
      <c r="A4605" s="8">
        <v>41250</v>
      </c>
      <c r="B4605" t="str">
        <f>TEXT(Raw_Data!$A4605, "MMM")</f>
        <v>Dec</v>
      </c>
      <c r="C4605">
        <f>YEAR(Raw_Data!$A4605)</f>
        <v>2012</v>
      </c>
      <c r="D4605" t="s">
        <v>817</v>
      </c>
      <c r="E4605" t="s">
        <v>25</v>
      </c>
      <c r="F4605" t="s">
        <v>18</v>
      </c>
      <c r="G4605">
        <v>5</v>
      </c>
      <c r="H4605">
        <v>2159</v>
      </c>
      <c r="I4605" s="1">
        <v>512236</v>
      </c>
      <c r="J4605" s="1">
        <f>Raw_Data!$I4605/Raw_Data!$H4605</f>
        <v>237.25613710050951</v>
      </c>
    </row>
    <row r="4606" spans="1:10" x14ac:dyDescent="0.3">
      <c r="A4606" s="9">
        <v>39269</v>
      </c>
      <c r="B4606" s="2" t="str">
        <f>TEXT(Raw_Data!$A4606, "MMM")</f>
        <v>Jul</v>
      </c>
      <c r="C4606" s="2">
        <f>YEAR(Raw_Data!$A4606)</f>
        <v>2007</v>
      </c>
      <c r="D4606" s="2" t="s">
        <v>1554</v>
      </c>
      <c r="E4606" s="2" t="s">
        <v>23</v>
      </c>
      <c r="F4606" s="2" t="s">
        <v>27</v>
      </c>
      <c r="G4606" s="2">
        <v>5</v>
      </c>
      <c r="H4606" s="2">
        <v>2701</v>
      </c>
      <c r="I4606" s="10">
        <v>133002</v>
      </c>
      <c r="J4606" s="10">
        <f>Raw_Data!$I4606/Raw_Data!$H4606</f>
        <v>49.24176231025546</v>
      </c>
    </row>
    <row r="4607" spans="1:10" x14ac:dyDescent="0.3">
      <c r="A4607" s="8">
        <v>38337</v>
      </c>
      <c r="B4607" t="str">
        <f>TEXT(Raw_Data!$A4607, "MMM")</f>
        <v>Dec</v>
      </c>
      <c r="C4607">
        <f>YEAR(Raw_Data!$A4607)</f>
        <v>2004</v>
      </c>
      <c r="D4607" t="s">
        <v>1671</v>
      </c>
      <c r="E4607" t="s">
        <v>25</v>
      </c>
      <c r="F4607" t="s">
        <v>18</v>
      </c>
      <c r="G4607">
        <v>2</v>
      </c>
      <c r="H4607">
        <v>1779</v>
      </c>
      <c r="I4607" s="1">
        <v>827865</v>
      </c>
      <c r="J4607" s="1">
        <f>Raw_Data!$I4607/Raw_Data!$H4607</f>
        <v>465.35413153457</v>
      </c>
    </row>
    <row r="4608" spans="1:10" x14ac:dyDescent="0.3">
      <c r="A4608" s="9">
        <v>41578</v>
      </c>
      <c r="B4608" s="2" t="str">
        <f>TEXT(Raw_Data!$A4608, "MMM")</f>
        <v>Oct</v>
      </c>
      <c r="C4608" s="2">
        <f>YEAR(Raw_Data!$A4608)</f>
        <v>2013</v>
      </c>
      <c r="D4608" s="2" t="s">
        <v>540</v>
      </c>
      <c r="E4608" s="2" t="s">
        <v>25</v>
      </c>
      <c r="F4608" s="2" t="s">
        <v>27</v>
      </c>
      <c r="G4608" s="2">
        <v>5</v>
      </c>
      <c r="H4608" s="2">
        <v>3408</v>
      </c>
      <c r="I4608" s="10">
        <v>739028</v>
      </c>
      <c r="J4608" s="10">
        <f>Raw_Data!$I4608/Raw_Data!$H4608</f>
        <v>216.85093896713616</v>
      </c>
    </row>
    <row r="4609" spans="1:10" x14ac:dyDescent="0.3">
      <c r="A4609" s="8">
        <v>39907</v>
      </c>
      <c r="B4609" t="str">
        <f>TEXT(Raw_Data!$A4609, "MMM")</f>
        <v>Apr</v>
      </c>
      <c r="C4609">
        <f>YEAR(Raw_Data!$A4609)</f>
        <v>2009</v>
      </c>
      <c r="D4609" t="s">
        <v>322</v>
      </c>
      <c r="E4609" t="s">
        <v>21</v>
      </c>
      <c r="F4609" t="s">
        <v>27</v>
      </c>
      <c r="G4609">
        <v>5</v>
      </c>
      <c r="H4609">
        <v>1072</v>
      </c>
      <c r="I4609" s="1">
        <v>721785</v>
      </c>
      <c r="J4609" s="1">
        <f>Raw_Data!$I4609/Raw_Data!$H4609</f>
        <v>673.30690298507466</v>
      </c>
    </row>
    <row r="4610" spans="1:10" x14ac:dyDescent="0.3">
      <c r="A4610" s="9">
        <v>42994</v>
      </c>
      <c r="B4610" s="2" t="str">
        <f>TEXT(Raw_Data!$A4610, "MMM")</f>
        <v>Sep</v>
      </c>
      <c r="C4610" s="2">
        <f>YEAR(Raw_Data!$A4610)</f>
        <v>2017</v>
      </c>
      <c r="D4610" s="2" t="s">
        <v>2888</v>
      </c>
      <c r="E4610" s="2" t="s">
        <v>25</v>
      </c>
      <c r="F4610" s="2" t="s">
        <v>18</v>
      </c>
      <c r="G4610" s="2"/>
      <c r="H4610" s="2">
        <v>1113</v>
      </c>
      <c r="I4610" s="10">
        <v>790890</v>
      </c>
      <c r="J4610" s="10">
        <f>Raw_Data!$I4610/Raw_Data!$H4610</f>
        <v>710.59299191374669</v>
      </c>
    </row>
    <row r="4611" spans="1:10" x14ac:dyDescent="0.3">
      <c r="A4611" s="8">
        <v>41611</v>
      </c>
      <c r="B4611" t="str">
        <f>TEXT(Raw_Data!$A4611, "MMM")</f>
        <v>Dec</v>
      </c>
      <c r="C4611">
        <f>YEAR(Raw_Data!$A4611)</f>
        <v>2013</v>
      </c>
      <c r="D4611" t="s">
        <v>746</v>
      </c>
      <c r="E4611" t="s">
        <v>23</v>
      </c>
      <c r="F4611" t="s">
        <v>18</v>
      </c>
      <c r="G4611">
        <v>3</v>
      </c>
      <c r="H4611">
        <v>3256</v>
      </c>
      <c r="I4611" s="1">
        <v>523602</v>
      </c>
      <c r="J4611" s="1">
        <f>Raw_Data!$I4611/Raw_Data!$H4611</f>
        <v>160.81142506142507</v>
      </c>
    </row>
    <row r="4612" spans="1:10" x14ac:dyDescent="0.3">
      <c r="A4612" s="9">
        <v>41486</v>
      </c>
      <c r="B4612" s="2" t="str">
        <f>TEXT(Raw_Data!$A4612, "MMM")</f>
        <v>Jul</v>
      </c>
      <c r="C4612" s="2">
        <f>YEAR(Raw_Data!$A4612)</f>
        <v>2013</v>
      </c>
      <c r="D4612" s="2" t="s">
        <v>2090</v>
      </c>
      <c r="E4612" s="2" t="s">
        <v>15</v>
      </c>
      <c r="F4612" s="2" t="s">
        <v>27</v>
      </c>
      <c r="G4612" s="2"/>
      <c r="H4612" s="2">
        <v>2163</v>
      </c>
      <c r="I4612" s="10">
        <v>898025</v>
      </c>
      <c r="J4612" s="10">
        <f>Raw_Data!$I4612/Raw_Data!$H4612</f>
        <v>415.17568192325473</v>
      </c>
    </row>
    <row r="4613" spans="1:10" x14ac:dyDescent="0.3">
      <c r="A4613" s="8">
        <v>39615</v>
      </c>
      <c r="B4613" t="str">
        <f>TEXT(Raw_Data!$A4613, "MMM")</f>
        <v>Jun</v>
      </c>
      <c r="C4613">
        <f>YEAR(Raw_Data!$A4613)</f>
        <v>2008</v>
      </c>
      <c r="D4613" t="s">
        <v>423</v>
      </c>
      <c r="E4613" t="s">
        <v>32</v>
      </c>
      <c r="F4613" t="s">
        <v>27</v>
      </c>
      <c r="H4613">
        <v>2247</v>
      </c>
      <c r="I4613" s="1">
        <v>432153</v>
      </c>
      <c r="J4613" s="1">
        <f>Raw_Data!$I4613/Raw_Data!$H4613</f>
        <v>192.32443257676903</v>
      </c>
    </row>
    <row r="4614" spans="1:10" x14ac:dyDescent="0.3">
      <c r="A4614" s="9">
        <v>43899</v>
      </c>
      <c r="B4614" s="2" t="str">
        <f>TEXT(Raw_Data!$A4614, "MMM")</f>
        <v>Mar</v>
      </c>
      <c r="C4614" s="2">
        <f>YEAR(Raw_Data!$A4614)</f>
        <v>2020</v>
      </c>
      <c r="D4614" s="2" t="s">
        <v>659</v>
      </c>
      <c r="E4614" s="2" t="s">
        <v>25</v>
      </c>
      <c r="F4614" s="2" t="s">
        <v>18</v>
      </c>
      <c r="G4614" s="2"/>
      <c r="H4614" s="2">
        <v>1908</v>
      </c>
      <c r="I4614" s="10">
        <v>849732</v>
      </c>
      <c r="J4614" s="10">
        <f>Raw_Data!$I4614/Raw_Data!$H4614</f>
        <v>445.35220125786162</v>
      </c>
    </row>
    <row r="4615" spans="1:10" x14ac:dyDescent="0.3">
      <c r="A4615" s="8">
        <v>39697</v>
      </c>
      <c r="B4615" t="str">
        <f>TEXT(Raw_Data!$A4615, "MMM")</f>
        <v>Sep</v>
      </c>
      <c r="C4615">
        <f>YEAR(Raw_Data!$A4615)</f>
        <v>2008</v>
      </c>
      <c r="D4615" t="s">
        <v>652</v>
      </c>
      <c r="E4615" t="s">
        <v>25</v>
      </c>
      <c r="F4615" t="s">
        <v>11</v>
      </c>
      <c r="H4615">
        <v>1770</v>
      </c>
      <c r="I4615" s="1">
        <v>718791</v>
      </c>
      <c r="J4615" s="1">
        <f>Raw_Data!$I4615/Raw_Data!$H4615</f>
        <v>406.0966101694915</v>
      </c>
    </row>
    <row r="4616" spans="1:10" x14ac:dyDescent="0.3">
      <c r="A4616" s="9">
        <v>42419</v>
      </c>
      <c r="B4616" s="2" t="str">
        <f>TEXT(Raw_Data!$A4616, "MMM")</f>
        <v>Feb</v>
      </c>
      <c r="C4616" s="2">
        <f>YEAR(Raw_Data!$A4616)</f>
        <v>2016</v>
      </c>
      <c r="D4616" s="2" t="s">
        <v>1235</v>
      </c>
      <c r="E4616" s="2" t="s">
        <v>25</v>
      </c>
      <c r="F4616" s="2" t="s">
        <v>18</v>
      </c>
      <c r="G4616" s="2"/>
      <c r="H4616" s="2">
        <v>2681</v>
      </c>
      <c r="I4616" s="10">
        <v>439293</v>
      </c>
      <c r="J4616" s="10">
        <f>Raw_Data!$I4616/Raw_Data!$H4616</f>
        <v>163.85415889593435</v>
      </c>
    </row>
    <row r="4617" spans="1:10" x14ac:dyDescent="0.3">
      <c r="A4617" s="8">
        <v>41638</v>
      </c>
      <c r="B4617" t="str">
        <f>TEXT(Raw_Data!$A4617, "MMM")</f>
        <v>Dec</v>
      </c>
      <c r="C4617">
        <f>YEAR(Raw_Data!$A4617)</f>
        <v>2013</v>
      </c>
      <c r="D4617" t="s">
        <v>2889</v>
      </c>
      <c r="E4617" t="s">
        <v>29</v>
      </c>
      <c r="F4617" t="s">
        <v>27</v>
      </c>
      <c r="G4617">
        <v>4</v>
      </c>
      <c r="H4617">
        <v>2704</v>
      </c>
      <c r="I4617" s="1">
        <v>593672</v>
      </c>
      <c r="J4617" s="1">
        <f>Raw_Data!$I4617/Raw_Data!$H4617</f>
        <v>219.55325443786981</v>
      </c>
    </row>
    <row r="4618" spans="1:10" x14ac:dyDescent="0.3">
      <c r="A4618" s="9">
        <v>38350</v>
      </c>
      <c r="B4618" s="2" t="str">
        <f>TEXT(Raw_Data!$A4618, "MMM")</f>
        <v>Dec</v>
      </c>
      <c r="C4618" s="2">
        <f>YEAR(Raw_Data!$A4618)</f>
        <v>2004</v>
      </c>
      <c r="D4618" s="2" t="s">
        <v>2334</v>
      </c>
      <c r="E4618" s="2" t="s">
        <v>15</v>
      </c>
      <c r="F4618" s="2" t="s">
        <v>16</v>
      </c>
      <c r="G4618" s="2"/>
      <c r="H4618" s="2">
        <v>1068</v>
      </c>
      <c r="I4618" s="10">
        <v>704385</v>
      </c>
      <c r="J4618" s="10">
        <f>Raw_Data!$I4618/Raw_Data!$H4618</f>
        <v>659.53651685393254</v>
      </c>
    </row>
    <row r="4619" spans="1:10" x14ac:dyDescent="0.3">
      <c r="A4619" s="8">
        <v>44106</v>
      </c>
      <c r="B4619" t="str">
        <f>TEXT(Raw_Data!$A4619, "MMM")</f>
        <v>Oct</v>
      </c>
      <c r="C4619">
        <f>YEAR(Raw_Data!$A4619)</f>
        <v>2020</v>
      </c>
      <c r="D4619" t="s">
        <v>2890</v>
      </c>
      <c r="E4619" t="s">
        <v>13</v>
      </c>
      <c r="F4619" t="s">
        <v>27</v>
      </c>
      <c r="G4619">
        <v>2</v>
      </c>
      <c r="H4619">
        <v>1858</v>
      </c>
      <c r="I4619" s="1">
        <v>508685</v>
      </c>
      <c r="J4619" s="1">
        <f>Raw_Data!$I4619/Raw_Data!$H4619</f>
        <v>273.78094725511301</v>
      </c>
    </row>
    <row r="4620" spans="1:10" x14ac:dyDescent="0.3">
      <c r="A4620" s="9">
        <v>38033</v>
      </c>
      <c r="B4620" s="2" t="str">
        <f>TEXT(Raw_Data!$A4620, "MMM")</f>
        <v>Feb</v>
      </c>
      <c r="C4620" s="2">
        <f>YEAR(Raw_Data!$A4620)</f>
        <v>2004</v>
      </c>
      <c r="D4620" s="2" t="s">
        <v>2891</v>
      </c>
      <c r="E4620" s="2" t="s">
        <v>32</v>
      </c>
      <c r="F4620" s="2" t="s">
        <v>18</v>
      </c>
      <c r="G4620" s="2">
        <v>2</v>
      </c>
      <c r="H4620" s="2">
        <v>1536</v>
      </c>
      <c r="I4620" s="10">
        <v>322285</v>
      </c>
      <c r="J4620" s="10">
        <f>Raw_Data!$I4620/Raw_Data!$H4620</f>
        <v>209.82096354166666</v>
      </c>
    </row>
    <row r="4621" spans="1:10" x14ac:dyDescent="0.3">
      <c r="A4621" s="8">
        <v>42151</v>
      </c>
      <c r="B4621" t="str">
        <f>TEXT(Raw_Data!$A4621, "MMM")</f>
        <v>May</v>
      </c>
      <c r="C4621">
        <f>YEAR(Raw_Data!$A4621)</f>
        <v>2015</v>
      </c>
      <c r="D4621" t="s">
        <v>2892</v>
      </c>
      <c r="E4621" t="s">
        <v>32</v>
      </c>
      <c r="F4621" t="s">
        <v>18</v>
      </c>
      <c r="G4621">
        <v>4</v>
      </c>
      <c r="H4621">
        <v>3115</v>
      </c>
      <c r="I4621" s="1">
        <v>626806</v>
      </c>
      <c r="J4621" s="1">
        <f>Raw_Data!$I4621/Raw_Data!$H4621</f>
        <v>201.22182985553772</v>
      </c>
    </row>
    <row r="4622" spans="1:10" x14ac:dyDescent="0.3">
      <c r="A4622" s="9">
        <v>41269</v>
      </c>
      <c r="B4622" s="2" t="str">
        <f>TEXT(Raw_Data!$A4622, "MMM")</f>
        <v>Dec</v>
      </c>
      <c r="C4622" s="2">
        <f>YEAR(Raw_Data!$A4622)</f>
        <v>2012</v>
      </c>
      <c r="D4622" s="2" t="s">
        <v>2893</v>
      </c>
      <c r="E4622" s="2" t="s">
        <v>32</v>
      </c>
      <c r="F4622" s="2" t="s">
        <v>11</v>
      </c>
      <c r="G4622" s="2">
        <v>2</v>
      </c>
      <c r="H4622" s="2">
        <v>2419</v>
      </c>
      <c r="I4622" s="10">
        <v>852441</v>
      </c>
      <c r="J4622" s="10">
        <f>Raw_Data!$I4622/Raw_Data!$H4622</f>
        <v>352.39396444811905</v>
      </c>
    </row>
    <row r="4623" spans="1:10" x14ac:dyDescent="0.3">
      <c r="A4623" s="8">
        <v>41669</v>
      </c>
      <c r="B4623" t="str">
        <f>TEXT(Raw_Data!$A4623, "MMM")</f>
        <v>Jan</v>
      </c>
      <c r="C4623">
        <f>YEAR(Raw_Data!$A4623)</f>
        <v>2014</v>
      </c>
      <c r="D4623" t="s">
        <v>2894</v>
      </c>
      <c r="E4623" t="s">
        <v>15</v>
      </c>
      <c r="F4623" t="s">
        <v>27</v>
      </c>
      <c r="G4623">
        <v>2</v>
      </c>
      <c r="H4623">
        <v>1971</v>
      </c>
      <c r="I4623" s="1">
        <v>868956</v>
      </c>
      <c r="J4623" s="1">
        <f>Raw_Data!$I4623/Raw_Data!$H4623</f>
        <v>440.87062404870625</v>
      </c>
    </row>
    <row r="4624" spans="1:10" x14ac:dyDescent="0.3">
      <c r="A4624" s="9">
        <v>43018</v>
      </c>
      <c r="B4624" s="2" t="str">
        <f>TEXT(Raw_Data!$A4624, "MMM")</f>
        <v>Oct</v>
      </c>
      <c r="C4624" s="2">
        <f>YEAR(Raw_Data!$A4624)</f>
        <v>2017</v>
      </c>
      <c r="D4624" s="2" t="s">
        <v>2895</v>
      </c>
      <c r="E4624" s="2" t="s">
        <v>21</v>
      </c>
      <c r="F4624" s="2" t="s">
        <v>18</v>
      </c>
      <c r="G4624" s="2"/>
      <c r="H4624" s="2">
        <v>3190</v>
      </c>
      <c r="I4624" s="10">
        <v>872995</v>
      </c>
      <c r="J4624" s="10">
        <f>Raw_Data!$I4624/Raw_Data!$H4624</f>
        <v>273.66614420062695</v>
      </c>
    </row>
    <row r="4625" spans="1:10" x14ac:dyDescent="0.3">
      <c r="A4625" s="8">
        <v>38170</v>
      </c>
      <c r="B4625" t="str">
        <f>TEXT(Raw_Data!$A4625, "MMM")</f>
        <v>Jul</v>
      </c>
      <c r="C4625">
        <f>YEAR(Raw_Data!$A4625)</f>
        <v>2004</v>
      </c>
      <c r="D4625" t="s">
        <v>2896</v>
      </c>
      <c r="E4625" t="s">
        <v>15</v>
      </c>
      <c r="F4625" t="s">
        <v>27</v>
      </c>
      <c r="G4625">
        <v>3</v>
      </c>
      <c r="H4625">
        <v>3169</v>
      </c>
      <c r="I4625" s="1">
        <v>225290</v>
      </c>
      <c r="J4625" s="1">
        <f>Raw_Data!$I4625/Raw_Data!$H4625</f>
        <v>71.091827074787005</v>
      </c>
    </row>
    <row r="4626" spans="1:10" x14ac:dyDescent="0.3">
      <c r="A4626" s="9">
        <v>40473</v>
      </c>
      <c r="B4626" s="2" t="str">
        <f>TEXT(Raw_Data!$A4626, "MMM")</f>
        <v>Oct</v>
      </c>
      <c r="C4626" s="2">
        <f>YEAR(Raw_Data!$A4626)</f>
        <v>2010</v>
      </c>
      <c r="D4626" s="2" t="s">
        <v>1056</v>
      </c>
      <c r="E4626" s="2" t="s">
        <v>25</v>
      </c>
      <c r="F4626" s="2" t="s">
        <v>16</v>
      </c>
      <c r="G4626" s="2"/>
      <c r="H4626" s="2">
        <v>1908</v>
      </c>
      <c r="I4626" s="10">
        <v>138157</v>
      </c>
      <c r="J4626" s="10">
        <f>Raw_Data!$I4626/Raw_Data!$H4626</f>
        <v>72.40932914046121</v>
      </c>
    </row>
    <row r="4627" spans="1:10" x14ac:dyDescent="0.3">
      <c r="A4627" s="8">
        <v>43346</v>
      </c>
      <c r="B4627" t="str">
        <f>TEXT(Raw_Data!$A4627, "MMM")</f>
        <v>Sep</v>
      </c>
      <c r="C4627">
        <f>YEAR(Raw_Data!$A4627)</f>
        <v>2018</v>
      </c>
      <c r="D4627" t="s">
        <v>1369</v>
      </c>
      <c r="E4627" t="s">
        <v>15</v>
      </c>
      <c r="F4627" t="s">
        <v>18</v>
      </c>
      <c r="H4627">
        <v>3079</v>
      </c>
      <c r="I4627" s="1">
        <v>769615</v>
      </c>
      <c r="J4627" s="1">
        <f>Raw_Data!$I4627/Raw_Data!$H4627</f>
        <v>249.95615459564794</v>
      </c>
    </row>
    <row r="4628" spans="1:10" x14ac:dyDescent="0.3">
      <c r="A4628" s="9">
        <v>41813</v>
      </c>
      <c r="B4628" s="2" t="str">
        <f>TEXT(Raw_Data!$A4628, "MMM")</f>
        <v>Jun</v>
      </c>
      <c r="C4628" s="2">
        <f>YEAR(Raw_Data!$A4628)</f>
        <v>2014</v>
      </c>
      <c r="D4628" s="2" t="s">
        <v>2492</v>
      </c>
      <c r="E4628" s="2" t="s">
        <v>23</v>
      </c>
      <c r="F4628" s="2" t="s">
        <v>18</v>
      </c>
      <c r="G4628" s="2">
        <v>4</v>
      </c>
      <c r="H4628" s="2">
        <v>1794</v>
      </c>
      <c r="I4628" s="10">
        <v>742517</v>
      </c>
      <c r="J4628" s="10">
        <f>Raw_Data!$I4628/Raw_Data!$H4628</f>
        <v>413.88907469342251</v>
      </c>
    </row>
    <row r="4629" spans="1:10" x14ac:dyDescent="0.3">
      <c r="A4629" s="8">
        <v>39588</v>
      </c>
      <c r="B4629" t="str">
        <f>TEXT(Raw_Data!$A4629, "MMM")</f>
        <v>May</v>
      </c>
      <c r="C4629">
        <f>YEAR(Raw_Data!$A4629)</f>
        <v>2008</v>
      </c>
      <c r="D4629" t="s">
        <v>2226</v>
      </c>
      <c r="E4629" t="s">
        <v>15</v>
      </c>
      <c r="F4629" t="s">
        <v>16</v>
      </c>
      <c r="G4629">
        <v>3</v>
      </c>
      <c r="H4629">
        <v>941</v>
      </c>
      <c r="I4629" s="1">
        <v>701620</v>
      </c>
      <c r="J4629" s="1">
        <f>Raw_Data!$I4629/Raw_Data!$H4629</f>
        <v>745.61105207226353</v>
      </c>
    </row>
    <row r="4630" spans="1:10" x14ac:dyDescent="0.3">
      <c r="A4630" s="9">
        <v>43235</v>
      </c>
      <c r="B4630" s="2" t="str">
        <f>TEXT(Raw_Data!$A4630, "MMM")</f>
        <v>May</v>
      </c>
      <c r="C4630" s="2">
        <f>YEAR(Raw_Data!$A4630)</f>
        <v>2018</v>
      </c>
      <c r="D4630" s="2" t="s">
        <v>2530</v>
      </c>
      <c r="E4630" s="2" t="s">
        <v>32</v>
      </c>
      <c r="F4630" s="2" t="s">
        <v>16</v>
      </c>
      <c r="G4630" s="2">
        <v>4</v>
      </c>
      <c r="H4630" s="2">
        <v>3076</v>
      </c>
      <c r="I4630" s="10">
        <v>107191</v>
      </c>
      <c r="J4630" s="10">
        <f>Raw_Data!$I4630/Raw_Data!$H4630</f>
        <v>34.847529258777634</v>
      </c>
    </row>
    <row r="4631" spans="1:10" x14ac:dyDescent="0.3">
      <c r="A4631" s="8">
        <v>41650</v>
      </c>
      <c r="B4631" t="str">
        <f>TEXT(Raw_Data!$A4631, "MMM")</f>
        <v>Jan</v>
      </c>
      <c r="C4631">
        <f>YEAR(Raw_Data!$A4631)</f>
        <v>2014</v>
      </c>
      <c r="D4631" t="s">
        <v>2897</v>
      </c>
      <c r="E4631" t="s">
        <v>25</v>
      </c>
      <c r="F4631" t="s">
        <v>16</v>
      </c>
      <c r="H4631">
        <v>2260</v>
      </c>
      <c r="I4631" s="1">
        <v>671057</v>
      </c>
      <c r="J4631" s="1">
        <f>Raw_Data!$I4631/Raw_Data!$H4631</f>
        <v>296.92787610619467</v>
      </c>
    </row>
    <row r="4632" spans="1:10" x14ac:dyDescent="0.3">
      <c r="A4632" s="9">
        <v>37628</v>
      </c>
      <c r="B4632" s="2" t="str">
        <f>TEXT(Raw_Data!$A4632, "MMM")</f>
        <v>Jan</v>
      </c>
      <c r="C4632" s="2">
        <f>YEAR(Raw_Data!$A4632)</f>
        <v>2003</v>
      </c>
      <c r="D4632" s="2" t="s">
        <v>1665</v>
      </c>
      <c r="E4632" s="2" t="s">
        <v>25</v>
      </c>
      <c r="F4632" s="2" t="s">
        <v>18</v>
      </c>
      <c r="G4632" s="2">
        <v>4</v>
      </c>
      <c r="H4632" s="2">
        <v>1475</v>
      </c>
      <c r="I4632" s="10">
        <v>296886</v>
      </c>
      <c r="J4632" s="10">
        <f>Raw_Data!$I4632/Raw_Data!$H4632</f>
        <v>201.27864406779662</v>
      </c>
    </row>
    <row r="4633" spans="1:10" x14ac:dyDescent="0.3">
      <c r="A4633" s="8">
        <v>39678</v>
      </c>
      <c r="B4633" t="str">
        <f>TEXT(Raw_Data!$A4633, "MMM")</f>
        <v>Aug</v>
      </c>
      <c r="C4633">
        <f>YEAR(Raw_Data!$A4633)</f>
        <v>2008</v>
      </c>
      <c r="D4633" t="s">
        <v>2898</v>
      </c>
      <c r="E4633" t="s">
        <v>23</v>
      </c>
      <c r="F4633" t="s">
        <v>16</v>
      </c>
      <c r="G4633">
        <v>5</v>
      </c>
      <c r="H4633">
        <v>2974</v>
      </c>
      <c r="I4633" s="1">
        <v>767850</v>
      </c>
      <c r="J4633" s="1">
        <f>Raw_Data!$I4633/Raw_Data!$H4633</f>
        <v>258.18762609280429</v>
      </c>
    </row>
    <row r="4634" spans="1:10" x14ac:dyDescent="0.3">
      <c r="A4634" s="9">
        <v>43626</v>
      </c>
      <c r="B4634" s="2" t="str">
        <f>TEXT(Raw_Data!$A4634, "MMM")</f>
        <v>Jun</v>
      </c>
      <c r="C4634" s="2">
        <f>YEAR(Raw_Data!$A4634)</f>
        <v>2019</v>
      </c>
      <c r="D4634" s="2" t="s">
        <v>2899</v>
      </c>
      <c r="E4634" s="2" t="s">
        <v>32</v>
      </c>
      <c r="F4634" s="2" t="s">
        <v>16</v>
      </c>
      <c r="G4634" s="2">
        <v>2</v>
      </c>
      <c r="H4634" s="2">
        <v>2755</v>
      </c>
      <c r="I4634" s="10">
        <v>655512</v>
      </c>
      <c r="J4634" s="10">
        <f>Raw_Data!$I4634/Raw_Data!$H4634</f>
        <v>237.93539019963703</v>
      </c>
    </row>
    <row r="4635" spans="1:10" x14ac:dyDescent="0.3">
      <c r="A4635" s="8">
        <v>37920</v>
      </c>
      <c r="B4635" t="str">
        <f>TEXT(Raw_Data!$A4635, "MMM")</f>
        <v>Oct</v>
      </c>
      <c r="C4635">
        <f>YEAR(Raw_Data!$A4635)</f>
        <v>2003</v>
      </c>
      <c r="D4635" t="s">
        <v>149</v>
      </c>
      <c r="E4635" t="s">
        <v>29</v>
      </c>
      <c r="F4635" t="s">
        <v>16</v>
      </c>
      <c r="H4635">
        <v>948</v>
      </c>
      <c r="I4635" s="1">
        <v>101100</v>
      </c>
      <c r="J4635" s="1">
        <f>Raw_Data!$I4635/Raw_Data!$H4635</f>
        <v>106.64556962025317</v>
      </c>
    </row>
    <row r="4636" spans="1:10" x14ac:dyDescent="0.3">
      <c r="A4636" s="9">
        <v>42448</v>
      </c>
      <c r="B4636" s="2" t="str">
        <f>TEXT(Raw_Data!$A4636, "MMM")</f>
        <v>Mar</v>
      </c>
      <c r="C4636" s="2">
        <f>YEAR(Raw_Data!$A4636)</f>
        <v>2016</v>
      </c>
      <c r="D4636" s="2" t="s">
        <v>1371</v>
      </c>
      <c r="E4636" s="2" t="s">
        <v>29</v>
      </c>
      <c r="F4636" s="2" t="s">
        <v>11</v>
      </c>
      <c r="G4636" s="2">
        <v>4</v>
      </c>
      <c r="H4636" s="2">
        <v>1767</v>
      </c>
      <c r="I4636" s="10">
        <v>261400</v>
      </c>
      <c r="J4636" s="10">
        <f>Raw_Data!$I4636/Raw_Data!$H4636</f>
        <v>147.93435200905489</v>
      </c>
    </row>
    <row r="4637" spans="1:10" x14ac:dyDescent="0.3">
      <c r="A4637" s="8">
        <v>40611</v>
      </c>
      <c r="B4637" t="str">
        <f>TEXT(Raw_Data!$A4637, "MMM")</f>
        <v>Mar</v>
      </c>
      <c r="C4637">
        <f>YEAR(Raw_Data!$A4637)</f>
        <v>2011</v>
      </c>
      <c r="D4637" t="s">
        <v>2900</v>
      </c>
      <c r="E4637" t="s">
        <v>15</v>
      </c>
      <c r="F4637" t="s">
        <v>18</v>
      </c>
      <c r="G4637">
        <v>2</v>
      </c>
      <c r="H4637">
        <v>1629</v>
      </c>
      <c r="I4637" s="1">
        <v>212012</v>
      </c>
      <c r="J4637" s="1">
        <f>Raw_Data!$I4637/Raw_Data!$H4637</f>
        <v>130.14855739717618</v>
      </c>
    </row>
    <row r="4638" spans="1:10" x14ac:dyDescent="0.3">
      <c r="A4638" s="9">
        <v>40079</v>
      </c>
      <c r="B4638" s="2" t="str">
        <f>TEXT(Raw_Data!$A4638, "MMM")</f>
        <v>Sep</v>
      </c>
      <c r="C4638" s="2">
        <f>YEAR(Raw_Data!$A4638)</f>
        <v>2009</v>
      </c>
      <c r="D4638" s="2" t="s">
        <v>2901</v>
      </c>
      <c r="E4638" s="2" t="s">
        <v>29</v>
      </c>
      <c r="F4638" s="2" t="s">
        <v>27</v>
      </c>
      <c r="G4638" s="2"/>
      <c r="H4638" s="2">
        <v>2438</v>
      </c>
      <c r="I4638" s="10"/>
      <c r="J4638" s="10">
        <f>Raw_Data!$I4638/Raw_Data!$H4638</f>
        <v>0</v>
      </c>
    </row>
    <row r="4639" spans="1:10" x14ac:dyDescent="0.3">
      <c r="A4639" s="8">
        <v>37745</v>
      </c>
      <c r="B4639" t="str">
        <f>TEXT(Raw_Data!$A4639, "MMM")</f>
        <v>May</v>
      </c>
      <c r="C4639">
        <f>YEAR(Raw_Data!$A4639)</f>
        <v>2003</v>
      </c>
      <c r="D4639" t="s">
        <v>2902</v>
      </c>
      <c r="E4639" t="s">
        <v>13</v>
      </c>
      <c r="F4639" t="s">
        <v>11</v>
      </c>
      <c r="G4639">
        <v>5</v>
      </c>
      <c r="H4639">
        <v>2764</v>
      </c>
      <c r="I4639" s="1">
        <v>451715</v>
      </c>
      <c r="J4639" s="1">
        <f>Raw_Data!$I4639/Raw_Data!$H4639</f>
        <v>163.42800289435601</v>
      </c>
    </row>
    <row r="4640" spans="1:10" x14ac:dyDescent="0.3">
      <c r="A4640" s="9">
        <v>42422</v>
      </c>
      <c r="B4640" s="2" t="str">
        <f>TEXT(Raw_Data!$A4640, "MMM")</f>
        <v>Feb</v>
      </c>
      <c r="C4640" s="2">
        <f>YEAR(Raw_Data!$A4640)</f>
        <v>2016</v>
      </c>
      <c r="D4640" s="2" t="s">
        <v>2903</v>
      </c>
      <c r="E4640" s="2" t="s">
        <v>29</v>
      </c>
      <c r="F4640" s="2" t="s">
        <v>27</v>
      </c>
      <c r="G4640" s="2">
        <v>4</v>
      </c>
      <c r="H4640" s="2">
        <v>2473</v>
      </c>
      <c r="I4640" s="10">
        <v>595527</v>
      </c>
      <c r="J4640" s="10">
        <f>Raw_Data!$I4640/Raw_Data!$H4640</f>
        <v>240.81156490093005</v>
      </c>
    </row>
    <row r="4641" spans="1:10" x14ac:dyDescent="0.3">
      <c r="A4641" s="8">
        <v>42298</v>
      </c>
      <c r="B4641" t="str">
        <f>TEXT(Raw_Data!$A4641, "MMM")</f>
        <v>Oct</v>
      </c>
      <c r="C4641">
        <f>YEAR(Raw_Data!$A4641)</f>
        <v>2015</v>
      </c>
      <c r="D4641" t="s">
        <v>2904</v>
      </c>
      <c r="E4641" t="s">
        <v>29</v>
      </c>
      <c r="F4641" t="s">
        <v>27</v>
      </c>
      <c r="G4641">
        <v>4</v>
      </c>
      <c r="H4641">
        <v>1016</v>
      </c>
      <c r="I4641" s="1">
        <v>591264</v>
      </c>
      <c r="J4641" s="1">
        <f>Raw_Data!$I4641/Raw_Data!$H4641</f>
        <v>581.95275590551182</v>
      </c>
    </row>
    <row r="4642" spans="1:10" x14ac:dyDescent="0.3">
      <c r="A4642" s="9">
        <v>42350</v>
      </c>
      <c r="B4642" s="2" t="str">
        <f>TEXT(Raw_Data!$A4642, "MMM")</f>
        <v>Dec</v>
      </c>
      <c r="C4642" s="2">
        <f>YEAR(Raw_Data!$A4642)</f>
        <v>2015</v>
      </c>
      <c r="D4642" s="2" t="s">
        <v>889</v>
      </c>
      <c r="E4642" s="2" t="s">
        <v>25</v>
      </c>
      <c r="F4642" s="2" t="s">
        <v>11</v>
      </c>
      <c r="G4642" s="2">
        <v>4</v>
      </c>
      <c r="H4642" s="2">
        <v>3431</v>
      </c>
      <c r="I4642" s="10">
        <v>126203</v>
      </c>
      <c r="J4642" s="10">
        <f>Raw_Data!$I4642/Raw_Data!$H4642</f>
        <v>36.783153599533662</v>
      </c>
    </row>
    <row r="4643" spans="1:10" x14ac:dyDescent="0.3">
      <c r="A4643" s="8">
        <v>41269</v>
      </c>
      <c r="B4643" t="str">
        <f>TEXT(Raw_Data!$A4643, "MMM")</f>
        <v>Dec</v>
      </c>
      <c r="C4643">
        <f>YEAR(Raw_Data!$A4643)</f>
        <v>2012</v>
      </c>
      <c r="D4643" t="s">
        <v>1521</v>
      </c>
      <c r="E4643" t="s">
        <v>23</v>
      </c>
      <c r="F4643" t="s">
        <v>27</v>
      </c>
      <c r="G4643">
        <v>2</v>
      </c>
      <c r="H4643">
        <v>2685</v>
      </c>
      <c r="I4643" s="1">
        <v>689193</v>
      </c>
      <c r="J4643" s="1">
        <f>Raw_Data!$I4643/Raw_Data!$H4643</f>
        <v>256.6826815642458</v>
      </c>
    </row>
    <row r="4644" spans="1:10" x14ac:dyDescent="0.3">
      <c r="A4644" s="9">
        <v>38386</v>
      </c>
      <c r="B4644" s="2" t="str">
        <f>TEXT(Raw_Data!$A4644, "MMM")</f>
        <v>Feb</v>
      </c>
      <c r="C4644" s="2">
        <f>YEAR(Raw_Data!$A4644)</f>
        <v>2005</v>
      </c>
      <c r="D4644" s="2" t="s">
        <v>1786</v>
      </c>
      <c r="E4644" s="2" t="s">
        <v>13</v>
      </c>
      <c r="F4644" s="2" t="s">
        <v>27</v>
      </c>
      <c r="G4644" s="2">
        <v>5</v>
      </c>
      <c r="H4644" s="2">
        <v>919</v>
      </c>
      <c r="I4644" s="10">
        <v>680714</v>
      </c>
      <c r="J4644" s="10">
        <f>Raw_Data!$I4644/Raw_Data!$H4644</f>
        <v>740.71164309031553</v>
      </c>
    </row>
    <row r="4645" spans="1:10" x14ac:dyDescent="0.3">
      <c r="A4645" s="8">
        <v>41608</v>
      </c>
      <c r="B4645" t="str">
        <f>TEXT(Raw_Data!$A4645, "MMM")</f>
        <v>Nov</v>
      </c>
      <c r="C4645">
        <f>YEAR(Raw_Data!$A4645)</f>
        <v>2013</v>
      </c>
      <c r="D4645" t="s">
        <v>2138</v>
      </c>
      <c r="E4645" t="s">
        <v>15</v>
      </c>
      <c r="F4645" t="s">
        <v>11</v>
      </c>
      <c r="H4645">
        <v>1761</v>
      </c>
      <c r="I4645" s="1">
        <v>696751</v>
      </c>
      <c r="J4645" s="1">
        <f>Raw_Data!$I4645/Raw_Data!$H4645</f>
        <v>395.65644520159003</v>
      </c>
    </row>
    <row r="4646" spans="1:10" x14ac:dyDescent="0.3">
      <c r="A4646" s="9">
        <v>38787</v>
      </c>
      <c r="B4646" s="2" t="str">
        <f>TEXT(Raw_Data!$A4646, "MMM")</f>
        <v>Mar</v>
      </c>
      <c r="C4646" s="2">
        <f>YEAR(Raw_Data!$A4646)</f>
        <v>2006</v>
      </c>
      <c r="D4646" s="2" t="s">
        <v>1492</v>
      </c>
      <c r="E4646" s="2" t="s">
        <v>32</v>
      </c>
      <c r="F4646" s="2" t="s">
        <v>16</v>
      </c>
      <c r="G4646" s="2">
        <v>4</v>
      </c>
      <c r="H4646" s="2">
        <v>2597</v>
      </c>
      <c r="I4646" s="10">
        <v>433500</v>
      </c>
      <c r="J4646" s="10">
        <f>Raw_Data!$I4646/Raw_Data!$H4646</f>
        <v>166.92337312283405</v>
      </c>
    </row>
    <row r="4647" spans="1:10" x14ac:dyDescent="0.3">
      <c r="A4647" s="8">
        <v>40793</v>
      </c>
      <c r="B4647" t="str">
        <f>TEXT(Raw_Data!$A4647, "MMM")</f>
        <v>Sep</v>
      </c>
      <c r="C4647">
        <f>YEAR(Raw_Data!$A4647)</f>
        <v>2011</v>
      </c>
      <c r="D4647" t="s">
        <v>742</v>
      </c>
      <c r="E4647" t="s">
        <v>25</v>
      </c>
      <c r="F4647" t="s">
        <v>27</v>
      </c>
      <c r="G4647">
        <v>2</v>
      </c>
      <c r="H4647">
        <v>1864</v>
      </c>
      <c r="I4647" s="1">
        <v>595862</v>
      </c>
      <c r="J4647" s="1">
        <f>Raw_Data!$I4647/Raw_Data!$H4647</f>
        <v>319.66845493562232</v>
      </c>
    </row>
    <row r="4648" spans="1:10" x14ac:dyDescent="0.3">
      <c r="A4648" s="9">
        <v>43283</v>
      </c>
      <c r="B4648" s="2" t="str">
        <f>TEXT(Raw_Data!$A4648, "MMM")</f>
        <v>Jul</v>
      </c>
      <c r="C4648" s="2">
        <f>YEAR(Raw_Data!$A4648)</f>
        <v>2018</v>
      </c>
      <c r="D4648" s="2" t="s">
        <v>2454</v>
      </c>
      <c r="E4648" s="2" t="s">
        <v>13</v>
      </c>
      <c r="F4648" s="2" t="s">
        <v>18</v>
      </c>
      <c r="G4648" s="2"/>
      <c r="H4648" s="2">
        <v>2869</v>
      </c>
      <c r="I4648" s="10">
        <v>382254</v>
      </c>
      <c r="J4648" s="10">
        <f>Raw_Data!$I4648/Raw_Data!$H4648</f>
        <v>133.23597072150574</v>
      </c>
    </row>
    <row r="4649" spans="1:10" x14ac:dyDescent="0.3">
      <c r="A4649" s="8">
        <v>38482</v>
      </c>
      <c r="B4649" t="str">
        <f>TEXT(Raw_Data!$A4649, "MMM")</f>
        <v>May</v>
      </c>
      <c r="C4649">
        <f>YEAR(Raw_Data!$A4649)</f>
        <v>2005</v>
      </c>
      <c r="D4649" t="s">
        <v>2905</v>
      </c>
      <c r="E4649" t="s">
        <v>23</v>
      </c>
      <c r="F4649" t="s">
        <v>11</v>
      </c>
      <c r="G4649">
        <v>3</v>
      </c>
      <c r="H4649">
        <v>2093</v>
      </c>
      <c r="I4649" s="1">
        <v>259573</v>
      </c>
      <c r="J4649" s="1">
        <f>Raw_Data!$I4649/Raw_Data!$H4649</f>
        <v>124.01958910654562</v>
      </c>
    </row>
    <row r="4650" spans="1:10" x14ac:dyDescent="0.3">
      <c r="A4650" s="9">
        <v>38131</v>
      </c>
      <c r="B4650" s="2" t="str">
        <f>TEXT(Raw_Data!$A4650, "MMM")</f>
        <v>May</v>
      </c>
      <c r="C4650" s="2">
        <f>YEAR(Raw_Data!$A4650)</f>
        <v>2004</v>
      </c>
      <c r="D4650" s="2" t="s">
        <v>863</v>
      </c>
      <c r="E4650" s="2" t="s">
        <v>23</v>
      </c>
      <c r="F4650" s="2" t="s">
        <v>16</v>
      </c>
      <c r="G4650" s="2"/>
      <c r="H4650" s="2">
        <v>2181</v>
      </c>
      <c r="I4650" s="10">
        <v>864012</v>
      </c>
      <c r="J4650" s="10">
        <f>Raw_Data!$I4650/Raw_Data!$H4650</f>
        <v>396.15405777166438</v>
      </c>
    </row>
    <row r="4651" spans="1:10" x14ac:dyDescent="0.3">
      <c r="A4651" s="8">
        <v>37060</v>
      </c>
      <c r="B4651" t="str">
        <f>TEXT(Raw_Data!$A4651, "MMM")</f>
        <v>Jun</v>
      </c>
      <c r="C4651">
        <f>YEAR(Raw_Data!$A4651)</f>
        <v>2001</v>
      </c>
      <c r="D4651" t="s">
        <v>2906</v>
      </c>
      <c r="E4651" t="s">
        <v>32</v>
      </c>
      <c r="F4651" t="s">
        <v>27</v>
      </c>
      <c r="H4651">
        <v>2701</v>
      </c>
      <c r="I4651" s="1">
        <v>471522</v>
      </c>
      <c r="J4651" s="1">
        <f>Raw_Data!$I4651/Raw_Data!$H4651</f>
        <v>174.57312106627174</v>
      </c>
    </row>
    <row r="4652" spans="1:10" x14ac:dyDescent="0.3">
      <c r="A4652" s="9">
        <v>42389</v>
      </c>
      <c r="B4652" s="2" t="str">
        <f>TEXT(Raw_Data!$A4652, "MMM")</f>
        <v>Jan</v>
      </c>
      <c r="C4652" s="2">
        <f>YEAR(Raw_Data!$A4652)</f>
        <v>2016</v>
      </c>
      <c r="D4652" s="2" t="s">
        <v>83</v>
      </c>
      <c r="E4652" s="2" t="s">
        <v>25</v>
      </c>
      <c r="F4652" s="2" t="s">
        <v>16</v>
      </c>
      <c r="G4652" s="2"/>
      <c r="H4652" s="2">
        <v>2962</v>
      </c>
      <c r="I4652" s="10">
        <v>280239</v>
      </c>
      <c r="J4652" s="10">
        <f>Raw_Data!$I4652/Raw_Data!$H4652</f>
        <v>94.611411208642807</v>
      </c>
    </row>
    <row r="4653" spans="1:10" x14ac:dyDescent="0.3">
      <c r="A4653" s="8">
        <v>41571</v>
      </c>
      <c r="B4653" t="str">
        <f>TEXT(Raw_Data!$A4653, "MMM")</f>
        <v>Oct</v>
      </c>
      <c r="C4653">
        <f>YEAR(Raw_Data!$A4653)</f>
        <v>2013</v>
      </c>
      <c r="D4653" t="s">
        <v>273</v>
      </c>
      <c r="E4653" t="s">
        <v>21</v>
      </c>
      <c r="F4653" t="s">
        <v>18</v>
      </c>
      <c r="G4653">
        <v>4</v>
      </c>
      <c r="H4653">
        <v>2434</v>
      </c>
      <c r="I4653" s="1">
        <v>339070</v>
      </c>
      <c r="J4653" s="1">
        <f>Raw_Data!$I4653/Raw_Data!$H4653</f>
        <v>139.30566967953985</v>
      </c>
    </row>
    <row r="4654" spans="1:10" x14ac:dyDescent="0.3">
      <c r="A4654" s="9">
        <v>42726</v>
      </c>
      <c r="B4654" s="2" t="str">
        <f>TEXT(Raw_Data!$A4654, "MMM")</f>
        <v>Dec</v>
      </c>
      <c r="C4654" s="2">
        <f>YEAR(Raw_Data!$A4654)</f>
        <v>2016</v>
      </c>
      <c r="D4654" s="2" t="s">
        <v>926</v>
      </c>
      <c r="E4654" s="2" t="s">
        <v>32</v>
      </c>
      <c r="F4654" s="2" t="s">
        <v>27</v>
      </c>
      <c r="G4654" s="2">
        <v>3</v>
      </c>
      <c r="H4654" s="2">
        <v>1534</v>
      </c>
      <c r="I4654" s="10">
        <v>472809</v>
      </c>
      <c r="J4654" s="10">
        <f>Raw_Data!$I4654/Raw_Data!$H4654</f>
        <v>308.21968709256845</v>
      </c>
    </row>
    <row r="4655" spans="1:10" x14ac:dyDescent="0.3">
      <c r="A4655" s="8">
        <v>40672</v>
      </c>
      <c r="B4655" t="str">
        <f>TEXT(Raw_Data!$A4655, "MMM")</f>
        <v>May</v>
      </c>
      <c r="C4655">
        <f>YEAR(Raw_Data!$A4655)</f>
        <v>2011</v>
      </c>
      <c r="D4655" t="s">
        <v>1268</v>
      </c>
      <c r="E4655" t="s">
        <v>23</v>
      </c>
      <c r="F4655" t="s">
        <v>16</v>
      </c>
      <c r="G4655">
        <v>3</v>
      </c>
      <c r="H4655">
        <v>3272</v>
      </c>
      <c r="I4655" s="1">
        <v>694787</v>
      </c>
      <c r="J4655" s="1">
        <f>Raw_Data!$I4655/Raw_Data!$H4655</f>
        <v>212.34321515892421</v>
      </c>
    </row>
    <row r="4656" spans="1:10" x14ac:dyDescent="0.3">
      <c r="A4656" s="9">
        <v>44085</v>
      </c>
      <c r="B4656" s="2" t="str">
        <f>TEXT(Raw_Data!$A4656, "MMM")</f>
        <v>Sep</v>
      </c>
      <c r="C4656" s="2">
        <f>YEAR(Raw_Data!$A4656)</f>
        <v>2020</v>
      </c>
      <c r="D4656" s="2" t="s">
        <v>1437</v>
      </c>
      <c r="E4656" s="2" t="s">
        <v>15</v>
      </c>
      <c r="F4656" s="2" t="s">
        <v>27</v>
      </c>
      <c r="G4656" s="2"/>
      <c r="H4656" s="2">
        <v>1823</v>
      </c>
      <c r="I4656" s="10">
        <v>625807</v>
      </c>
      <c r="J4656" s="10">
        <f>Raw_Data!$I4656/Raw_Data!$H4656</f>
        <v>343.28414701042237</v>
      </c>
    </row>
    <row r="4657" spans="1:10" x14ac:dyDescent="0.3">
      <c r="A4657" s="8">
        <v>38909</v>
      </c>
      <c r="B4657" t="str">
        <f>TEXT(Raw_Data!$A4657, "MMM")</f>
        <v>Jul</v>
      </c>
      <c r="C4657">
        <f>YEAR(Raw_Data!$A4657)</f>
        <v>2006</v>
      </c>
      <c r="D4657" t="s">
        <v>1902</v>
      </c>
      <c r="E4657" t="s">
        <v>23</v>
      </c>
      <c r="F4657" t="s">
        <v>18</v>
      </c>
      <c r="H4657">
        <v>2915</v>
      </c>
      <c r="I4657" s="1">
        <v>791007</v>
      </c>
      <c r="J4657" s="1">
        <f>Raw_Data!$I4657/Raw_Data!$H4657</f>
        <v>271.35746140651798</v>
      </c>
    </row>
    <row r="4658" spans="1:10" x14ac:dyDescent="0.3">
      <c r="A4658" s="9">
        <v>37026</v>
      </c>
      <c r="B4658" s="2" t="str">
        <f>TEXT(Raw_Data!$A4658, "MMM")</f>
        <v>May</v>
      </c>
      <c r="C4658" s="2">
        <f>YEAR(Raw_Data!$A4658)</f>
        <v>2001</v>
      </c>
      <c r="D4658" s="2" t="s">
        <v>2907</v>
      </c>
      <c r="E4658" s="2" t="s">
        <v>25</v>
      </c>
      <c r="F4658" s="2" t="s">
        <v>18</v>
      </c>
      <c r="G4658" s="2"/>
      <c r="H4658" s="2">
        <v>2911</v>
      </c>
      <c r="I4658" s="10">
        <v>470232</v>
      </c>
      <c r="J4658" s="10">
        <f>Raw_Data!$I4658/Raw_Data!$H4658</f>
        <v>161.53624184129166</v>
      </c>
    </row>
    <row r="4659" spans="1:10" x14ac:dyDescent="0.3">
      <c r="A4659" s="8">
        <v>40628</v>
      </c>
      <c r="B4659" t="str">
        <f>TEXT(Raw_Data!$A4659, "MMM")</f>
        <v>Mar</v>
      </c>
      <c r="C4659">
        <f>YEAR(Raw_Data!$A4659)</f>
        <v>2011</v>
      </c>
      <c r="D4659" t="s">
        <v>2908</v>
      </c>
      <c r="E4659" t="s">
        <v>23</v>
      </c>
      <c r="F4659" t="s">
        <v>27</v>
      </c>
      <c r="G4659">
        <v>4</v>
      </c>
      <c r="H4659">
        <v>1186</v>
      </c>
      <c r="I4659" s="1">
        <v>736212</v>
      </c>
      <c r="J4659" s="1">
        <f>Raw_Data!$I4659/Raw_Data!$H4659</f>
        <v>620.75210792580106</v>
      </c>
    </row>
    <row r="4660" spans="1:10" x14ac:dyDescent="0.3">
      <c r="A4660" s="9">
        <v>41449</v>
      </c>
      <c r="B4660" s="2" t="str">
        <f>TEXT(Raw_Data!$A4660, "MMM")</f>
        <v>Jun</v>
      </c>
      <c r="C4660" s="2">
        <f>YEAR(Raw_Data!$A4660)</f>
        <v>2013</v>
      </c>
      <c r="D4660" s="2" t="s">
        <v>2909</v>
      </c>
      <c r="E4660" s="2" t="s">
        <v>29</v>
      </c>
      <c r="F4660" s="2" t="s">
        <v>18</v>
      </c>
      <c r="G4660" s="2">
        <v>2</v>
      </c>
      <c r="H4660" s="2">
        <v>2772</v>
      </c>
      <c r="I4660" s="10">
        <v>136933</v>
      </c>
      <c r="J4660" s="10">
        <f>Raw_Data!$I4660/Raw_Data!$H4660</f>
        <v>49.398629148629148</v>
      </c>
    </row>
    <row r="4661" spans="1:10" x14ac:dyDescent="0.3">
      <c r="A4661" s="8">
        <v>38977</v>
      </c>
      <c r="B4661" t="str">
        <f>TEXT(Raw_Data!$A4661, "MMM")</f>
        <v>Sep</v>
      </c>
      <c r="C4661">
        <f>YEAR(Raw_Data!$A4661)</f>
        <v>2006</v>
      </c>
      <c r="D4661" t="s">
        <v>890</v>
      </c>
      <c r="E4661" t="s">
        <v>32</v>
      </c>
      <c r="F4661" t="s">
        <v>11</v>
      </c>
      <c r="G4661">
        <v>5</v>
      </c>
      <c r="H4661">
        <v>1268</v>
      </c>
      <c r="I4661" s="1">
        <v>605415</v>
      </c>
      <c r="J4661" s="1">
        <f>Raw_Data!$I4661/Raw_Data!$H4661</f>
        <v>477.45662460567826</v>
      </c>
    </row>
    <row r="4662" spans="1:10" x14ac:dyDescent="0.3">
      <c r="A4662" s="9">
        <v>42271</v>
      </c>
      <c r="B4662" s="2" t="str">
        <f>TEXT(Raw_Data!$A4662, "MMM")</f>
        <v>Sep</v>
      </c>
      <c r="C4662" s="2">
        <f>YEAR(Raw_Data!$A4662)</f>
        <v>2015</v>
      </c>
      <c r="D4662" s="2" t="s">
        <v>2049</v>
      </c>
      <c r="E4662" s="2" t="s">
        <v>13</v>
      </c>
      <c r="F4662" s="2" t="s">
        <v>27</v>
      </c>
      <c r="G4662" s="2">
        <v>4</v>
      </c>
      <c r="H4662" s="2">
        <v>3094</v>
      </c>
      <c r="I4662" s="10">
        <v>392134</v>
      </c>
      <c r="J4662" s="10">
        <f>Raw_Data!$I4662/Raw_Data!$H4662</f>
        <v>126.74014221073044</v>
      </c>
    </row>
    <row r="4663" spans="1:10" x14ac:dyDescent="0.3">
      <c r="A4663" s="8">
        <v>40154</v>
      </c>
      <c r="B4663" t="str">
        <f>TEXT(Raw_Data!$A4663, "MMM")</f>
        <v>Dec</v>
      </c>
      <c r="C4663">
        <f>YEAR(Raw_Data!$A4663)</f>
        <v>2009</v>
      </c>
      <c r="D4663" t="s">
        <v>721</v>
      </c>
      <c r="E4663" t="s">
        <v>25</v>
      </c>
      <c r="F4663" t="s">
        <v>18</v>
      </c>
      <c r="G4663">
        <v>3</v>
      </c>
      <c r="H4663">
        <v>2466</v>
      </c>
      <c r="I4663" s="1">
        <v>330989</v>
      </c>
      <c r="J4663" s="1">
        <f>Raw_Data!$I4663/Raw_Data!$H4663</f>
        <v>134.22100567721006</v>
      </c>
    </row>
    <row r="4664" spans="1:10" x14ac:dyDescent="0.3">
      <c r="A4664" s="9">
        <v>43824</v>
      </c>
      <c r="B4664" s="2" t="str">
        <f>TEXT(Raw_Data!$A4664, "MMM")</f>
        <v>Dec</v>
      </c>
      <c r="C4664" s="2">
        <f>YEAR(Raw_Data!$A4664)</f>
        <v>2019</v>
      </c>
      <c r="D4664" s="2" t="s">
        <v>2136</v>
      </c>
      <c r="E4664" s="2" t="s">
        <v>25</v>
      </c>
      <c r="F4664" s="2" t="s">
        <v>18</v>
      </c>
      <c r="G4664" s="2">
        <v>3</v>
      </c>
      <c r="H4664" s="2">
        <v>3434</v>
      </c>
      <c r="I4664" s="10">
        <v>269291</v>
      </c>
      <c r="J4664" s="10">
        <f>Raw_Data!$I4664/Raw_Data!$H4664</f>
        <v>78.419044845661034</v>
      </c>
    </row>
    <row r="4665" spans="1:10" x14ac:dyDescent="0.3">
      <c r="A4665" s="8">
        <v>41407</v>
      </c>
      <c r="B4665" t="str">
        <f>TEXT(Raw_Data!$A4665, "MMM")</f>
        <v>May</v>
      </c>
      <c r="C4665">
        <f>YEAR(Raw_Data!$A4665)</f>
        <v>2013</v>
      </c>
      <c r="D4665" t="s">
        <v>1114</v>
      </c>
      <c r="E4665" t="s">
        <v>32</v>
      </c>
      <c r="F4665" t="s">
        <v>27</v>
      </c>
      <c r="H4665">
        <v>3076</v>
      </c>
      <c r="I4665" s="1">
        <v>577410</v>
      </c>
      <c r="J4665" s="1">
        <f>Raw_Data!$I4665/Raw_Data!$H4665</f>
        <v>187.71456436931081</v>
      </c>
    </row>
    <row r="4666" spans="1:10" x14ac:dyDescent="0.3">
      <c r="A4666" s="9">
        <v>38548</v>
      </c>
      <c r="B4666" s="2" t="str">
        <f>TEXT(Raw_Data!$A4666, "MMM")</f>
        <v>Jul</v>
      </c>
      <c r="C4666" s="2">
        <f>YEAR(Raw_Data!$A4666)</f>
        <v>2005</v>
      </c>
      <c r="D4666" s="2" t="s">
        <v>2910</v>
      </c>
      <c r="E4666" s="2" t="s">
        <v>25</v>
      </c>
      <c r="F4666" s="2" t="s">
        <v>18</v>
      </c>
      <c r="G4666" s="2">
        <v>3</v>
      </c>
      <c r="H4666" s="2">
        <v>3171</v>
      </c>
      <c r="I4666" s="10">
        <v>610813</v>
      </c>
      <c r="J4666" s="10">
        <f>Raw_Data!$I4666/Raw_Data!$H4666</f>
        <v>192.62472406181016</v>
      </c>
    </row>
    <row r="4667" spans="1:10" x14ac:dyDescent="0.3">
      <c r="A4667" s="8">
        <v>38418</v>
      </c>
      <c r="B4667" t="str">
        <f>TEXT(Raw_Data!$A4667, "MMM")</f>
        <v>Mar</v>
      </c>
      <c r="C4667">
        <f>YEAR(Raw_Data!$A4667)</f>
        <v>2005</v>
      </c>
      <c r="D4667" t="s">
        <v>1906</v>
      </c>
      <c r="E4667" t="s">
        <v>25</v>
      </c>
      <c r="F4667" t="s">
        <v>27</v>
      </c>
      <c r="H4667">
        <v>3177</v>
      </c>
      <c r="I4667" s="1">
        <v>672096</v>
      </c>
      <c r="J4667" s="1">
        <f>Raw_Data!$I4667/Raw_Data!$H4667</f>
        <v>211.55051935788481</v>
      </c>
    </row>
    <row r="4668" spans="1:10" x14ac:dyDescent="0.3">
      <c r="A4668" s="9">
        <v>39099</v>
      </c>
      <c r="B4668" s="2" t="str">
        <f>TEXT(Raw_Data!$A4668, "MMM")</f>
        <v>Jan</v>
      </c>
      <c r="C4668" s="2">
        <f>YEAR(Raw_Data!$A4668)</f>
        <v>2007</v>
      </c>
      <c r="D4668" s="2" t="s">
        <v>1261</v>
      </c>
      <c r="E4668" s="2" t="s">
        <v>13</v>
      </c>
      <c r="F4668" s="2" t="s">
        <v>27</v>
      </c>
      <c r="G4668" s="2">
        <v>5</v>
      </c>
      <c r="H4668" s="2">
        <v>2009</v>
      </c>
      <c r="I4668" s="10">
        <v>623286</v>
      </c>
      <c r="J4668" s="10">
        <f>Raw_Data!$I4668/Raw_Data!$H4668</f>
        <v>310.24688899950223</v>
      </c>
    </row>
    <row r="4669" spans="1:10" x14ac:dyDescent="0.3">
      <c r="A4669" s="8">
        <v>41192</v>
      </c>
      <c r="B4669" t="str">
        <f>TEXT(Raw_Data!$A4669, "MMM")</f>
        <v>Oct</v>
      </c>
      <c r="C4669">
        <f>YEAR(Raw_Data!$A4669)</f>
        <v>2012</v>
      </c>
      <c r="D4669" t="s">
        <v>1147</v>
      </c>
      <c r="E4669" t="s">
        <v>21</v>
      </c>
      <c r="F4669" t="s">
        <v>27</v>
      </c>
      <c r="G4669">
        <v>4</v>
      </c>
      <c r="H4669">
        <v>2912</v>
      </c>
      <c r="I4669" s="1">
        <v>773204</v>
      </c>
      <c r="J4669" s="1">
        <f>Raw_Data!$I4669/Raw_Data!$H4669</f>
        <v>265.52335164835165</v>
      </c>
    </row>
    <row r="4670" spans="1:10" x14ac:dyDescent="0.3">
      <c r="A4670" s="9">
        <v>41689</v>
      </c>
      <c r="B4670" s="2" t="str">
        <f>TEXT(Raw_Data!$A4670, "MMM")</f>
        <v>Feb</v>
      </c>
      <c r="C4670" s="2">
        <f>YEAR(Raw_Data!$A4670)</f>
        <v>2014</v>
      </c>
      <c r="D4670" s="2" t="s">
        <v>884</v>
      </c>
      <c r="E4670" s="2" t="s">
        <v>15</v>
      </c>
      <c r="F4670" s="2" t="s">
        <v>11</v>
      </c>
      <c r="G4670" s="2"/>
      <c r="H4670" s="2">
        <v>3330</v>
      </c>
      <c r="I4670" s="10">
        <v>704340</v>
      </c>
      <c r="J4670" s="10">
        <f>Raw_Data!$I4670/Raw_Data!$H4670</f>
        <v>211.51351351351352</v>
      </c>
    </row>
    <row r="4671" spans="1:10" x14ac:dyDescent="0.3">
      <c r="A4671" s="8">
        <v>40783</v>
      </c>
      <c r="B4671" t="str">
        <f>TEXT(Raw_Data!$A4671, "MMM")</f>
        <v>Aug</v>
      </c>
      <c r="C4671">
        <f>YEAR(Raw_Data!$A4671)</f>
        <v>2011</v>
      </c>
      <c r="D4671" t="s">
        <v>2911</v>
      </c>
      <c r="E4671" t="s">
        <v>25</v>
      </c>
      <c r="F4671" t="s">
        <v>27</v>
      </c>
      <c r="G4671">
        <v>4</v>
      </c>
      <c r="H4671">
        <v>2934</v>
      </c>
      <c r="I4671" s="1">
        <v>730074</v>
      </c>
      <c r="J4671" s="1">
        <f>Raw_Data!$I4671/Raw_Data!$H4671</f>
        <v>248.83231083844581</v>
      </c>
    </row>
    <row r="4672" spans="1:10" x14ac:dyDescent="0.3">
      <c r="A4672" s="9">
        <v>37049</v>
      </c>
      <c r="B4672" s="2" t="str">
        <f>TEXT(Raw_Data!$A4672, "MMM")</f>
        <v>Jun</v>
      </c>
      <c r="C4672" s="2">
        <f>YEAR(Raw_Data!$A4672)</f>
        <v>2001</v>
      </c>
      <c r="D4672" s="2" t="s">
        <v>2644</v>
      </c>
      <c r="E4672" s="2" t="s">
        <v>25</v>
      </c>
      <c r="F4672" s="2" t="s">
        <v>18</v>
      </c>
      <c r="G4672" s="2">
        <v>3</v>
      </c>
      <c r="H4672" s="2">
        <v>2648</v>
      </c>
      <c r="I4672" s="10">
        <v>548674</v>
      </c>
      <c r="J4672" s="10">
        <f>Raw_Data!$I4672/Raw_Data!$H4672</f>
        <v>207.20317220543808</v>
      </c>
    </row>
    <row r="4673" spans="1:10" x14ac:dyDescent="0.3">
      <c r="A4673" s="8">
        <v>38370</v>
      </c>
      <c r="B4673" t="str">
        <f>TEXT(Raw_Data!$A4673, "MMM")</f>
        <v>Jan</v>
      </c>
      <c r="C4673">
        <f>YEAR(Raw_Data!$A4673)</f>
        <v>2005</v>
      </c>
      <c r="D4673" t="s">
        <v>2178</v>
      </c>
      <c r="E4673" t="s">
        <v>15</v>
      </c>
      <c r="F4673" t="s">
        <v>11</v>
      </c>
      <c r="G4673">
        <v>4</v>
      </c>
      <c r="H4673">
        <v>3228</v>
      </c>
      <c r="I4673" s="1">
        <v>171842</v>
      </c>
      <c r="J4673" s="1">
        <f>Raw_Data!$I4673/Raw_Data!$H4673</f>
        <v>53.234820322180916</v>
      </c>
    </row>
    <row r="4674" spans="1:10" x14ac:dyDescent="0.3">
      <c r="A4674" s="9">
        <v>41061</v>
      </c>
      <c r="B4674" s="2" t="str">
        <f>TEXT(Raw_Data!$A4674, "MMM")</f>
        <v>Jun</v>
      </c>
      <c r="C4674" s="2">
        <f>YEAR(Raw_Data!$A4674)</f>
        <v>2012</v>
      </c>
      <c r="D4674" s="2" t="s">
        <v>205</v>
      </c>
      <c r="E4674" s="2" t="s">
        <v>25</v>
      </c>
      <c r="F4674" s="2" t="s">
        <v>11</v>
      </c>
      <c r="G4674" s="2"/>
      <c r="H4674" s="2">
        <v>1920</v>
      </c>
      <c r="I4674" s="10">
        <v>681415</v>
      </c>
      <c r="J4674" s="10">
        <f>Raw_Data!$I4674/Raw_Data!$H4674</f>
        <v>354.90364583333331</v>
      </c>
    </row>
    <row r="4675" spans="1:10" x14ac:dyDescent="0.3">
      <c r="A4675" s="8">
        <v>38449</v>
      </c>
      <c r="B4675" t="str">
        <f>TEXT(Raw_Data!$A4675, "MMM")</f>
        <v>Apr</v>
      </c>
      <c r="C4675">
        <f>YEAR(Raw_Data!$A4675)</f>
        <v>2005</v>
      </c>
      <c r="D4675" t="s">
        <v>2912</v>
      </c>
      <c r="E4675" t="s">
        <v>32</v>
      </c>
      <c r="F4675" t="s">
        <v>27</v>
      </c>
      <c r="H4675">
        <v>2267</v>
      </c>
      <c r="I4675" s="1">
        <v>233660</v>
      </c>
      <c r="J4675" s="1">
        <f>Raw_Data!$I4675/Raw_Data!$H4675</f>
        <v>103.07013674459638</v>
      </c>
    </row>
    <row r="4676" spans="1:10" x14ac:dyDescent="0.3">
      <c r="A4676" s="9">
        <v>41147</v>
      </c>
      <c r="B4676" s="2" t="str">
        <f>TEXT(Raw_Data!$A4676, "MMM")</f>
        <v>Aug</v>
      </c>
      <c r="C4676" s="2">
        <f>YEAR(Raw_Data!$A4676)</f>
        <v>2012</v>
      </c>
      <c r="D4676" s="2" t="s">
        <v>2913</v>
      </c>
      <c r="E4676" s="2" t="s">
        <v>25</v>
      </c>
      <c r="F4676" s="2" t="s">
        <v>16</v>
      </c>
      <c r="G4676" s="2">
        <v>3</v>
      </c>
      <c r="H4676" s="2">
        <v>2918</v>
      </c>
      <c r="I4676" s="10">
        <v>145149</v>
      </c>
      <c r="J4676" s="10">
        <f>Raw_Data!$I4676/Raw_Data!$H4676</f>
        <v>49.742631939684713</v>
      </c>
    </row>
    <row r="4677" spans="1:10" x14ac:dyDescent="0.3">
      <c r="A4677" s="8">
        <v>42327</v>
      </c>
      <c r="B4677" t="str">
        <f>TEXT(Raw_Data!$A4677, "MMM")</f>
        <v>Nov</v>
      </c>
      <c r="C4677">
        <f>YEAR(Raw_Data!$A4677)</f>
        <v>2015</v>
      </c>
      <c r="D4677" t="s">
        <v>961</v>
      </c>
      <c r="E4677" t="s">
        <v>15</v>
      </c>
      <c r="F4677" t="s">
        <v>27</v>
      </c>
      <c r="H4677">
        <v>1346</v>
      </c>
      <c r="I4677" s="1">
        <v>104664</v>
      </c>
      <c r="J4677" s="1">
        <f>Raw_Data!$I4677/Raw_Data!$H4677</f>
        <v>77.759286775631494</v>
      </c>
    </row>
    <row r="4678" spans="1:10" x14ac:dyDescent="0.3">
      <c r="A4678" s="9">
        <v>38198</v>
      </c>
      <c r="B4678" s="2" t="str">
        <f>TEXT(Raw_Data!$A4678, "MMM")</f>
        <v>Jul</v>
      </c>
      <c r="C4678" s="2">
        <f>YEAR(Raw_Data!$A4678)</f>
        <v>2004</v>
      </c>
      <c r="D4678" s="2" t="s">
        <v>525</v>
      </c>
      <c r="E4678" s="2" t="s">
        <v>32</v>
      </c>
      <c r="F4678" s="2" t="s">
        <v>18</v>
      </c>
      <c r="G4678" s="2"/>
      <c r="H4678" s="2">
        <v>3273</v>
      </c>
      <c r="I4678" s="10">
        <v>420578</v>
      </c>
      <c r="J4678" s="10">
        <f>Raw_Data!$I4678/Raw_Data!$H4678</f>
        <v>128.49923617476321</v>
      </c>
    </row>
    <row r="4679" spans="1:10" x14ac:dyDescent="0.3">
      <c r="A4679" s="8">
        <v>37539</v>
      </c>
      <c r="B4679" t="str">
        <f>TEXT(Raw_Data!$A4679, "MMM")</f>
        <v>Oct</v>
      </c>
      <c r="C4679">
        <f>YEAR(Raw_Data!$A4679)</f>
        <v>2002</v>
      </c>
      <c r="D4679" t="s">
        <v>2914</v>
      </c>
      <c r="E4679" t="s">
        <v>32</v>
      </c>
      <c r="F4679" t="s">
        <v>16</v>
      </c>
      <c r="G4679">
        <v>4</v>
      </c>
      <c r="H4679">
        <v>2672</v>
      </c>
      <c r="I4679" s="1">
        <v>721649</v>
      </c>
      <c r="J4679" s="1">
        <f>Raw_Data!$I4679/Raw_Data!$H4679</f>
        <v>270.07821856287427</v>
      </c>
    </row>
    <row r="4680" spans="1:10" x14ac:dyDescent="0.3">
      <c r="A4680" s="9">
        <v>43201</v>
      </c>
      <c r="B4680" s="2" t="str">
        <f>TEXT(Raw_Data!$A4680, "MMM")</f>
        <v>Apr</v>
      </c>
      <c r="C4680" s="2">
        <f>YEAR(Raw_Data!$A4680)</f>
        <v>2018</v>
      </c>
      <c r="D4680" s="2" t="s">
        <v>2915</v>
      </c>
      <c r="E4680" s="2" t="s">
        <v>23</v>
      </c>
      <c r="F4680" s="2" t="s">
        <v>18</v>
      </c>
      <c r="G4680" s="2">
        <v>5</v>
      </c>
      <c r="H4680" s="2">
        <v>1363</v>
      </c>
      <c r="I4680" s="10">
        <v>514842</v>
      </c>
      <c r="J4680" s="10">
        <f>Raw_Data!$I4680/Raw_Data!$H4680</f>
        <v>377.72707263389583</v>
      </c>
    </row>
    <row r="4681" spans="1:10" x14ac:dyDescent="0.3">
      <c r="A4681" s="8">
        <v>43233</v>
      </c>
      <c r="B4681" t="str">
        <f>TEXT(Raw_Data!$A4681, "MMM")</f>
        <v>May</v>
      </c>
      <c r="C4681">
        <f>YEAR(Raw_Data!$A4681)</f>
        <v>2018</v>
      </c>
      <c r="D4681" t="s">
        <v>1931</v>
      </c>
      <c r="E4681" t="s">
        <v>29</v>
      </c>
      <c r="F4681" t="s">
        <v>27</v>
      </c>
      <c r="G4681">
        <v>4</v>
      </c>
      <c r="H4681">
        <v>2445</v>
      </c>
      <c r="I4681" s="1">
        <v>518907</v>
      </c>
      <c r="J4681" s="1">
        <f>Raw_Data!$I4681/Raw_Data!$H4681</f>
        <v>212.23190184049079</v>
      </c>
    </row>
    <row r="4682" spans="1:10" x14ac:dyDescent="0.3">
      <c r="A4682" s="9">
        <v>37721</v>
      </c>
      <c r="B4682" s="2" t="str">
        <f>TEXT(Raw_Data!$A4682, "MMM")</f>
        <v>Apr</v>
      </c>
      <c r="C4682" s="2">
        <f>YEAR(Raw_Data!$A4682)</f>
        <v>2003</v>
      </c>
      <c r="D4682" s="2" t="s">
        <v>2916</v>
      </c>
      <c r="E4682" s="2" t="s">
        <v>15</v>
      </c>
      <c r="F4682" s="2" t="s">
        <v>27</v>
      </c>
      <c r="G4682" s="2">
        <v>3</v>
      </c>
      <c r="H4682" s="2">
        <v>1286</v>
      </c>
      <c r="I4682" s="10">
        <v>244873</v>
      </c>
      <c r="J4682" s="10">
        <f>Raw_Data!$I4682/Raw_Data!$H4682</f>
        <v>190.41446345256611</v>
      </c>
    </row>
    <row r="4683" spans="1:10" x14ac:dyDescent="0.3">
      <c r="A4683" s="8">
        <v>43920</v>
      </c>
      <c r="B4683" t="str">
        <f>TEXT(Raw_Data!$A4683, "MMM")</f>
        <v>Mar</v>
      </c>
      <c r="C4683">
        <f>YEAR(Raw_Data!$A4683)</f>
        <v>2020</v>
      </c>
      <c r="D4683" t="s">
        <v>2917</v>
      </c>
      <c r="E4683" t="s">
        <v>32</v>
      </c>
      <c r="F4683" t="s">
        <v>16</v>
      </c>
      <c r="G4683">
        <v>4</v>
      </c>
      <c r="H4683">
        <v>2019</v>
      </c>
      <c r="I4683" s="1">
        <v>374961</v>
      </c>
      <c r="J4683" s="1">
        <f>Raw_Data!$I4683/Raw_Data!$H4683</f>
        <v>185.71619613670134</v>
      </c>
    </row>
    <row r="4684" spans="1:10" x14ac:dyDescent="0.3">
      <c r="A4684" s="9">
        <v>37112</v>
      </c>
      <c r="B4684" s="2" t="str">
        <f>TEXT(Raw_Data!$A4684, "MMM")</f>
        <v>Aug</v>
      </c>
      <c r="C4684" s="2">
        <f>YEAR(Raw_Data!$A4684)</f>
        <v>2001</v>
      </c>
      <c r="D4684" s="2" t="s">
        <v>2918</v>
      </c>
      <c r="E4684" s="2" t="s">
        <v>15</v>
      </c>
      <c r="F4684" s="2" t="s">
        <v>18</v>
      </c>
      <c r="G4684" s="2"/>
      <c r="H4684" s="2">
        <v>2275</v>
      </c>
      <c r="I4684" s="10">
        <v>721611</v>
      </c>
      <c r="J4684" s="10">
        <f>Raw_Data!$I4684/Raw_Data!$H4684</f>
        <v>317.19164835164833</v>
      </c>
    </row>
    <row r="4685" spans="1:10" x14ac:dyDescent="0.3">
      <c r="A4685" s="8">
        <v>40475</v>
      </c>
      <c r="B4685" t="str">
        <f>TEXT(Raw_Data!$A4685, "MMM")</f>
        <v>Oct</v>
      </c>
      <c r="C4685">
        <f>YEAR(Raw_Data!$A4685)</f>
        <v>2010</v>
      </c>
      <c r="D4685" t="s">
        <v>1583</v>
      </c>
      <c r="E4685" t="s">
        <v>13</v>
      </c>
      <c r="F4685" t="s">
        <v>27</v>
      </c>
      <c r="G4685">
        <v>3</v>
      </c>
      <c r="H4685">
        <v>2216</v>
      </c>
      <c r="I4685" s="1">
        <v>125062</v>
      </c>
      <c r="J4685" s="1">
        <f>Raw_Data!$I4685/Raw_Data!$H4685</f>
        <v>56.435920577617331</v>
      </c>
    </row>
    <row r="4686" spans="1:10" x14ac:dyDescent="0.3">
      <c r="A4686" s="9">
        <v>43324</v>
      </c>
      <c r="B4686" s="2" t="str">
        <f>TEXT(Raw_Data!$A4686, "MMM")</f>
        <v>Aug</v>
      </c>
      <c r="C4686" s="2">
        <f>YEAR(Raw_Data!$A4686)</f>
        <v>2018</v>
      </c>
      <c r="D4686" s="2" t="s">
        <v>1404</v>
      </c>
      <c r="E4686" s="2" t="s">
        <v>25</v>
      </c>
      <c r="F4686" s="2" t="s">
        <v>27</v>
      </c>
      <c r="G4686" s="2"/>
      <c r="H4686" s="2">
        <v>2080</v>
      </c>
      <c r="I4686" s="10">
        <v>721804</v>
      </c>
      <c r="J4686" s="10">
        <f>Raw_Data!$I4686/Raw_Data!$H4686</f>
        <v>347.02115384615382</v>
      </c>
    </row>
    <row r="4687" spans="1:10" x14ac:dyDescent="0.3">
      <c r="A4687" s="8">
        <v>41221</v>
      </c>
      <c r="B4687" t="str">
        <f>TEXT(Raw_Data!$A4687, "MMM")</f>
        <v>Nov</v>
      </c>
      <c r="C4687">
        <f>YEAR(Raw_Data!$A4687)</f>
        <v>2012</v>
      </c>
      <c r="D4687" t="s">
        <v>2919</v>
      </c>
      <c r="E4687" t="s">
        <v>15</v>
      </c>
      <c r="F4687" t="s">
        <v>16</v>
      </c>
      <c r="G4687">
        <v>4</v>
      </c>
      <c r="H4687">
        <v>3231</v>
      </c>
      <c r="I4687" s="1">
        <v>381281</v>
      </c>
      <c r="J4687" s="1">
        <f>Raw_Data!$I4687/Raw_Data!$H4687</f>
        <v>118.00711853915196</v>
      </c>
    </row>
    <row r="4688" spans="1:10" x14ac:dyDescent="0.3">
      <c r="A4688" s="9">
        <v>37375</v>
      </c>
      <c r="B4688" s="2" t="str">
        <f>TEXT(Raw_Data!$A4688, "MMM")</f>
        <v>Apr</v>
      </c>
      <c r="C4688" s="2">
        <f>YEAR(Raw_Data!$A4688)</f>
        <v>2002</v>
      </c>
      <c r="D4688" s="2" t="s">
        <v>2920</v>
      </c>
      <c r="E4688" s="2" t="s">
        <v>13</v>
      </c>
      <c r="F4688" s="2" t="s">
        <v>27</v>
      </c>
      <c r="G4688" s="2">
        <v>2</v>
      </c>
      <c r="H4688" s="2">
        <v>2214</v>
      </c>
      <c r="I4688" s="10">
        <v>368669</v>
      </c>
      <c r="J4688" s="10">
        <f>Raw_Data!$I4688/Raw_Data!$H4688</f>
        <v>166.51716350496838</v>
      </c>
    </row>
    <row r="4689" spans="1:10" x14ac:dyDescent="0.3">
      <c r="A4689" s="8">
        <v>38617</v>
      </c>
      <c r="B4689" t="str">
        <f>TEXT(Raw_Data!$A4689, "MMM")</f>
        <v>Sep</v>
      </c>
      <c r="C4689">
        <f>YEAR(Raw_Data!$A4689)</f>
        <v>2005</v>
      </c>
      <c r="D4689" t="s">
        <v>1600</v>
      </c>
      <c r="E4689" t="s">
        <v>25</v>
      </c>
      <c r="F4689" t="s">
        <v>16</v>
      </c>
      <c r="H4689">
        <v>1830</v>
      </c>
      <c r="I4689" s="1">
        <v>823840</v>
      </c>
      <c r="J4689" s="1">
        <f>Raw_Data!$I4689/Raw_Data!$H4689</f>
        <v>450.1857923497268</v>
      </c>
    </row>
    <row r="4690" spans="1:10" x14ac:dyDescent="0.3">
      <c r="A4690" s="9">
        <v>37011</v>
      </c>
      <c r="B4690" s="2" t="str">
        <f>TEXT(Raw_Data!$A4690, "MMM")</f>
        <v>Apr</v>
      </c>
      <c r="C4690" s="2">
        <f>YEAR(Raw_Data!$A4690)</f>
        <v>2001</v>
      </c>
      <c r="D4690" s="2" t="s">
        <v>2089</v>
      </c>
      <c r="E4690" s="2" t="s">
        <v>23</v>
      </c>
      <c r="F4690" s="2" t="s">
        <v>27</v>
      </c>
      <c r="G4690" s="2"/>
      <c r="H4690" s="2">
        <v>2271</v>
      </c>
      <c r="I4690" s="10">
        <v>271776</v>
      </c>
      <c r="J4690" s="10">
        <f>Raw_Data!$I4690/Raw_Data!$H4690</f>
        <v>119.67239101717306</v>
      </c>
    </row>
    <row r="4691" spans="1:10" x14ac:dyDescent="0.3">
      <c r="A4691" s="8">
        <v>41757</v>
      </c>
      <c r="B4691" t="str">
        <f>TEXT(Raw_Data!$A4691, "MMM")</f>
        <v>Apr</v>
      </c>
      <c r="C4691">
        <f>YEAR(Raw_Data!$A4691)</f>
        <v>2014</v>
      </c>
      <c r="D4691" t="s">
        <v>666</v>
      </c>
      <c r="E4691" t="s">
        <v>32</v>
      </c>
      <c r="F4691" t="s">
        <v>11</v>
      </c>
      <c r="G4691">
        <v>3</v>
      </c>
      <c r="H4691">
        <v>1325</v>
      </c>
      <c r="I4691" s="1">
        <v>400057</v>
      </c>
      <c r="J4691" s="1">
        <f>Raw_Data!$I4691/Raw_Data!$H4691</f>
        <v>301.92981132075471</v>
      </c>
    </row>
    <row r="4692" spans="1:10" x14ac:dyDescent="0.3">
      <c r="A4692" s="9">
        <v>36991</v>
      </c>
      <c r="B4692" s="2" t="str">
        <f>TEXT(Raw_Data!$A4692, "MMM")</f>
        <v>Apr</v>
      </c>
      <c r="C4692" s="2">
        <f>YEAR(Raw_Data!$A4692)</f>
        <v>2001</v>
      </c>
      <c r="D4692" s="2" t="s">
        <v>2709</v>
      </c>
      <c r="E4692" s="2" t="s">
        <v>15</v>
      </c>
      <c r="F4692" s="2" t="s">
        <v>16</v>
      </c>
      <c r="G4692" s="2"/>
      <c r="H4692" s="2">
        <v>1265</v>
      </c>
      <c r="I4692" s="10">
        <v>523374</v>
      </c>
      <c r="J4692" s="10">
        <f>Raw_Data!$I4692/Raw_Data!$H4692</f>
        <v>413.73438735177865</v>
      </c>
    </row>
    <row r="4693" spans="1:10" x14ac:dyDescent="0.3">
      <c r="A4693" s="8">
        <v>37681</v>
      </c>
      <c r="B4693" t="str">
        <f>TEXT(Raw_Data!$A4693, "MMM")</f>
        <v>Mar</v>
      </c>
      <c r="C4693">
        <f>YEAR(Raw_Data!$A4693)</f>
        <v>2003</v>
      </c>
      <c r="D4693" t="s">
        <v>2921</v>
      </c>
      <c r="E4693" t="s">
        <v>25</v>
      </c>
      <c r="F4693" t="s">
        <v>27</v>
      </c>
      <c r="G4693">
        <v>5</v>
      </c>
      <c r="H4693">
        <v>2405</v>
      </c>
      <c r="I4693" s="1">
        <v>334086</v>
      </c>
      <c r="J4693" s="1">
        <f>Raw_Data!$I4693/Raw_Data!$H4693</f>
        <v>138.91309771309773</v>
      </c>
    </row>
    <row r="4694" spans="1:10" x14ac:dyDescent="0.3">
      <c r="A4694" s="9">
        <v>37392</v>
      </c>
      <c r="B4694" s="2" t="str">
        <f>TEXT(Raw_Data!$A4694, "MMM")</f>
        <v>May</v>
      </c>
      <c r="C4694" s="2">
        <f>YEAR(Raw_Data!$A4694)</f>
        <v>2002</v>
      </c>
      <c r="D4694" s="2" t="s">
        <v>2922</v>
      </c>
      <c r="E4694" s="2" t="s">
        <v>32</v>
      </c>
      <c r="F4694" s="2" t="s">
        <v>27</v>
      </c>
      <c r="G4694" s="2">
        <v>4</v>
      </c>
      <c r="H4694" s="2">
        <v>887</v>
      </c>
      <c r="I4694" s="10">
        <v>488451</v>
      </c>
      <c r="J4694" s="10">
        <f>Raw_Data!$I4694/Raw_Data!$H4694</f>
        <v>550.67756482525363</v>
      </c>
    </row>
    <row r="4695" spans="1:10" x14ac:dyDescent="0.3">
      <c r="A4695" s="8">
        <v>40330</v>
      </c>
      <c r="B4695" t="str">
        <f>TEXT(Raw_Data!$A4695, "MMM")</f>
        <v>Jun</v>
      </c>
      <c r="C4695">
        <f>YEAR(Raw_Data!$A4695)</f>
        <v>2010</v>
      </c>
      <c r="D4695" t="s">
        <v>1161</v>
      </c>
      <c r="E4695" t="s">
        <v>29</v>
      </c>
      <c r="F4695" t="s">
        <v>18</v>
      </c>
      <c r="G4695">
        <v>3</v>
      </c>
      <c r="H4695">
        <v>2287</v>
      </c>
      <c r="I4695" s="1">
        <v>431478</v>
      </c>
      <c r="J4695" s="1">
        <f>Raw_Data!$I4695/Raw_Data!$H4695</f>
        <v>188.66550065588106</v>
      </c>
    </row>
    <row r="4696" spans="1:10" x14ac:dyDescent="0.3">
      <c r="A4696" s="9">
        <v>39832</v>
      </c>
      <c r="B4696" s="2" t="str">
        <f>TEXT(Raw_Data!$A4696, "MMM")</f>
        <v>Jan</v>
      </c>
      <c r="C4696" s="2">
        <f>YEAR(Raw_Data!$A4696)</f>
        <v>2009</v>
      </c>
      <c r="D4696" s="2" t="s">
        <v>806</v>
      </c>
      <c r="E4696" s="2" t="s">
        <v>32</v>
      </c>
      <c r="F4696" s="2" t="s">
        <v>18</v>
      </c>
      <c r="G4696" s="2"/>
      <c r="H4696" s="2">
        <v>2796</v>
      </c>
      <c r="I4696" s="10">
        <v>743483</v>
      </c>
      <c r="J4696" s="10">
        <f>Raw_Data!$I4696/Raw_Data!$H4696</f>
        <v>265.90951359084409</v>
      </c>
    </row>
    <row r="4697" spans="1:10" x14ac:dyDescent="0.3">
      <c r="A4697" s="8">
        <v>41423</v>
      </c>
      <c r="B4697" t="str">
        <f>TEXT(Raw_Data!$A4697, "MMM")</f>
        <v>May</v>
      </c>
      <c r="C4697">
        <f>YEAR(Raw_Data!$A4697)</f>
        <v>2013</v>
      </c>
      <c r="D4697" t="s">
        <v>2368</v>
      </c>
      <c r="E4697" t="s">
        <v>25</v>
      </c>
      <c r="F4697" t="s">
        <v>16</v>
      </c>
      <c r="G4697">
        <v>5</v>
      </c>
      <c r="H4697">
        <v>2037</v>
      </c>
      <c r="I4697" s="1">
        <v>212030</v>
      </c>
      <c r="J4697" s="1">
        <f>Raw_Data!$I4697/Raw_Data!$H4697</f>
        <v>104.08934707903781</v>
      </c>
    </row>
    <row r="4698" spans="1:10" x14ac:dyDescent="0.3">
      <c r="A4698" s="9">
        <v>37034</v>
      </c>
      <c r="B4698" s="2" t="str">
        <f>TEXT(Raw_Data!$A4698, "MMM")</f>
        <v>May</v>
      </c>
      <c r="C4698" s="2">
        <f>YEAR(Raw_Data!$A4698)</f>
        <v>2001</v>
      </c>
      <c r="D4698" s="2" t="s">
        <v>525</v>
      </c>
      <c r="E4698" s="2" t="s">
        <v>25</v>
      </c>
      <c r="F4698" s="2" t="s">
        <v>18</v>
      </c>
      <c r="G4698" s="2">
        <v>3</v>
      </c>
      <c r="H4698" s="2">
        <v>3267</v>
      </c>
      <c r="I4698" s="10">
        <v>705967</v>
      </c>
      <c r="J4698" s="10">
        <f>Raw_Data!$I4698/Raw_Data!$H4698</f>
        <v>216.09029690847873</v>
      </c>
    </row>
    <row r="4699" spans="1:10" x14ac:dyDescent="0.3">
      <c r="A4699" s="8">
        <v>37349</v>
      </c>
      <c r="B4699" t="str">
        <f>TEXT(Raw_Data!$A4699, "MMM")</f>
        <v>Apr</v>
      </c>
      <c r="C4699">
        <f>YEAR(Raw_Data!$A4699)</f>
        <v>2002</v>
      </c>
      <c r="D4699" t="s">
        <v>1314</v>
      </c>
      <c r="E4699" t="s">
        <v>32</v>
      </c>
      <c r="F4699" t="s">
        <v>16</v>
      </c>
      <c r="G4699">
        <v>3</v>
      </c>
      <c r="H4699">
        <v>2922</v>
      </c>
      <c r="I4699" s="1">
        <v>646610</v>
      </c>
      <c r="J4699" s="1">
        <f>Raw_Data!$I4699/Raw_Data!$H4699</f>
        <v>221.29021218343601</v>
      </c>
    </row>
    <row r="4700" spans="1:10" x14ac:dyDescent="0.3">
      <c r="A4700" s="9">
        <v>38731</v>
      </c>
      <c r="B4700" s="2" t="str">
        <f>TEXT(Raw_Data!$A4700, "MMM")</f>
        <v>Jan</v>
      </c>
      <c r="C4700" s="2">
        <f>YEAR(Raw_Data!$A4700)</f>
        <v>2006</v>
      </c>
      <c r="D4700" s="2" t="s">
        <v>875</v>
      </c>
      <c r="E4700" s="2" t="s">
        <v>32</v>
      </c>
      <c r="F4700" s="2" t="s">
        <v>11</v>
      </c>
      <c r="G4700" s="2">
        <v>5</v>
      </c>
      <c r="H4700" s="2">
        <v>2548</v>
      </c>
      <c r="I4700" s="10">
        <v>667772</v>
      </c>
      <c r="J4700" s="10">
        <f>Raw_Data!$I4700/Raw_Data!$H4700</f>
        <v>262.07692307692309</v>
      </c>
    </row>
    <row r="4701" spans="1:10" x14ac:dyDescent="0.3">
      <c r="A4701" s="8">
        <v>38926</v>
      </c>
      <c r="B4701" t="str">
        <f>TEXT(Raw_Data!$A4701, "MMM")</f>
        <v>Jul</v>
      </c>
      <c r="C4701">
        <f>YEAR(Raw_Data!$A4701)</f>
        <v>2006</v>
      </c>
      <c r="D4701" t="s">
        <v>49</v>
      </c>
      <c r="E4701" t="s">
        <v>23</v>
      </c>
      <c r="F4701" t="s">
        <v>11</v>
      </c>
      <c r="G4701">
        <v>3</v>
      </c>
      <c r="H4701">
        <v>2433</v>
      </c>
      <c r="I4701" s="1">
        <v>821424</v>
      </c>
      <c r="J4701" s="1">
        <f>Raw_Data!$I4701/Raw_Data!$H4701</f>
        <v>337.61775585696671</v>
      </c>
    </row>
    <row r="4702" spans="1:10" x14ac:dyDescent="0.3">
      <c r="A4702" s="9">
        <v>37000</v>
      </c>
      <c r="B4702" s="2" t="str">
        <f>TEXT(Raw_Data!$A4702, "MMM")</f>
        <v>Apr</v>
      </c>
      <c r="C4702" s="2">
        <f>YEAR(Raw_Data!$A4702)</f>
        <v>2001</v>
      </c>
      <c r="D4702" s="2" t="s">
        <v>2923</v>
      </c>
      <c r="E4702" s="2" t="s">
        <v>21</v>
      </c>
      <c r="F4702" s="2" t="s">
        <v>27</v>
      </c>
      <c r="G4702" s="2">
        <v>4</v>
      </c>
      <c r="H4702" s="2">
        <v>3228</v>
      </c>
      <c r="I4702" s="10">
        <v>860801</v>
      </c>
      <c r="J4702" s="10">
        <f>Raw_Data!$I4702/Raw_Data!$H4702</f>
        <v>266.66697645600993</v>
      </c>
    </row>
    <row r="4703" spans="1:10" x14ac:dyDescent="0.3">
      <c r="A4703" s="8">
        <v>41117</v>
      </c>
      <c r="B4703" t="str">
        <f>TEXT(Raw_Data!$A4703, "MMM")</f>
        <v>Jul</v>
      </c>
      <c r="C4703">
        <f>YEAR(Raw_Data!$A4703)</f>
        <v>2012</v>
      </c>
      <c r="D4703" t="s">
        <v>2036</v>
      </c>
      <c r="E4703" t="s">
        <v>15</v>
      </c>
      <c r="F4703" t="s">
        <v>18</v>
      </c>
      <c r="H4703">
        <v>3039</v>
      </c>
      <c r="I4703" s="1">
        <v>752613</v>
      </c>
      <c r="J4703" s="1">
        <f>Raw_Data!$I4703/Raw_Data!$H4703</f>
        <v>247.65153010858836</v>
      </c>
    </row>
    <row r="4704" spans="1:10" x14ac:dyDescent="0.3">
      <c r="A4704" s="9">
        <v>41234</v>
      </c>
      <c r="B4704" s="2" t="str">
        <f>TEXT(Raw_Data!$A4704, "MMM")</f>
        <v>Nov</v>
      </c>
      <c r="C4704" s="2">
        <f>YEAR(Raw_Data!$A4704)</f>
        <v>2012</v>
      </c>
      <c r="D4704" s="2" t="s">
        <v>2169</v>
      </c>
      <c r="E4704" s="2" t="s">
        <v>13</v>
      </c>
      <c r="F4704" s="2" t="s">
        <v>11</v>
      </c>
      <c r="G4704" s="2"/>
      <c r="H4704" s="2">
        <v>1333</v>
      </c>
      <c r="I4704" s="10">
        <v>483707</v>
      </c>
      <c r="J4704" s="10">
        <f>Raw_Data!$I4704/Raw_Data!$H4704</f>
        <v>362.87096774193549</v>
      </c>
    </row>
    <row r="4705" spans="1:10" x14ac:dyDescent="0.3">
      <c r="A4705" s="8">
        <v>42615</v>
      </c>
      <c r="B4705" t="str">
        <f>TEXT(Raw_Data!$A4705, "MMM")</f>
        <v>Sep</v>
      </c>
      <c r="C4705">
        <f>YEAR(Raw_Data!$A4705)</f>
        <v>2016</v>
      </c>
      <c r="D4705" t="s">
        <v>2924</v>
      </c>
      <c r="E4705" t="s">
        <v>25</v>
      </c>
      <c r="F4705" t="s">
        <v>27</v>
      </c>
      <c r="G4705">
        <v>2</v>
      </c>
      <c r="H4705">
        <v>2740</v>
      </c>
      <c r="I4705" s="1">
        <v>143259</v>
      </c>
      <c r="J4705" s="1">
        <f>Raw_Data!$I4705/Raw_Data!$H4705</f>
        <v>52.284306569343066</v>
      </c>
    </row>
    <row r="4706" spans="1:10" x14ac:dyDescent="0.3">
      <c r="A4706" s="9">
        <v>41558</v>
      </c>
      <c r="B4706" s="2" t="str">
        <f>TEXT(Raw_Data!$A4706, "MMM")</f>
        <v>Oct</v>
      </c>
      <c r="C4706" s="2">
        <f>YEAR(Raw_Data!$A4706)</f>
        <v>2013</v>
      </c>
      <c r="D4706" s="2" t="s">
        <v>2925</v>
      </c>
      <c r="E4706" s="2" t="s">
        <v>29</v>
      </c>
      <c r="F4706" s="2" t="s">
        <v>18</v>
      </c>
      <c r="G4706" s="2">
        <v>4</v>
      </c>
      <c r="H4706" s="2">
        <v>3373</v>
      </c>
      <c r="I4706" s="10">
        <v>756267</v>
      </c>
      <c r="J4706" s="10">
        <f>Raw_Data!$I4706/Raw_Data!$H4706</f>
        <v>224.21197746812925</v>
      </c>
    </row>
    <row r="4707" spans="1:10" x14ac:dyDescent="0.3">
      <c r="A4707" s="8">
        <v>41268</v>
      </c>
      <c r="B4707" t="str">
        <f>TEXT(Raw_Data!$A4707, "MMM")</f>
        <v>Dec</v>
      </c>
      <c r="C4707">
        <f>YEAR(Raw_Data!$A4707)</f>
        <v>2012</v>
      </c>
      <c r="D4707" t="s">
        <v>2926</v>
      </c>
      <c r="E4707" t="s">
        <v>25</v>
      </c>
      <c r="F4707" t="s">
        <v>16</v>
      </c>
      <c r="G4707">
        <v>4</v>
      </c>
      <c r="H4707">
        <v>1859</v>
      </c>
      <c r="I4707" s="1">
        <v>712064</v>
      </c>
      <c r="J4707" s="1">
        <f>Raw_Data!$I4707/Raw_Data!$H4707</f>
        <v>383.03604088219475</v>
      </c>
    </row>
    <row r="4708" spans="1:10" x14ac:dyDescent="0.3">
      <c r="A4708" s="9">
        <v>38254</v>
      </c>
      <c r="B4708" s="2" t="str">
        <f>TEXT(Raw_Data!$A4708, "MMM")</f>
        <v>Sep</v>
      </c>
      <c r="C4708" s="2">
        <f>YEAR(Raw_Data!$A4708)</f>
        <v>2004</v>
      </c>
      <c r="D4708" s="2" t="s">
        <v>2395</v>
      </c>
      <c r="E4708" s="2" t="s">
        <v>15</v>
      </c>
      <c r="F4708" s="2" t="s">
        <v>18</v>
      </c>
      <c r="G4708" s="2">
        <v>3</v>
      </c>
      <c r="H4708" s="2">
        <v>1086</v>
      </c>
      <c r="I4708" s="10">
        <v>509298</v>
      </c>
      <c r="J4708" s="10">
        <f>Raw_Data!$I4708/Raw_Data!$H4708</f>
        <v>468.96685082872926</v>
      </c>
    </row>
    <row r="4709" spans="1:10" x14ac:dyDescent="0.3">
      <c r="A4709" s="8">
        <v>37792</v>
      </c>
      <c r="B4709" t="str">
        <f>TEXT(Raw_Data!$A4709, "MMM")</f>
        <v>Jun</v>
      </c>
      <c r="C4709">
        <f>YEAR(Raw_Data!$A4709)</f>
        <v>2003</v>
      </c>
      <c r="D4709" t="s">
        <v>1945</v>
      </c>
      <c r="E4709" t="s">
        <v>32</v>
      </c>
      <c r="F4709" t="s">
        <v>27</v>
      </c>
      <c r="G4709">
        <v>3</v>
      </c>
      <c r="H4709">
        <v>1338</v>
      </c>
      <c r="I4709" s="1">
        <v>819867</v>
      </c>
      <c r="J4709" s="1">
        <f>Raw_Data!$I4709/Raw_Data!$H4709</f>
        <v>612.75560538116588</v>
      </c>
    </row>
    <row r="4710" spans="1:10" x14ac:dyDescent="0.3">
      <c r="A4710" s="9">
        <v>41674</v>
      </c>
      <c r="B4710" s="2" t="str">
        <f>TEXT(Raw_Data!$A4710, "MMM")</f>
        <v>Feb</v>
      </c>
      <c r="C4710" s="2">
        <f>YEAR(Raw_Data!$A4710)</f>
        <v>2014</v>
      </c>
      <c r="D4710" s="2" t="s">
        <v>2927</v>
      </c>
      <c r="E4710" s="2" t="s">
        <v>25</v>
      </c>
      <c r="F4710" s="2" t="s">
        <v>11</v>
      </c>
      <c r="G4710" s="2">
        <v>5</v>
      </c>
      <c r="H4710" s="2">
        <v>1791</v>
      </c>
      <c r="I4710" s="10">
        <v>108708</v>
      </c>
      <c r="J4710" s="10">
        <f>Raw_Data!$I4710/Raw_Data!$H4710</f>
        <v>60.696817420435508</v>
      </c>
    </row>
    <row r="4711" spans="1:10" x14ac:dyDescent="0.3">
      <c r="A4711" s="8">
        <v>40605</v>
      </c>
      <c r="B4711" t="str">
        <f>TEXT(Raw_Data!$A4711, "MMM")</f>
        <v>Mar</v>
      </c>
      <c r="C4711">
        <f>YEAR(Raw_Data!$A4711)</f>
        <v>2011</v>
      </c>
      <c r="D4711" t="s">
        <v>2928</v>
      </c>
      <c r="E4711" t="s">
        <v>15</v>
      </c>
      <c r="F4711" t="s">
        <v>11</v>
      </c>
      <c r="H4711">
        <v>1123</v>
      </c>
      <c r="I4711" s="1">
        <v>699441</v>
      </c>
      <c r="J4711" s="1">
        <f>Raw_Data!$I4711/Raw_Data!$H4711</f>
        <v>622.83259127337487</v>
      </c>
    </row>
    <row r="4712" spans="1:10" x14ac:dyDescent="0.3">
      <c r="A4712" s="9">
        <v>42624</v>
      </c>
      <c r="B4712" s="2" t="str">
        <f>TEXT(Raw_Data!$A4712, "MMM")</f>
        <v>Sep</v>
      </c>
      <c r="C4712" s="2">
        <f>YEAR(Raw_Data!$A4712)</f>
        <v>2016</v>
      </c>
      <c r="D4712" s="2" t="s">
        <v>2262</v>
      </c>
      <c r="E4712" s="2" t="s">
        <v>25</v>
      </c>
      <c r="F4712" s="2" t="s">
        <v>27</v>
      </c>
      <c r="G4712" s="2">
        <v>2</v>
      </c>
      <c r="H4712" s="2">
        <v>3491</v>
      </c>
      <c r="I4712" s="10">
        <v>724388</v>
      </c>
      <c r="J4712" s="10">
        <f>Raw_Data!$I4712/Raw_Data!$H4712</f>
        <v>207.50157547980521</v>
      </c>
    </row>
    <row r="4713" spans="1:10" x14ac:dyDescent="0.3">
      <c r="A4713" s="8">
        <v>38991</v>
      </c>
      <c r="B4713" t="str">
        <f>TEXT(Raw_Data!$A4713, "MMM")</f>
        <v>Oct</v>
      </c>
      <c r="C4713">
        <f>YEAR(Raw_Data!$A4713)</f>
        <v>2006</v>
      </c>
      <c r="D4713" t="s">
        <v>2723</v>
      </c>
      <c r="E4713" t="s">
        <v>25</v>
      </c>
      <c r="F4713" t="s">
        <v>27</v>
      </c>
      <c r="G4713">
        <v>3</v>
      </c>
      <c r="H4713">
        <v>2755</v>
      </c>
      <c r="I4713" s="1">
        <v>191982</v>
      </c>
      <c r="J4713" s="1">
        <f>Raw_Data!$I4713/Raw_Data!$H4713</f>
        <v>69.684936479128851</v>
      </c>
    </row>
    <row r="4714" spans="1:10" x14ac:dyDescent="0.3">
      <c r="A4714" s="9">
        <v>39262</v>
      </c>
      <c r="B4714" s="2" t="str">
        <f>TEXT(Raw_Data!$A4714, "MMM")</f>
        <v>Jun</v>
      </c>
      <c r="C4714" s="2">
        <f>YEAR(Raw_Data!$A4714)</f>
        <v>2007</v>
      </c>
      <c r="D4714" s="2" t="s">
        <v>2929</v>
      </c>
      <c r="E4714" s="2" t="s">
        <v>25</v>
      </c>
      <c r="F4714" s="2" t="s">
        <v>27</v>
      </c>
      <c r="G4714" s="2">
        <v>5</v>
      </c>
      <c r="H4714" s="2">
        <v>2256</v>
      </c>
      <c r="I4714" s="10">
        <v>415049</v>
      </c>
      <c r="J4714" s="10">
        <f>Raw_Data!$I4714/Raw_Data!$H4714</f>
        <v>183.9756205673759</v>
      </c>
    </row>
    <row r="4715" spans="1:10" x14ac:dyDescent="0.3">
      <c r="A4715" s="8">
        <v>43015</v>
      </c>
      <c r="B4715" t="str">
        <f>TEXT(Raw_Data!$A4715, "MMM")</f>
        <v>Oct</v>
      </c>
      <c r="C4715">
        <f>YEAR(Raw_Data!$A4715)</f>
        <v>2017</v>
      </c>
      <c r="D4715" t="s">
        <v>2930</v>
      </c>
      <c r="E4715" t="s">
        <v>32</v>
      </c>
      <c r="F4715" t="s">
        <v>18</v>
      </c>
      <c r="G4715">
        <v>5</v>
      </c>
      <c r="H4715">
        <v>3304</v>
      </c>
      <c r="I4715" s="1">
        <v>160565</v>
      </c>
      <c r="J4715" s="1">
        <f>Raw_Data!$I4715/Raw_Data!$H4715</f>
        <v>48.597154963680389</v>
      </c>
    </row>
    <row r="4716" spans="1:10" x14ac:dyDescent="0.3">
      <c r="A4716" s="9">
        <v>42223</v>
      </c>
      <c r="B4716" s="2" t="str">
        <f>TEXT(Raw_Data!$A4716, "MMM")</f>
        <v>Aug</v>
      </c>
      <c r="C4716" s="2">
        <f>YEAR(Raw_Data!$A4716)</f>
        <v>2015</v>
      </c>
      <c r="D4716" s="2" t="s">
        <v>218</v>
      </c>
      <c r="E4716" s="2" t="s">
        <v>21</v>
      </c>
      <c r="F4716" s="2" t="s">
        <v>16</v>
      </c>
      <c r="G4716" s="2">
        <v>2</v>
      </c>
      <c r="H4716" s="2">
        <v>3371</v>
      </c>
      <c r="I4716" s="10">
        <v>495913</v>
      </c>
      <c r="J4716" s="10">
        <f>Raw_Data!$I4716/Raw_Data!$H4716</f>
        <v>147.11153960249183</v>
      </c>
    </row>
    <row r="4717" spans="1:10" x14ac:dyDescent="0.3">
      <c r="A4717" s="8">
        <v>38934</v>
      </c>
      <c r="B4717" t="str">
        <f>TEXT(Raw_Data!$A4717, "MMM")</f>
        <v>Aug</v>
      </c>
      <c r="C4717">
        <f>YEAR(Raw_Data!$A4717)</f>
        <v>2006</v>
      </c>
      <c r="D4717" t="s">
        <v>1453</v>
      </c>
      <c r="E4717" t="s">
        <v>29</v>
      </c>
      <c r="F4717" t="s">
        <v>27</v>
      </c>
      <c r="H4717">
        <v>2429</v>
      </c>
      <c r="I4717" s="1">
        <v>700102</v>
      </c>
      <c r="J4717" s="1">
        <f>Raw_Data!$I4717/Raw_Data!$H4717</f>
        <v>288.22643062988885</v>
      </c>
    </row>
    <row r="4718" spans="1:10" x14ac:dyDescent="0.3">
      <c r="A4718" s="9">
        <v>43906</v>
      </c>
      <c r="B4718" s="2" t="str">
        <f>TEXT(Raw_Data!$A4718, "MMM")</f>
        <v>Mar</v>
      </c>
      <c r="C4718" s="2">
        <f>YEAR(Raw_Data!$A4718)</f>
        <v>2020</v>
      </c>
      <c r="D4718" s="2" t="s">
        <v>1172</v>
      </c>
      <c r="E4718" s="2" t="s">
        <v>32</v>
      </c>
      <c r="F4718" s="2" t="s">
        <v>18</v>
      </c>
      <c r="G4718" s="2">
        <v>3</v>
      </c>
      <c r="H4718" s="2">
        <v>1169</v>
      </c>
      <c r="I4718" s="10">
        <v>721645</v>
      </c>
      <c r="J4718" s="10">
        <f>Raw_Data!$I4718/Raw_Data!$H4718</f>
        <v>617.31822070145427</v>
      </c>
    </row>
    <row r="4719" spans="1:10" x14ac:dyDescent="0.3">
      <c r="A4719" s="8">
        <v>41391</v>
      </c>
      <c r="B4719" t="str">
        <f>TEXT(Raw_Data!$A4719, "MMM")</f>
        <v>Apr</v>
      </c>
      <c r="C4719">
        <f>YEAR(Raw_Data!$A4719)</f>
        <v>2013</v>
      </c>
      <c r="D4719" t="s">
        <v>1996</v>
      </c>
      <c r="E4719" t="s">
        <v>25</v>
      </c>
      <c r="F4719" t="s">
        <v>11</v>
      </c>
      <c r="G4719">
        <v>5</v>
      </c>
      <c r="H4719">
        <v>1466</v>
      </c>
      <c r="I4719" s="1">
        <v>198610</v>
      </c>
      <c r="J4719" s="1">
        <f>Raw_Data!$I4719/Raw_Data!$H4719</f>
        <v>135.4774897680764</v>
      </c>
    </row>
    <row r="4720" spans="1:10" x14ac:dyDescent="0.3">
      <c r="A4720" s="9">
        <v>42620</v>
      </c>
      <c r="B4720" s="2" t="str">
        <f>TEXT(Raw_Data!$A4720, "MMM")</f>
        <v>Sep</v>
      </c>
      <c r="C4720" s="2">
        <f>YEAR(Raw_Data!$A4720)</f>
        <v>2016</v>
      </c>
      <c r="D4720" s="2" t="s">
        <v>1518</v>
      </c>
      <c r="E4720" s="2" t="s">
        <v>15</v>
      </c>
      <c r="F4720" s="2" t="s">
        <v>18</v>
      </c>
      <c r="G4720" s="2">
        <v>2</v>
      </c>
      <c r="H4720" s="2">
        <v>2281</v>
      </c>
      <c r="I4720" s="10">
        <v>778001</v>
      </c>
      <c r="J4720" s="10">
        <f>Raw_Data!$I4720/Raw_Data!$H4720</f>
        <v>341.07891275756248</v>
      </c>
    </row>
    <row r="4721" spans="1:10" x14ac:dyDescent="0.3">
      <c r="A4721" s="8">
        <v>36966</v>
      </c>
      <c r="B4721" t="str">
        <f>TEXT(Raw_Data!$A4721, "MMM")</f>
        <v>Mar</v>
      </c>
      <c r="C4721">
        <f>YEAR(Raw_Data!$A4721)</f>
        <v>2001</v>
      </c>
      <c r="D4721" t="s">
        <v>2931</v>
      </c>
      <c r="E4721" t="s">
        <v>15</v>
      </c>
      <c r="F4721" t="s">
        <v>11</v>
      </c>
      <c r="H4721">
        <v>3084</v>
      </c>
      <c r="I4721" s="1">
        <v>100065</v>
      </c>
      <c r="J4721" s="1">
        <f>Raw_Data!$I4721/Raw_Data!$H4721</f>
        <v>32.446498054474709</v>
      </c>
    </row>
    <row r="4722" spans="1:10" x14ac:dyDescent="0.3">
      <c r="A4722" s="9">
        <v>38196</v>
      </c>
      <c r="B4722" s="2" t="str">
        <f>TEXT(Raw_Data!$A4722, "MMM")</f>
        <v>Jul</v>
      </c>
      <c r="C4722" s="2">
        <f>YEAR(Raw_Data!$A4722)</f>
        <v>2004</v>
      </c>
      <c r="D4722" s="2" t="s">
        <v>2932</v>
      </c>
      <c r="E4722" s="2" t="s">
        <v>32</v>
      </c>
      <c r="F4722" s="2" t="s">
        <v>18</v>
      </c>
      <c r="G4722" s="2"/>
      <c r="H4722" s="2">
        <v>1982</v>
      </c>
      <c r="I4722" s="10">
        <v>440318</v>
      </c>
      <c r="J4722" s="10">
        <f>Raw_Data!$I4722/Raw_Data!$H4722</f>
        <v>222.15842583249244</v>
      </c>
    </row>
    <row r="4723" spans="1:10" x14ac:dyDescent="0.3">
      <c r="A4723" s="8">
        <v>41213</v>
      </c>
      <c r="B4723" t="str">
        <f>TEXT(Raw_Data!$A4723, "MMM")</f>
        <v>Oct</v>
      </c>
      <c r="C4723">
        <f>YEAR(Raw_Data!$A4723)</f>
        <v>2012</v>
      </c>
      <c r="D4723" t="s">
        <v>2496</v>
      </c>
      <c r="E4723" t="s">
        <v>15</v>
      </c>
      <c r="F4723" t="s">
        <v>27</v>
      </c>
      <c r="G4723">
        <v>4</v>
      </c>
      <c r="H4723">
        <v>869</v>
      </c>
      <c r="I4723" s="1">
        <v>590992</v>
      </c>
      <c r="J4723" s="1">
        <f>Raw_Data!$I4723/Raw_Data!$H4723</f>
        <v>680.08285385500574</v>
      </c>
    </row>
    <row r="4724" spans="1:10" x14ac:dyDescent="0.3">
      <c r="A4724" s="9">
        <v>38240</v>
      </c>
      <c r="B4724" s="2" t="str">
        <f>TEXT(Raw_Data!$A4724, "MMM")</f>
        <v>Sep</v>
      </c>
      <c r="C4724" s="2">
        <f>YEAR(Raw_Data!$A4724)</f>
        <v>2004</v>
      </c>
      <c r="D4724" s="2" t="s">
        <v>2933</v>
      </c>
      <c r="E4724" s="2" t="s">
        <v>32</v>
      </c>
      <c r="F4724" s="2" t="s">
        <v>27</v>
      </c>
      <c r="G4724" s="2">
        <v>2</v>
      </c>
      <c r="H4724" s="2">
        <v>1289</v>
      </c>
      <c r="I4724" s="10">
        <v>309107</v>
      </c>
      <c r="J4724" s="10">
        <f>Raw_Data!$I4724/Raw_Data!$H4724</f>
        <v>239.80372381691234</v>
      </c>
    </row>
    <row r="4725" spans="1:10" x14ac:dyDescent="0.3">
      <c r="A4725" s="8">
        <v>43249</v>
      </c>
      <c r="B4725" t="str">
        <f>TEXT(Raw_Data!$A4725, "MMM")</f>
        <v>May</v>
      </c>
      <c r="C4725">
        <f>YEAR(Raw_Data!$A4725)</f>
        <v>2018</v>
      </c>
      <c r="D4725" t="s">
        <v>1270</v>
      </c>
      <c r="E4725" t="s">
        <v>21</v>
      </c>
      <c r="F4725" t="s">
        <v>27</v>
      </c>
      <c r="G4725">
        <v>2</v>
      </c>
      <c r="H4725">
        <v>1579</v>
      </c>
      <c r="I4725" s="1">
        <v>572858</v>
      </c>
      <c r="J4725" s="1">
        <f>Raw_Data!$I4725/Raw_Data!$H4725</f>
        <v>362.79797340088663</v>
      </c>
    </row>
    <row r="4726" spans="1:10" x14ac:dyDescent="0.3">
      <c r="A4726" s="9">
        <v>39132</v>
      </c>
      <c r="B4726" s="2" t="str">
        <f>TEXT(Raw_Data!$A4726, "MMM")</f>
        <v>Feb</v>
      </c>
      <c r="C4726" s="2">
        <f>YEAR(Raw_Data!$A4726)</f>
        <v>2007</v>
      </c>
      <c r="D4726" s="2" t="s">
        <v>2169</v>
      </c>
      <c r="E4726" s="2" t="s">
        <v>21</v>
      </c>
      <c r="F4726" s="2" t="s">
        <v>11</v>
      </c>
      <c r="G4726" s="2"/>
      <c r="H4726" s="2">
        <v>3451</v>
      </c>
      <c r="I4726" s="10">
        <v>666577</v>
      </c>
      <c r="J4726" s="10">
        <f>Raw_Data!$I4726/Raw_Data!$H4726</f>
        <v>193.15473775717183</v>
      </c>
    </row>
    <row r="4727" spans="1:10" x14ac:dyDescent="0.3">
      <c r="A4727" s="8">
        <v>39373</v>
      </c>
      <c r="B4727" t="str">
        <f>TEXT(Raw_Data!$A4727, "MMM")</f>
        <v>Oct</v>
      </c>
      <c r="C4727">
        <f>YEAR(Raw_Data!$A4727)</f>
        <v>2007</v>
      </c>
      <c r="D4727" t="s">
        <v>2865</v>
      </c>
      <c r="E4727" t="s">
        <v>32</v>
      </c>
      <c r="F4727" t="s">
        <v>27</v>
      </c>
      <c r="H4727">
        <v>2634</v>
      </c>
      <c r="I4727" s="1">
        <v>481729</v>
      </c>
      <c r="J4727" s="1">
        <f>Raw_Data!$I4727/Raw_Data!$H4727</f>
        <v>182.88876233864843</v>
      </c>
    </row>
    <row r="4728" spans="1:10" x14ac:dyDescent="0.3">
      <c r="A4728" s="9">
        <v>37626</v>
      </c>
      <c r="B4728" s="2" t="str">
        <f>TEXT(Raw_Data!$A4728, "MMM")</f>
        <v>Jan</v>
      </c>
      <c r="C4728" s="2">
        <f>YEAR(Raw_Data!$A4728)</f>
        <v>2003</v>
      </c>
      <c r="D4728" s="2" t="s">
        <v>2934</v>
      </c>
      <c r="E4728" s="2" t="s">
        <v>21</v>
      </c>
      <c r="F4728" s="2" t="s">
        <v>18</v>
      </c>
      <c r="G4728" s="2">
        <v>5</v>
      </c>
      <c r="H4728" s="2">
        <v>863</v>
      </c>
      <c r="I4728" s="10">
        <v>140360</v>
      </c>
      <c r="J4728" s="10">
        <f>Raw_Data!$I4728/Raw_Data!$H4728</f>
        <v>162.64194669756662</v>
      </c>
    </row>
    <row r="4729" spans="1:10" x14ac:dyDescent="0.3">
      <c r="A4729" s="8">
        <v>43649</v>
      </c>
      <c r="B4729" t="str">
        <f>TEXT(Raw_Data!$A4729, "MMM")</f>
        <v>Jul</v>
      </c>
      <c r="C4729">
        <f>YEAR(Raw_Data!$A4729)</f>
        <v>2019</v>
      </c>
      <c r="D4729" t="s">
        <v>465</v>
      </c>
      <c r="E4729" t="s">
        <v>15</v>
      </c>
      <c r="F4729" t="s">
        <v>18</v>
      </c>
      <c r="G4729">
        <v>4</v>
      </c>
      <c r="H4729">
        <v>3422</v>
      </c>
      <c r="I4729" s="1"/>
      <c r="J4729" s="1">
        <f>Raw_Data!$I4729/Raw_Data!$H4729</f>
        <v>0</v>
      </c>
    </row>
    <row r="4730" spans="1:10" x14ac:dyDescent="0.3">
      <c r="A4730" s="9">
        <v>41868</v>
      </c>
      <c r="B4730" s="2" t="str">
        <f>TEXT(Raw_Data!$A4730, "MMM")</f>
        <v>Aug</v>
      </c>
      <c r="C4730" s="2">
        <f>YEAR(Raw_Data!$A4730)</f>
        <v>2014</v>
      </c>
      <c r="D4730" s="2" t="s">
        <v>231</v>
      </c>
      <c r="E4730" s="2" t="s">
        <v>13</v>
      </c>
      <c r="F4730" s="2" t="s">
        <v>27</v>
      </c>
      <c r="G4730" s="2">
        <v>3</v>
      </c>
      <c r="H4730" s="2">
        <v>860</v>
      </c>
      <c r="I4730" s="10">
        <v>307868</v>
      </c>
      <c r="J4730" s="10">
        <f>Raw_Data!$I4730/Raw_Data!$H4730</f>
        <v>357.98604651162793</v>
      </c>
    </row>
    <row r="4731" spans="1:10" x14ac:dyDescent="0.3">
      <c r="A4731" s="8">
        <v>37202</v>
      </c>
      <c r="B4731" t="str">
        <f>TEXT(Raw_Data!$A4731, "MMM")</f>
        <v>Nov</v>
      </c>
      <c r="C4731">
        <f>YEAR(Raw_Data!$A4731)</f>
        <v>2001</v>
      </c>
      <c r="D4731" t="s">
        <v>2935</v>
      </c>
      <c r="E4731" t="s">
        <v>25</v>
      </c>
      <c r="F4731" t="s">
        <v>11</v>
      </c>
      <c r="G4731">
        <v>5</v>
      </c>
      <c r="H4731">
        <v>1834</v>
      </c>
      <c r="I4731" s="1">
        <v>108805</v>
      </c>
      <c r="J4731" s="1">
        <f>Raw_Data!$I4731/Raw_Data!$H4731</f>
        <v>59.326608505997818</v>
      </c>
    </row>
    <row r="4732" spans="1:10" x14ac:dyDescent="0.3">
      <c r="A4732" s="9">
        <v>39959</v>
      </c>
      <c r="B4732" s="2" t="str">
        <f>TEXT(Raw_Data!$A4732, "MMM")</f>
        <v>May</v>
      </c>
      <c r="C4732" s="2">
        <f>YEAR(Raw_Data!$A4732)</f>
        <v>2009</v>
      </c>
      <c r="D4732" s="2" t="s">
        <v>2562</v>
      </c>
      <c r="E4732" s="2" t="s">
        <v>25</v>
      </c>
      <c r="F4732" s="2" t="s">
        <v>16</v>
      </c>
      <c r="G4732" s="2">
        <v>4</v>
      </c>
      <c r="H4732" s="2">
        <v>3198</v>
      </c>
      <c r="I4732" s="10">
        <v>269822</v>
      </c>
      <c r="J4732" s="10">
        <f>Raw_Data!$I4732/Raw_Data!$H4732</f>
        <v>84.37210756722952</v>
      </c>
    </row>
    <row r="4733" spans="1:10" x14ac:dyDescent="0.3">
      <c r="A4733" s="8">
        <v>43344</v>
      </c>
      <c r="B4733" t="str">
        <f>TEXT(Raw_Data!$A4733, "MMM")</f>
        <v>Sep</v>
      </c>
      <c r="C4733">
        <f>YEAR(Raw_Data!$A4733)</f>
        <v>2018</v>
      </c>
      <c r="D4733" t="s">
        <v>231</v>
      </c>
      <c r="E4733" t="s">
        <v>32</v>
      </c>
      <c r="F4733" t="s">
        <v>27</v>
      </c>
      <c r="G4733">
        <v>5</v>
      </c>
      <c r="H4733">
        <v>1091</v>
      </c>
      <c r="I4733" s="1">
        <v>865048</v>
      </c>
      <c r="J4733" s="1">
        <f>Raw_Data!$I4733/Raw_Data!$H4733</f>
        <v>792.89459211732355</v>
      </c>
    </row>
    <row r="4734" spans="1:10" x14ac:dyDescent="0.3">
      <c r="A4734" s="9">
        <v>38137</v>
      </c>
      <c r="B4734" s="2" t="str">
        <f>TEXT(Raw_Data!$A4734, "MMM")</f>
        <v>May</v>
      </c>
      <c r="C4734" s="2">
        <f>YEAR(Raw_Data!$A4734)</f>
        <v>2004</v>
      </c>
      <c r="D4734" s="2" t="s">
        <v>883</v>
      </c>
      <c r="E4734" s="2" t="s">
        <v>25</v>
      </c>
      <c r="F4734" s="2" t="s">
        <v>16</v>
      </c>
      <c r="G4734" s="2">
        <v>4</v>
      </c>
      <c r="H4734" s="2">
        <v>965</v>
      </c>
      <c r="I4734" s="10">
        <v>159312</v>
      </c>
      <c r="J4734" s="10">
        <f>Raw_Data!$I4734/Raw_Data!$H4734</f>
        <v>165.09015544041452</v>
      </c>
    </row>
    <row r="4735" spans="1:10" x14ac:dyDescent="0.3">
      <c r="A4735" s="8">
        <v>40443</v>
      </c>
      <c r="B4735" t="str">
        <f>TEXT(Raw_Data!$A4735, "MMM")</f>
        <v>Sep</v>
      </c>
      <c r="C4735">
        <f>YEAR(Raw_Data!$A4735)</f>
        <v>2010</v>
      </c>
      <c r="D4735" t="s">
        <v>2936</v>
      </c>
      <c r="E4735" t="s">
        <v>25</v>
      </c>
      <c r="F4735" t="s">
        <v>11</v>
      </c>
      <c r="G4735">
        <v>5</v>
      </c>
      <c r="H4735">
        <v>2937</v>
      </c>
      <c r="I4735" s="1">
        <v>799435</v>
      </c>
      <c r="J4735" s="1">
        <f>Raw_Data!$I4735/Raw_Data!$H4735</f>
        <v>272.19441607082058</v>
      </c>
    </row>
    <row r="4736" spans="1:10" x14ac:dyDescent="0.3">
      <c r="A4736" s="9">
        <v>43336</v>
      </c>
      <c r="B4736" s="2" t="str">
        <f>TEXT(Raw_Data!$A4736, "MMM")</f>
        <v>Aug</v>
      </c>
      <c r="C4736" s="2">
        <f>YEAR(Raw_Data!$A4736)</f>
        <v>2018</v>
      </c>
      <c r="D4736" s="2" t="s">
        <v>2937</v>
      </c>
      <c r="E4736" s="2" t="s">
        <v>29</v>
      </c>
      <c r="F4736" s="2" t="s">
        <v>11</v>
      </c>
      <c r="G4736" s="2"/>
      <c r="H4736" s="2">
        <v>843</v>
      </c>
      <c r="I4736" s="10">
        <v>297458</v>
      </c>
      <c r="J4736" s="10">
        <f>Raw_Data!$I4736/Raw_Data!$H4736</f>
        <v>352.85646500593117</v>
      </c>
    </row>
    <row r="4737" spans="1:10" x14ac:dyDescent="0.3">
      <c r="A4737" s="8">
        <v>42791</v>
      </c>
      <c r="B4737" t="str">
        <f>TEXT(Raw_Data!$A4737, "MMM")</f>
        <v>Feb</v>
      </c>
      <c r="C4737">
        <f>YEAR(Raw_Data!$A4737)</f>
        <v>2017</v>
      </c>
      <c r="D4737" t="s">
        <v>1310</v>
      </c>
      <c r="E4737" t="s">
        <v>25</v>
      </c>
      <c r="F4737" t="s">
        <v>11</v>
      </c>
      <c r="G4737">
        <v>2</v>
      </c>
      <c r="H4737">
        <v>949</v>
      </c>
      <c r="I4737" s="1">
        <v>657624</v>
      </c>
      <c r="J4737" s="1">
        <f>Raw_Data!$I4737/Raw_Data!$H4737</f>
        <v>692.9652265542677</v>
      </c>
    </row>
    <row r="4738" spans="1:10" x14ac:dyDescent="0.3">
      <c r="A4738" s="9">
        <v>38590</v>
      </c>
      <c r="B4738" s="2" t="str">
        <f>TEXT(Raw_Data!$A4738, "MMM")</f>
        <v>Aug</v>
      </c>
      <c r="C4738" s="2">
        <f>YEAR(Raw_Data!$A4738)</f>
        <v>2005</v>
      </c>
      <c r="D4738" s="2" t="s">
        <v>2054</v>
      </c>
      <c r="E4738" s="2" t="s">
        <v>23</v>
      </c>
      <c r="F4738" s="2" t="s">
        <v>16</v>
      </c>
      <c r="G4738" s="2">
        <v>5</v>
      </c>
      <c r="H4738" s="2">
        <v>1352</v>
      </c>
      <c r="I4738" s="10">
        <v>444973</v>
      </c>
      <c r="J4738" s="10">
        <f>Raw_Data!$I4738/Raw_Data!$H4738</f>
        <v>329.12204142011836</v>
      </c>
    </row>
    <row r="4739" spans="1:10" x14ac:dyDescent="0.3">
      <c r="A4739" s="8">
        <v>43123</v>
      </c>
      <c r="B4739" t="str">
        <f>TEXT(Raw_Data!$A4739, "MMM")</f>
        <v>Jan</v>
      </c>
      <c r="C4739">
        <f>YEAR(Raw_Data!$A4739)</f>
        <v>2018</v>
      </c>
      <c r="D4739" t="s">
        <v>86</v>
      </c>
      <c r="E4739" t="s">
        <v>13</v>
      </c>
      <c r="F4739" t="s">
        <v>11</v>
      </c>
      <c r="H4739">
        <v>2657</v>
      </c>
      <c r="I4739" s="1">
        <v>796394</v>
      </c>
      <c r="J4739" s="1">
        <f>Raw_Data!$I4739/Raw_Data!$H4739</f>
        <v>299.73428678961233</v>
      </c>
    </row>
    <row r="4740" spans="1:10" x14ac:dyDescent="0.3">
      <c r="A4740" s="9">
        <v>37612</v>
      </c>
      <c r="B4740" s="2" t="str">
        <f>TEXT(Raw_Data!$A4740, "MMM")</f>
        <v>Dec</v>
      </c>
      <c r="C4740" s="2">
        <f>YEAR(Raw_Data!$A4740)</f>
        <v>2002</v>
      </c>
      <c r="D4740" s="2" t="s">
        <v>2359</v>
      </c>
      <c r="E4740" s="2" t="s">
        <v>21</v>
      </c>
      <c r="F4740" s="2" t="s">
        <v>27</v>
      </c>
      <c r="G4740" s="2"/>
      <c r="H4740" s="2">
        <v>1531</v>
      </c>
      <c r="I4740" s="10">
        <v>620531</v>
      </c>
      <c r="J4740" s="10">
        <f>Raw_Data!$I4740/Raw_Data!$H4740</f>
        <v>405.31090790333116</v>
      </c>
    </row>
    <row r="4741" spans="1:10" x14ac:dyDescent="0.3">
      <c r="A4741" s="8">
        <v>39360</v>
      </c>
      <c r="B4741" t="str">
        <f>TEXT(Raw_Data!$A4741, "MMM")</f>
        <v>Oct</v>
      </c>
      <c r="C4741">
        <f>YEAR(Raw_Data!$A4741)</f>
        <v>2007</v>
      </c>
      <c r="D4741" t="s">
        <v>2709</v>
      </c>
      <c r="E4741" t="s">
        <v>25</v>
      </c>
      <c r="F4741" t="s">
        <v>11</v>
      </c>
      <c r="H4741">
        <v>1606</v>
      </c>
      <c r="I4741" s="1">
        <v>104214</v>
      </c>
      <c r="J4741" s="1">
        <f>Raw_Data!$I4741/Raw_Data!$H4741</f>
        <v>64.890410958904113</v>
      </c>
    </row>
    <row r="4742" spans="1:10" x14ac:dyDescent="0.3">
      <c r="A4742" s="9">
        <v>41880</v>
      </c>
      <c r="B4742" s="2" t="str">
        <f>TEXT(Raw_Data!$A4742, "MMM")</f>
        <v>Aug</v>
      </c>
      <c r="C4742" s="2">
        <f>YEAR(Raw_Data!$A4742)</f>
        <v>2014</v>
      </c>
      <c r="D4742" s="2" t="s">
        <v>2938</v>
      </c>
      <c r="E4742" s="2" t="s">
        <v>13</v>
      </c>
      <c r="F4742" s="2" t="s">
        <v>11</v>
      </c>
      <c r="G4742" s="2">
        <v>4</v>
      </c>
      <c r="H4742" s="2">
        <v>1649</v>
      </c>
      <c r="I4742" s="10">
        <v>612584</v>
      </c>
      <c r="J4742" s="10">
        <f>Raw_Data!$I4742/Raw_Data!$H4742</f>
        <v>371.48817465130384</v>
      </c>
    </row>
    <row r="4743" spans="1:10" x14ac:dyDescent="0.3">
      <c r="A4743" s="8">
        <v>38851</v>
      </c>
      <c r="B4743" t="str">
        <f>TEXT(Raw_Data!$A4743, "MMM")</f>
        <v>May</v>
      </c>
      <c r="C4743">
        <f>YEAR(Raw_Data!$A4743)</f>
        <v>2006</v>
      </c>
      <c r="D4743" t="s">
        <v>2521</v>
      </c>
      <c r="E4743" t="s">
        <v>23</v>
      </c>
      <c r="F4743" t="s">
        <v>11</v>
      </c>
      <c r="G4743">
        <v>2</v>
      </c>
      <c r="H4743">
        <v>3137</v>
      </c>
      <c r="I4743" s="1">
        <v>759398</v>
      </c>
      <c r="J4743" s="1">
        <f>Raw_Data!$I4743/Raw_Data!$H4743</f>
        <v>242.07778131973222</v>
      </c>
    </row>
    <row r="4744" spans="1:10" x14ac:dyDescent="0.3">
      <c r="A4744" s="9">
        <v>42921</v>
      </c>
      <c r="B4744" s="2" t="str">
        <f>TEXT(Raw_Data!$A4744, "MMM")</f>
        <v>Jul</v>
      </c>
      <c r="C4744" s="2">
        <f>YEAR(Raw_Data!$A4744)</f>
        <v>2017</v>
      </c>
      <c r="D4744" s="2" t="s">
        <v>1540</v>
      </c>
      <c r="E4744" s="2" t="s">
        <v>23</v>
      </c>
      <c r="F4744" s="2" t="s">
        <v>11</v>
      </c>
      <c r="G4744" s="2"/>
      <c r="H4744" s="2">
        <v>2407</v>
      </c>
      <c r="I4744" s="10">
        <v>560097</v>
      </c>
      <c r="J4744" s="10">
        <f>Raw_Data!$I4744/Raw_Data!$H4744</f>
        <v>232.69505608641464</v>
      </c>
    </row>
    <row r="4745" spans="1:10" x14ac:dyDescent="0.3">
      <c r="A4745" s="8">
        <v>36926</v>
      </c>
      <c r="B4745" t="str">
        <f>TEXT(Raw_Data!$A4745, "MMM")</f>
        <v>Feb</v>
      </c>
      <c r="C4745">
        <f>YEAR(Raw_Data!$A4745)</f>
        <v>2001</v>
      </c>
      <c r="D4745" t="s">
        <v>1877</v>
      </c>
      <c r="E4745" t="s">
        <v>32</v>
      </c>
      <c r="F4745" t="s">
        <v>16</v>
      </c>
      <c r="G4745">
        <v>4</v>
      </c>
      <c r="H4745">
        <v>3054</v>
      </c>
      <c r="I4745" s="1">
        <v>454117</v>
      </c>
      <c r="J4745" s="1">
        <f>Raw_Data!$I4745/Raw_Data!$H4745</f>
        <v>148.69580877537655</v>
      </c>
    </row>
    <row r="4746" spans="1:10" x14ac:dyDescent="0.3">
      <c r="A4746" s="9">
        <v>41737</v>
      </c>
      <c r="B4746" s="2" t="str">
        <f>TEXT(Raw_Data!$A4746, "MMM")</f>
        <v>Apr</v>
      </c>
      <c r="C4746" s="2">
        <f>YEAR(Raw_Data!$A4746)</f>
        <v>2014</v>
      </c>
      <c r="D4746" s="2" t="s">
        <v>2939</v>
      </c>
      <c r="E4746" s="2" t="s">
        <v>29</v>
      </c>
      <c r="F4746" s="2" t="s">
        <v>16</v>
      </c>
      <c r="G4746" s="2"/>
      <c r="H4746" s="2">
        <v>1134</v>
      </c>
      <c r="I4746" s="10">
        <v>442392</v>
      </c>
      <c r="J4746" s="10">
        <f>Raw_Data!$I4746/Raw_Data!$H4746</f>
        <v>390.11640211640213</v>
      </c>
    </row>
    <row r="4747" spans="1:10" x14ac:dyDescent="0.3">
      <c r="A4747" s="8">
        <v>42957</v>
      </c>
      <c r="B4747" t="str">
        <f>TEXT(Raw_Data!$A4747, "MMM")</f>
        <v>Aug</v>
      </c>
      <c r="C4747">
        <f>YEAR(Raw_Data!$A4747)</f>
        <v>2017</v>
      </c>
      <c r="D4747" t="s">
        <v>709</v>
      </c>
      <c r="E4747" t="s">
        <v>15</v>
      </c>
      <c r="F4747" t="s">
        <v>16</v>
      </c>
      <c r="G4747">
        <v>2</v>
      </c>
      <c r="H4747">
        <v>2553</v>
      </c>
      <c r="I4747" s="1">
        <v>320498</v>
      </c>
      <c r="J4747" s="1">
        <f>Raw_Data!$I4747/Raw_Data!$H4747</f>
        <v>125.53779866823345</v>
      </c>
    </row>
    <row r="4748" spans="1:10" x14ac:dyDescent="0.3">
      <c r="A4748" s="9">
        <v>39990</v>
      </c>
      <c r="B4748" s="2" t="str">
        <f>TEXT(Raw_Data!$A4748, "MMM")</f>
        <v>Jun</v>
      </c>
      <c r="C4748" s="2">
        <f>YEAR(Raw_Data!$A4748)</f>
        <v>2009</v>
      </c>
      <c r="D4748" s="2" t="s">
        <v>2162</v>
      </c>
      <c r="E4748" s="2" t="s">
        <v>25</v>
      </c>
      <c r="F4748" s="2" t="s">
        <v>16</v>
      </c>
      <c r="G4748" s="2">
        <v>3</v>
      </c>
      <c r="H4748" s="2">
        <v>1583</v>
      </c>
      <c r="I4748" s="10">
        <v>273360</v>
      </c>
      <c r="J4748" s="10">
        <f>Raw_Data!$I4748/Raw_Data!$H4748</f>
        <v>172.68477574226154</v>
      </c>
    </row>
    <row r="4749" spans="1:10" x14ac:dyDescent="0.3">
      <c r="A4749" s="8">
        <v>38381</v>
      </c>
      <c r="B4749" t="str">
        <f>TEXT(Raw_Data!$A4749, "MMM")</f>
        <v>Jan</v>
      </c>
      <c r="C4749">
        <f>YEAR(Raw_Data!$A4749)</f>
        <v>2005</v>
      </c>
      <c r="D4749" t="s">
        <v>2940</v>
      </c>
      <c r="E4749" t="s">
        <v>15</v>
      </c>
      <c r="F4749" t="s">
        <v>27</v>
      </c>
      <c r="H4749">
        <v>1651</v>
      </c>
      <c r="I4749" s="1">
        <v>627181</v>
      </c>
      <c r="J4749" s="1">
        <f>Raw_Data!$I4749/Raw_Data!$H4749</f>
        <v>379.87946698970319</v>
      </c>
    </row>
    <row r="4750" spans="1:10" x14ac:dyDescent="0.3">
      <c r="A4750" s="9">
        <v>42869</v>
      </c>
      <c r="B4750" s="2" t="str">
        <f>TEXT(Raw_Data!$A4750, "MMM")</f>
        <v>May</v>
      </c>
      <c r="C4750" s="2">
        <f>YEAR(Raw_Data!$A4750)</f>
        <v>2017</v>
      </c>
      <c r="D4750" s="2" t="s">
        <v>2941</v>
      </c>
      <c r="E4750" s="2" t="s">
        <v>25</v>
      </c>
      <c r="F4750" s="2" t="s">
        <v>11</v>
      </c>
      <c r="G4750" s="2">
        <v>2</v>
      </c>
      <c r="H4750" s="2">
        <v>3405</v>
      </c>
      <c r="I4750" s="10">
        <v>379634</v>
      </c>
      <c r="J4750" s="10">
        <f>Raw_Data!$I4750/Raw_Data!$H4750</f>
        <v>111.49309838472834</v>
      </c>
    </row>
    <row r="4751" spans="1:10" x14ac:dyDescent="0.3">
      <c r="A4751" s="8">
        <v>39098</v>
      </c>
      <c r="B4751" t="str">
        <f>TEXT(Raw_Data!$A4751, "MMM")</f>
        <v>Jan</v>
      </c>
      <c r="C4751">
        <f>YEAR(Raw_Data!$A4751)</f>
        <v>2007</v>
      </c>
      <c r="D4751" t="s">
        <v>2942</v>
      </c>
      <c r="E4751" t="s">
        <v>32</v>
      </c>
      <c r="F4751" t="s">
        <v>16</v>
      </c>
      <c r="H4751">
        <v>2107</v>
      </c>
      <c r="I4751" s="1">
        <v>390033</v>
      </c>
      <c r="J4751" s="1">
        <f>Raw_Data!$I4751/Raw_Data!$H4751</f>
        <v>185.11295681063123</v>
      </c>
    </row>
    <row r="4752" spans="1:10" x14ac:dyDescent="0.3">
      <c r="A4752" s="9">
        <v>39705</v>
      </c>
      <c r="B4752" s="2" t="str">
        <f>TEXT(Raw_Data!$A4752, "MMM")</f>
        <v>Sep</v>
      </c>
      <c r="C4752" s="2">
        <f>YEAR(Raw_Data!$A4752)</f>
        <v>2008</v>
      </c>
      <c r="D4752" s="2" t="s">
        <v>342</v>
      </c>
      <c r="E4752" s="2" t="s">
        <v>21</v>
      </c>
      <c r="F4752" s="2" t="s">
        <v>16</v>
      </c>
      <c r="G4752" s="2"/>
      <c r="H4752" s="2">
        <v>2840</v>
      </c>
      <c r="I4752" s="10">
        <v>763052</v>
      </c>
      <c r="J4752" s="10">
        <f>Raw_Data!$I4752/Raw_Data!$H4752</f>
        <v>268.68028169014087</v>
      </c>
    </row>
    <row r="4753" spans="1:10" x14ac:dyDescent="0.3">
      <c r="A4753" s="8">
        <v>38807</v>
      </c>
      <c r="B4753" t="str">
        <f>TEXT(Raw_Data!$A4753, "MMM")</f>
        <v>Mar</v>
      </c>
      <c r="C4753">
        <f>YEAR(Raw_Data!$A4753)</f>
        <v>2006</v>
      </c>
      <c r="D4753" t="s">
        <v>1566</v>
      </c>
      <c r="E4753" t="s">
        <v>15</v>
      </c>
      <c r="F4753" t="s">
        <v>18</v>
      </c>
      <c r="H4753">
        <v>2703</v>
      </c>
      <c r="I4753" s="1">
        <v>434981</v>
      </c>
      <c r="J4753" s="1">
        <f>Raw_Data!$I4753/Raw_Data!$H4753</f>
        <v>160.92526822049575</v>
      </c>
    </row>
    <row r="4754" spans="1:10" x14ac:dyDescent="0.3">
      <c r="A4754" s="9">
        <v>37887</v>
      </c>
      <c r="B4754" s="2" t="str">
        <f>TEXT(Raw_Data!$A4754, "MMM")</f>
        <v>Sep</v>
      </c>
      <c r="C4754" s="2">
        <f>YEAR(Raw_Data!$A4754)</f>
        <v>2003</v>
      </c>
      <c r="D4754" s="2" t="s">
        <v>1359</v>
      </c>
      <c r="E4754" s="2" t="s">
        <v>15</v>
      </c>
      <c r="F4754" s="2" t="s">
        <v>16</v>
      </c>
      <c r="G4754" s="2">
        <v>3</v>
      </c>
      <c r="H4754" s="2">
        <v>2799</v>
      </c>
      <c r="I4754" s="10">
        <v>549327</v>
      </c>
      <c r="J4754" s="10">
        <f>Raw_Data!$I4754/Raw_Data!$H4754</f>
        <v>196.25830653804931</v>
      </c>
    </row>
    <row r="4755" spans="1:10" x14ac:dyDescent="0.3">
      <c r="A4755" s="8">
        <v>38073</v>
      </c>
      <c r="B4755" t="str">
        <f>TEXT(Raw_Data!$A4755, "MMM")</f>
        <v>Mar</v>
      </c>
      <c r="C4755">
        <f>YEAR(Raw_Data!$A4755)</f>
        <v>2004</v>
      </c>
      <c r="D4755" t="s">
        <v>331</v>
      </c>
      <c r="E4755" t="s">
        <v>32</v>
      </c>
      <c r="F4755" t="s">
        <v>11</v>
      </c>
      <c r="H4755">
        <v>1619</v>
      </c>
      <c r="I4755" s="1">
        <v>584101</v>
      </c>
      <c r="J4755" s="1">
        <f>Raw_Data!$I4755/Raw_Data!$H4755</f>
        <v>360.7788758492897</v>
      </c>
    </row>
    <row r="4756" spans="1:10" x14ac:dyDescent="0.3">
      <c r="A4756" s="9">
        <v>37473</v>
      </c>
      <c r="B4756" s="2" t="str">
        <f>TEXT(Raw_Data!$A4756, "MMM")</f>
        <v>Aug</v>
      </c>
      <c r="C4756" s="2">
        <f>YEAR(Raw_Data!$A4756)</f>
        <v>2002</v>
      </c>
      <c r="D4756" s="2" t="s">
        <v>2943</v>
      </c>
      <c r="E4756" s="2" t="s">
        <v>25</v>
      </c>
      <c r="F4756" s="2" t="s">
        <v>11</v>
      </c>
      <c r="G4756" s="2"/>
      <c r="H4756" s="2">
        <v>2827</v>
      </c>
      <c r="I4756" s="10">
        <v>274738</v>
      </c>
      <c r="J4756" s="10">
        <f>Raw_Data!$I4756/Raw_Data!$H4756</f>
        <v>97.183586841174389</v>
      </c>
    </row>
    <row r="4757" spans="1:10" x14ac:dyDescent="0.3">
      <c r="A4757" s="8">
        <v>44069</v>
      </c>
      <c r="B4757" t="str">
        <f>TEXT(Raw_Data!$A4757, "MMM")</f>
        <v>Aug</v>
      </c>
      <c r="C4757">
        <f>YEAR(Raw_Data!$A4757)</f>
        <v>2020</v>
      </c>
      <c r="D4757" t="s">
        <v>2535</v>
      </c>
      <c r="E4757" t="s">
        <v>25</v>
      </c>
      <c r="F4757" t="s">
        <v>16</v>
      </c>
      <c r="G4757">
        <v>4</v>
      </c>
      <c r="H4757">
        <v>3211</v>
      </c>
      <c r="I4757" s="1">
        <v>539224</v>
      </c>
      <c r="J4757" s="1">
        <f>Raw_Data!$I4757/Raw_Data!$H4757</f>
        <v>167.93023980068514</v>
      </c>
    </row>
    <row r="4758" spans="1:10" x14ac:dyDescent="0.3">
      <c r="A4758" s="9">
        <v>40236</v>
      </c>
      <c r="B4758" s="2" t="str">
        <f>TEXT(Raw_Data!$A4758, "MMM")</f>
        <v>Feb</v>
      </c>
      <c r="C4758" s="2">
        <f>YEAR(Raw_Data!$A4758)</f>
        <v>2010</v>
      </c>
      <c r="D4758" s="2" t="s">
        <v>2764</v>
      </c>
      <c r="E4758" s="2" t="s">
        <v>15</v>
      </c>
      <c r="F4758" s="2" t="s">
        <v>16</v>
      </c>
      <c r="G4758" s="2">
        <v>3</v>
      </c>
      <c r="H4758" s="2">
        <v>2663</v>
      </c>
      <c r="I4758" s="10">
        <v>332671</v>
      </c>
      <c r="J4758" s="10">
        <f>Raw_Data!$I4758/Raw_Data!$H4758</f>
        <v>124.92339466766805</v>
      </c>
    </row>
    <row r="4759" spans="1:10" x14ac:dyDescent="0.3">
      <c r="A4759" s="8">
        <v>42721</v>
      </c>
      <c r="B4759" t="str">
        <f>TEXT(Raw_Data!$A4759, "MMM")</f>
        <v>Dec</v>
      </c>
      <c r="C4759">
        <f>YEAR(Raw_Data!$A4759)</f>
        <v>2016</v>
      </c>
      <c r="D4759" t="s">
        <v>1944</v>
      </c>
      <c r="E4759" t="s">
        <v>13</v>
      </c>
      <c r="F4759" t="s">
        <v>16</v>
      </c>
      <c r="G4759">
        <v>5</v>
      </c>
      <c r="H4759">
        <v>2976</v>
      </c>
      <c r="I4759" s="1">
        <v>498274</v>
      </c>
      <c r="J4759" s="1">
        <f>Raw_Data!$I4759/Raw_Data!$H4759</f>
        <v>167.43077956989248</v>
      </c>
    </row>
    <row r="4760" spans="1:10" x14ac:dyDescent="0.3">
      <c r="A4760" s="9">
        <v>42774</v>
      </c>
      <c r="B4760" s="2" t="str">
        <f>TEXT(Raw_Data!$A4760, "MMM")</f>
        <v>Feb</v>
      </c>
      <c r="C4760" s="2">
        <f>YEAR(Raw_Data!$A4760)</f>
        <v>2017</v>
      </c>
      <c r="D4760" s="2" t="s">
        <v>804</v>
      </c>
      <c r="E4760" s="2" t="s">
        <v>15</v>
      </c>
      <c r="F4760" s="2" t="s">
        <v>16</v>
      </c>
      <c r="G4760" s="2"/>
      <c r="H4760" s="2">
        <v>2906</v>
      </c>
      <c r="I4760" s="10">
        <v>874266</v>
      </c>
      <c r="J4760" s="10">
        <f>Raw_Data!$I4760/Raw_Data!$H4760</f>
        <v>300.84858912594632</v>
      </c>
    </row>
    <row r="4761" spans="1:10" x14ac:dyDescent="0.3">
      <c r="A4761" s="8">
        <v>39061</v>
      </c>
      <c r="B4761" t="str">
        <f>TEXT(Raw_Data!$A4761, "MMM")</f>
        <v>Dec</v>
      </c>
      <c r="C4761">
        <f>YEAR(Raw_Data!$A4761)</f>
        <v>2006</v>
      </c>
      <c r="D4761" t="s">
        <v>2388</v>
      </c>
      <c r="E4761" t="s">
        <v>13</v>
      </c>
      <c r="F4761" t="s">
        <v>11</v>
      </c>
      <c r="G4761">
        <v>2</v>
      </c>
      <c r="H4761">
        <v>1775</v>
      </c>
      <c r="I4761" s="1">
        <v>667435</v>
      </c>
      <c r="J4761" s="1">
        <f>Raw_Data!$I4761/Raw_Data!$H4761</f>
        <v>376.01971830985917</v>
      </c>
    </row>
    <row r="4762" spans="1:10" x14ac:dyDescent="0.3">
      <c r="A4762" s="9">
        <v>37291</v>
      </c>
      <c r="B4762" s="2" t="str">
        <f>TEXT(Raw_Data!$A4762, "MMM")</f>
        <v>Feb</v>
      </c>
      <c r="C4762" s="2">
        <f>YEAR(Raw_Data!$A4762)</f>
        <v>2002</v>
      </c>
      <c r="D4762" s="2" t="s">
        <v>2944</v>
      </c>
      <c r="E4762" s="2" t="s">
        <v>15</v>
      </c>
      <c r="F4762" s="2" t="s">
        <v>11</v>
      </c>
      <c r="G4762" s="2">
        <v>3</v>
      </c>
      <c r="H4762" s="2">
        <v>2534</v>
      </c>
      <c r="I4762" s="10">
        <v>251626</v>
      </c>
      <c r="J4762" s="10">
        <f>Raw_Data!$I4762/Raw_Data!$H4762</f>
        <v>99.299921073401734</v>
      </c>
    </row>
    <row r="4763" spans="1:10" x14ac:dyDescent="0.3">
      <c r="A4763" s="8">
        <v>39083</v>
      </c>
      <c r="B4763" t="str">
        <f>TEXT(Raw_Data!$A4763, "MMM")</f>
        <v>Jan</v>
      </c>
      <c r="C4763">
        <f>YEAR(Raw_Data!$A4763)</f>
        <v>2007</v>
      </c>
      <c r="D4763" t="s">
        <v>1779</v>
      </c>
      <c r="E4763" t="s">
        <v>23</v>
      </c>
      <c r="F4763" t="s">
        <v>16</v>
      </c>
      <c r="H4763">
        <v>1117</v>
      </c>
      <c r="I4763" s="1">
        <v>851430</v>
      </c>
      <c r="J4763" s="1">
        <f>Raw_Data!$I4763/Raw_Data!$H4763</f>
        <v>762.24709042076995</v>
      </c>
    </row>
    <row r="4764" spans="1:10" x14ac:dyDescent="0.3">
      <c r="A4764" s="9">
        <v>43950</v>
      </c>
      <c r="B4764" s="2" t="str">
        <f>TEXT(Raw_Data!$A4764, "MMM")</f>
        <v>Apr</v>
      </c>
      <c r="C4764" s="2">
        <f>YEAR(Raw_Data!$A4764)</f>
        <v>2020</v>
      </c>
      <c r="D4764" s="2" t="s">
        <v>1190</v>
      </c>
      <c r="E4764" s="2" t="s">
        <v>23</v>
      </c>
      <c r="F4764" s="2" t="s">
        <v>27</v>
      </c>
      <c r="G4764" s="2">
        <v>2</v>
      </c>
      <c r="H4764" s="2">
        <v>3091</v>
      </c>
      <c r="I4764" s="10">
        <v>139426</v>
      </c>
      <c r="J4764" s="10">
        <f>Raw_Data!$I4764/Raw_Data!$H4764</f>
        <v>45.10708508573277</v>
      </c>
    </row>
    <row r="4765" spans="1:10" x14ac:dyDescent="0.3">
      <c r="A4765" s="8">
        <v>40484</v>
      </c>
      <c r="B4765" t="str">
        <f>TEXT(Raw_Data!$A4765, "MMM")</f>
        <v>Nov</v>
      </c>
      <c r="C4765">
        <f>YEAR(Raw_Data!$A4765)</f>
        <v>2010</v>
      </c>
      <c r="D4765" t="s">
        <v>2945</v>
      </c>
      <c r="E4765" t="s">
        <v>15</v>
      </c>
      <c r="F4765" t="s">
        <v>11</v>
      </c>
      <c r="G4765">
        <v>4</v>
      </c>
      <c r="H4765">
        <v>2122</v>
      </c>
      <c r="I4765" s="1">
        <v>493024</v>
      </c>
      <c r="J4765" s="1">
        <f>Raw_Data!$I4765/Raw_Data!$H4765</f>
        <v>232.33930254476908</v>
      </c>
    </row>
    <row r="4766" spans="1:10" x14ac:dyDescent="0.3">
      <c r="A4766" s="9">
        <v>39739</v>
      </c>
      <c r="B4766" s="2" t="str">
        <f>TEXT(Raw_Data!$A4766, "MMM")</f>
        <v>Oct</v>
      </c>
      <c r="C4766" s="2">
        <f>YEAR(Raw_Data!$A4766)</f>
        <v>2008</v>
      </c>
      <c r="D4766" s="2" t="s">
        <v>2946</v>
      </c>
      <c r="E4766" s="2" t="s">
        <v>25</v>
      </c>
      <c r="F4766" s="2" t="s">
        <v>16</v>
      </c>
      <c r="G4766" s="2">
        <v>3</v>
      </c>
      <c r="H4766" s="2">
        <v>3339</v>
      </c>
      <c r="I4766" s="10">
        <v>196801</v>
      </c>
      <c r="J4766" s="10">
        <f>Raw_Data!$I4766/Raw_Data!$H4766</f>
        <v>58.940101826894278</v>
      </c>
    </row>
    <row r="4767" spans="1:10" x14ac:dyDescent="0.3">
      <c r="A4767" s="8">
        <v>42637</v>
      </c>
      <c r="B4767" t="str">
        <f>TEXT(Raw_Data!$A4767, "MMM")</f>
        <v>Sep</v>
      </c>
      <c r="C4767">
        <f>YEAR(Raw_Data!$A4767)</f>
        <v>2016</v>
      </c>
      <c r="D4767" t="s">
        <v>2564</v>
      </c>
      <c r="E4767" t="s">
        <v>21</v>
      </c>
      <c r="F4767" t="s">
        <v>27</v>
      </c>
      <c r="H4767">
        <v>1011</v>
      </c>
      <c r="I4767" s="1">
        <v>344711</v>
      </c>
      <c r="J4767" s="1">
        <f>Raw_Data!$I4767/Raw_Data!$H4767</f>
        <v>340.96043521266074</v>
      </c>
    </row>
    <row r="4768" spans="1:10" x14ac:dyDescent="0.3">
      <c r="A4768" s="9">
        <v>43636</v>
      </c>
      <c r="B4768" s="2" t="str">
        <f>TEXT(Raw_Data!$A4768, "MMM")</f>
        <v>Jun</v>
      </c>
      <c r="C4768" s="2">
        <f>YEAR(Raw_Data!$A4768)</f>
        <v>2019</v>
      </c>
      <c r="D4768" s="2" t="s">
        <v>2947</v>
      </c>
      <c r="E4768" s="2" t="s">
        <v>25</v>
      </c>
      <c r="F4768" s="2" t="s">
        <v>16</v>
      </c>
      <c r="G4768" s="2">
        <v>5</v>
      </c>
      <c r="H4768" s="2">
        <v>2428</v>
      </c>
      <c r="I4768" s="10">
        <v>182591</v>
      </c>
      <c r="J4768" s="10">
        <f>Raw_Data!$I4768/Raw_Data!$H4768</f>
        <v>75.202224052718293</v>
      </c>
    </row>
    <row r="4769" spans="1:10" x14ac:dyDescent="0.3">
      <c r="A4769" s="8">
        <v>43761</v>
      </c>
      <c r="B4769" t="str">
        <f>TEXT(Raw_Data!$A4769, "MMM")</f>
        <v>Oct</v>
      </c>
      <c r="C4769">
        <f>YEAR(Raw_Data!$A4769)</f>
        <v>2019</v>
      </c>
      <c r="D4769" t="s">
        <v>2948</v>
      </c>
      <c r="E4769" t="s">
        <v>25</v>
      </c>
      <c r="F4769" t="s">
        <v>18</v>
      </c>
      <c r="G4769">
        <v>3</v>
      </c>
      <c r="H4769">
        <v>988</v>
      </c>
      <c r="I4769" s="1">
        <v>680734</v>
      </c>
      <c r="J4769" s="1">
        <f>Raw_Data!$I4769/Raw_Data!$H4769</f>
        <v>689.00202429149795</v>
      </c>
    </row>
    <row r="4770" spans="1:10" x14ac:dyDescent="0.3">
      <c r="A4770" s="9">
        <v>41136</v>
      </c>
      <c r="B4770" s="2" t="str">
        <f>TEXT(Raw_Data!$A4770, "MMM")</f>
        <v>Aug</v>
      </c>
      <c r="C4770" s="2">
        <f>YEAR(Raw_Data!$A4770)</f>
        <v>2012</v>
      </c>
      <c r="D4770" s="2" t="s">
        <v>57</v>
      </c>
      <c r="E4770" s="2" t="s">
        <v>29</v>
      </c>
      <c r="F4770" s="2" t="s">
        <v>18</v>
      </c>
      <c r="G4770" s="2"/>
      <c r="H4770" s="2">
        <v>1694</v>
      </c>
      <c r="I4770" s="10">
        <v>137741</v>
      </c>
      <c r="J4770" s="10">
        <f>Raw_Data!$I4770/Raw_Data!$H4770</f>
        <v>81.311097992916174</v>
      </c>
    </row>
    <row r="4771" spans="1:10" x14ac:dyDescent="0.3">
      <c r="A4771" s="8">
        <v>41515</v>
      </c>
      <c r="B4771" t="str">
        <f>TEXT(Raw_Data!$A4771, "MMM")</f>
        <v>Aug</v>
      </c>
      <c r="C4771">
        <f>YEAR(Raw_Data!$A4771)</f>
        <v>2013</v>
      </c>
      <c r="D4771" t="s">
        <v>2949</v>
      </c>
      <c r="E4771" t="s">
        <v>29</v>
      </c>
      <c r="F4771" t="s">
        <v>18</v>
      </c>
      <c r="H4771">
        <v>2841</v>
      </c>
      <c r="I4771" s="1">
        <v>115249</v>
      </c>
      <c r="J4771" s="1">
        <f>Raw_Data!$I4771/Raw_Data!$H4771</f>
        <v>40.56634987680394</v>
      </c>
    </row>
    <row r="4772" spans="1:10" x14ac:dyDescent="0.3">
      <c r="A4772" s="9">
        <v>36917</v>
      </c>
      <c r="B4772" s="2" t="str">
        <f>TEXT(Raw_Data!$A4772, "MMM")</f>
        <v>Jan</v>
      </c>
      <c r="C4772" s="2">
        <f>YEAR(Raw_Data!$A4772)</f>
        <v>2001</v>
      </c>
      <c r="D4772" s="2" t="s">
        <v>1396</v>
      </c>
      <c r="E4772" s="2" t="s">
        <v>25</v>
      </c>
      <c r="F4772" s="2" t="s">
        <v>18</v>
      </c>
      <c r="G4772" s="2"/>
      <c r="H4772" s="2">
        <v>808</v>
      </c>
      <c r="I4772" s="10">
        <v>778916</v>
      </c>
      <c r="J4772" s="10">
        <f>Raw_Data!$I4772/Raw_Data!$H4772</f>
        <v>964.00495049504946</v>
      </c>
    </row>
    <row r="4773" spans="1:10" x14ac:dyDescent="0.3">
      <c r="A4773" s="8">
        <v>41711</v>
      </c>
      <c r="B4773" t="str">
        <f>TEXT(Raw_Data!$A4773, "MMM")</f>
        <v>Mar</v>
      </c>
      <c r="C4773">
        <f>YEAR(Raw_Data!$A4773)</f>
        <v>2014</v>
      </c>
      <c r="D4773" t="s">
        <v>2888</v>
      </c>
      <c r="E4773" t="s">
        <v>32</v>
      </c>
      <c r="F4773" t="s">
        <v>16</v>
      </c>
      <c r="G4773">
        <v>5</v>
      </c>
      <c r="H4773">
        <v>2782</v>
      </c>
      <c r="I4773" s="1">
        <v>311094</v>
      </c>
      <c r="J4773" s="1">
        <f>Raw_Data!$I4773/Raw_Data!$H4773</f>
        <v>111.82386772106398</v>
      </c>
    </row>
    <row r="4774" spans="1:10" x14ac:dyDescent="0.3">
      <c r="A4774" s="9">
        <v>38605</v>
      </c>
      <c r="B4774" s="2" t="str">
        <f>TEXT(Raw_Data!$A4774, "MMM")</f>
        <v>Sep</v>
      </c>
      <c r="C4774" s="2">
        <f>YEAR(Raw_Data!$A4774)</f>
        <v>2005</v>
      </c>
      <c r="D4774" s="2" t="s">
        <v>2950</v>
      </c>
      <c r="E4774" s="2" t="s">
        <v>13</v>
      </c>
      <c r="F4774" s="2" t="s">
        <v>27</v>
      </c>
      <c r="G4774" s="2">
        <v>5</v>
      </c>
      <c r="H4774" s="2">
        <v>2922</v>
      </c>
      <c r="I4774" s="10">
        <v>209826</v>
      </c>
      <c r="J4774" s="10">
        <f>Raw_Data!$I4774/Raw_Data!$H4774</f>
        <v>71.809034907597535</v>
      </c>
    </row>
    <row r="4775" spans="1:10" x14ac:dyDescent="0.3">
      <c r="A4775" s="8">
        <v>43507</v>
      </c>
      <c r="B4775" t="str">
        <f>TEXT(Raw_Data!$A4775, "MMM")</f>
        <v>Feb</v>
      </c>
      <c r="C4775">
        <f>YEAR(Raw_Data!$A4775)</f>
        <v>2019</v>
      </c>
      <c r="D4775" t="s">
        <v>1929</v>
      </c>
      <c r="E4775" t="s">
        <v>13</v>
      </c>
      <c r="F4775" t="s">
        <v>11</v>
      </c>
      <c r="G4775">
        <v>3</v>
      </c>
      <c r="H4775">
        <v>1287</v>
      </c>
      <c r="I4775" s="1">
        <v>620365</v>
      </c>
      <c r="J4775" s="1">
        <f>Raw_Data!$I4775/Raw_Data!$H4775</f>
        <v>482.02408702408701</v>
      </c>
    </row>
    <row r="4776" spans="1:10" x14ac:dyDescent="0.3">
      <c r="A4776" s="9">
        <v>43340</v>
      </c>
      <c r="B4776" s="2" t="str">
        <f>TEXT(Raw_Data!$A4776, "MMM")</f>
        <v>Aug</v>
      </c>
      <c r="C4776" s="2">
        <f>YEAR(Raw_Data!$A4776)</f>
        <v>2018</v>
      </c>
      <c r="D4776" s="2" t="s">
        <v>2951</v>
      </c>
      <c r="E4776" s="2" t="s">
        <v>32</v>
      </c>
      <c r="F4776" s="2" t="s">
        <v>27</v>
      </c>
      <c r="G4776" s="2">
        <v>5</v>
      </c>
      <c r="H4776" s="2">
        <v>1437</v>
      </c>
      <c r="I4776" s="10">
        <v>720502</v>
      </c>
      <c r="J4776" s="10">
        <f>Raw_Data!$I4776/Raw_Data!$H4776</f>
        <v>501.39318023660405</v>
      </c>
    </row>
    <row r="4777" spans="1:10" x14ac:dyDescent="0.3">
      <c r="A4777" s="8">
        <v>39526</v>
      </c>
      <c r="B4777" t="str">
        <f>TEXT(Raw_Data!$A4777, "MMM")</f>
        <v>Mar</v>
      </c>
      <c r="C4777">
        <f>YEAR(Raw_Data!$A4777)</f>
        <v>2008</v>
      </c>
      <c r="D4777" t="s">
        <v>1958</v>
      </c>
      <c r="E4777" t="s">
        <v>23</v>
      </c>
      <c r="F4777" t="s">
        <v>18</v>
      </c>
      <c r="G4777">
        <v>4</v>
      </c>
      <c r="H4777">
        <v>2506</v>
      </c>
      <c r="I4777" s="1">
        <v>472424</v>
      </c>
      <c r="J4777" s="1">
        <f>Raw_Data!$I4777/Raw_Data!$H4777</f>
        <v>188.51715881883479</v>
      </c>
    </row>
    <row r="4778" spans="1:10" x14ac:dyDescent="0.3">
      <c r="A4778" s="9">
        <v>39116</v>
      </c>
      <c r="B4778" s="2" t="str">
        <f>TEXT(Raw_Data!$A4778, "MMM")</f>
        <v>Feb</v>
      </c>
      <c r="C4778" s="2">
        <f>YEAR(Raw_Data!$A4778)</f>
        <v>2007</v>
      </c>
      <c r="D4778" s="2" t="s">
        <v>2952</v>
      </c>
      <c r="E4778" s="2" t="s">
        <v>23</v>
      </c>
      <c r="F4778" s="2" t="s">
        <v>11</v>
      </c>
      <c r="G4778" s="2">
        <v>2</v>
      </c>
      <c r="H4778" s="2">
        <v>1601</v>
      </c>
      <c r="I4778" s="10">
        <v>374635</v>
      </c>
      <c r="J4778" s="10">
        <f>Raw_Data!$I4778/Raw_Data!$H4778</f>
        <v>234.000624609619</v>
      </c>
    </row>
    <row r="4779" spans="1:10" x14ac:dyDescent="0.3">
      <c r="A4779" s="8">
        <v>42800</v>
      </c>
      <c r="B4779" t="str">
        <f>TEXT(Raw_Data!$A4779, "MMM")</f>
        <v>Mar</v>
      </c>
      <c r="C4779">
        <f>YEAR(Raw_Data!$A4779)</f>
        <v>2017</v>
      </c>
      <c r="D4779" t="s">
        <v>2953</v>
      </c>
      <c r="E4779" t="s">
        <v>21</v>
      </c>
      <c r="F4779" t="s">
        <v>27</v>
      </c>
      <c r="G4779">
        <v>2</v>
      </c>
      <c r="H4779">
        <v>2074</v>
      </c>
      <c r="I4779" s="1">
        <v>889506</v>
      </c>
      <c r="J4779" s="1">
        <f>Raw_Data!$I4779/Raw_Data!$H4779</f>
        <v>428.88428158148503</v>
      </c>
    </row>
    <row r="4780" spans="1:10" x14ac:dyDescent="0.3">
      <c r="A4780" s="9">
        <v>41693</v>
      </c>
      <c r="B4780" s="2" t="str">
        <f>TEXT(Raw_Data!$A4780, "MMM")</f>
        <v>Feb</v>
      </c>
      <c r="C4780" s="2">
        <f>YEAR(Raw_Data!$A4780)</f>
        <v>2014</v>
      </c>
      <c r="D4780" s="2" t="s">
        <v>2954</v>
      </c>
      <c r="E4780" s="2" t="s">
        <v>21</v>
      </c>
      <c r="F4780" s="2" t="s">
        <v>18</v>
      </c>
      <c r="G4780" s="2">
        <v>4</v>
      </c>
      <c r="H4780" s="2">
        <v>2617</v>
      </c>
      <c r="I4780" s="10">
        <v>333375</v>
      </c>
      <c r="J4780" s="10">
        <f>Raw_Data!$I4780/Raw_Data!$H4780</f>
        <v>127.38823079862438</v>
      </c>
    </row>
    <row r="4781" spans="1:10" x14ac:dyDescent="0.3">
      <c r="A4781" s="8">
        <v>41522</v>
      </c>
      <c r="B4781" t="str">
        <f>TEXT(Raw_Data!$A4781, "MMM")</f>
        <v>Sep</v>
      </c>
      <c r="C4781">
        <f>YEAR(Raw_Data!$A4781)</f>
        <v>2013</v>
      </c>
      <c r="D4781" t="s">
        <v>2955</v>
      </c>
      <c r="E4781" t="s">
        <v>21</v>
      </c>
      <c r="F4781" t="s">
        <v>16</v>
      </c>
      <c r="G4781">
        <v>5</v>
      </c>
      <c r="H4781">
        <v>1533</v>
      </c>
      <c r="I4781" s="1">
        <v>664769</v>
      </c>
      <c r="J4781" s="1">
        <f>Raw_Data!$I4781/Raw_Data!$H4781</f>
        <v>433.63926940639271</v>
      </c>
    </row>
    <row r="4782" spans="1:10" x14ac:dyDescent="0.3">
      <c r="A4782" s="9">
        <v>41123</v>
      </c>
      <c r="B4782" s="2" t="str">
        <f>TEXT(Raw_Data!$A4782, "MMM")</f>
        <v>Aug</v>
      </c>
      <c r="C4782" s="2">
        <f>YEAR(Raw_Data!$A4782)</f>
        <v>2012</v>
      </c>
      <c r="D4782" s="2" t="s">
        <v>351</v>
      </c>
      <c r="E4782" s="2" t="s">
        <v>13</v>
      </c>
      <c r="F4782" s="2" t="s">
        <v>27</v>
      </c>
      <c r="G4782" s="2">
        <v>5</v>
      </c>
      <c r="H4782" s="2">
        <v>1731</v>
      </c>
      <c r="I4782" s="10">
        <v>280540</v>
      </c>
      <c r="J4782" s="10">
        <f>Raw_Data!$I4782/Raw_Data!$H4782</f>
        <v>162.06816868861929</v>
      </c>
    </row>
    <row r="4783" spans="1:10" x14ac:dyDescent="0.3">
      <c r="A4783" s="8">
        <v>39020</v>
      </c>
      <c r="B4783" t="str">
        <f>TEXT(Raw_Data!$A4783, "MMM")</f>
        <v>Oct</v>
      </c>
      <c r="C4783">
        <f>YEAR(Raw_Data!$A4783)</f>
        <v>2006</v>
      </c>
      <c r="D4783" t="s">
        <v>119</v>
      </c>
      <c r="E4783" t="s">
        <v>32</v>
      </c>
      <c r="F4783" t="s">
        <v>27</v>
      </c>
      <c r="H4783">
        <v>2462</v>
      </c>
      <c r="I4783" s="1">
        <v>891247</v>
      </c>
      <c r="J4783" s="1">
        <f>Raw_Data!$I4783/Raw_Data!$H4783</f>
        <v>362.00121852152722</v>
      </c>
    </row>
    <row r="4784" spans="1:10" x14ac:dyDescent="0.3">
      <c r="A4784" s="9">
        <v>43469</v>
      </c>
      <c r="B4784" s="2" t="str">
        <f>TEXT(Raw_Data!$A4784, "MMM")</f>
        <v>Jan</v>
      </c>
      <c r="C4784" s="2">
        <f>YEAR(Raw_Data!$A4784)</f>
        <v>2019</v>
      </c>
      <c r="D4784" s="2" t="s">
        <v>791</v>
      </c>
      <c r="E4784" s="2" t="s">
        <v>32</v>
      </c>
      <c r="F4784" s="2" t="s">
        <v>16</v>
      </c>
      <c r="G4784" s="2">
        <v>2</v>
      </c>
      <c r="H4784" s="2">
        <v>1973</v>
      </c>
      <c r="I4784" s="10">
        <v>735924</v>
      </c>
      <c r="J4784" s="10">
        <f>Raw_Data!$I4784/Raw_Data!$H4784</f>
        <v>372.99746578813989</v>
      </c>
    </row>
    <row r="4785" spans="1:10" x14ac:dyDescent="0.3">
      <c r="A4785" s="8">
        <v>40065</v>
      </c>
      <c r="B4785" t="str">
        <f>TEXT(Raw_Data!$A4785, "MMM")</f>
        <v>Sep</v>
      </c>
      <c r="C4785">
        <f>YEAR(Raw_Data!$A4785)</f>
        <v>2009</v>
      </c>
      <c r="D4785" t="s">
        <v>2956</v>
      </c>
      <c r="E4785" t="s">
        <v>29</v>
      </c>
      <c r="F4785" t="s">
        <v>18</v>
      </c>
      <c r="H4785">
        <v>2864</v>
      </c>
      <c r="I4785" s="1">
        <v>456202</v>
      </c>
      <c r="J4785" s="1">
        <f>Raw_Data!$I4785/Raw_Data!$H4785</f>
        <v>159.28840782122904</v>
      </c>
    </row>
    <row r="4786" spans="1:10" x14ac:dyDescent="0.3">
      <c r="A4786" s="9">
        <v>36937</v>
      </c>
      <c r="B4786" s="2" t="str">
        <f>TEXT(Raw_Data!$A4786, "MMM")</f>
        <v>Feb</v>
      </c>
      <c r="C4786" s="2">
        <f>YEAR(Raw_Data!$A4786)</f>
        <v>2001</v>
      </c>
      <c r="D4786" s="2" t="s">
        <v>2957</v>
      </c>
      <c r="E4786" s="2" t="s">
        <v>15</v>
      </c>
      <c r="F4786" s="2" t="s">
        <v>18</v>
      </c>
      <c r="G4786" s="2">
        <v>4</v>
      </c>
      <c r="H4786" s="2">
        <v>2465</v>
      </c>
      <c r="I4786" s="10">
        <v>852436</v>
      </c>
      <c r="J4786" s="10">
        <f>Raw_Data!$I4786/Raw_Data!$H4786</f>
        <v>345.81582150101423</v>
      </c>
    </row>
    <row r="4787" spans="1:10" x14ac:dyDescent="0.3">
      <c r="A4787" s="8">
        <v>39187</v>
      </c>
      <c r="B4787" t="str">
        <f>TEXT(Raw_Data!$A4787, "MMM")</f>
        <v>Apr</v>
      </c>
      <c r="C4787">
        <f>YEAR(Raw_Data!$A4787)</f>
        <v>2007</v>
      </c>
      <c r="D4787" t="s">
        <v>2629</v>
      </c>
      <c r="E4787" t="s">
        <v>29</v>
      </c>
      <c r="F4787" t="s">
        <v>11</v>
      </c>
      <c r="H4787">
        <v>3078</v>
      </c>
      <c r="I4787" s="1">
        <v>172433</v>
      </c>
      <c r="J4787" s="1">
        <f>Raw_Data!$I4787/Raw_Data!$H4787</f>
        <v>56.02111760883691</v>
      </c>
    </row>
    <row r="4788" spans="1:10" x14ac:dyDescent="0.3">
      <c r="A4788" s="9">
        <v>41814</v>
      </c>
      <c r="B4788" s="2" t="str">
        <f>TEXT(Raw_Data!$A4788, "MMM")</f>
        <v>Jun</v>
      </c>
      <c r="C4788" s="2">
        <f>YEAR(Raw_Data!$A4788)</f>
        <v>2014</v>
      </c>
      <c r="D4788" s="2" t="s">
        <v>2956</v>
      </c>
      <c r="E4788" s="2" t="s">
        <v>32</v>
      </c>
      <c r="F4788" s="2" t="s">
        <v>11</v>
      </c>
      <c r="G4788" s="2"/>
      <c r="H4788" s="2">
        <v>2532</v>
      </c>
      <c r="I4788" s="10">
        <v>239645</v>
      </c>
      <c r="J4788" s="10">
        <f>Raw_Data!$I4788/Raw_Data!$H4788</f>
        <v>94.646524486571877</v>
      </c>
    </row>
    <row r="4789" spans="1:10" x14ac:dyDescent="0.3">
      <c r="A4789" s="8">
        <v>41908</v>
      </c>
      <c r="B4789" t="str">
        <f>TEXT(Raw_Data!$A4789, "MMM")</f>
        <v>Sep</v>
      </c>
      <c r="C4789">
        <f>YEAR(Raw_Data!$A4789)</f>
        <v>2014</v>
      </c>
      <c r="D4789" t="s">
        <v>2517</v>
      </c>
      <c r="E4789" t="s">
        <v>25</v>
      </c>
      <c r="F4789" t="s">
        <v>27</v>
      </c>
      <c r="G4789">
        <v>2</v>
      </c>
      <c r="H4789">
        <v>2421</v>
      </c>
      <c r="I4789" s="1">
        <v>195253</v>
      </c>
      <c r="J4789" s="1">
        <f>Raw_Data!$I4789/Raw_Data!$H4789</f>
        <v>80.649731515902516</v>
      </c>
    </row>
    <row r="4790" spans="1:10" x14ac:dyDescent="0.3">
      <c r="A4790" s="9">
        <v>44036</v>
      </c>
      <c r="B4790" s="2" t="str">
        <f>TEXT(Raw_Data!$A4790, "MMM")</f>
        <v>Jul</v>
      </c>
      <c r="C4790" s="2">
        <f>YEAR(Raw_Data!$A4790)</f>
        <v>2020</v>
      </c>
      <c r="D4790" s="2" t="s">
        <v>2614</v>
      </c>
      <c r="E4790" s="2" t="s">
        <v>32</v>
      </c>
      <c r="F4790" s="2" t="s">
        <v>16</v>
      </c>
      <c r="G4790" s="2">
        <v>4</v>
      </c>
      <c r="H4790" s="2">
        <v>1826</v>
      </c>
      <c r="I4790" s="10">
        <v>782112</v>
      </c>
      <c r="J4790" s="10">
        <f>Raw_Data!$I4790/Raw_Data!$H4790</f>
        <v>428.31982475355971</v>
      </c>
    </row>
    <row r="4791" spans="1:10" x14ac:dyDescent="0.3">
      <c r="A4791" s="8">
        <v>41024</v>
      </c>
      <c r="B4791" t="str">
        <f>TEXT(Raw_Data!$A4791, "MMM")</f>
        <v>Apr</v>
      </c>
      <c r="C4791">
        <f>YEAR(Raw_Data!$A4791)</f>
        <v>2012</v>
      </c>
      <c r="D4791" t="s">
        <v>2099</v>
      </c>
      <c r="E4791" t="s">
        <v>25</v>
      </c>
      <c r="F4791" t="s">
        <v>16</v>
      </c>
      <c r="G4791">
        <v>2</v>
      </c>
      <c r="H4791">
        <v>2187</v>
      </c>
      <c r="I4791" s="1">
        <v>109145</v>
      </c>
      <c r="J4791" s="1">
        <f>Raw_Data!$I4791/Raw_Data!$H4791</f>
        <v>49.906264288980339</v>
      </c>
    </row>
    <row r="4792" spans="1:10" x14ac:dyDescent="0.3">
      <c r="A4792" s="9">
        <v>41376</v>
      </c>
      <c r="B4792" s="2" t="str">
        <f>TEXT(Raw_Data!$A4792, "MMM")</f>
        <v>Apr</v>
      </c>
      <c r="C4792" s="2">
        <f>YEAR(Raw_Data!$A4792)</f>
        <v>2013</v>
      </c>
      <c r="D4792" s="2" t="s">
        <v>2958</v>
      </c>
      <c r="E4792" s="2" t="s">
        <v>29</v>
      </c>
      <c r="F4792" s="2" t="s">
        <v>11</v>
      </c>
      <c r="G4792" s="2"/>
      <c r="H4792" s="2">
        <v>3244</v>
      </c>
      <c r="I4792" s="10">
        <v>627910</v>
      </c>
      <c r="J4792" s="10">
        <f>Raw_Data!$I4792/Raw_Data!$H4792</f>
        <v>193.56041923551172</v>
      </c>
    </row>
    <row r="4793" spans="1:10" x14ac:dyDescent="0.3">
      <c r="A4793" s="8">
        <v>41217</v>
      </c>
      <c r="B4793" t="str">
        <f>TEXT(Raw_Data!$A4793, "MMM")</f>
        <v>Nov</v>
      </c>
      <c r="C4793">
        <f>YEAR(Raw_Data!$A4793)</f>
        <v>2012</v>
      </c>
      <c r="D4793" t="s">
        <v>1771</v>
      </c>
      <c r="E4793" t="s">
        <v>21</v>
      </c>
      <c r="F4793" t="s">
        <v>16</v>
      </c>
      <c r="H4793">
        <v>2632</v>
      </c>
      <c r="I4793" s="1">
        <v>278681</v>
      </c>
      <c r="J4793" s="1">
        <f>Raw_Data!$I4793/Raw_Data!$H4793</f>
        <v>105.88183890577507</v>
      </c>
    </row>
    <row r="4794" spans="1:10" x14ac:dyDescent="0.3">
      <c r="A4794" s="9">
        <v>43122</v>
      </c>
      <c r="B4794" s="2" t="str">
        <f>TEXT(Raw_Data!$A4794, "MMM")</f>
        <v>Jan</v>
      </c>
      <c r="C4794" s="2">
        <f>YEAR(Raw_Data!$A4794)</f>
        <v>2018</v>
      </c>
      <c r="D4794" s="2" t="s">
        <v>444</v>
      </c>
      <c r="E4794" s="2" t="s">
        <v>25</v>
      </c>
      <c r="F4794" s="2" t="s">
        <v>27</v>
      </c>
      <c r="G4794" s="2"/>
      <c r="H4794" s="2">
        <v>2514</v>
      </c>
      <c r="I4794" s="10">
        <v>112750</v>
      </c>
      <c r="J4794" s="10">
        <f>Raw_Data!$I4794/Raw_Data!$H4794</f>
        <v>44.848846459824983</v>
      </c>
    </row>
    <row r="4795" spans="1:10" x14ac:dyDescent="0.3">
      <c r="A4795" s="8">
        <v>37423</v>
      </c>
      <c r="B4795" t="str">
        <f>TEXT(Raw_Data!$A4795, "MMM")</f>
        <v>Jun</v>
      </c>
      <c r="C4795">
        <f>YEAR(Raw_Data!$A4795)</f>
        <v>2002</v>
      </c>
      <c r="D4795" t="s">
        <v>2959</v>
      </c>
      <c r="E4795" t="s">
        <v>15</v>
      </c>
      <c r="F4795" t="s">
        <v>16</v>
      </c>
      <c r="H4795">
        <v>3384</v>
      </c>
      <c r="I4795" s="1">
        <v>736697</v>
      </c>
      <c r="J4795" s="1">
        <f>Raw_Data!$I4795/Raw_Data!$H4795</f>
        <v>217.70005910165486</v>
      </c>
    </row>
    <row r="4796" spans="1:10" x14ac:dyDescent="0.3">
      <c r="A4796" s="9">
        <v>40889</v>
      </c>
      <c r="B4796" s="2" t="str">
        <f>TEXT(Raw_Data!$A4796, "MMM")</f>
        <v>Dec</v>
      </c>
      <c r="C4796" s="2">
        <f>YEAR(Raw_Data!$A4796)</f>
        <v>2011</v>
      </c>
      <c r="D4796" s="2" t="s">
        <v>2788</v>
      </c>
      <c r="E4796" s="2" t="s">
        <v>13</v>
      </c>
      <c r="F4796" s="2" t="s">
        <v>18</v>
      </c>
      <c r="G4796" s="2">
        <v>2</v>
      </c>
      <c r="H4796" s="2">
        <v>2800</v>
      </c>
      <c r="I4796" s="10">
        <v>612238</v>
      </c>
      <c r="J4796" s="10">
        <f>Raw_Data!$I4796/Raw_Data!$H4796</f>
        <v>218.65642857142856</v>
      </c>
    </row>
    <row r="4797" spans="1:10" x14ac:dyDescent="0.3">
      <c r="A4797" s="8">
        <v>39984</v>
      </c>
      <c r="B4797" t="str">
        <f>TEXT(Raw_Data!$A4797, "MMM")</f>
        <v>Jun</v>
      </c>
      <c r="C4797">
        <f>YEAR(Raw_Data!$A4797)</f>
        <v>2009</v>
      </c>
      <c r="D4797" t="s">
        <v>1861</v>
      </c>
      <c r="E4797" t="s">
        <v>21</v>
      </c>
      <c r="F4797" t="s">
        <v>27</v>
      </c>
      <c r="G4797">
        <v>4</v>
      </c>
      <c r="H4797">
        <v>2966</v>
      </c>
      <c r="I4797" s="1">
        <v>330542</v>
      </c>
      <c r="J4797" s="1">
        <f>Raw_Data!$I4797/Raw_Data!$H4797</f>
        <v>111.44369521240728</v>
      </c>
    </row>
    <row r="4798" spans="1:10" x14ac:dyDescent="0.3">
      <c r="A4798" s="9">
        <v>40738</v>
      </c>
      <c r="B4798" s="2" t="str">
        <f>TEXT(Raw_Data!$A4798, "MMM")</f>
        <v>Jul</v>
      </c>
      <c r="C4798" s="2">
        <f>YEAR(Raw_Data!$A4798)</f>
        <v>2011</v>
      </c>
      <c r="D4798" s="2" t="s">
        <v>2960</v>
      </c>
      <c r="E4798" s="2" t="s">
        <v>15</v>
      </c>
      <c r="F4798" s="2" t="s">
        <v>16</v>
      </c>
      <c r="G4798" s="2">
        <v>2</v>
      </c>
      <c r="H4798" s="2">
        <v>2236</v>
      </c>
      <c r="I4798" s="10">
        <v>290774</v>
      </c>
      <c r="J4798" s="10">
        <f>Raw_Data!$I4798/Raw_Data!$H4798</f>
        <v>130.04203935599284</v>
      </c>
    </row>
    <row r="4799" spans="1:10" x14ac:dyDescent="0.3">
      <c r="A4799" s="8">
        <v>43458</v>
      </c>
      <c r="B4799" t="str">
        <f>TEXT(Raw_Data!$A4799, "MMM")</f>
        <v>Dec</v>
      </c>
      <c r="C4799">
        <f>YEAR(Raw_Data!$A4799)</f>
        <v>2018</v>
      </c>
      <c r="D4799" t="s">
        <v>2961</v>
      </c>
      <c r="E4799" t="s">
        <v>15</v>
      </c>
      <c r="F4799" t="s">
        <v>18</v>
      </c>
      <c r="G4799">
        <v>2</v>
      </c>
      <c r="H4799">
        <v>1232</v>
      </c>
      <c r="I4799" s="1">
        <v>720013</v>
      </c>
      <c r="J4799" s="1">
        <f>Raw_Data!$I4799/Raw_Data!$H4799</f>
        <v>584.42613636363637</v>
      </c>
    </row>
    <row r="4800" spans="1:10" x14ac:dyDescent="0.3">
      <c r="A4800" s="9">
        <v>39945</v>
      </c>
      <c r="B4800" s="2" t="str">
        <f>TEXT(Raw_Data!$A4800, "MMM")</f>
        <v>May</v>
      </c>
      <c r="C4800" s="2">
        <f>YEAR(Raw_Data!$A4800)</f>
        <v>2009</v>
      </c>
      <c r="D4800" s="2" t="s">
        <v>2467</v>
      </c>
      <c r="E4800" s="2" t="s">
        <v>13</v>
      </c>
      <c r="F4800" s="2" t="s">
        <v>27</v>
      </c>
      <c r="G4800" s="2"/>
      <c r="H4800" s="2">
        <v>3148</v>
      </c>
      <c r="I4800" s="10">
        <v>114623</v>
      </c>
      <c r="J4800" s="10">
        <f>Raw_Data!$I4800/Raw_Data!$H4800</f>
        <v>36.411372299872937</v>
      </c>
    </row>
    <row r="4801" spans="1:10" x14ac:dyDescent="0.3">
      <c r="A4801" s="8">
        <v>41015</v>
      </c>
      <c r="B4801" t="str">
        <f>TEXT(Raw_Data!$A4801, "MMM")</f>
        <v>Apr</v>
      </c>
      <c r="C4801">
        <f>YEAR(Raw_Data!$A4801)</f>
        <v>2012</v>
      </c>
      <c r="D4801" t="s">
        <v>2962</v>
      </c>
      <c r="E4801" t="s">
        <v>21</v>
      </c>
      <c r="F4801" t="s">
        <v>27</v>
      </c>
      <c r="H4801">
        <v>1284</v>
      </c>
      <c r="I4801" s="1">
        <v>741776</v>
      </c>
      <c r="J4801" s="1">
        <f>Raw_Data!$I4801/Raw_Data!$H4801</f>
        <v>577.70716510903424</v>
      </c>
    </row>
    <row r="4802" spans="1:10" x14ac:dyDescent="0.3">
      <c r="A4802" s="9">
        <v>40080</v>
      </c>
      <c r="B4802" s="2" t="str">
        <f>TEXT(Raw_Data!$A4802, "MMM")</f>
        <v>Sep</v>
      </c>
      <c r="C4802" s="2">
        <f>YEAR(Raw_Data!$A4802)</f>
        <v>2009</v>
      </c>
      <c r="D4802" s="2" t="s">
        <v>1297</v>
      </c>
      <c r="E4802" s="2" t="s">
        <v>25</v>
      </c>
      <c r="F4802" s="2" t="s">
        <v>27</v>
      </c>
      <c r="G4802" s="2">
        <v>3</v>
      </c>
      <c r="H4802" s="2">
        <v>2405</v>
      </c>
      <c r="I4802" s="10">
        <v>889661</v>
      </c>
      <c r="J4802" s="10">
        <f>Raw_Data!$I4802/Raw_Data!$H4802</f>
        <v>369.92141372141373</v>
      </c>
    </row>
    <row r="4803" spans="1:10" x14ac:dyDescent="0.3">
      <c r="A4803" s="8">
        <v>41723</v>
      </c>
      <c r="B4803" t="str">
        <f>TEXT(Raw_Data!$A4803, "MMM")</f>
        <v>Mar</v>
      </c>
      <c r="C4803">
        <f>YEAR(Raw_Data!$A4803)</f>
        <v>2014</v>
      </c>
      <c r="D4803" t="s">
        <v>1745</v>
      </c>
      <c r="E4803" t="s">
        <v>32</v>
      </c>
      <c r="F4803" t="s">
        <v>18</v>
      </c>
      <c r="G4803">
        <v>4</v>
      </c>
      <c r="H4803">
        <v>2438</v>
      </c>
      <c r="I4803" s="1">
        <v>122655</v>
      </c>
      <c r="J4803" s="1">
        <f>Raw_Data!$I4803/Raw_Data!$H4803</f>
        <v>50.30968006562756</v>
      </c>
    </row>
    <row r="4804" spans="1:10" x14ac:dyDescent="0.3">
      <c r="A4804" s="9">
        <v>39547</v>
      </c>
      <c r="B4804" s="2" t="str">
        <f>TEXT(Raw_Data!$A4804, "MMM")</f>
        <v>Apr</v>
      </c>
      <c r="C4804" s="2">
        <f>YEAR(Raw_Data!$A4804)</f>
        <v>2008</v>
      </c>
      <c r="D4804" s="2" t="s">
        <v>2963</v>
      </c>
      <c r="E4804" s="2" t="s">
        <v>32</v>
      </c>
      <c r="F4804" s="2" t="s">
        <v>18</v>
      </c>
      <c r="G4804" s="2">
        <v>3</v>
      </c>
      <c r="H4804" s="2">
        <v>3267</v>
      </c>
      <c r="I4804" s="10">
        <v>730611</v>
      </c>
      <c r="J4804" s="10">
        <f>Raw_Data!$I4804/Raw_Data!$H4804</f>
        <v>223.63360881542701</v>
      </c>
    </row>
    <row r="4805" spans="1:10" x14ac:dyDescent="0.3">
      <c r="A4805" s="8">
        <v>40051</v>
      </c>
      <c r="B4805" t="str">
        <f>TEXT(Raw_Data!$A4805, "MMM")</f>
        <v>Aug</v>
      </c>
      <c r="C4805">
        <f>YEAR(Raw_Data!$A4805)</f>
        <v>2009</v>
      </c>
      <c r="D4805" t="s">
        <v>2964</v>
      </c>
      <c r="E4805" t="s">
        <v>21</v>
      </c>
      <c r="F4805" t="s">
        <v>27</v>
      </c>
      <c r="H4805">
        <v>2673</v>
      </c>
      <c r="I4805" s="1">
        <v>780001</v>
      </c>
      <c r="J4805" s="1">
        <f>Raw_Data!$I4805/Raw_Data!$H4805</f>
        <v>291.80733258511037</v>
      </c>
    </row>
    <row r="4806" spans="1:10" x14ac:dyDescent="0.3">
      <c r="A4806" s="9">
        <v>37151</v>
      </c>
      <c r="B4806" s="2" t="str">
        <f>TEXT(Raw_Data!$A4806, "MMM")</f>
        <v>Sep</v>
      </c>
      <c r="C4806" s="2">
        <f>YEAR(Raw_Data!$A4806)</f>
        <v>2001</v>
      </c>
      <c r="D4806" s="2" t="s">
        <v>67</v>
      </c>
      <c r="E4806" s="2" t="s">
        <v>23</v>
      </c>
      <c r="F4806" s="2" t="s">
        <v>11</v>
      </c>
      <c r="G4806" s="2"/>
      <c r="H4806" s="2">
        <v>2989</v>
      </c>
      <c r="I4806" s="10">
        <v>592822</v>
      </c>
      <c r="J4806" s="10">
        <f>Raw_Data!$I4806/Raw_Data!$H4806</f>
        <v>198.3345600535296</v>
      </c>
    </row>
    <row r="4807" spans="1:10" x14ac:dyDescent="0.3">
      <c r="A4807" s="8">
        <v>37220</v>
      </c>
      <c r="B4807" t="str">
        <f>TEXT(Raw_Data!$A4807, "MMM")</f>
        <v>Nov</v>
      </c>
      <c r="C4807">
        <f>YEAR(Raw_Data!$A4807)</f>
        <v>2001</v>
      </c>
      <c r="D4807" t="s">
        <v>1314</v>
      </c>
      <c r="E4807" t="s">
        <v>21</v>
      </c>
      <c r="F4807" t="s">
        <v>27</v>
      </c>
      <c r="G4807">
        <v>4</v>
      </c>
      <c r="H4807">
        <v>3235</v>
      </c>
      <c r="I4807" s="1">
        <v>560488</v>
      </c>
      <c r="J4807" s="1">
        <f>Raw_Data!$I4807/Raw_Data!$H4807</f>
        <v>173.25749613601238</v>
      </c>
    </row>
    <row r="4808" spans="1:10" x14ac:dyDescent="0.3">
      <c r="A4808" s="9">
        <v>38618</v>
      </c>
      <c r="B4808" s="2" t="str">
        <f>TEXT(Raw_Data!$A4808, "MMM")</f>
        <v>Sep</v>
      </c>
      <c r="C4808" s="2">
        <f>YEAR(Raw_Data!$A4808)</f>
        <v>2005</v>
      </c>
      <c r="D4808" s="2" t="s">
        <v>2965</v>
      </c>
      <c r="E4808" s="2" t="s">
        <v>15</v>
      </c>
      <c r="F4808" s="2" t="s">
        <v>27</v>
      </c>
      <c r="G4808" s="2">
        <v>2</v>
      </c>
      <c r="H4808" s="2">
        <v>983</v>
      </c>
      <c r="I4808" s="10">
        <v>582034</v>
      </c>
      <c r="J4808" s="10">
        <f>Raw_Data!$I4808/Raw_Data!$H4808</f>
        <v>592.09969481180065</v>
      </c>
    </row>
    <row r="4809" spans="1:10" x14ac:dyDescent="0.3">
      <c r="A4809" s="8">
        <v>40182</v>
      </c>
      <c r="B4809" t="str">
        <f>TEXT(Raw_Data!$A4809, "MMM")</f>
        <v>Jan</v>
      </c>
      <c r="C4809">
        <f>YEAR(Raw_Data!$A4809)</f>
        <v>2010</v>
      </c>
      <c r="D4809" t="s">
        <v>2966</v>
      </c>
      <c r="E4809" t="s">
        <v>23</v>
      </c>
      <c r="F4809" t="s">
        <v>18</v>
      </c>
      <c r="H4809">
        <v>1784</v>
      </c>
      <c r="I4809" s="1">
        <v>418700</v>
      </c>
      <c r="J4809" s="1">
        <f>Raw_Data!$I4809/Raw_Data!$H4809</f>
        <v>234.69730941704037</v>
      </c>
    </row>
    <row r="4810" spans="1:10" x14ac:dyDescent="0.3">
      <c r="A4810" s="9">
        <v>38984</v>
      </c>
      <c r="B4810" s="2" t="str">
        <f>TEXT(Raw_Data!$A4810, "MMM")</f>
        <v>Sep</v>
      </c>
      <c r="C4810" s="2">
        <f>YEAR(Raw_Data!$A4810)</f>
        <v>2006</v>
      </c>
      <c r="D4810" s="2" t="s">
        <v>1541</v>
      </c>
      <c r="E4810" s="2" t="s">
        <v>13</v>
      </c>
      <c r="F4810" s="2" t="s">
        <v>11</v>
      </c>
      <c r="G4810" s="2">
        <v>2</v>
      </c>
      <c r="H4810" s="2">
        <v>1098</v>
      </c>
      <c r="I4810" s="10">
        <v>684578</v>
      </c>
      <c r="J4810" s="10">
        <f>Raw_Data!$I4810/Raw_Data!$H4810</f>
        <v>623.47723132969031</v>
      </c>
    </row>
    <row r="4811" spans="1:10" x14ac:dyDescent="0.3">
      <c r="A4811" s="8">
        <v>39214</v>
      </c>
      <c r="B4811" t="str">
        <f>TEXT(Raw_Data!$A4811, "MMM")</f>
        <v>May</v>
      </c>
      <c r="C4811">
        <f>YEAR(Raw_Data!$A4811)</f>
        <v>2007</v>
      </c>
      <c r="D4811" t="s">
        <v>2967</v>
      </c>
      <c r="E4811" t="s">
        <v>25</v>
      </c>
      <c r="F4811" t="s">
        <v>16</v>
      </c>
      <c r="G4811">
        <v>5</v>
      </c>
      <c r="H4811">
        <v>1598</v>
      </c>
      <c r="I4811" s="1">
        <v>797158</v>
      </c>
      <c r="J4811" s="1">
        <f>Raw_Data!$I4811/Raw_Data!$H4811</f>
        <v>498.84730913642051</v>
      </c>
    </row>
    <row r="4812" spans="1:10" x14ac:dyDescent="0.3">
      <c r="A4812" s="9">
        <v>42157</v>
      </c>
      <c r="B4812" s="2" t="str">
        <f>TEXT(Raw_Data!$A4812, "MMM")</f>
        <v>Jun</v>
      </c>
      <c r="C4812" s="2">
        <f>YEAR(Raw_Data!$A4812)</f>
        <v>2015</v>
      </c>
      <c r="D4812" s="2" t="s">
        <v>2968</v>
      </c>
      <c r="E4812" s="2" t="s">
        <v>23</v>
      </c>
      <c r="F4812" s="2" t="s">
        <v>16</v>
      </c>
      <c r="G4812" s="2">
        <v>5</v>
      </c>
      <c r="H4812" s="2">
        <v>2441</v>
      </c>
      <c r="I4812" s="10">
        <v>205471</v>
      </c>
      <c r="J4812" s="10">
        <f>Raw_Data!$I4812/Raw_Data!$H4812</f>
        <v>84.174928308070463</v>
      </c>
    </row>
    <row r="4813" spans="1:10" x14ac:dyDescent="0.3">
      <c r="A4813" s="8">
        <v>43360</v>
      </c>
      <c r="B4813" t="str">
        <f>TEXT(Raw_Data!$A4813, "MMM")</f>
        <v>Sep</v>
      </c>
      <c r="C4813">
        <f>YEAR(Raw_Data!$A4813)</f>
        <v>2018</v>
      </c>
      <c r="D4813" t="s">
        <v>2969</v>
      </c>
      <c r="E4813" t="s">
        <v>13</v>
      </c>
      <c r="F4813" t="s">
        <v>11</v>
      </c>
      <c r="H4813">
        <v>2670</v>
      </c>
      <c r="I4813" s="1">
        <v>828801</v>
      </c>
      <c r="J4813" s="1">
        <f>Raw_Data!$I4813/Raw_Data!$H4813</f>
        <v>310.4123595505618</v>
      </c>
    </row>
    <row r="4814" spans="1:10" x14ac:dyDescent="0.3">
      <c r="A4814" s="9">
        <v>40945</v>
      </c>
      <c r="B4814" s="2" t="str">
        <f>TEXT(Raw_Data!$A4814, "MMM")</f>
        <v>Feb</v>
      </c>
      <c r="C4814" s="2">
        <f>YEAR(Raw_Data!$A4814)</f>
        <v>2012</v>
      </c>
      <c r="D4814" s="2" t="s">
        <v>1269</v>
      </c>
      <c r="E4814" s="2" t="s">
        <v>32</v>
      </c>
      <c r="F4814" s="2" t="s">
        <v>18</v>
      </c>
      <c r="G4814" s="2">
        <v>5</v>
      </c>
      <c r="H4814" s="2">
        <v>1628</v>
      </c>
      <c r="I4814" s="10">
        <v>673879</v>
      </c>
      <c r="J4814" s="10">
        <f>Raw_Data!$I4814/Raw_Data!$H4814</f>
        <v>413.93058968058966</v>
      </c>
    </row>
    <row r="4815" spans="1:10" x14ac:dyDescent="0.3">
      <c r="A4815" s="8">
        <v>42394</v>
      </c>
      <c r="B4815" t="str">
        <f>TEXT(Raw_Data!$A4815, "MMM")</f>
        <v>Jan</v>
      </c>
      <c r="C4815">
        <f>YEAR(Raw_Data!$A4815)</f>
        <v>2016</v>
      </c>
      <c r="D4815" t="s">
        <v>1914</v>
      </c>
      <c r="E4815" t="s">
        <v>32</v>
      </c>
      <c r="F4815" t="s">
        <v>11</v>
      </c>
      <c r="H4815">
        <v>2921</v>
      </c>
      <c r="I4815" s="1">
        <v>676643</v>
      </c>
      <c r="J4815" s="1">
        <f>Raw_Data!$I4815/Raw_Data!$H4815</f>
        <v>231.64772338240329</v>
      </c>
    </row>
    <row r="4816" spans="1:10" x14ac:dyDescent="0.3">
      <c r="A4816" s="9">
        <v>37231</v>
      </c>
      <c r="B4816" s="2" t="str">
        <f>TEXT(Raw_Data!$A4816, "MMM")</f>
        <v>Dec</v>
      </c>
      <c r="C4816" s="2">
        <f>YEAR(Raw_Data!$A4816)</f>
        <v>2001</v>
      </c>
      <c r="D4816" s="2" t="s">
        <v>2970</v>
      </c>
      <c r="E4816" s="2" t="s">
        <v>29</v>
      </c>
      <c r="F4816" s="2" t="s">
        <v>11</v>
      </c>
      <c r="G4816" s="2">
        <v>2</v>
      </c>
      <c r="H4816" s="2">
        <v>3380</v>
      </c>
      <c r="I4816" s="10">
        <v>587797</v>
      </c>
      <c r="J4816" s="10">
        <f>Raw_Data!$I4816/Raw_Data!$H4816</f>
        <v>173.90443786982249</v>
      </c>
    </row>
    <row r="4817" spans="1:10" x14ac:dyDescent="0.3">
      <c r="A4817" s="8">
        <v>43432</v>
      </c>
      <c r="B4817" t="str">
        <f>TEXT(Raw_Data!$A4817, "MMM")</f>
        <v>Nov</v>
      </c>
      <c r="C4817">
        <f>YEAR(Raw_Data!$A4817)</f>
        <v>2018</v>
      </c>
      <c r="D4817" t="s">
        <v>1472</v>
      </c>
      <c r="E4817" t="s">
        <v>13</v>
      </c>
      <c r="F4817" t="s">
        <v>11</v>
      </c>
      <c r="G4817">
        <v>2</v>
      </c>
      <c r="H4817">
        <v>2924</v>
      </c>
      <c r="I4817" s="1">
        <v>552442</v>
      </c>
      <c r="J4817" s="1">
        <f>Raw_Data!$I4817/Raw_Data!$H4817</f>
        <v>188.93365253077977</v>
      </c>
    </row>
    <row r="4818" spans="1:10" x14ac:dyDescent="0.3">
      <c r="A4818" s="9">
        <v>43899</v>
      </c>
      <c r="B4818" s="2" t="str">
        <f>TEXT(Raw_Data!$A4818, "MMM")</f>
        <v>Mar</v>
      </c>
      <c r="C4818" s="2">
        <f>YEAR(Raw_Data!$A4818)</f>
        <v>2020</v>
      </c>
      <c r="D4818" s="2" t="s">
        <v>752</v>
      </c>
      <c r="E4818" s="2" t="s">
        <v>23</v>
      </c>
      <c r="F4818" s="2" t="s">
        <v>18</v>
      </c>
      <c r="G4818" s="2">
        <v>4</v>
      </c>
      <c r="H4818" s="2">
        <v>1995</v>
      </c>
      <c r="I4818" s="10">
        <v>699194</v>
      </c>
      <c r="J4818" s="10">
        <f>Raw_Data!$I4818/Raw_Data!$H4818</f>
        <v>350.47318295739348</v>
      </c>
    </row>
    <row r="4819" spans="1:10" x14ac:dyDescent="0.3">
      <c r="A4819" s="8">
        <v>41907</v>
      </c>
      <c r="B4819" t="str">
        <f>TEXT(Raw_Data!$A4819, "MMM")</f>
        <v>Sep</v>
      </c>
      <c r="C4819">
        <f>YEAR(Raw_Data!$A4819)</f>
        <v>2014</v>
      </c>
      <c r="D4819" t="s">
        <v>2971</v>
      </c>
      <c r="E4819" t="s">
        <v>13</v>
      </c>
      <c r="F4819" t="s">
        <v>27</v>
      </c>
      <c r="G4819">
        <v>4</v>
      </c>
      <c r="H4819">
        <v>876</v>
      </c>
      <c r="I4819" s="1">
        <v>560993</v>
      </c>
      <c r="J4819" s="1">
        <f>Raw_Data!$I4819/Raw_Data!$H4819</f>
        <v>640.40296803652973</v>
      </c>
    </row>
    <row r="4820" spans="1:10" x14ac:dyDescent="0.3">
      <c r="A4820" s="9">
        <v>37133</v>
      </c>
      <c r="B4820" s="2" t="str">
        <f>TEXT(Raw_Data!$A4820, "MMM")</f>
        <v>Aug</v>
      </c>
      <c r="C4820" s="2">
        <f>YEAR(Raw_Data!$A4820)</f>
        <v>2001</v>
      </c>
      <c r="D4820" s="2" t="s">
        <v>97</v>
      </c>
      <c r="E4820" s="2" t="s">
        <v>32</v>
      </c>
      <c r="F4820" s="2" t="s">
        <v>27</v>
      </c>
      <c r="G4820" s="2"/>
      <c r="H4820" s="2">
        <v>1280</v>
      </c>
      <c r="I4820" s="10">
        <v>172920</v>
      </c>
      <c r="J4820" s="10">
        <f>Raw_Data!$I4820/Raw_Data!$H4820</f>
        <v>135.09375</v>
      </c>
    </row>
    <row r="4821" spans="1:10" x14ac:dyDescent="0.3">
      <c r="A4821" s="8">
        <v>37709</v>
      </c>
      <c r="B4821" t="str">
        <f>TEXT(Raw_Data!$A4821, "MMM")</f>
        <v>Mar</v>
      </c>
      <c r="C4821">
        <f>YEAR(Raw_Data!$A4821)</f>
        <v>2003</v>
      </c>
      <c r="D4821" t="s">
        <v>2804</v>
      </c>
      <c r="E4821" t="s">
        <v>15</v>
      </c>
      <c r="F4821" t="s">
        <v>11</v>
      </c>
      <c r="H4821">
        <v>2066</v>
      </c>
      <c r="I4821" s="1">
        <v>643981</v>
      </c>
      <c r="J4821" s="1">
        <f>Raw_Data!$I4821/Raw_Data!$H4821</f>
        <v>311.70425943852854</v>
      </c>
    </row>
    <row r="4822" spans="1:10" x14ac:dyDescent="0.3">
      <c r="A4822" s="9">
        <v>41329</v>
      </c>
      <c r="B4822" s="2" t="str">
        <f>TEXT(Raw_Data!$A4822, "MMM")</f>
        <v>Feb</v>
      </c>
      <c r="C4822" s="2">
        <f>YEAR(Raw_Data!$A4822)</f>
        <v>2013</v>
      </c>
      <c r="D4822" s="2" t="s">
        <v>527</v>
      </c>
      <c r="E4822" s="2" t="s">
        <v>21</v>
      </c>
      <c r="F4822" s="2" t="s">
        <v>11</v>
      </c>
      <c r="G4822" s="2"/>
      <c r="H4822" s="2">
        <v>2840</v>
      </c>
      <c r="I4822" s="10">
        <v>769357</v>
      </c>
      <c r="J4822" s="10">
        <f>Raw_Data!$I4822/Raw_Data!$H4822</f>
        <v>270.90035211267605</v>
      </c>
    </row>
    <row r="4823" spans="1:10" x14ac:dyDescent="0.3">
      <c r="A4823" s="8">
        <v>41548</v>
      </c>
      <c r="B4823" t="str">
        <f>TEXT(Raw_Data!$A4823, "MMM")</f>
        <v>Oct</v>
      </c>
      <c r="C4823">
        <f>YEAR(Raw_Data!$A4823)</f>
        <v>2013</v>
      </c>
      <c r="D4823" t="s">
        <v>2972</v>
      </c>
      <c r="E4823" t="s">
        <v>15</v>
      </c>
      <c r="F4823" t="s">
        <v>11</v>
      </c>
      <c r="G4823">
        <v>4</v>
      </c>
      <c r="H4823">
        <v>862</v>
      </c>
      <c r="I4823" s="1">
        <v>339256</v>
      </c>
      <c r="J4823" s="1">
        <f>Raw_Data!$I4823/Raw_Data!$H4823</f>
        <v>393.56844547563804</v>
      </c>
    </row>
    <row r="4824" spans="1:10" x14ac:dyDescent="0.3">
      <c r="A4824" s="9">
        <v>41711</v>
      </c>
      <c r="B4824" s="2" t="str">
        <f>TEXT(Raw_Data!$A4824, "MMM")</f>
        <v>Mar</v>
      </c>
      <c r="C4824" s="2">
        <f>YEAR(Raw_Data!$A4824)</f>
        <v>2014</v>
      </c>
      <c r="D4824" s="2" t="s">
        <v>2973</v>
      </c>
      <c r="E4824" s="2" t="s">
        <v>21</v>
      </c>
      <c r="F4824" s="2" t="s">
        <v>11</v>
      </c>
      <c r="G4824" s="2"/>
      <c r="H4824" s="2">
        <v>803</v>
      </c>
      <c r="I4824" s="10">
        <v>124320</v>
      </c>
      <c r="J4824" s="10">
        <f>Raw_Data!$I4824/Raw_Data!$H4824</f>
        <v>154.81942714819428</v>
      </c>
    </row>
    <row r="4825" spans="1:10" x14ac:dyDescent="0.3">
      <c r="A4825" s="8">
        <v>37507</v>
      </c>
      <c r="B4825" t="str">
        <f>TEXT(Raw_Data!$A4825, "MMM")</f>
        <v>Sep</v>
      </c>
      <c r="C4825">
        <f>YEAR(Raw_Data!$A4825)</f>
        <v>2002</v>
      </c>
      <c r="D4825" t="s">
        <v>2087</v>
      </c>
      <c r="E4825" t="s">
        <v>25</v>
      </c>
      <c r="F4825" t="s">
        <v>16</v>
      </c>
      <c r="G4825">
        <v>4</v>
      </c>
      <c r="H4825">
        <v>2085</v>
      </c>
      <c r="I4825" s="1">
        <v>604632</v>
      </c>
      <c r="J4825" s="1">
        <f>Raw_Data!$I4825/Raw_Data!$H4825</f>
        <v>289.99136690647481</v>
      </c>
    </row>
    <row r="4826" spans="1:10" x14ac:dyDescent="0.3">
      <c r="A4826" s="9">
        <v>40019</v>
      </c>
      <c r="B4826" s="2" t="str">
        <f>TEXT(Raw_Data!$A4826, "MMM")</f>
        <v>Jul</v>
      </c>
      <c r="C4826" s="2">
        <f>YEAR(Raw_Data!$A4826)</f>
        <v>2009</v>
      </c>
      <c r="D4826" s="2" t="s">
        <v>546</v>
      </c>
      <c r="E4826" s="2" t="s">
        <v>32</v>
      </c>
      <c r="F4826" s="2" t="s">
        <v>16</v>
      </c>
      <c r="G4826" s="2">
        <v>2</v>
      </c>
      <c r="H4826" s="2">
        <v>1757</v>
      </c>
      <c r="I4826" s="10">
        <v>684384</v>
      </c>
      <c r="J4826" s="10">
        <f>Raw_Data!$I4826/Raw_Data!$H4826</f>
        <v>389.51849743881615</v>
      </c>
    </row>
    <row r="4827" spans="1:10" x14ac:dyDescent="0.3">
      <c r="A4827" s="8">
        <v>42885</v>
      </c>
      <c r="B4827" t="str">
        <f>TEXT(Raw_Data!$A4827, "MMM")</f>
        <v>May</v>
      </c>
      <c r="C4827">
        <f>YEAR(Raw_Data!$A4827)</f>
        <v>2017</v>
      </c>
      <c r="D4827" t="s">
        <v>105</v>
      </c>
      <c r="E4827" t="s">
        <v>15</v>
      </c>
      <c r="F4827" t="s">
        <v>27</v>
      </c>
      <c r="H4827">
        <v>2416</v>
      </c>
      <c r="I4827" s="1">
        <v>403537</v>
      </c>
      <c r="J4827" s="1">
        <f>Raw_Data!$I4827/Raw_Data!$H4827</f>
        <v>167.02690397350995</v>
      </c>
    </row>
    <row r="4828" spans="1:10" x14ac:dyDescent="0.3">
      <c r="A4828" s="9">
        <v>37547</v>
      </c>
      <c r="B4828" s="2" t="str">
        <f>TEXT(Raw_Data!$A4828, "MMM")</f>
        <v>Oct</v>
      </c>
      <c r="C4828" s="2">
        <f>YEAR(Raw_Data!$A4828)</f>
        <v>2002</v>
      </c>
      <c r="D4828" s="2" t="s">
        <v>2974</v>
      </c>
      <c r="E4828" s="2" t="s">
        <v>15</v>
      </c>
      <c r="F4828" s="2" t="s">
        <v>18</v>
      </c>
      <c r="G4828" s="2">
        <v>5</v>
      </c>
      <c r="H4828" s="2">
        <v>3426</v>
      </c>
      <c r="I4828" s="10">
        <v>680750</v>
      </c>
      <c r="J4828" s="10">
        <f>Raw_Data!$I4828/Raw_Data!$H4828</f>
        <v>198.70110916520724</v>
      </c>
    </row>
    <row r="4829" spans="1:10" x14ac:dyDescent="0.3">
      <c r="A4829" s="8">
        <v>41121</v>
      </c>
      <c r="B4829" t="str">
        <f>TEXT(Raw_Data!$A4829, "MMM")</f>
        <v>Jul</v>
      </c>
      <c r="C4829">
        <f>YEAR(Raw_Data!$A4829)</f>
        <v>2012</v>
      </c>
      <c r="D4829" t="s">
        <v>2975</v>
      </c>
      <c r="E4829" t="s">
        <v>25</v>
      </c>
      <c r="F4829" t="s">
        <v>16</v>
      </c>
      <c r="G4829">
        <v>2</v>
      </c>
      <c r="H4829">
        <v>1015</v>
      </c>
      <c r="I4829" s="1">
        <v>634980</v>
      </c>
      <c r="J4829" s="1">
        <f>Raw_Data!$I4829/Raw_Data!$H4829</f>
        <v>625.5960591133005</v>
      </c>
    </row>
    <row r="4830" spans="1:10" x14ac:dyDescent="0.3">
      <c r="A4830" s="9">
        <v>39196</v>
      </c>
      <c r="B4830" s="2" t="str">
        <f>TEXT(Raw_Data!$A4830, "MMM")</f>
        <v>Apr</v>
      </c>
      <c r="C4830" s="2">
        <f>YEAR(Raw_Data!$A4830)</f>
        <v>2007</v>
      </c>
      <c r="D4830" s="2" t="s">
        <v>1974</v>
      </c>
      <c r="E4830" s="2" t="s">
        <v>13</v>
      </c>
      <c r="F4830" s="2" t="s">
        <v>18</v>
      </c>
      <c r="G4830" s="2"/>
      <c r="H4830" s="2">
        <v>1875</v>
      </c>
      <c r="I4830" s="10">
        <v>317425</v>
      </c>
      <c r="J4830" s="10">
        <f>Raw_Data!$I4830/Raw_Data!$H4830</f>
        <v>169.29333333333332</v>
      </c>
    </row>
    <row r="4831" spans="1:10" x14ac:dyDescent="0.3">
      <c r="A4831" s="8">
        <v>37810</v>
      </c>
      <c r="B4831" t="str">
        <f>TEXT(Raw_Data!$A4831, "MMM")</f>
        <v>Jul</v>
      </c>
      <c r="C4831">
        <f>YEAR(Raw_Data!$A4831)</f>
        <v>2003</v>
      </c>
      <c r="D4831" t="s">
        <v>2976</v>
      </c>
      <c r="E4831" t="s">
        <v>23</v>
      </c>
      <c r="F4831" t="s">
        <v>11</v>
      </c>
      <c r="G4831">
        <v>4</v>
      </c>
      <c r="H4831">
        <v>1259</v>
      </c>
      <c r="I4831" s="1">
        <v>430753</v>
      </c>
      <c r="J4831" s="1">
        <f>Raw_Data!$I4831/Raw_Data!$H4831</f>
        <v>342.13899920571885</v>
      </c>
    </row>
    <row r="4832" spans="1:10" x14ac:dyDescent="0.3">
      <c r="A4832" s="9">
        <v>38583</v>
      </c>
      <c r="B4832" s="2" t="str">
        <f>TEXT(Raw_Data!$A4832, "MMM")</f>
        <v>Aug</v>
      </c>
      <c r="C4832" s="2">
        <f>YEAR(Raw_Data!$A4832)</f>
        <v>2005</v>
      </c>
      <c r="D4832" s="2" t="s">
        <v>1162</v>
      </c>
      <c r="E4832" s="2" t="s">
        <v>32</v>
      </c>
      <c r="F4832" s="2" t="s">
        <v>11</v>
      </c>
      <c r="G4832" s="2">
        <v>2</v>
      </c>
      <c r="H4832" s="2">
        <v>2326</v>
      </c>
      <c r="I4832" s="10">
        <v>212346</v>
      </c>
      <c r="J4832" s="10">
        <f>Raw_Data!$I4832/Raw_Data!$H4832</f>
        <v>91.292347377472055</v>
      </c>
    </row>
    <row r="4833" spans="1:10" x14ac:dyDescent="0.3">
      <c r="A4833" s="8">
        <v>40081</v>
      </c>
      <c r="B4833" t="str">
        <f>TEXT(Raw_Data!$A4833, "MMM")</f>
        <v>Sep</v>
      </c>
      <c r="C4833">
        <f>YEAR(Raw_Data!$A4833)</f>
        <v>2009</v>
      </c>
      <c r="D4833" t="s">
        <v>2776</v>
      </c>
      <c r="E4833" t="s">
        <v>23</v>
      </c>
      <c r="F4833" t="s">
        <v>16</v>
      </c>
      <c r="G4833">
        <v>4</v>
      </c>
      <c r="H4833">
        <v>864</v>
      </c>
      <c r="I4833" s="1">
        <v>566485</v>
      </c>
      <c r="J4833" s="1">
        <f>Raw_Data!$I4833/Raw_Data!$H4833</f>
        <v>655.65393518518522</v>
      </c>
    </row>
    <row r="4834" spans="1:10" x14ac:dyDescent="0.3">
      <c r="A4834" s="9">
        <v>43837</v>
      </c>
      <c r="B4834" s="2" t="str">
        <f>TEXT(Raw_Data!$A4834, "MMM")</f>
        <v>Jan</v>
      </c>
      <c r="C4834" s="2">
        <f>YEAR(Raw_Data!$A4834)</f>
        <v>2020</v>
      </c>
      <c r="D4834" s="2" t="s">
        <v>1514</v>
      </c>
      <c r="E4834" s="2" t="s">
        <v>15</v>
      </c>
      <c r="F4834" s="2" t="s">
        <v>11</v>
      </c>
      <c r="G4834" s="2"/>
      <c r="H4834" s="2">
        <v>2063</v>
      </c>
      <c r="I4834" s="10">
        <v>451483</v>
      </c>
      <c r="J4834" s="10">
        <f>Raw_Data!$I4834/Raw_Data!$H4834</f>
        <v>218.84779447406689</v>
      </c>
    </row>
    <row r="4835" spans="1:10" x14ac:dyDescent="0.3">
      <c r="A4835" s="8">
        <v>44157</v>
      </c>
      <c r="B4835" t="str">
        <f>TEXT(Raw_Data!$A4835, "MMM")</f>
        <v>Nov</v>
      </c>
      <c r="C4835">
        <f>YEAR(Raw_Data!$A4835)</f>
        <v>2020</v>
      </c>
      <c r="D4835" t="s">
        <v>2710</v>
      </c>
      <c r="E4835" t="s">
        <v>21</v>
      </c>
      <c r="F4835" t="s">
        <v>27</v>
      </c>
      <c r="G4835">
        <v>2</v>
      </c>
      <c r="H4835">
        <v>3406</v>
      </c>
      <c r="I4835" s="1">
        <v>577903</v>
      </c>
      <c r="J4835" s="1">
        <f>Raw_Data!$I4835/Raw_Data!$H4835</f>
        <v>169.67204932472109</v>
      </c>
    </row>
    <row r="4836" spans="1:10" x14ac:dyDescent="0.3">
      <c r="A4836" s="9">
        <v>39284</v>
      </c>
      <c r="B4836" s="2" t="str">
        <f>TEXT(Raw_Data!$A4836, "MMM")</f>
        <v>Jul</v>
      </c>
      <c r="C4836" s="2">
        <f>YEAR(Raw_Data!$A4836)</f>
        <v>2007</v>
      </c>
      <c r="D4836" s="2" t="s">
        <v>1436</v>
      </c>
      <c r="E4836" s="2" t="s">
        <v>21</v>
      </c>
      <c r="F4836" s="2" t="s">
        <v>18</v>
      </c>
      <c r="G4836" s="2">
        <v>2</v>
      </c>
      <c r="H4836" s="2">
        <v>2136</v>
      </c>
      <c r="I4836" s="10">
        <v>826092</v>
      </c>
      <c r="J4836" s="10">
        <f>Raw_Data!$I4836/Raw_Data!$H4836</f>
        <v>386.74719101123594</v>
      </c>
    </row>
    <row r="4837" spans="1:10" x14ac:dyDescent="0.3">
      <c r="A4837" s="8">
        <v>39024</v>
      </c>
      <c r="B4837" t="str">
        <f>TEXT(Raw_Data!$A4837, "MMM")</f>
        <v>Nov</v>
      </c>
      <c r="C4837">
        <f>YEAR(Raw_Data!$A4837)</f>
        <v>2006</v>
      </c>
      <c r="D4837" t="s">
        <v>1115</v>
      </c>
      <c r="E4837" t="s">
        <v>21</v>
      </c>
      <c r="F4837" t="s">
        <v>18</v>
      </c>
      <c r="G4837">
        <v>4</v>
      </c>
      <c r="H4837">
        <v>2831</v>
      </c>
      <c r="I4837" s="1">
        <v>607237</v>
      </c>
      <c r="J4837" s="1">
        <f>Raw_Data!$I4837/Raw_Data!$H4837</f>
        <v>214.49558459908161</v>
      </c>
    </row>
    <row r="4838" spans="1:10" x14ac:dyDescent="0.3">
      <c r="A4838" s="9">
        <v>43304</v>
      </c>
      <c r="B4838" s="2" t="str">
        <f>TEXT(Raw_Data!$A4838, "MMM")</f>
        <v>Jul</v>
      </c>
      <c r="C4838" s="2">
        <f>YEAR(Raw_Data!$A4838)</f>
        <v>2018</v>
      </c>
      <c r="D4838" s="2" t="s">
        <v>2977</v>
      </c>
      <c r="E4838" s="2" t="s">
        <v>15</v>
      </c>
      <c r="F4838" s="2" t="s">
        <v>11</v>
      </c>
      <c r="G4838" s="2">
        <v>2</v>
      </c>
      <c r="H4838" s="2">
        <v>1568</v>
      </c>
      <c r="I4838" s="10">
        <v>239490</v>
      </c>
      <c r="J4838" s="10">
        <f>Raw_Data!$I4838/Raw_Data!$H4838</f>
        <v>152.73596938775509</v>
      </c>
    </row>
    <row r="4839" spans="1:10" x14ac:dyDescent="0.3">
      <c r="A4839" s="8">
        <v>41197</v>
      </c>
      <c r="B4839" t="str">
        <f>TEXT(Raw_Data!$A4839, "MMM")</f>
        <v>Oct</v>
      </c>
      <c r="C4839">
        <f>YEAR(Raw_Data!$A4839)</f>
        <v>2012</v>
      </c>
      <c r="D4839" t="s">
        <v>2945</v>
      </c>
      <c r="E4839" t="s">
        <v>15</v>
      </c>
      <c r="F4839" t="s">
        <v>27</v>
      </c>
      <c r="G4839">
        <v>3</v>
      </c>
      <c r="H4839">
        <v>2900</v>
      </c>
      <c r="I4839" s="1">
        <v>438719</v>
      </c>
      <c r="J4839" s="1">
        <f>Raw_Data!$I4839/Raw_Data!$H4839</f>
        <v>151.28241379310344</v>
      </c>
    </row>
    <row r="4840" spans="1:10" x14ac:dyDescent="0.3">
      <c r="A4840" s="9">
        <v>43731</v>
      </c>
      <c r="B4840" s="2" t="str">
        <f>TEXT(Raw_Data!$A4840, "MMM")</f>
        <v>Sep</v>
      </c>
      <c r="C4840" s="2">
        <f>YEAR(Raw_Data!$A4840)</f>
        <v>2019</v>
      </c>
      <c r="D4840" s="2" t="s">
        <v>2280</v>
      </c>
      <c r="E4840" s="2" t="s">
        <v>23</v>
      </c>
      <c r="F4840" s="2" t="s">
        <v>18</v>
      </c>
      <c r="G4840" s="2">
        <v>5</v>
      </c>
      <c r="H4840" s="2">
        <v>2071</v>
      </c>
      <c r="I4840" s="10">
        <v>309442</v>
      </c>
      <c r="J4840" s="10">
        <f>Raw_Data!$I4840/Raw_Data!$H4840</f>
        <v>149.41670690487686</v>
      </c>
    </row>
    <row r="4841" spans="1:10" x14ac:dyDescent="0.3">
      <c r="A4841" s="8">
        <v>38314</v>
      </c>
      <c r="B4841" t="str">
        <f>TEXT(Raw_Data!$A4841, "MMM")</f>
        <v>Nov</v>
      </c>
      <c r="C4841">
        <f>YEAR(Raw_Data!$A4841)</f>
        <v>2004</v>
      </c>
      <c r="D4841" t="s">
        <v>2923</v>
      </c>
      <c r="E4841" t="s">
        <v>32</v>
      </c>
      <c r="F4841" t="s">
        <v>18</v>
      </c>
      <c r="G4841">
        <v>2</v>
      </c>
      <c r="H4841">
        <v>1837</v>
      </c>
      <c r="I4841" s="1">
        <v>870212</v>
      </c>
      <c r="J4841" s="1">
        <f>Raw_Data!$I4841/Raw_Data!$H4841</f>
        <v>473.71366358192705</v>
      </c>
    </row>
    <row r="4842" spans="1:10" x14ac:dyDescent="0.3">
      <c r="A4842" s="9">
        <v>42725</v>
      </c>
      <c r="B4842" s="2" t="str">
        <f>TEXT(Raw_Data!$A4842, "MMM")</f>
        <v>Dec</v>
      </c>
      <c r="C4842" s="2">
        <f>YEAR(Raw_Data!$A4842)</f>
        <v>2016</v>
      </c>
      <c r="D4842" s="2" t="s">
        <v>2067</v>
      </c>
      <c r="E4842" s="2" t="s">
        <v>15</v>
      </c>
      <c r="F4842" s="2" t="s">
        <v>16</v>
      </c>
      <c r="G4842" s="2">
        <v>3</v>
      </c>
      <c r="H4842" s="2">
        <v>2745</v>
      </c>
      <c r="I4842" s="10">
        <v>478303</v>
      </c>
      <c r="J4842" s="10">
        <f>Raw_Data!$I4842/Raw_Data!$H4842</f>
        <v>174.24517304189436</v>
      </c>
    </row>
    <row r="4843" spans="1:10" x14ac:dyDescent="0.3">
      <c r="A4843" s="8">
        <v>40373</v>
      </c>
      <c r="B4843" t="str">
        <f>TEXT(Raw_Data!$A4843, "MMM")</f>
        <v>Jul</v>
      </c>
      <c r="C4843">
        <f>YEAR(Raw_Data!$A4843)</f>
        <v>2010</v>
      </c>
      <c r="D4843" t="s">
        <v>565</v>
      </c>
      <c r="E4843" t="s">
        <v>15</v>
      </c>
      <c r="F4843" t="s">
        <v>18</v>
      </c>
      <c r="G4843">
        <v>3</v>
      </c>
      <c r="H4843">
        <v>1535</v>
      </c>
      <c r="I4843" s="1">
        <v>381003</v>
      </c>
      <c r="J4843" s="1">
        <f>Raw_Data!$I4843/Raw_Data!$H4843</f>
        <v>248.21042345276874</v>
      </c>
    </row>
    <row r="4844" spans="1:10" x14ac:dyDescent="0.3">
      <c r="A4844" s="9">
        <v>37311</v>
      </c>
      <c r="B4844" s="2" t="str">
        <f>TEXT(Raw_Data!$A4844, "MMM")</f>
        <v>Feb</v>
      </c>
      <c r="C4844" s="2">
        <f>YEAR(Raw_Data!$A4844)</f>
        <v>2002</v>
      </c>
      <c r="D4844" s="2" t="s">
        <v>2978</v>
      </c>
      <c r="E4844" s="2" t="s">
        <v>15</v>
      </c>
      <c r="F4844" s="2" t="s">
        <v>11</v>
      </c>
      <c r="G4844" s="2">
        <v>3</v>
      </c>
      <c r="H4844" s="2">
        <v>975</v>
      </c>
      <c r="I4844" s="10">
        <v>654790</v>
      </c>
      <c r="J4844" s="10">
        <f>Raw_Data!$I4844/Raw_Data!$H4844</f>
        <v>671.57948717948716</v>
      </c>
    </row>
    <row r="4845" spans="1:10" x14ac:dyDescent="0.3">
      <c r="A4845" s="8">
        <v>42239</v>
      </c>
      <c r="B4845" t="str">
        <f>TEXT(Raw_Data!$A4845, "MMM")</f>
        <v>Aug</v>
      </c>
      <c r="C4845">
        <f>YEAR(Raw_Data!$A4845)</f>
        <v>2015</v>
      </c>
      <c r="D4845" t="s">
        <v>728</v>
      </c>
      <c r="E4845" t="s">
        <v>25</v>
      </c>
      <c r="F4845" t="s">
        <v>16</v>
      </c>
      <c r="G4845">
        <v>5</v>
      </c>
      <c r="H4845">
        <v>1207</v>
      </c>
      <c r="I4845" s="1">
        <v>470700</v>
      </c>
      <c r="J4845" s="1">
        <f>Raw_Data!$I4845/Raw_Data!$H4845</f>
        <v>389.97514498757249</v>
      </c>
    </row>
    <row r="4846" spans="1:10" x14ac:dyDescent="0.3">
      <c r="A4846" s="9">
        <v>39132</v>
      </c>
      <c r="B4846" s="2" t="str">
        <f>TEXT(Raw_Data!$A4846, "MMM")</f>
        <v>Feb</v>
      </c>
      <c r="C4846" s="2">
        <f>YEAR(Raw_Data!$A4846)</f>
        <v>2007</v>
      </c>
      <c r="D4846" s="2" t="s">
        <v>2979</v>
      </c>
      <c r="E4846" s="2" t="s">
        <v>15</v>
      </c>
      <c r="F4846" s="2" t="s">
        <v>27</v>
      </c>
      <c r="G4846" s="2">
        <v>3</v>
      </c>
      <c r="H4846" s="2">
        <v>1671</v>
      </c>
      <c r="I4846" s="10">
        <v>599604</v>
      </c>
      <c r="J4846" s="10">
        <f>Raw_Data!$I4846/Raw_Data!$H4846</f>
        <v>358.8294434470377</v>
      </c>
    </row>
    <row r="4847" spans="1:10" x14ac:dyDescent="0.3">
      <c r="A4847" s="8">
        <v>38030</v>
      </c>
      <c r="B4847" t="str">
        <f>TEXT(Raw_Data!$A4847, "MMM")</f>
        <v>Feb</v>
      </c>
      <c r="C4847">
        <f>YEAR(Raw_Data!$A4847)</f>
        <v>2004</v>
      </c>
      <c r="D4847" t="s">
        <v>1971</v>
      </c>
      <c r="E4847" t="s">
        <v>15</v>
      </c>
      <c r="F4847" t="s">
        <v>16</v>
      </c>
      <c r="G4847">
        <v>5</v>
      </c>
      <c r="H4847">
        <v>2339</v>
      </c>
      <c r="I4847" s="1">
        <v>386399</v>
      </c>
      <c r="J4847" s="1">
        <f>Raw_Data!$I4847/Raw_Data!$H4847</f>
        <v>165.19837537409148</v>
      </c>
    </row>
    <row r="4848" spans="1:10" x14ac:dyDescent="0.3">
      <c r="A4848" s="9">
        <v>40778</v>
      </c>
      <c r="B4848" s="2" t="str">
        <f>TEXT(Raw_Data!$A4848, "MMM")</f>
        <v>Aug</v>
      </c>
      <c r="C4848" s="2">
        <f>YEAR(Raw_Data!$A4848)</f>
        <v>2011</v>
      </c>
      <c r="D4848" s="2" t="s">
        <v>2980</v>
      </c>
      <c r="E4848" s="2" t="s">
        <v>25</v>
      </c>
      <c r="F4848" s="2" t="s">
        <v>27</v>
      </c>
      <c r="G4848" s="2">
        <v>4</v>
      </c>
      <c r="H4848" s="2">
        <v>2072</v>
      </c>
      <c r="I4848" s="10">
        <v>671812</v>
      </c>
      <c r="J4848" s="10">
        <f>Raw_Data!$I4848/Raw_Data!$H4848</f>
        <v>324.23359073359075</v>
      </c>
    </row>
    <row r="4849" spans="1:10" x14ac:dyDescent="0.3">
      <c r="A4849" s="8">
        <v>37746</v>
      </c>
      <c r="B4849" t="str">
        <f>TEXT(Raw_Data!$A4849, "MMM")</f>
        <v>May</v>
      </c>
      <c r="C4849">
        <f>YEAR(Raw_Data!$A4849)</f>
        <v>2003</v>
      </c>
      <c r="D4849" t="s">
        <v>1386</v>
      </c>
      <c r="E4849" t="s">
        <v>13</v>
      </c>
      <c r="F4849" t="s">
        <v>27</v>
      </c>
      <c r="G4849">
        <v>2</v>
      </c>
      <c r="H4849">
        <v>1474</v>
      </c>
      <c r="I4849" s="1">
        <v>198378</v>
      </c>
      <c r="J4849" s="1">
        <f>Raw_Data!$I4849/Raw_Data!$H4849</f>
        <v>134.58480325644504</v>
      </c>
    </row>
    <row r="4850" spans="1:10" x14ac:dyDescent="0.3">
      <c r="A4850" s="9">
        <v>40648</v>
      </c>
      <c r="B4850" s="2" t="str">
        <f>TEXT(Raw_Data!$A4850, "MMM")</f>
        <v>Apr</v>
      </c>
      <c r="C4850" s="2">
        <f>YEAR(Raw_Data!$A4850)</f>
        <v>2011</v>
      </c>
      <c r="D4850" s="2" t="s">
        <v>2981</v>
      </c>
      <c r="E4850" s="2" t="s">
        <v>15</v>
      </c>
      <c r="F4850" s="2" t="s">
        <v>27</v>
      </c>
      <c r="G4850" s="2">
        <v>4</v>
      </c>
      <c r="H4850" s="2">
        <v>903</v>
      </c>
      <c r="I4850" s="10">
        <v>329121</v>
      </c>
      <c r="J4850" s="10">
        <f>Raw_Data!$I4850/Raw_Data!$H4850</f>
        <v>364.47508305647841</v>
      </c>
    </row>
    <row r="4851" spans="1:10" x14ac:dyDescent="0.3">
      <c r="A4851" s="8">
        <v>38248</v>
      </c>
      <c r="B4851" t="str">
        <f>TEXT(Raw_Data!$A4851, "MMM")</f>
        <v>Sep</v>
      </c>
      <c r="C4851">
        <f>YEAR(Raw_Data!$A4851)</f>
        <v>2004</v>
      </c>
      <c r="D4851" t="s">
        <v>2316</v>
      </c>
      <c r="E4851" t="s">
        <v>29</v>
      </c>
      <c r="F4851" t="s">
        <v>27</v>
      </c>
      <c r="G4851">
        <v>3</v>
      </c>
      <c r="H4851">
        <v>819</v>
      </c>
      <c r="I4851" s="1">
        <v>343069</v>
      </c>
      <c r="J4851" s="1">
        <f>Raw_Data!$I4851/Raw_Data!$H4851</f>
        <v>418.88766788766787</v>
      </c>
    </row>
    <row r="4852" spans="1:10" x14ac:dyDescent="0.3">
      <c r="A4852" s="9">
        <v>42142</v>
      </c>
      <c r="B4852" s="2" t="str">
        <f>TEXT(Raw_Data!$A4852, "MMM")</f>
        <v>May</v>
      </c>
      <c r="C4852" s="2">
        <f>YEAR(Raw_Data!$A4852)</f>
        <v>2015</v>
      </c>
      <c r="D4852" s="2" t="s">
        <v>386</v>
      </c>
      <c r="E4852" s="2" t="s">
        <v>23</v>
      </c>
      <c r="F4852" s="2" t="s">
        <v>18</v>
      </c>
      <c r="G4852" s="2">
        <v>5</v>
      </c>
      <c r="H4852" s="2">
        <v>1653</v>
      </c>
      <c r="I4852" s="10">
        <v>890338</v>
      </c>
      <c r="J4852" s="10">
        <f>Raw_Data!$I4852/Raw_Data!$H4852</f>
        <v>538.61947973381734</v>
      </c>
    </row>
    <row r="4853" spans="1:10" x14ac:dyDescent="0.3">
      <c r="A4853" s="8">
        <v>39298</v>
      </c>
      <c r="B4853" t="str">
        <f>TEXT(Raw_Data!$A4853, "MMM")</f>
        <v>Aug</v>
      </c>
      <c r="C4853">
        <f>YEAR(Raw_Data!$A4853)</f>
        <v>2007</v>
      </c>
      <c r="D4853" t="s">
        <v>1409</v>
      </c>
      <c r="E4853" t="s">
        <v>25</v>
      </c>
      <c r="F4853" t="s">
        <v>18</v>
      </c>
      <c r="G4853">
        <v>5</v>
      </c>
      <c r="H4853">
        <v>3192</v>
      </c>
      <c r="I4853" s="1">
        <v>351365</v>
      </c>
      <c r="J4853" s="1">
        <f>Raw_Data!$I4853/Raw_Data!$H4853</f>
        <v>110.07675438596492</v>
      </c>
    </row>
    <row r="4854" spans="1:10" x14ac:dyDescent="0.3">
      <c r="A4854" s="9">
        <v>40341</v>
      </c>
      <c r="B4854" s="2" t="str">
        <f>TEXT(Raw_Data!$A4854, "MMM")</f>
        <v>Jun</v>
      </c>
      <c r="C4854" s="2">
        <f>YEAR(Raw_Data!$A4854)</f>
        <v>2010</v>
      </c>
      <c r="D4854" s="2" t="s">
        <v>530</v>
      </c>
      <c r="E4854" s="2" t="s">
        <v>15</v>
      </c>
      <c r="F4854" s="2" t="s">
        <v>27</v>
      </c>
      <c r="G4854" s="2">
        <v>4</v>
      </c>
      <c r="H4854" s="2">
        <v>3493</v>
      </c>
      <c r="I4854" s="10">
        <v>120670</v>
      </c>
      <c r="J4854" s="10">
        <f>Raw_Data!$I4854/Raw_Data!$H4854</f>
        <v>34.546235327798456</v>
      </c>
    </row>
    <row r="4855" spans="1:10" x14ac:dyDescent="0.3">
      <c r="A4855" s="8">
        <v>39886</v>
      </c>
      <c r="B4855" t="str">
        <f>TEXT(Raw_Data!$A4855, "MMM")</f>
        <v>Mar</v>
      </c>
      <c r="C4855">
        <f>YEAR(Raw_Data!$A4855)</f>
        <v>2009</v>
      </c>
      <c r="D4855" t="s">
        <v>2653</v>
      </c>
      <c r="E4855" t="s">
        <v>21</v>
      </c>
      <c r="F4855" t="s">
        <v>27</v>
      </c>
      <c r="H4855">
        <v>2651</v>
      </c>
      <c r="I4855" s="1">
        <v>603105</v>
      </c>
      <c r="J4855" s="1">
        <f>Raw_Data!$I4855/Raw_Data!$H4855</f>
        <v>227.50094304036213</v>
      </c>
    </row>
    <row r="4856" spans="1:10" x14ac:dyDescent="0.3">
      <c r="A4856" s="9">
        <v>41478</v>
      </c>
      <c r="B4856" s="2" t="str">
        <f>TEXT(Raw_Data!$A4856, "MMM")</f>
        <v>Jul</v>
      </c>
      <c r="C4856" s="2">
        <f>YEAR(Raw_Data!$A4856)</f>
        <v>2013</v>
      </c>
      <c r="D4856" s="2" t="s">
        <v>1904</v>
      </c>
      <c r="E4856" s="2" t="s">
        <v>29</v>
      </c>
      <c r="F4856" s="2" t="s">
        <v>18</v>
      </c>
      <c r="G4856" s="2">
        <v>4</v>
      </c>
      <c r="H4856" s="2">
        <v>1020</v>
      </c>
      <c r="I4856" s="10">
        <v>548230</v>
      </c>
      <c r="J4856" s="10">
        <f>Raw_Data!$I4856/Raw_Data!$H4856</f>
        <v>537.48039215686276</v>
      </c>
    </row>
    <row r="4857" spans="1:10" x14ac:dyDescent="0.3">
      <c r="A4857" s="8">
        <v>38248</v>
      </c>
      <c r="B4857" t="str">
        <f>TEXT(Raw_Data!$A4857, "MMM")</f>
        <v>Sep</v>
      </c>
      <c r="C4857">
        <f>YEAR(Raw_Data!$A4857)</f>
        <v>2004</v>
      </c>
      <c r="D4857" t="s">
        <v>789</v>
      </c>
      <c r="E4857" t="s">
        <v>21</v>
      </c>
      <c r="F4857" t="s">
        <v>18</v>
      </c>
      <c r="H4857">
        <v>1871</v>
      </c>
      <c r="I4857" s="1">
        <v>616550</v>
      </c>
      <c r="J4857" s="1">
        <f>Raw_Data!$I4857/Raw_Data!$H4857</f>
        <v>329.52966328166758</v>
      </c>
    </row>
    <row r="4858" spans="1:10" x14ac:dyDescent="0.3">
      <c r="A4858" s="9">
        <v>43899</v>
      </c>
      <c r="B4858" s="2" t="str">
        <f>TEXT(Raw_Data!$A4858, "MMM")</f>
        <v>Mar</v>
      </c>
      <c r="C4858" s="2">
        <f>YEAR(Raw_Data!$A4858)</f>
        <v>2020</v>
      </c>
      <c r="D4858" s="2" t="s">
        <v>955</v>
      </c>
      <c r="E4858" s="2" t="s">
        <v>29</v>
      </c>
      <c r="F4858" s="2" t="s">
        <v>16</v>
      </c>
      <c r="G4858" s="2">
        <v>5</v>
      </c>
      <c r="H4858" s="2">
        <v>1123</v>
      </c>
      <c r="I4858" s="10">
        <v>862380</v>
      </c>
      <c r="J4858" s="10">
        <f>Raw_Data!$I4858/Raw_Data!$H4858</f>
        <v>767.92520035618872</v>
      </c>
    </row>
    <row r="4859" spans="1:10" x14ac:dyDescent="0.3">
      <c r="A4859" s="8">
        <v>41757</v>
      </c>
      <c r="B4859" t="str">
        <f>TEXT(Raw_Data!$A4859, "MMM")</f>
        <v>Apr</v>
      </c>
      <c r="C4859">
        <f>YEAR(Raw_Data!$A4859)</f>
        <v>2014</v>
      </c>
      <c r="D4859" t="s">
        <v>1257</v>
      </c>
      <c r="E4859" t="s">
        <v>29</v>
      </c>
      <c r="F4859" t="s">
        <v>18</v>
      </c>
      <c r="G4859">
        <v>3</v>
      </c>
      <c r="H4859">
        <v>2914</v>
      </c>
      <c r="I4859" s="1">
        <v>640136</v>
      </c>
      <c r="J4859" s="1">
        <f>Raw_Data!$I4859/Raw_Data!$H4859</f>
        <v>219.67604667124229</v>
      </c>
    </row>
    <row r="4860" spans="1:10" x14ac:dyDescent="0.3">
      <c r="A4860" s="9">
        <v>37909</v>
      </c>
      <c r="B4860" s="2" t="str">
        <f>TEXT(Raw_Data!$A4860, "MMM")</f>
        <v>Oct</v>
      </c>
      <c r="C4860" s="2">
        <f>YEAR(Raw_Data!$A4860)</f>
        <v>2003</v>
      </c>
      <c r="D4860" s="2" t="s">
        <v>2982</v>
      </c>
      <c r="E4860" s="2" t="s">
        <v>32</v>
      </c>
      <c r="F4860" s="2" t="s">
        <v>18</v>
      </c>
      <c r="G4860" s="2"/>
      <c r="H4860" s="2">
        <v>1644</v>
      </c>
      <c r="I4860" s="10">
        <v>561140</v>
      </c>
      <c r="J4860" s="10">
        <f>Raw_Data!$I4860/Raw_Data!$H4860</f>
        <v>341.32603406326035</v>
      </c>
    </row>
    <row r="4861" spans="1:10" x14ac:dyDescent="0.3">
      <c r="A4861" s="8">
        <v>40865</v>
      </c>
      <c r="B4861" t="str">
        <f>TEXT(Raw_Data!$A4861, "MMM")</f>
        <v>Nov</v>
      </c>
      <c r="C4861">
        <f>YEAR(Raw_Data!$A4861)</f>
        <v>2011</v>
      </c>
      <c r="D4861" t="s">
        <v>330</v>
      </c>
      <c r="E4861" t="s">
        <v>13</v>
      </c>
      <c r="F4861" t="s">
        <v>27</v>
      </c>
      <c r="G4861">
        <v>3</v>
      </c>
      <c r="H4861">
        <v>1162</v>
      </c>
      <c r="I4861" s="1">
        <v>275674</v>
      </c>
      <c r="J4861" s="1">
        <f>Raw_Data!$I4861/Raw_Data!$H4861</f>
        <v>237.24096385542168</v>
      </c>
    </row>
    <row r="4862" spans="1:10" x14ac:dyDescent="0.3">
      <c r="A4862" s="9">
        <v>43741</v>
      </c>
      <c r="B4862" s="2" t="str">
        <f>TEXT(Raw_Data!$A4862, "MMM")</f>
        <v>Oct</v>
      </c>
      <c r="C4862" s="2">
        <f>YEAR(Raw_Data!$A4862)</f>
        <v>2019</v>
      </c>
      <c r="D4862" s="2" t="s">
        <v>2760</v>
      </c>
      <c r="E4862" s="2" t="s">
        <v>23</v>
      </c>
      <c r="F4862" s="2" t="s">
        <v>11</v>
      </c>
      <c r="G4862" s="2"/>
      <c r="H4862" s="2">
        <v>2758</v>
      </c>
      <c r="I4862" s="10">
        <v>111136</v>
      </c>
      <c r="J4862" s="10">
        <f>Raw_Data!$I4862/Raw_Data!$H4862</f>
        <v>40.295866569978244</v>
      </c>
    </row>
    <row r="4863" spans="1:10" x14ac:dyDescent="0.3">
      <c r="A4863" s="8">
        <v>43114</v>
      </c>
      <c r="B4863" t="str">
        <f>TEXT(Raw_Data!$A4863, "MMM")</f>
        <v>Jan</v>
      </c>
      <c r="C4863">
        <f>YEAR(Raw_Data!$A4863)</f>
        <v>2018</v>
      </c>
      <c r="D4863" t="s">
        <v>2983</v>
      </c>
      <c r="E4863" t="s">
        <v>25</v>
      </c>
      <c r="F4863" t="s">
        <v>18</v>
      </c>
      <c r="G4863">
        <v>5</v>
      </c>
      <c r="H4863">
        <v>3169</v>
      </c>
      <c r="I4863" s="1">
        <v>783332</v>
      </c>
      <c r="J4863" s="1">
        <f>Raw_Data!$I4863/Raw_Data!$H4863</f>
        <v>247.18586304828023</v>
      </c>
    </row>
    <row r="4864" spans="1:10" x14ac:dyDescent="0.3">
      <c r="A4864" s="9">
        <v>40206</v>
      </c>
      <c r="B4864" s="2" t="str">
        <f>TEXT(Raw_Data!$A4864, "MMM")</f>
        <v>Jan</v>
      </c>
      <c r="C4864" s="2">
        <f>YEAR(Raw_Data!$A4864)</f>
        <v>2010</v>
      </c>
      <c r="D4864" s="2" t="s">
        <v>1353</v>
      </c>
      <c r="E4864" s="2" t="s">
        <v>13</v>
      </c>
      <c r="F4864" s="2" t="s">
        <v>18</v>
      </c>
      <c r="G4864" s="2">
        <v>5</v>
      </c>
      <c r="H4864" s="2">
        <v>2337</v>
      </c>
      <c r="I4864" s="10">
        <v>707785</v>
      </c>
      <c r="J4864" s="10">
        <f>Raw_Data!$I4864/Raw_Data!$H4864</f>
        <v>302.86050492083871</v>
      </c>
    </row>
    <row r="4865" spans="1:10" x14ac:dyDescent="0.3">
      <c r="A4865" s="8">
        <v>41882</v>
      </c>
      <c r="B4865" t="str">
        <f>TEXT(Raw_Data!$A4865, "MMM")</f>
        <v>Aug</v>
      </c>
      <c r="C4865">
        <f>YEAR(Raw_Data!$A4865)</f>
        <v>2014</v>
      </c>
      <c r="D4865" t="s">
        <v>376</v>
      </c>
      <c r="E4865" t="s">
        <v>21</v>
      </c>
      <c r="F4865" t="s">
        <v>11</v>
      </c>
      <c r="H4865">
        <v>1082</v>
      </c>
      <c r="I4865" s="1">
        <v>443391</v>
      </c>
      <c r="J4865" s="1">
        <f>Raw_Data!$I4865/Raw_Data!$H4865</f>
        <v>409.78835489833642</v>
      </c>
    </row>
    <row r="4866" spans="1:10" x14ac:dyDescent="0.3">
      <c r="A4866" s="9">
        <v>38341</v>
      </c>
      <c r="B4866" s="2" t="str">
        <f>TEXT(Raw_Data!$A4866, "MMM")</f>
        <v>Dec</v>
      </c>
      <c r="C4866" s="2">
        <f>YEAR(Raw_Data!$A4866)</f>
        <v>2004</v>
      </c>
      <c r="D4866" s="2" t="s">
        <v>102</v>
      </c>
      <c r="E4866" s="2" t="s">
        <v>15</v>
      </c>
      <c r="F4866" s="2" t="s">
        <v>11</v>
      </c>
      <c r="G4866" s="2">
        <v>3</v>
      </c>
      <c r="H4866" s="2">
        <v>1699</v>
      </c>
      <c r="I4866" s="10">
        <v>139925</v>
      </c>
      <c r="J4866" s="10">
        <f>Raw_Data!$I4866/Raw_Data!$H4866</f>
        <v>82.357268981753975</v>
      </c>
    </row>
    <row r="4867" spans="1:10" x14ac:dyDescent="0.3">
      <c r="A4867" s="8">
        <v>41846</v>
      </c>
      <c r="B4867" t="str">
        <f>TEXT(Raw_Data!$A4867, "MMM")</f>
        <v>Jul</v>
      </c>
      <c r="C4867">
        <f>YEAR(Raw_Data!$A4867)</f>
        <v>2014</v>
      </c>
      <c r="D4867" t="s">
        <v>1116</v>
      </c>
      <c r="E4867" t="s">
        <v>29</v>
      </c>
      <c r="F4867" t="s">
        <v>18</v>
      </c>
      <c r="G4867">
        <v>5</v>
      </c>
      <c r="H4867">
        <v>3006</v>
      </c>
      <c r="I4867" s="1">
        <v>733848</v>
      </c>
      <c r="J4867" s="1">
        <f>Raw_Data!$I4867/Raw_Data!$H4867</f>
        <v>244.12774451097803</v>
      </c>
    </row>
    <row r="4868" spans="1:10" x14ac:dyDescent="0.3">
      <c r="A4868" s="9">
        <v>43916</v>
      </c>
      <c r="B4868" s="2" t="str">
        <f>TEXT(Raw_Data!$A4868, "MMM")</f>
        <v>Mar</v>
      </c>
      <c r="C4868" s="2">
        <f>YEAR(Raw_Data!$A4868)</f>
        <v>2020</v>
      </c>
      <c r="D4868" s="2" t="s">
        <v>22</v>
      </c>
      <c r="E4868" s="2" t="s">
        <v>29</v>
      </c>
      <c r="F4868" s="2" t="s">
        <v>27</v>
      </c>
      <c r="G4868" s="2"/>
      <c r="H4868" s="2">
        <v>2190</v>
      </c>
      <c r="I4868" s="10">
        <v>832883</v>
      </c>
      <c r="J4868" s="10">
        <f>Raw_Data!$I4868/Raw_Data!$H4868</f>
        <v>380.31187214611873</v>
      </c>
    </row>
    <row r="4869" spans="1:10" x14ac:dyDescent="0.3">
      <c r="A4869" s="8">
        <v>38050</v>
      </c>
      <c r="B4869" t="str">
        <f>TEXT(Raw_Data!$A4869, "MMM")</f>
        <v>Mar</v>
      </c>
      <c r="C4869">
        <f>YEAR(Raw_Data!$A4869)</f>
        <v>2004</v>
      </c>
      <c r="D4869" t="s">
        <v>1447</v>
      </c>
      <c r="E4869" t="s">
        <v>15</v>
      </c>
      <c r="F4869" t="s">
        <v>16</v>
      </c>
      <c r="H4869">
        <v>1715</v>
      </c>
      <c r="I4869" s="1">
        <v>192313</v>
      </c>
      <c r="J4869" s="1">
        <f>Raw_Data!$I4869/Raw_Data!$H4869</f>
        <v>112.13586005830904</v>
      </c>
    </row>
    <row r="4870" spans="1:10" x14ac:dyDescent="0.3">
      <c r="A4870" s="9">
        <v>40541</v>
      </c>
      <c r="B4870" s="2" t="str">
        <f>TEXT(Raw_Data!$A4870, "MMM")</f>
        <v>Dec</v>
      </c>
      <c r="C4870" s="2">
        <f>YEAR(Raw_Data!$A4870)</f>
        <v>2010</v>
      </c>
      <c r="D4870" s="2" t="s">
        <v>1521</v>
      </c>
      <c r="E4870" s="2" t="s">
        <v>15</v>
      </c>
      <c r="F4870" s="2" t="s">
        <v>16</v>
      </c>
      <c r="G4870" s="2">
        <v>2</v>
      </c>
      <c r="H4870" s="2">
        <v>911</v>
      </c>
      <c r="I4870" s="10">
        <v>682803</v>
      </c>
      <c r="J4870" s="10">
        <f>Raw_Data!$I4870/Raw_Data!$H4870</f>
        <v>749.50933040614711</v>
      </c>
    </row>
    <row r="4871" spans="1:10" x14ac:dyDescent="0.3">
      <c r="A4871" s="8">
        <v>39823</v>
      </c>
      <c r="B4871" t="str">
        <f>TEXT(Raw_Data!$A4871, "MMM")</f>
        <v>Jan</v>
      </c>
      <c r="C4871">
        <f>YEAR(Raw_Data!$A4871)</f>
        <v>2009</v>
      </c>
      <c r="D4871" t="s">
        <v>2006</v>
      </c>
      <c r="E4871" t="s">
        <v>21</v>
      </c>
      <c r="F4871" t="s">
        <v>16</v>
      </c>
      <c r="G4871">
        <v>5</v>
      </c>
      <c r="H4871">
        <v>1540</v>
      </c>
      <c r="I4871" s="1">
        <v>183158</v>
      </c>
      <c r="J4871" s="1">
        <f>Raw_Data!$I4871/Raw_Data!$H4871</f>
        <v>118.93376623376624</v>
      </c>
    </row>
    <row r="4872" spans="1:10" x14ac:dyDescent="0.3">
      <c r="A4872" s="9">
        <v>41442</v>
      </c>
      <c r="B4872" s="2" t="str">
        <f>TEXT(Raw_Data!$A4872, "MMM")</f>
        <v>Jun</v>
      </c>
      <c r="C4872" s="2">
        <f>YEAR(Raw_Data!$A4872)</f>
        <v>2013</v>
      </c>
      <c r="D4872" s="2" t="s">
        <v>2984</v>
      </c>
      <c r="E4872" s="2" t="s">
        <v>13</v>
      </c>
      <c r="F4872" s="2" t="s">
        <v>18</v>
      </c>
      <c r="G4872" s="2">
        <v>4</v>
      </c>
      <c r="H4872" s="2">
        <v>1494</v>
      </c>
      <c r="I4872" s="10">
        <v>141788</v>
      </c>
      <c r="J4872" s="10">
        <f>Raw_Data!$I4872/Raw_Data!$H4872</f>
        <v>94.904953145917005</v>
      </c>
    </row>
    <row r="4873" spans="1:10" x14ac:dyDescent="0.3">
      <c r="A4873" s="8">
        <v>43983</v>
      </c>
      <c r="B4873" t="str">
        <f>TEXT(Raw_Data!$A4873, "MMM")</f>
        <v>Jun</v>
      </c>
      <c r="C4873">
        <f>YEAR(Raw_Data!$A4873)</f>
        <v>2020</v>
      </c>
      <c r="D4873" t="s">
        <v>2762</v>
      </c>
      <c r="E4873" t="s">
        <v>25</v>
      </c>
      <c r="F4873" t="s">
        <v>27</v>
      </c>
      <c r="G4873">
        <v>5</v>
      </c>
      <c r="H4873">
        <v>1610</v>
      </c>
      <c r="I4873" s="1">
        <v>535942</v>
      </c>
      <c r="J4873" s="1">
        <f>Raw_Data!$I4873/Raw_Data!$H4873</f>
        <v>332.88322981366457</v>
      </c>
    </row>
    <row r="4874" spans="1:10" x14ac:dyDescent="0.3">
      <c r="A4874" s="9">
        <v>44074</v>
      </c>
      <c r="B4874" s="2" t="str">
        <f>TEXT(Raw_Data!$A4874, "MMM")</f>
        <v>Aug</v>
      </c>
      <c r="C4874" s="2">
        <f>YEAR(Raw_Data!$A4874)</f>
        <v>2020</v>
      </c>
      <c r="D4874" s="2" t="s">
        <v>2482</v>
      </c>
      <c r="E4874" s="2" t="s">
        <v>29</v>
      </c>
      <c r="F4874" s="2" t="s">
        <v>16</v>
      </c>
      <c r="G4874" s="2">
        <v>2</v>
      </c>
      <c r="H4874" s="2">
        <v>3277</v>
      </c>
      <c r="I4874" s="10">
        <v>712915</v>
      </c>
      <c r="J4874" s="10">
        <f>Raw_Data!$I4874/Raw_Data!$H4874</f>
        <v>217.55111382361918</v>
      </c>
    </row>
    <row r="4875" spans="1:10" x14ac:dyDescent="0.3">
      <c r="A4875" s="8">
        <v>40308</v>
      </c>
      <c r="B4875" t="str">
        <f>TEXT(Raw_Data!$A4875, "MMM")</f>
        <v>May</v>
      </c>
      <c r="C4875">
        <f>YEAR(Raw_Data!$A4875)</f>
        <v>2010</v>
      </c>
      <c r="D4875" t="s">
        <v>2985</v>
      </c>
      <c r="E4875" t="s">
        <v>32</v>
      </c>
      <c r="F4875" t="s">
        <v>11</v>
      </c>
      <c r="G4875">
        <v>2</v>
      </c>
      <c r="H4875">
        <v>3470</v>
      </c>
      <c r="I4875" s="1">
        <v>552093</v>
      </c>
      <c r="J4875" s="1">
        <f>Raw_Data!$I4875/Raw_Data!$H4875</f>
        <v>159.10461095100865</v>
      </c>
    </row>
    <row r="4876" spans="1:10" x14ac:dyDescent="0.3">
      <c r="A4876" s="9">
        <v>41645</v>
      </c>
      <c r="B4876" s="2" t="str">
        <f>TEXT(Raw_Data!$A4876, "MMM")</f>
        <v>Jan</v>
      </c>
      <c r="C4876" s="2">
        <f>YEAR(Raw_Data!$A4876)</f>
        <v>2014</v>
      </c>
      <c r="D4876" s="2" t="s">
        <v>2986</v>
      </c>
      <c r="E4876" s="2" t="s">
        <v>32</v>
      </c>
      <c r="F4876" s="2" t="s">
        <v>18</v>
      </c>
      <c r="G4876" s="2"/>
      <c r="H4876" s="2">
        <v>2960</v>
      </c>
      <c r="I4876" s="10">
        <v>193875</v>
      </c>
      <c r="J4876" s="10">
        <f>Raw_Data!$I4876/Raw_Data!$H4876</f>
        <v>65.498310810810807</v>
      </c>
    </row>
    <row r="4877" spans="1:10" x14ac:dyDescent="0.3">
      <c r="A4877" s="8">
        <v>41804</v>
      </c>
      <c r="B4877" t="str">
        <f>TEXT(Raw_Data!$A4877, "MMM")</f>
        <v>Jun</v>
      </c>
      <c r="C4877">
        <f>YEAR(Raw_Data!$A4877)</f>
        <v>2014</v>
      </c>
      <c r="D4877" t="s">
        <v>145</v>
      </c>
      <c r="E4877" t="s">
        <v>25</v>
      </c>
      <c r="F4877" t="s">
        <v>27</v>
      </c>
      <c r="G4877">
        <v>3</v>
      </c>
      <c r="H4877">
        <v>3327</v>
      </c>
      <c r="I4877" s="1">
        <v>602733</v>
      </c>
      <c r="J4877" s="1">
        <f>Raw_Data!$I4877/Raw_Data!$H4877</f>
        <v>181.16411181244365</v>
      </c>
    </row>
    <row r="4878" spans="1:10" x14ac:dyDescent="0.3">
      <c r="A4878" s="9">
        <v>44057</v>
      </c>
      <c r="B4878" s="2" t="str">
        <f>TEXT(Raw_Data!$A4878, "MMM")</f>
        <v>Aug</v>
      </c>
      <c r="C4878" s="2">
        <f>YEAR(Raw_Data!$A4878)</f>
        <v>2020</v>
      </c>
      <c r="D4878" s="2" t="s">
        <v>2987</v>
      </c>
      <c r="E4878" s="2" t="s">
        <v>15</v>
      </c>
      <c r="F4878" s="2" t="s">
        <v>18</v>
      </c>
      <c r="G4878" s="2">
        <v>3</v>
      </c>
      <c r="H4878" s="2">
        <v>1097</v>
      </c>
      <c r="I4878" s="10">
        <v>259707</v>
      </c>
      <c r="J4878" s="10">
        <f>Raw_Data!$I4878/Raw_Data!$H4878</f>
        <v>236.74293527803098</v>
      </c>
    </row>
    <row r="4879" spans="1:10" x14ac:dyDescent="0.3">
      <c r="A4879" s="8">
        <v>39174</v>
      </c>
      <c r="B4879" t="str">
        <f>TEXT(Raw_Data!$A4879, "MMM")</f>
        <v>Apr</v>
      </c>
      <c r="C4879">
        <f>YEAR(Raw_Data!$A4879)</f>
        <v>2007</v>
      </c>
      <c r="D4879" t="s">
        <v>2315</v>
      </c>
      <c r="E4879" t="s">
        <v>32</v>
      </c>
      <c r="F4879" t="s">
        <v>16</v>
      </c>
      <c r="G4879">
        <v>5</v>
      </c>
      <c r="H4879">
        <v>1322</v>
      </c>
      <c r="I4879" s="1">
        <v>665594</v>
      </c>
      <c r="J4879" s="1">
        <f>Raw_Data!$I4879/Raw_Data!$H4879</f>
        <v>503.4750378214826</v>
      </c>
    </row>
    <row r="4880" spans="1:10" x14ac:dyDescent="0.3">
      <c r="A4880" s="9">
        <v>38496</v>
      </c>
      <c r="B4880" s="2" t="str">
        <f>TEXT(Raw_Data!$A4880, "MMM")</f>
        <v>May</v>
      </c>
      <c r="C4880" s="2">
        <f>YEAR(Raw_Data!$A4880)</f>
        <v>2005</v>
      </c>
      <c r="D4880" s="2" t="s">
        <v>1359</v>
      </c>
      <c r="E4880" s="2" t="s">
        <v>23</v>
      </c>
      <c r="F4880" s="2" t="s">
        <v>27</v>
      </c>
      <c r="G4880" s="2"/>
      <c r="H4880" s="2">
        <v>2540</v>
      </c>
      <c r="I4880" s="10"/>
      <c r="J4880" s="10">
        <f>Raw_Data!$I4880/Raw_Data!$H4880</f>
        <v>0</v>
      </c>
    </row>
    <row r="4881" spans="1:10" x14ac:dyDescent="0.3">
      <c r="A4881" s="8">
        <v>38793</v>
      </c>
      <c r="B4881" t="str">
        <f>TEXT(Raw_Data!$A4881, "MMM")</f>
        <v>Mar</v>
      </c>
      <c r="C4881">
        <f>YEAR(Raw_Data!$A4881)</f>
        <v>2006</v>
      </c>
      <c r="D4881" t="s">
        <v>995</v>
      </c>
      <c r="E4881" t="s">
        <v>32</v>
      </c>
      <c r="F4881" t="s">
        <v>11</v>
      </c>
      <c r="G4881">
        <v>4</v>
      </c>
      <c r="H4881">
        <v>2267</v>
      </c>
      <c r="I4881" s="1">
        <v>649400</v>
      </c>
      <c r="J4881" s="1">
        <f>Raw_Data!$I4881/Raw_Data!$H4881</f>
        <v>286.45787384208205</v>
      </c>
    </row>
    <row r="4882" spans="1:10" x14ac:dyDescent="0.3">
      <c r="A4882" s="9">
        <v>37841</v>
      </c>
      <c r="B4882" s="2" t="str">
        <f>TEXT(Raw_Data!$A4882, "MMM")</f>
        <v>Aug</v>
      </c>
      <c r="C4882" s="2">
        <f>YEAR(Raw_Data!$A4882)</f>
        <v>2003</v>
      </c>
      <c r="D4882" s="2" t="s">
        <v>2988</v>
      </c>
      <c r="E4882" s="2" t="s">
        <v>32</v>
      </c>
      <c r="F4882" s="2" t="s">
        <v>27</v>
      </c>
      <c r="G4882" s="2">
        <v>5</v>
      </c>
      <c r="H4882" s="2">
        <v>1673</v>
      </c>
      <c r="I4882" s="10">
        <v>550113</v>
      </c>
      <c r="J4882" s="10">
        <f>Raw_Data!$I4882/Raw_Data!$H4882</f>
        <v>328.81829049611474</v>
      </c>
    </row>
    <row r="4883" spans="1:10" x14ac:dyDescent="0.3">
      <c r="A4883" s="8">
        <v>41612</v>
      </c>
      <c r="B4883" t="str">
        <f>TEXT(Raw_Data!$A4883, "MMM")</f>
        <v>Dec</v>
      </c>
      <c r="C4883">
        <f>YEAR(Raw_Data!$A4883)</f>
        <v>2013</v>
      </c>
      <c r="D4883" t="s">
        <v>2989</v>
      </c>
      <c r="E4883" t="s">
        <v>29</v>
      </c>
      <c r="F4883" t="s">
        <v>16</v>
      </c>
      <c r="H4883">
        <v>3268</v>
      </c>
      <c r="I4883" s="1">
        <v>834622</v>
      </c>
      <c r="J4883" s="1">
        <f>Raw_Data!$I4883/Raw_Data!$H4883</f>
        <v>255.39228886168911</v>
      </c>
    </row>
    <row r="4884" spans="1:10" x14ac:dyDescent="0.3">
      <c r="A4884" s="9">
        <v>38216</v>
      </c>
      <c r="B4884" s="2" t="str">
        <f>TEXT(Raw_Data!$A4884, "MMM")</f>
        <v>Aug</v>
      </c>
      <c r="C4884" s="2">
        <f>YEAR(Raw_Data!$A4884)</f>
        <v>2004</v>
      </c>
      <c r="D4884" s="2" t="s">
        <v>583</v>
      </c>
      <c r="E4884" s="2" t="s">
        <v>25</v>
      </c>
      <c r="F4884" s="2" t="s">
        <v>18</v>
      </c>
      <c r="G4884" s="2">
        <v>2</v>
      </c>
      <c r="H4884" s="2">
        <v>1943</v>
      </c>
      <c r="I4884" s="10">
        <v>364736</v>
      </c>
      <c r="J4884" s="10">
        <f>Raw_Data!$I4884/Raw_Data!$H4884</f>
        <v>187.71796191456511</v>
      </c>
    </row>
    <row r="4885" spans="1:10" x14ac:dyDescent="0.3">
      <c r="A4885" s="8">
        <v>37926</v>
      </c>
      <c r="B4885" t="str">
        <f>TEXT(Raw_Data!$A4885, "MMM")</f>
        <v>Nov</v>
      </c>
      <c r="C4885">
        <f>YEAR(Raw_Data!$A4885)</f>
        <v>2003</v>
      </c>
      <c r="D4885" t="s">
        <v>2637</v>
      </c>
      <c r="E4885" t="s">
        <v>25</v>
      </c>
      <c r="F4885" t="s">
        <v>16</v>
      </c>
      <c r="G4885">
        <v>4</v>
      </c>
      <c r="H4885">
        <v>2588</v>
      </c>
      <c r="I4885" s="1">
        <v>588605</v>
      </c>
      <c r="J4885" s="1">
        <f>Raw_Data!$I4885/Raw_Data!$H4885</f>
        <v>227.43624420401855</v>
      </c>
    </row>
    <row r="4886" spans="1:10" x14ac:dyDescent="0.3">
      <c r="A4886" s="9">
        <v>40827</v>
      </c>
      <c r="B4886" s="2" t="str">
        <f>TEXT(Raw_Data!$A4886, "MMM")</f>
        <v>Oct</v>
      </c>
      <c r="C4886" s="2">
        <f>YEAR(Raw_Data!$A4886)</f>
        <v>2011</v>
      </c>
      <c r="D4886" s="2" t="s">
        <v>2990</v>
      </c>
      <c r="E4886" s="2" t="s">
        <v>29</v>
      </c>
      <c r="F4886" s="2" t="s">
        <v>27</v>
      </c>
      <c r="G4886" s="2"/>
      <c r="H4886" s="2">
        <v>3323</v>
      </c>
      <c r="I4886" s="10">
        <v>454759</v>
      </c>
      <c r="J4886" s="10">
        <f>Raw_Data!$I4886/Raw_Data!$H4886</f>
        <v>136.85194101715317</v>
      </c>
    </row>
    <row r="4887" spans="1:10" x14ac:dyDescent="0.3">
      <c r="A4887" s="8">
        <v>40715</v>
      </c>
      <c r="B4887" t="str">
        <f>TEXT(Raw_Data!$A4887, "MMM")</f>
        <v>Jun</v>
      </c>
      <c r="C4887">
        <f>YEAR(Raw_Data!$A4887)</f>
        <v>2011</v>
      </c>
      <c r="D4887" t="s">
        <v>106</v>
      </c>
      <c r="E4887" t="s">
        <v>15</v>
      </c>
      <c r="F4887" t="s">
        <v>27</v>
      </c>
      <c r="H4887">
        <v>959</v>
      </c>
      <c r="I4887" s="1">
        <v>774347</v>
      </c>
      <c r="J4887" s="1">
        <f>Raw_Data!$I4887/Raw_Data!$H4887</f>
        <v>807.45255474452551</v>
      </c>
    </row>
    <row r="4888" spans="1:10" x14ac:dyDescent="0.3">
      <c r="A4888" s="9">
        <v>41424</v>
      </c>
      <c r="B4888" s="2" t="str">
        <f>TEXT(Raw_Data!$A4888, "MMM")</f>
        <v>May</v>
      </c>
      <c r="C4888" s="2">
        <f>YEAR(Raw_Data!$A4888)</f>
        <v>2013</v>
      </c>
      <c r="D4888" s="2" t="s">
        <v>2991</v>
      </c>
      <c r="E4888" s="2" t="s">
        <v>25</v>
      </c>
      <c r="F4888" s="2" t="s">
        <v>18</v>
      </c>
      <c r="G4888" s="2"/>
      <c r="H4888" s="2">
        <v>3387</v>
      </c>
      <c r="I4888" s="10">
        <v>458666</v>
      </c>
      <c r="J4888" s="10">
        <f>Raw_Data!$I4888/Raw_Data!$H4888</f>
        <v>135.41954532034248</v>
      </c>
    </row>
    <row r="4889" spans="1:10" x14ac:dyDescent="0.3">
      <c r="A4889" s="8">
        <v>40234</v>
      </c>
      <c r="B4889" t="str">
        <f>TEXT(Raw_Data!$A4889, "MMM")</f>
        <v>Feb</v>
      </c>
      <c r="C4889">
        <f>YEAR(Raw_Data!$A4889)</f>
        <v>2010</v>
      </c>
      <c r="D4889" t="s">
        <v>1970</v>
      </c>
      <c r="E4889" t="s">
        <v>32</v>
      </c>
      <c r="F4889" t="s">
        <v>27</v>
      </c>
      <c r="G4889">
        <v>4</v>
      </c>
      <c r="H4889">
        <v>1625</v>
      </c>
      <c r="I4889" s="1">
        <v>757013</v>
      </c>
      <c r="J4889" s="1">
        <f>Raw_Data!$I4889/Raw_Data!$H4889</f>
        <v>465.85415384615385</v>
      </c>
    </row>
    <row r="4890" spans="1:10" x14ac:dyDescent="0.3">
      <c r="A4890" s="9">
        <v>42711</v>
      </c>
      <c r="B4890" s="2" t="str">
        <f>TEXT(Raw_Data!$A4890, "MMM")</f>
        <v>Dec</v>
      </c>
      <c r="C4890" s="2">
        <f>YEAR(Raw_Data!$A4890)</f>
        <v>2016</v>
      </c>
      <c r="D4890" s="2" t="s">
        <v>2992</v>
      </c>
      <c r="E4890" s="2" t="s">
        <v>25</v>
      </c>
      <c r="F4890" s="2" t="s">
        <v>11</v>
      </c>
      <c r="G4890" s="2"/>
      <c r="H4890" s="2">
        <v>2402</v>
      </c>
      <c r="I4890" s="10">
        <v>635234</v>
      </c>
      <c r="J4890" s="10">
        <f>Raw_Data!$I4890/Raw_Data!$H4890</f>
        <v>264.46044962531226</v>
      </c>
    </row>
    <row r="4891" spans="1:10" x14ac:dyDescent="0.3">
      <c r="A4891" s="8">
        <v>42492</v>
      </c>
      <c r="B4891" t="str">
        <f>TEXT(Raw_Data!$A4891, "MMM")</f>
        <v>May</v>
      </c>
      <c r="C4891">
        <f>YEAR(Raw_Data!$A4891)</f>
        <v>2016</v>
      </c>
      <c r="D4891" t="s">
        <v>2771</v>
      </c>
      <c r="E4891" t="s">
        <v>25</v>
      </c>
      <c r="F4891" t="s">
        <v>18</v>
      </c>
      <c r="G4891">
        <v>5</v>
      </c>
      <c r="H4891">
        <v>2128</v>
      </c>
      <c r="I4891" s="1">
        <v>159596</v>
      </c>
      <c r="J4891" s="1">
        <f>Raw_Data!$I4891/Raw_Data!$H4891</f>
        <v>74.998120300751879</v>
      </c>
    </row>
    <row r="4892" spans="1:10" x14ac:dyDescent="0.3">
      <c r="A4892" s="9">
        <v>37348</v>
      </c>
      <c r="B4892" s="2" t="str">
        <f>TEXT(Raw_Data!$A4892, "MMM")</f>
        <v>Apr</v>
      </c>
      <c r="C4892" s="2">
        <f>YEAR(Raw_Data!$A4892)</f>
        <v>2002</v>
      </c>
      <c r="D4892" s="2" t="s">
        <v>2609</v>
      </c>
      <c r="E4892" s="2" t="s">
        <v>15</v>
      </c>
      <c r="F4892" s="2" t="s">
        <v>16</v>
      </c>
      <c r="G4892" s="2">
        <v>4</v>
      </c>
      <c r="H4892" s="2">
        <v>2940</v>
      </c>
      <c r="I4892" s="10">
        <v>288025</v>
      </c>
      <c r="J4892" s="10">
        <f>Raw_Data!$I4892/Raw_Data!$H4892</f>
        <v>97.967687074829925</v>
      </c>
    </row>
    <row r="4893" spans="1:10" x14ac:dyDescent="0.3">
      <c r="A4893" s="8">
        <v>39832</v>
      </c>
      <c r="B4893" t="str">
        <f>TEXT(Raw_Data!$A4893, "MMM")</f>
        <v>Jan</v>
      </c>
      <c r="C4893">
        <f>YEAR(Raw_Data!$A4893)</f>
        <v>2009</v>
      </c>
      <c r="D4893" t="s">
        <v>2118</v>
      </c>
      <c r="E4893" t="s">
        <v>13</v>
      </c>
      <c r="F4893" t="s">
        <v>27</v>
      </c>
      <c r="G4893">
        <v>4</v>
      </c>
      <c r="H4893">
        <v>837</v>
      </c>
      <c r="I4893" s="1">
        <v>143059</v>
      </c>
      <c r="J4893" s="1">
        <f>Raw_Data!$I4893/Raw_Data!$H4893</f>
        <v>170.91875746714456</v>
      </c>
    </row>
    <row r="4894" spans="1:10" x14ac:dyDescent="0.3">
      <c r="A4894" s="9">
        <v>39363</v>
      </c>
      <c r="B4894" s="2" t="str">
        <f>TEXT(Raw_Data!$A4894, "MMM")</f>
        <v>Oct</v>
      </c>
      <c r="C4894" s="2">
        <f>YEAR(Raw_Data!$A4894)</f>
        <v>2007</v>
      </c>
      <c r="D4894" s="2" t="s">
        <v>1491</v>
      </c>
      <c r="E4894" s="2" t="s">
        <v>32</v>
      </c>
      <c r="F4894" s="2" t="s">
        <v>18</v>
      </c>
      <c r="G4894" s="2"/>
      <c r="H4894" s="2">
        <v>1168</v>
      </c>
      <c r="I4894" s="10">
        <v>229300</v>
      </c>
      <c r="J4894" s="10">
        <f>Raw_Data!$I4894/Raw_Data!$H4894</f>
        <v>196.31849315068493</v>
      </c>
    </row>
    <row r="4895" spans="1:10" x14ac:dyDescent="0.3">
      <c r="A4895" s="8">
        <v>37356</v>
      </c>
      <c r="B4895" t="str">
        <f>TEXT(Raw_Data!$A4895, "MMM")</f>
        <v>Apr</v>
      </c>
      <c r="C4895">
        <f>YEAR(Raw_Data!$A4895)</f>
        <v>2002</v>
      </c>
      <c r="D4895" t="s">
        <v>1281</v>
      </c>
      <c r="E4895" t="s">
        <v>32</v>
      </c>
      <c r="F4895" t="s">
        <v>11</v>
      </c>
      <c r="H4895">
        <v>808</v>
      </c>
      <c r="I4895" s="1">
        <v>585235</v>
      </c>
      <c r="J4895" s="1">
        <f>Raw_Data!$I4895/Raw_Data!$H4895</f>
        <v>724.30074257425747</v>
      </c>
    </row>
    <row r="4896" spans="1:10" x14ac:dyDescent="0.3">
      <c r="A4896" s="9">
        <v>37316</v>
      </c>
      <c r="B4896" s="2" t="str">
        <f>TEXT(Raw_Data!$A4896, "MMM")</f>
        <v>Mar</v>
      </c>
      <c r="C4896" s="2">
        <f>YEAR(Raw_Data!$A4896)</f>
        <v>2002</v>
      </c>
      <c r="D4896" s="2" t="s">
        <v>1528</v>
      </c>
      <c r="E4896" s="2" t="s">
        <v>29</v>
      </c>
      <c r="F4896" s="2" t="s">
        <v>18</v>
      </c>
      <c r="G4896" s="2">
        <v>2</v>
      </c>
      <c r="H4896" s="2">
        <v>3144</v>
      </c>
      <c r="I4896" s="10">
        <v>745801</v>
      </c>
      <c r="J4896" s="10">
        <f>Raw_Data!$I4896/Raw_Data!$H4896</f>
        <v>237.21405852417303</v>
      </c>
    </row>
    <row r="4897" spans="1:10" x14ac:dyDescent="0.3">
      <c r="A4897" s="8">
        <v>38678</v>
      </c>
      <c r="B4897" t="str">
        <f>TEXT(Raw_Data!$A4897, "MMM")</f>
        <v>Nov</v>
      </c>
      <c r="C4897">
        <f>YEAR(Raw_Data!$A4897)</f>
        <v>2005</v>
      </c>
      <c r="D4897" t="s">
        <v>2272</v>
      </c>
      <c r="E4897" t="s">
        <v>15</v>
      </c>
      <c r="F4897" t="s">
        <v>16</v>
      </c>
      <c r="G4897">
        <v>4</v>
      </c>
      <c r="H4897">
        <v>2689</v>
      </c>
      <c r="I4897" s="1">
        <v>885152</v>
      </c>
      <c r="J4897" s="1">
        <f>Raw_Data!$I4897/Raw_Data!$H4897</f>
        <v>329.17515805132018</v>
      </c>
    </row>
    <row r="4898" spans="1:10" x14ac:dyDescent="0.3">
      <c r="A4898" s="9">
        <v>39673</v>
      </c>
      <c r="B4898" s="2" t="str">
        <f>TEXT(Raw_Data!$A4898, "MMM")</f>
        <v>Aug</v>
      </c>
      <c r="C4898" s="2">
        <f>YEAR(Raw_Data!$A4898)</f>
        <v>2008</v>
      </c>
      <c r="D4898" s="2" t="s">
        <v>581</v>
      </c>
      <c r="E4898" s="2" t="s">
        <v>29</v>
      </c>
      <c r="F4898" s="2" t="s">
        <v>27</v>
      </c>
      <c r="G4898" s="2">
        <v>3</v>
      </c>
      <c r="H4898" s="2">
        <v>818</v>
      </c>
      <c r="I4898" s="10">
        <v>189844</v>
      </c>
      <c r="J4898" s="10">
        <f>Raw_Data!$I4898/Raw_Data!$H4898</f>
        <v>232.08312958435206</v>
      </c>
    </row>
    <row r="4899" spans="1:10" x14ac:dyDescent="0.3">
      <c r="A4899" s="8">
        <v>43231</v>
      </c>
      <c r="B4899" t="str">
        <f>TEXT(Raw_Data!$A4899, "MMM")</f>
        <v>May</v>
      </c>
      <c r="C4899">
        <f>YEAR(Raw_Data!$A4899)</f>
        <v>2018</v>
      </c>
      <c r="D4899" t="s">
        <v>2310</v>
      </c>
      <c r="E4899" t="s">
        <v>32</v>
      </c>
      <c r="F4899" t="s">
        <v>27</v>
      </c>
      <c r="G4899">
        <v>5</v>
      </c>
      <c r="H4899">
        <v>1502</v>
      </c>
      <c r="I4899" s="1">
        <v>458991</v>
      </c>
      <c r="J4899" s="1">
        <f>Raw_Data!$I4899/Raw_Data!$H4899</f>
        <v>305.58655126498002</v>
      </c>
    </row>
    <row r="4900" spans="1:10" x14ac:dyDescent="0.3">
      <c r="A4900" s="9">
        <v>42571</v>
      </c>
      <c r="B4900" s="2" t="str">
        <f>TEXT(Raw_Data!$A4900, "MMM")</f>
        <v>Jul</v>
      </c>
      <c r="C4900" s="2">
        <f>YEAR(Raw_Data!$A4900)</f>
        <v>2016</v>
      </c>
      <c r="D4900" s="2" t="s">
        <v>2420</v>
      </c>
      <c r="E4900" s="2" t="s">
        <v>23</v>
      </c>
      <c r="F4900" s="2" t="s">
        <v>11</v>
      </c>
      <c r="G4900" s="2">
        <v>3</v>
      </c>
      <c r="H4900" s="2">
        <v>1147</v>
      </c>
      <c r="I4900" s="10">
        <v>243102</v>
      </c>
      <c r="J4900" s="10">
        <f>Raw_Data!$I4900/Raw_Data!$H4900</f>
        <v>211.94594594594594</v>
      </c>
    </row>
    <row r="4901" spans="1:10" x14ac:dyDescent="0.3">
      <c r="A4901" s="8">
        <v>37127</v>
      </c>
      <c r="B4901" t="str">
        <f>TEXT(Raw_Data!$A4901, "MMM")</f>
        <v>Aug</v>
      </c>
      <c r="C4901">
        <f>YEAR(Raw_Data!$A4901)</f>
        <v>2001</v>
      </c>
      <c r="D4901" t="s">
        <v>2204</v>
      </c>
      <c r="E4901" t="s">
        <v>32</v>
      </c>
      <c r="F4901" t="s">
        <v>11</v>
      </c>
      <c r="G4901">
        <v>2</v>
      </c>
      <c r="H4901">
        <v>2700</v>
      </c>
      <c r="I4901" s="1">
        <v>881299</v>
      </c>
      <c r="J4901" s="1">
        <f>Raw_Data!$I4901/Raw_Data!$H4901</f>
        <v>326.40703703703701</v>
      </c>
    </row>
    <row r="4902" spans="1:10" x14ac:dyDescent="0.3">
      <c r="A4902" s="9">
        <v>41535</v>
      </c>
      <c r="B4902" s="2" t="str">
        <f>TEXT(Raw_Data!$A4902, "MMM")</f>
        <v>Sep</v>
      </c>
      <c r="C4902" s="2">
        <f>YEAR(Raw_Data!$A4902)</f>
        <v>2013</v>
      </c>
      <c r="D4902" s="2" t="s">
        <v>2898</v>
      </c>
      <c r="E4902" s="2" t="s">
        <v>29</v>
      </c>
      <c r="F4902" s="2" t="s">
        <v>16</v>
      </c>
      <c r="G4902" s="2">
        <v>2</v>
      </c>
      <c r="H4902" s="2">
        <v>2606</v>
      </c>
      <c r="I4902" s="10">
        <v>497708</v>
      </c>
      <c r="J4902" s="10">
        <f>Raw_Data!$I4902/Raw_Data!$H4902</f>
        <v>190.98541826554106</v>
      </c>
    </row>
    <row r="4903" spans="1:10" x14ac:dyDescent="0.3">
      <c r="A4903" s="8">
        <v>40668</v>
      </c>
      <c r="B4903" t="str">
        <f>TEXT(Raw_Data!$A4903, "MMM")</f>
        <v>May</v>
      </c>
      <c r="C4903">
        <f>YEAR(Raw_Data!$A4903)</f>
        <v>2011</v>
      </c>
      <c r="D4903" t="s">
        <v>2993</v>
      </c>
      <c r="E4903" t="s">
        <v>25</v>
      </c>
      <c r="F4903" t="s">
        <v>16</v>
      </c>
      <c r="G4903">
        <v>3</v>
      </c>
      <c r="H4903">
        <v>846</v>
      </c>
      <c r="I4903" s="1">
        <v>642654</v>
      </c>
      <c r="J4903" s="1">
        <f>Raw_Data!$I4903/Raw_Data!$H4903</f>
        <v>759.63829787234044</v>
      </c>
    </row>
    <row r="4904" spans="1:10" x14ac:dyDescent="0.3">
      <c r="A4904" s="9">
        <v>40839</v>
      </c>
      <c r="B4904" s="2" t="str">
        <f>TEXT(Raw_Data!$A4904, "MMM")</f>
        <v>Oct</v>
      </c>
      <c r="C4904" s="2">
        <f>YEAR(Raw_Data!$A4904)</f>
        <v>2011</v>
      </c>
      <c r="D4904" s="2" t="s">
        <v>1440</v>
      </c>
      <c r="E4904" s="2" t="s">
        <v>21</v>
      </c>
      <c r="F4904" s="2" t="s">
        <v>16</v>
      </c>
      <c r="G4904" s="2">
        <v>3</v>
      </c>
      <c r="H4904" s="2">
        <v>1835</v>
      </c>
      <c r="I4904" s="10">
        <v>713943</v>
      </c>
      <c r="J4904" s="10">
        <f>Raw_Data!$I4904/Raw_Data!$H4904</f>
        <v>389.06975476839239</v>
      </c>
    </row>
    <row r="4905" spans="1:10" x14ac:dyDescent="0.3">
      <c r="A4905" s="8">
        <v>39404</v>
      </c>
      <c r="B4905" t="str">
        <f>TEXT(Raw_Data!$A4905, "MMM")</f>
        <v>Nov</v>
      </c>
      <c r="C4905">
        <f>YEAR(Raw_Data!$A4905)</f>
        <v>2007</v>
      </c>
      <c r="D4905" t="s">
        <v>1883</v>
      </c>
      <c r="E4905" t="s">
        <v>13</v>
      </c>
      <c r="F4905" t="s">
        <v>11</v>
      </c>
      <c r="G4905">
        <v>4</v>
      </c>
      <c r="H4905">
        <v>3219</v>
      </c>
      <c r="I4905" s="1">
        <v>210141</v>
      </c>
      <c r="J4905" s="1">
        <f>Raw_Data!$I4905/Raw_Data!$H4905</f>
        <v>65.281453867660758</v>
      </c>
    </row>
    <row r="4906" spans="1:10" x14ac:dyDescent="0.3">
      <c r="A4906" s="9">
        <v>43771</v>
      </c>
      <c r="B4906" s="2" t="str">
        <f>TEXT(Raw_Data!$A4906, "MMM")</f>
        <v>Nov</v>
      </c>
      <c r="C4906" s="2">
        <f>YEAR(Raw_Data!$A4906)</f>
        <v>2019</v>
      </c>
      <c r="D4906" s="2" t="s">
        <v>2994</v>
      </c>
      <c r="E4906" s="2" t="s">
        <v>21</v>
      </c>
      <c r="F4906" s="2" t="s">
        <v>11</v>
      </c>
      <c r="G4906" s="2">
        <v>2</v>
      </c>
      <c r="H4906" s="2">
        <v>3263</v>
      </c>
      <c r="I4906" s="10">
        <v>690383</v>
      </c>
      <c r="J4906" s="10">
        <f>Raw_Data!$I4906/Raw_Data!$H4906</f>
        <v>211.57922157523751</v>
      </c>
    </row>
    <row r="4907" spans="1:10" x14ac:dyDescent="0.3">
      <c r="A4907" s="8">
        <v>43355</v>
      </c>
      <c r="B4907" t="str">
        <f>TEXT(Raw_Data!$A4907, "MMM")</f>
        <v>Sep</v>
      </c>
      <c r="C4907">
        <f>YEAR(Raw_Data!$A4907)</f>
        <v>2018</v>
      </c>
      <c r="D4907" t="s">
        <v>2434</v>
      </c>
      <c r="E4907" t="s">
        <v>13</v>
      </c>
      <c r="F4907" t="s">
        <v>16</v>
      </c>
      <c r="G4907">
        <v>5</v>
      </c>
      <c r="H4907">
        <v>2456</v>
      </c>
      <c r="I4907" s="1">
        <v>784569</v>
      </c>
      <c r="J4907" s="1">
        <f>Raw_Data!$I4907/Raw_Data!$H4907</f>
        <v>319.44991856677524</v>
      </c>
    </row>
    <row r="4908" spans="1:10" x14ac:dyDescent="0.3">
      <c r="A4908" s="9">
        <v>40666</v>
      </c>
      <c r="B4908" s="2" t="str">
        <f>TEXT(Raw_Data!$A4908, "MMM")</f>
        <v>May</v>
      </c>
      <c r="C4908" s="2">
        <f>YEAR(Raw_Data!$A4908)</f>
        <v>2011</v>
      </c>
      <c r="D4908" s="2" t="s">
        <v>2995</v>
      </c>
      <c r="E4908" s="2" t="s">
        <v>21</v>
      </c>
      <c r="F4908" s="2" t="s">
        <v>11</v>
      </c>
      <c r="G4908" s="2">
        <v>5</v>
      </c>
      <c r="H4908" s="2">
        <v>1036</v>
      </c>
      <c r="I4908" s="10">
        <v>277302</v>
      </c>
      <c r="J4908" s="10">
        <f>Raw_Data!$I4908/Raw_Data!$H4908</f>
        <v>267.66602316602319</v>
      </c>
    </row>
    <row r="4909" spans="1:10" x14ac:dyDescent="0.3">
      <c r="A4909" s="8">
        <v>37014</v>
      </c>
      <c r="B4909" t="str">
        <f>TEXT(Raw_Data!$A4909, "MMM")</f>
        <v>May</v>
      </c>
      <c r="C4909">
        <f>YEAR(Raw_Data!$A4909)</f>
        <v>2001</v>
      </c>
      <c r="D4909" t="s">
        <v>2996</v>
      </c>
      <c r="E4909" t="s">
        <v>25</v>
      </c>
      <c r="F4909" t="s">
        <v>18</v>
      </c>
      <c r="G4909">
        <v>5</v>
      </c>
      <c r="H4909">
        <v>1058</v>
      </c>
      <c r="I4909" s="1">
        <v>249336</v>
      </c>
      <c r="J4909" s="1">
        <f>Raw_Data!$I4909/Raw_Data!$H4909</f>
        <v>235.66729678638941</v>
      </c>
    </row>
    <row r="4910" spans="1:10" x14ac:dyDescent="0.3">
      <c r="A4910" s="9">
        <v>42359</v>
      </c>
      <c r="B4910" s="2" t="str">
        <f>TEXT(Raw_Data!$A4910, "MMM")</f>
        <v>Dec</v>
      </c>
      <c r="C4910" s="2">
        <f>YEAR(Raw_Data!$A4910)</f>
        <v>2015</v>
      </c>
      <c r="D4910" s="2" t="s">
        <v>811</v>
      </c>
      <c r="E4910" s="2" t="s">
        <v>29</v>
      </c>
      <c r="F4910" s="2" t="s">
        <v>27</v>
      </c>
      <c r="G4910" s="2">
        <v>5</v>
      </c>
      <c r="H4910" s="2">
        <v>3136</v>
      </c>
      <c r="I4910" s="10">
        <v>705946</v>
      </c>
      <c r="J4910" s="10">
        <f>Raw_Data!$I4910/Raw_Data!$H4910</f>
        <v>225.11033163265307</v>
      </c>
    </row>
    <row r="4911" spans="1:10" x14ac:dyDescent="0.3">
      <c r="A4911" s="8">
        <v>38859</v>
      </c>
      <c r="B4911" t="str">
        <f>TEXT(Raw_Data!$A4911, "MMM")</f>
        <v>May</v>
      </c>
      <c r="C4911">
        <f>YEAR(Raw_Data!$A4911)</f>
        <v>2006</v>
      </c>
      <c r="D4911" t="s">
        <v>2997</v>
      </c>
      <c r="E4911" t="s">
        <v>32</v>
      </c>
      <c r="F4911" t="s">
        <v>27</v>
      </c>
      <c r="G4911">
        <v>4</v>
      </c>
      <c r="H4911">
        <v>1464</v>
      </c>
      <c r="I4911" s="1">
        <v>829858</v>
      </c>
      <c r="J4911" s="1">
        <f>Raw_Data!$I4911/Raw_Data!$H4911</f>
        <v>566.84289617486343</v>
      </c>
    </row>
    <row r="4912" spans="1:10" x14ac:dyDescent="0.3">
      <c r="A4912" s="9">
        <v>37738</v>
      </c>
      <c r="B4912" s="2" t="str">
        <f>TEXT(Raw_Data!$A4912, "MMM")</f>
        <v>Apr</v>
      </c>
      <c r="C4912" s="2">
        <f>YEAR(Raw_Data!$A4912)</f>
        <v>2003</v>
      </c>
      <c r="D4912" s="2" t="s">
        <v>1119</v>
      </c>
      <c r="E4912" s="2" t="s">
        <v>25</v>
      </c>
      <c r="F4912" s="2" t="s">
        <v>18</v>
      </c>
      <c r="G4912" s="2"/>
      <c r="H4912" s="2">
        <v>1320</v>
      </c>
      <c r="I4912" s="10">
        <v>469962</v>
      </c>
      <c r="J4912" s="10">
        <f>Raw_Data!$I4912/Raw_Data!$H4912</f>
        <v>356.03181818181821</v>
      </c>
    </row>
    <row r="4913" spans="1:10" x14ac:dyDescent="0.3">
      <c r="A4913" s="8">
        <v>42790</v>
      </c>
      <c r="B4913" t="str">
        <f>TEXT(Raw_Data!$A4913, "MMM")</f>
        <v>Feb</v>
      </c>
      <c r="C4913">
        <f>YEAR(Raw_Data!$A4913)</f>
        <v>2017</v>
      </c>
      <c r="D4913" t="s">
        <v>2912</v>
      </c>
      <c r="E4913" t="s">
        <v>29</v>
      </c>
      <c r="F4913" t="s">
        <v>11</v>
      </c>
      <c r="H4913">
        <v>1227</v>
      </c>
      <c r="I4913" s="1">
        <v>461327</v>
      </c>
      <c r="J4913" s="1">
        <f>Raw_Data!$I4913/Raw_Data!$H4913</f>
        <v>375.97962510187449</v>
      </c>
    </row>
    <row r="4914" spans="1:10" x14ac:dyDescent="0.3">
      <c r="A4914" s="9">
        <v>38216</v>
      </c>
      <c r="B4914" s="2" t="str">
        <f>TEXT(Raw_Data!$A4914, "MMM")</f>
        <v>Aug</v>
      </c>
      <c r="C4914" s="2">
        <f>YEAR(Raw_Data!$A4914)</f>
        <v>2004</v>
      </c>
      <c r="D4914" s="2" t="s">
        <v>1431</v>
      </c>
      <c r="E4914" s="2" t="s">
        <v>15</v>
      </c>
      <c r="F4914" s="2" t="s">
        <v>11</v>
      </c>
      <c r="G4914" s="2">
        <v>5</v>
      </c>
      <c r="H4914" s="2">
        <v>2080</v>
      </c>
      <c r="I4914" s="10">
        <v>213120</v>
      </c>
      <c r="J4914" s="10">
        <f>Raw_Data!$I4914/Raw_Data!$H4914</f>
        <v>102.46153846153847</v>
      </c>
    </row>
    <row r="4915" spans="1:10" x14ac:dyDescent="0.3">
      <c r="A4915" s="8">
        <v>42898</v>
      </c>
      <c r="B4915" t="str">
        <f>TEXT(Raw_Data!$A4915, "MMM")</f>
        <v>Jun</v>
      </c>
      <c r="C4915">
        <f>YEAR(Raw_Data!$A4915)</f>
        <v>2017</v>
      </c>
      <c r="D4915" t="s">
        <v>283</v>
      </c>
      <c r="E4915" t="s">
        <v>32</v>
      </c>
      <c r="F4915" t="s">
        <v>27</v>
      </c>
      <c r="G4915">
        <v>3</v>
      </c>
      <c r="H4915">
        <v>1267</v>
      </c>
      <c r="I4915" s="1">
        <v>271328</v>
      </c>
      <c r="J4915" s="1">
        <f>Raw_Data!$I4915/Raw_Data!$H4915</f>
        <v>214.14996053670086</v>
      </c>
    </row>
    <row r="4916" spans="1:10" x14ac:dyDescent="0.3">
      <c r="A4916" s="9">
        <v>41884</v>
      </c>
      <c r="B4916" s="2" t="str">
        <f>TEXT(Raw_Data!$A4916, "MMM")</f>
        <v>Sep</v>
      </c>
      <c r="C4916" s="2">
        <f>YEAR(Raw_Data!$A4916)</f>
        <v>2014</v>
      </c>
      <c r="D4916" s="2" t="s">
        <v>366</v>
      </c>
      <c r="E4916" s="2" t="s">
        <v>23</v>
      </c>
      <c r="F4916" s="2" t="s">
        <v>18</v>
      </c>
      <c r="G4916" s="2">
        <v>5</v>
      </c>
      <c r="H4916" s="2">
        <v>1508</v>
      </c>
      <c r="I4916" s="10">
        <v>687699</v>
      </c>
      <c r="J4916" s="10">
        <f>Raw_Data!$I4916/Raw_Data!$H4916</f>
        <v>456.03381962864722</v>
      </c>
    </row>
    <row r="4917" spans="1:10" x14ac:dyDescent="0.3">
      <c r="A4917" s="8">
        <v>37575</v>
      </c>
      <c r="B4917" t="str">
        <f>TEXT(Raw_Data!$A4917, "MMM")</f>
        <v>Nov</v>
      </c>
      <c r="C4917">
        <f>YEAR(Raw_Data!$A4917)</f>
        <v>2002</v>
      </c>
      <c r="D4917" t="s">
        <v>2998</v>
      </c>
      <c r="E4917" t="s">
        <v>15</v>
      </c>
      <c r="F4917" t="s">
        <v>18</v>
      </c>
      <c r="H4917">
        <v>1513</v>
      </c>
      <c r="I4917" s="1">
        <v>702880</v>
      </c>
      <c r="J4917" s="1">
        <f>Raw_Data!$I4917/Raw_Data!$H4917</f>
        <v>464.56047587574358</v>
      </c>
    </row>
    <row r="4918" spans="1:10" x14ac:dyDescent="0.3">
      <c r="A4918" s="9">
        <v>44150</v>
      </c>
      <c r="B4918" s="2" t="str">
        <f>TEXT(Raw_Data!$A4918, "MMM")</f>
        <v>Nov</v>
      </c>
      <c r="C4918" s="2">
        <f>YEAR(Raw_Data!$A4918)</f>
        <v>2020</v>
      </c>
      <c r="D4918" s="2" t="s">
        <v>2999</v>
      </c>
      <c r="E4918" s="2" t="s">
        <v>32</v>
      </c>
      <c r="F4918" s="2" t="s">
        <v>27</v>
      </c>
      <c r="G4918" s="2">
        <v>5</v>
      </c>
      <c r="H4918" s="2">
        <v>2140</v>
      </c>
      <c r="I4918" s="10">
        <v>520838</v>
      </c>
      <c r="J4918" s="10">
        <f>Raw_Data!$I4918/Raw_Data!$H4918</f>
        <v>243.38224299065422</v>
      </c>
    </row>
    <row r="4919" spans="1:10" x14ac:dyDescent="0.3">
      <c r="A4919" s="8">
        <v>42890</v>
      </c>
      <c r="B4919" t="str">
        <f>TEXT(Raw_Data!$A4919, "MMM")</f>
        <v>Jun</v>
      </c>
      <c r="C4919">
        <f>YEAR(Raw_Data!$A4919)</f>
        <v>2017</v>
      </c>
      <c r="D4919" t="s">
        <v>3000</v>
      </c>
      <c r="E4919" t="s">
        <v>25</v>
      </c>
      <c r="F4919" t="s">
        <v>16</v>
      </c>
      <c r="G4919">
        <v>2</v>
      </c>
      <c r="H4919">
        <v>1380</v>
      </c>
      <c r="I4919" s="1">
        <v>610106</v>
      </c>
      <c r="J4919" s="1">
        <f>Raw_Data!$I4919/Raw_Data!$H4919</f>
        <v>442.1057971014493</v>
      </c>
    </row>
    <row r="4920" spans="1:10" x14ac:dyDescent="0.3">
      <c r="A4920" s="9">
        <v>43222</v>
      </c>
      <c r="B4920" s="2" t="str">
        <f>TEXT(Raw_Data!$A4920, "MMM")</f>
        <v>May</v>
      </c>
      <c r="C4920" s="2">
        <f>YEAR(Raw_Data!$A4920)</f>
        <v>2018</v>
      </c>
      <c r="D4920" s="2" t="s">
        <v>3001</v>
      </c>
      <c r="E4920" s="2" t="s">
        <v>25</v>
      </c>
      <c r="F4920" s="2" t="s">
        <v>16</v>
      </c>
      <c r="G4920" s="2">
        <v>4</v>
      </c>
      <c r="H4920" s="2">
        <v>1921</v>
      </c>
      <c r="I4920" s="10">
        <v>731704</v>
      </c>
      <c r="J4920" s="10">
        <f>Raw_Data!$I4920/Raw_Data!$H4920</f>
        <v>380.89744924518482</v>
      </c>
    </row>
    <row r="4921" spans="1:10" x14ac:dyDescent="0.3">
      <c r="A4921" s="8">
        <v>38242</v>
      </c>
      <c r="B4921" t="str">
        <f>TEXT(Raw_Data!$A4921, "MMM")</f>
        <v>Sep</v>
      </c>
      <c r="C4921">
        <f>YEAR(Raw_Data!$A4921)</f>
        <v>2004</v>
      </c>
      <c r="D4921" t="s">
        <v>3002</v>
      </c>
      <c r="E4921" t="s">
        <v>15</v>
      </c>
      <c r="F4921" t="s">
        <v>11</v>
      </c>
      <c r="G4921">
        <v>4</v>
      </c>
      <c r="H4921">
        <v>2717</v>
      </c>
      <c r="I4921" s="1">
        <v>709773</v>
      </c>
      <c r="J4921" s="1">
        <f>Raw_Data!$I4921/Raw_Data!$H4921</f>
        <v>261.23408170776594</v>
      </c>
    </row>
    <row r="4922" spans="1:10" x14ac:dyDescent="0.3">
      <c r="A4922" s="9">
        <v>39063</v>
      </c>
      <c r="B4922" s="2" t="str">
        <f>TEXT(Raw_Data!$A4922, "MMM")</f>
        <v>Dec</v>
      </c>
      <c r="C4922" s="2">
        <f>YEAR(Raw_Data!$A4922)</f>
        <v>2006</v>
      </c>
      <c r="D4922" s="2" t="s">
        <v>838</v>
      </c>
      <c r="E4922" s="2" t="s">
        <v>15</v>
      </c>
      <c r="F4922" s="2" t="s">
        <v>16</v>
      </c>
      <c r="G4922" s="2"/>
      <c r="H4922" s="2">
        <v>3279</v>
      </c>
      <c r="I4922" s="10">
        <v>122272</v>
      </c>
      <c r="J4922" s="10">
        <f>Raw_Data!$I4922/Raw_Data!$H4922</f>
        <v>37.289417505336992</v>
      </c>
    </row>
    <row r="4923" spans="1:10" x14ac:dyDescent="0.3">
      <c r="A4923" s="8">
        <v>39495</v>
      </c>
      <c r="B4923" t="str">
        <f>TEXT(Raw_Data!$A4923, "MMM")</f>
        <v>Feb</v>
      </c>
      <c r="C4923">
        <f>YEAR(Raw_Data!$A4923)</f>
        <v>2008</v>
      </c>
      <c r="D4923" t="s">
        <v>2072</v>
      </c>
      <c r="E4923" t="s">
        <v>32</v>
      </c>
      <c r="F4923" t="s">
        <v>18</v>
      </c>
      <c r="G4923">
        <v>5</v>
      </c>
      <c r="H4923">
        <v>1372</v>
      </c>
      <c r="I4923" s="1">
        <v>158206</v>
      </c>
      <c r="J4923" s="1">
        <f>Raw_Data!$I4923/Raw_Data!$H4923</f>
        <v>115.31049562682216</v>
      </c>
    </row>
    <row r="4924" spans="1:10" x14ac:dyDescent="0.3">
      <c r="A4924" s="9">
        <v>40377</v>
      </c>
      <c r="B4924" s="2" t="str">
        <f>TEXT(Raw_Data!$A4924, "MMM")</f>
        <v>Jul</v>
      </c>
      <c r="C4924" s="2">
        <f>YEAR(Raw_Data!$A4924)</f>
        <v>2010</v>
      </c>
      <c r="D4924" s="2" t="s">
        <v>1463</v>
      </c>
      <c r="E4924" s="2" t="s">
        <v>21</v>
      </c>
      <c r="F4924" s="2" t="s">
        <v>16</v>
      </c>
      <c r="G4924" s="2"/>
      <c r="H4924" s="2">
        <v>1067</v>
      </c>
      <c r="I4924" s="10">
        <v>790796</v>
      </c>
      <c r="J4924" s="10">
        <f>Raw_Data!$I4924/Raw_Data!$H4924</f>
        <v>741.13964386129339</v>
      </c>
    </row>
    <row r="4925" spans="1:10" x14ac:dyDescent="0.3">
      <c r="A4925" s="8">
        <v>39203</v>
      </c>
      <c r="B4925" t="str">
        <f>TEXT(Raw_Data!$A4925, "MMM")</f>
        <v>May</v>
      </c>
      <c r="C4925">
        <f>YEAR(Raw_Data!$A4925)</f>
        <v>2007</v>
      </c>
      <c r="D4925" t="s">
        <v>3003</v>
      </c>
      <c r="E4925" t="s">
        <v>13</v>
      </c>
      <c r="F4925" t="s">
        <v>11</v>
      </c>
      <c r="G4925">
        <v>3</v>
      </c>
      <c r="H4925">
        <v>1037</v>
      </c>
      <c r="I4925" s="1">
        <v>448395</v>
      </c>
      <c r="J4925" s="1">
        <f>Raw_Data!$I4925/Raw_Data!$H4925</f>
        <v>432.3963355834137</v>
      </c>
    </row>
    <row r="4926" spans="1:10" x14ac:dyDescent="0.3">
      <c r="A4926" s="9">
        <v>41103</v>
      </c>
      <c r="B4926" s="2" t="str">
        <f>TEXT(Raw_Data!$A4926, "MMM")</f>
        <v>Jul</v>
      </c>
      <c r="C4926" s="2">
        <f>YEAR(Raw_Data!$A4926)</f>
        <v>2012</v>
      </c>
      <c r="D4926" s="2" t="s">
        <v>2536</v>
      </c>
      <c r="E4926" s="2" t="s">
        <v>29</v>
      </c>
      <c r="F4926" s="2" t="s">
        <v>16</v>
      </c>
      <c r="G4926" s="2">
        <v>3</v>
      </c>
      <c r="H4926" s="2">
        <v>3077</v>
      </c>
      <c r="I4926" s="10">
        <v>859235</v>
      </c>
      <c r="J4926" s="10">
        <f>Raw_Data!$I4926/Raw_Data!$H4926</f>
        <v>279.24439389015276</v>
      </c>
    </row>
    <row r="4927" spans="1:10" x14ac:dyDescent="0.3">
      <c r="A4927" s="8">
        <v>40478</v>
      </c>
      <c r="B4927" t="str">
        <f>TEXT(Raw_Data!$A4927, "MMM")</f>
        <v>Oct</v>
      </c>
      <c r="C4927">
        <f>YEAR(Raw_Data!$A4927)</f>
        <v>2010</v>
      </c>
      <c r="D4927" t="s">
        <v>1152</v>
      </c>
      <c r="E4927" t="s">
        <v>32</v>
      </c>
      <c r="F4927" t="s">
        <v>11</v>
      </c>
      <c r="H4927">
        <v>3235</v>
      </c>
      <c r="I4927" s="1">
        <v>884712</v>
      </c>
      <c r="J4927" s="1">
        <f>Raw_Data!$I4927/Raw_Data!$H4927</f>
        <v>273.48129829984543</v>
      </c>
    </row>
    <row r="4928" spans="1:10" x14ac:dyDescent="0.3">
      <c r="A4928" s="9">
        <v>37050</v>
      </c>
      <c r="B4928" s="2" t="str">
        <f>TEXT(Raw_Data!$A4928, "MMM")</f>
        <v>Jun</v>
      </c>
      <c r="C4928" s="2">
        <f>YEAR(Raw_Data!$A4928)</f>
        <v>2001</v>
      </c>
      <c r="D4928" s="2" t="s">
        <v>3004</v>
      </c>
      <c r="E4928" s="2" t="s">
        <v>21</v>
      </c>
      <c r="F4928" s="2" t="s">
        <v>11</v>
      </c>
      <c r="G4928" s="2"/>
      <c r="H4928" s="2">
        <v>2764</v>
      </c>
      <c r="I4928" s="10">
        <v>160512</v>
      </c>
      <c r="J4928" s="10">
        <f>Raw_Data!$I4928/Raw_Data!$H4928</f>
        <v>58.072358900144721</v>
      </c>
    </row>
    <row r="4929" spans="1:10" x14ac:dyDescent="0.3">
      <c r="A4929" s="8">
        <v>41590</v>
      </c>
      <c r="B4929" t="str">
        <f>TEXT(Raw_Data!$A4929, "MMM")</f>
        <v>Nov</v>
      </c>
      <c r="C4929">
        <f>YEAR(Raw_Data!$A4929)</f>
        <v>2013</v>
      </c>
      <c r="D4929" t="s">
        <v>3005</v>
      </c>
      <c r="E4929" t="s">
        <v>25</v>
      </c>
      <c r="F4929" t="s">
        <v>16</v>
      </c>
      <c r="G4929">
        <v>2</v>
      </c>
      <c r="H4929">
        <v>2134</v>
      </c>
      <c r="I4929" s="1">
        <v>457849</v>
      </c>
      <c r="J4929" s="1">
        <f>Raw_Data!$I4929/Raw_Data!$H4929</f>
        <v>214.54967197750702</v>
      </c>
    </row>
    <row r="4930" spans="1:10" x14ac:dyDescent="0.3">
      <c r="A4930" s="9">
        <v>40730</v>
      </c>
      <c r="B4930" s="2" t="str">
        <f>TEXT(Raw_Data!$A4930, "MMM")</f>
        <v>Jul</v>
      </c>
      <c r="C4930" s="2">
        <f>YEAR(Raw_Data!$A4930)</f>
        <v>2011</v>
      </c>
      <c r="D4930" s="2" t="s">
        <v>3006</v>
      </c>
      <c r="E4930" s="2" t="s">
        <v>29</v>
      </c>
      <c r="F4930" s="2" t="s">
        <v>18</v>
      </c>
      <c r="G4930" s="2">
        <v>3</v>
      </c>
      <c r="H4930" s="2">
        <v>1851</v>
      </c>
      <c r="I4930" s="10">
        <v>868213</v>
      </c>
      <c r="J4930" s="10">
        <f>Raw_Data!$I4930/Raw_Data!$H4930</f>
        <v>469.05078336034575</v>
      </c>
    </row>
    <row r="4931" spans="1:10" x14ac:dyDescent="0.3">
      <c r="A4931" s="8">
        <v>37104</v>
      </c>
      <c r="B4931" t="str">
        <f>TEXT(Raw_Data!$A4931, "MMM")</f>
        <v>Aug</v>
      </c>
      <c r="C4931">
        <f>YEAR(Raw_Data!$A4931)</f>
        <v>2001</v>
      </c>
      <c r="D4931" t="s">
        <v>460</v>
      </c>
      <c r="E4931" t="s">
        <v>21</v>
      </c>
      <c r="F4931" t="s">
        <v>27</v>
      </c>
      <c r="H4931">
        <v>3140</v>
      </c>
      <c r="I4931" s="1">
        <v>334126</v>
      </c>
      <c r="J4931" s="1">
        <f>Raw_Data!$I4931/Raw_Data!$H4931</f>
        <v>106.40955414012738</v>
      </c>
    </row>
    <row r="4932" spans="1:10" x14ac:dyDescent="0.3">
      <c r="A4932" s="9">
        <v>40065</v>
      </c>
      <c r="B4932" s="2" t="str">
        <f>TEXT(Raw_Data!$A4932, "MMM")</f>
        <v>Sep</v>
      </c>
      <c r="C4932" s="2">
        <f>YEAR(Raw_Data!$A4932)</f>
        <v>2009</v>
      </c>
      <c r="D4932" s="2" t="s">
        <v>1680</v>
      </c>
      <c r="E4932" s="2" t="s">
        <v>25</v>
      </c>
      <c r="F4932" s="2" t="s">
        <v>16</v>
      </c>
      <c r="G4932" s="2">
        <v>2</v>
      </c>
      <c r="H4932" s="2">
        <v>956</v>
      </c>
      <c r="I4932" s="10">
        <v>466471</v>
      </c>
      <c r="J4932" s="10">
        <f>Raw_Data!$I4932/Raw_Data!$H4932</f>
        <v>487.94037656903765</v>
      </c>
    </row>
    <row r="4933" spans="1:10" x14ac:dyDescent="0.3">
      <c r="A4933" s="8">
        <v>43875</v>
      </c>
      <c r="B4933" t="str">
        <f>TEXT(Raw_Data!$A4933, "MMM")</f>
        <v>Feb</v>
      </c>
      <c r="C4933">
        <f>YEAR(Raw_Data!$A4933)</f>
        <v>2020</v>
      </c>
      <c r="D4933" t="s">
        <v>1927</v>
      </c>
      <c r="E4933" t="s">
        <v>21</v>
      </c>
      <c r="F4933" t="s">
        <v>27</v>
      </c>
      <c r="H4933">
        <v>1512</v>
      </c>
      <c r="I4933" s="1">
        <v>218975</v>
      </c>
      <c r="J4933" s="1">
        <f>Raw_Data!$I4933/Raw_Data!$H4933</f>
        <v>144.82473544973544</v>
      </c>
    </row>
    <row r="4934" spans="1:10" x14ac:dyDescent="0.3">
      <c r="A4934" s="9">
        <v>41232</v>
      </c>
      <c r="B4934" s="2" t="str">
        <f>TEXT(Raw_Data!$A4934, "MMM")</f>
        <v>Nov</v>
      </c>
      <c r="C4934" s="2">
        <f>YEAR(Raw_Data!$A4934)</f>
        <v>2012</v>
      </c>
      <c r="D4934" s="2" t="s">
        <v>1714</v>
      </c>
      <c r="E4934" s="2" t="s">
        <v>23</v>
      </c>
      <c r="F4934" s="2" t="s">
        <v>16</v>
      </c>
      <c r="G4934" s="2">
        <v>5</v>
      </c>
      <c r="H4934" s="2">
        <v>893</v>
      </c>
      <c r="I4934" s="10">
        <v>539427</v>
      </c>
      <c r="J4934" s="10">
        <f>Raw_Data!$I4934/Raw_Data!$H4934</f>
        <v>604.0615901455767</v>
      </c>
    </row>
    <row r="4935" spans="1:10" x14ac:dyDescent="0.3">
      <c r="A4935" s="8">
        <v>39370</v>
      </c>
      <c r="B4935" t="str">
        <f>TEXT(Raw_Data!$A4935, "MMM")</f>
        <v>Oct</v>
      </c>
      <c r="C4935">
        <f>YEAR(Raw_Data!$A4935)</f>
        <v>2007</v>
      </c>
      <c r="D4935" t="s">
        <v>717</v>
      </c>
      <c r="E4935" t="s">
        <v>15</v>
      </c>
      <c r="F4935" t="s">
        <v>27</v>
      </c>
      <c r="H4935">
        <v>1925</v>
      </c>
      <c r="I4935" s="1">
        <v>328876</v>
      </c>
      <c r="J4935" s="1">
        <f>Raw_Data!$I4935/Raw_Data!$H4935</f>
        <v>170.84467532467534</v>
      </c>
    </row>
    <row r="4936" spans="1:10" x14ac:dyDescent="0.3">
      <c r="A4936" s="9">
        <v>43594</v>
      </c>
      <c r="B4936" s="2" t="str">
        <f>TEXT(Raw_Data!$A4936, "MMM")</f>
        <v>May</v>
      </c>
      <c r="C4936" s="2">
        <f>YEAR(Raw_Data!$A4936)</f>
        <v>2019</v>
      </c>
      <c r="D4936" s="2" t="s">
        <v>3007</v>
      </c>
      <c r="E4936" s="2" t="s">
        <v>23</v>
      </c>
      <c r="F4936" s="2" t="s">
        <v>27</v>
      </c>
      <c r="G4936" s="2"/>
      <c r="H4936" s="2">
        <v>2975</v>
      </c>
      <c r="I4936" s="10">
        <v>122544</v>
      </c>
      <c r="J4936" s="10">
        <f>Raw_Data!$I4936/Raw_Data!$H4936</f>
        <v>41.191260504201679</v>
      </c>
    </row>
    <row r="4937" spans="1:10" x14ac:dyDescent="0.3">
      <c r="A4937" s="8">
        <v>41859</v>
      </c>
      <c r="B4937" t="str">
        <f>TEXT(Raw_Data!$A4937, "MMM")</f>
        <v>Aug</v>
      </c>
      <c r="C4937">
        <f>YEAR(Raw_Data!$A4937)</f>
        <v>2014</v>
      </c>
      <c r="D4937" t="s">
        <v>3008</v>
      </c>
      <c r="E4937" t="s">
        <v>32</v>
      </c>
      <c r="F4937" t="s">
        <v>11</v>
      </c>
      <c r="G4937">
        <v>4</v>
      </c>
      <c r="H4937">
        <v>1349</v>
      </c>
      <c r="I4937" s="1">
        <v>102126</v>
      </c>
      <c r="J4937" s="1">
        <f>Raw_Data!$I4937/Raw_Data!$H4937</f>
        <v>75.704966641957</v>
      </c>
    </row>
    <row r="4938" spans="1:10" x14ac:dyDescent="0.3">
      <c r="A4938" s="9">
        <v>43282</v>
      </c>
      <c r="B4938" s="2" t="str">
        <f>TEXT(Raw_Data!$A4938, "MMM")</f>
        <v>Jul</v>
      </c>
      <c r="C4938" s="2">
        <f>YEAR(Raw_Data!$A4938)</f>
        <v>2018</v>
      </c>
      <c r="D4938" s="2" t="s">
        <v>1209</v>
      </c>
      <c r="E4938" s="2" t="s">
        <v>23</v>
      </c>
      <c r="F4938" s="2" t="s">
        <v>16</v>
      </c>
      <c r="G4938" s="2">
        <v>4</v>
      </c>
      <c r="H4938" s="2">
        <v>1199</v>
      </c>
      <c r="I4938" s="10">
        <v>786987</v>
      </c>
      <c r="J4938" s="10">
        <f>Raw_Data!$I4938/Raw_Data!$H4938</f>
        <v>656.36947456213511</v>
      </c>
    </row>
    <row r="4939" spans="1:10" x14ac:dyDescent="0.3">
      <c r="A4939" s="8">
        <v>43169</v>
      </c>
      <c r="B4939" t="str">
        <f>TEXT(Raw_Data!$A4939, "MMM")</f>
        <v>Mar</v>
      </c>
      <c r="C4939">
        <f>YEAR(Raw_Data!$A4939)</f>
        <v>2018</v>
      </c>
      <c r="D4939" t="s">
        <v>1626</v>
      </c>
      <c r="E4939" t="s">
        <v>13</v>
      </c>
      <c r="F4939" t="s">
        <v>11</v>
      </c>
      <c r="G4939">
        <v>3</v>
      </c>
      <c r="H4939">
        <v>2074</v>
      </c>
      <c r="I4939" s="1">
        <v>312547</v>
      </c>
      <c r="J4939" s="1">
        <f>Raw_Data!$I4939/Raw_Data!$H4939</f>
        <v>150.6976856316297</v>
      </c>
    </row>
    <row r="4940" spans="1:10" x14ac:dyDescent="0.3">
      <c r="A4940" s="9">
        <v>43436</v>
      </c>
      <c r="B4940" s="2" t="str">
        <f>TEXT(Raw_Data!$A4940, "MMM")</f>
        <v>Dec</v>
      </c>
      <c r="C4940" s="2">
        <f>YEAR(Raw_Data!$A4940)</f>
        <v>2018</v>
      </c>
      <c r="D4940" s="2" t="s">
        <v>1368</v>
      </c>
      <c r="E4940" s="2" t="s">
        <v>32</v>
      </c>
      <c r="F4940" s="2" t="s">
        <v>16</v>
      </c>
      <c r="G4940" s="2"/>
      <c r="H4940" s="2">
        <v>2091</v>
      </c>
      <c r="I4940" s="10">
        <v>407503</v>
      </c>
      <c r="J4940" s="10">
        <f>Raw_Data!$I4940/Raw_Data!$H4940</f>
        <v>194.88426590148254</v>
      </c>
    </row>
    <row r="4941" spans="1:10" x14ac:dyDescent="0.3">
      <c r="A4941" s="8">
        <v>39094</v>
      </c>
      <c r="B4941" t="str">
        <f>TEXT(Raw_Data!$A4941, "MMM")</f>
        <v>Jan</v>
      </c>
      <c r="C4941">
        <f>YEAR(Raw_Data!$A4941)</f>
        <v>2007</v>
      </c>
      <c r="D4941" t="s">
        <v>1966</v>
      </c>
      <c r="E4941" t="s">
        <v>21</v>
      </c>
      <c r="F4941" t="s">
        <v>16</v>
      </c>
      <c r="G4941">
        <v>4</v>
      </c>
      <c r="H4941">
        <v>2090</v>
      </c>
      <c r="I4941" s="1">
        <v>437860</v>
      </c>
      <c r="J4941" s="1">
        <f>Raw_Data!$I4941/Raw_Data!$H4941</f>
        <v>209.50239234449759</v>
      </c>
    </row>
    <row r="4942" spans="1:10" x14ac:dyDescent="0.3">
      <c r="A4942" s="9">
        <v>37481</v>
      </c>
      <c r="B4942" s="2" t="str">
        <f>TEXT(Raw_Data!$A4942, "MMM")</f>
        <v>Aug</v>
      </c>
      <c r="C4942" s="2">
        <f>YEAR(Raw_Data!$A4942)</f>
        <v>2002</v>
      </c>
      <c r="D4942" s="2" t="s">
        <v>3009</v>
      </c>
      <c r="E4942" s="2" t="s">
        <v>15</v>
      </c>
      <c r="F4942" s="2" t="s">
        <v>18</v>
      </c>
      <c r="G4942" s="2"/>
      <c r="H4942" s="2">
        <v>1132</v>
      </c>
      <c r="I4942" s="10">
        <v>289618</v>
      </c>
      <c r="J4942" s="10">
        <f>Raw_Data!$I4942/Raw_Data!$H4942</f>
        <v>255.84628975265016</v>
      </c>
    </row>
    <row r="4943" spans="1:10" x14ac:dyDescent="0.3">
      <c r="A4943" s="8">
        <v>40171</v>
      </c>
      <c r="B4943" t="str">
        <f>TEXT(Raw_Data!$A4943, "MMM")</f>
        <v>Dec</v>
      </c>
      <c r="C4943">
        <f>YEAR(Raw_Data!$A4943)</f>
        <v>2009</v>
      </c>
      <c r="D4943" t="s">
        <v>3010</v>
      </c>
      <c r="E4943" t="s">
        <v>13</v>
      </c>
      <c r="F4943" t="s">
        <v>16</v>
      </c>
      <c r="H4943">
        <v>1247</v>
      </c>
      <c r="I4943" s="1">
        <v>622648</v>
      </c>
      <c r="J4943" s="1">
        <f>Raw_Data!$I4943/Raw_Data!$H4943</f>
        <v>499.31676022453888</v>
      </c>
    </row>
    <row r="4944" spans="1:10" x14ac:dyDescent="0.3">
      <c r="A4944" s="9">
        <v>43997</v>
      </c>
      <c r="B4944" s="2" t="str">
        <f>TEXT(Raw_Data!$A4944, "MMM")</f>
        <v>Jun</v>
      </c>
      <c r="C4944" s="2">
        <f>YEAR(Raw_Data!$A4944)</f>
        <v>2020</v>
      </c>
      <c r="D4944" s="2" t="s">
        <v>178</v>
      </c>
      <c r="E4944" s="2" t="s">
        <v>32</v>
      </c>
      <c r="F4944" s="2" t="s">
        <v>27</v>
      </c>
      <c r="G4944" s="2"/>
      <c r="H4944" s="2">
        <v>1817</v>
      </c>
      <c r="I4944" s="10">
        <v>303951</v>
      </c>
      <c r="J4944" s="10">
        <f>Raw_Data!$I4944/Raw_Data!$H4944</f>
        <v>167.28178315905339</v>
      </c>
    </row>
    <row r="4945" spans="1:10" x14ac:dyDescent="0.3">
      <c r="A4945" s="8">
        <v>42423</v>
      </c>
      <c r="B4945" t="str">
        <f>TEXT(Raw_Data!$A4945, "MMM")</f>
        <v>Feb</v>
      </c>
      <c r="C4945">
        <f>YEAR(Raw_Data!$A4945)</f>
        <v>2016</v>
      </c>
      <c r="D4945" t="s">
        <v>2108</v>
      </c>
      <c r="E4945" t="s">
        <v>25</v>
      </c>
      <c r="F4945" t="s">
        <v>27</v>
      </c>
      <c r="G4945">
        <v>5</v>
      </c>
      <c r="H4945">
        <v>2464</v>
      </c>
      <c r="I4945" s="1">
        <v>818259</v>
      </c>
      <c r="J4945" s="1">
        <f>Raw_Data!$I4945/Raw_Data!$H4945</f>
        <v>332.08563311688312</v>
      </c>
    </row>
    <row r="4946" spans="1:10" x14ac:dyDescent="0.3">
      <c r="A4946" s="9">
        <v>40786</v>
      </c>
      <c r="B4946" s="2" t="str">
        <f>TEXT(Raw_Data!$A4946, "MMM")</f>
        <v>Aug</v>
      </c>
      <c r="C4946" s="2">
        <f>YEAR(Raw_Data!$A4946)</f>
        <v>2011</v>
      </c>
      <c r="D4946" s="2" t="s">
        <v>86</v>
      </c>
      <c r="E4946" s="2" t="s">
        <v>25</v>
      </c>
      <c r="F4946" s="2" t="s">
        <v>27</v>
      </c>
      <c r="G4946" s="2">
        <v>3</v>
      </c>
      <c r="H4946" s="2">
        <v>2296</v>
      </c>
      <c r="I4946" s="10">
        <v>311588</v>
      </c>
      <c r="J4946" s="10">
        <f>Raw_Data!$I4946/Raw_Data!$H4946</f>
        <v>135.70905923344947</v>
      </c>
    </row>
    <row r="4947" spans="1:10" x14ac:dyDescent="0.3">
      <c r="A4947" s="8">
        <v>41980</v>
      </c>
      <c r="B4947" t="str">
        <f>TEXT(Raw_Data!$A4947, "MMM")</f>
        <v>Dec</v>
      </c>
      <c r="C4947">
        <f>YEAR(Raw_Data!$A4947)</f>
        <v>2014</v>
      </c>
      <c r="D4947" t="s">
        <v>3011</v>
      </c>
      <c r="E4947" t="s">
        <v>29</v>
      </c>
      <c r="F4947" t="s">
        <v>18</v>
      </c>
      <c r="G4947">
        <v>4</v>
      </c>
      <c r="H4947">
        <v>3448</v>
      </c>
      <c r="I4947" s="1">
        <v>614437</v>
      </c>
      <c r="J4947" s="1">
        <f>Raw_Data!$I4947/Raw_Data!$H4947</f>
        <v>178.2009860788863</v>
      </c>
    </row>
    <row r="4948" spans="1:10" x14ac:dyDescent="0.3">
      <c r="A4948" s="9">
        <v>41991</v>
      </c>
      <c r="B4948" s="2" t="str">
        <f>TEXT(Raw_Data!$A4948, "MMM")</f>
        <v>Dec</v>
      </c>
      <c r="C4948" s="2">
        <f>YEAR(Raw_Data!$A4948)</f>
        <v>2014</v>
      </c>
      <c r="D4948" s="2" t="s">
        <v>602</v>
      </c>
      <c r="E4948" s="2" t="s">
        <v>21</v>
      </c>
      <c r="F4948" s="2" t="s">
        <v>27</v>
      </c>
      <c r="G4948" s="2"/>
      <c r="H4948" s="2">
        <v>2414</v>
      </c>
      <c r="I4948" s="10">
        <v>183585</v>
      </c>
      <c r="J4948" s="10">
        <f>Raw_Data!$I4948/Raw_Data!$H4948</f>
        <v>76.050124275062132</v>
      </c>
    </row>
    <row r="4949" spans="1:10" x14ac:dyDescent="0.3">
      <c r="A4949" s="8">
        <v>41576</v>
      </c>
      <c r="B4949" t="str">
        <f>TEXT(Raw_Data!$A4949, "MMM")</f>
        <v>Oct</v>
      </c>
      <c r="C4949">
        <f>YEAR(Raw_Data!$A4949)</f>
        <v>2013</v>
      </c>
      <c r="D4949" t="s">
        <v>2916</v>
      </c>
      <c r="E4949" t="s">
        <v>25</v>
      </c>
      <c r="F4949" t="s">
        <v>27</v>
      </c>
      <c r="H4949">
        <v>3002</v>
      </c>
      <c r="I4949" s="1">
        <v>668854</v>
      </c>
      <c r="J4949" s="1">
        <f>Raw_Data!$I4949/Raw_Data!$H4949</f>
        <v>222.80279813457696</v>
      </c>
    </row>
    <row r="4950" spans="1:10" x14ac:dyDescent="0.3">
      <c r="A4950" s="9">
        <v>41456</v>
      </c>
      <c r="B4950" s="2" t="str">
        <f>TEXT(Raw_Data!$A4950, "MMM")</f>
        <v>Jul</v>
      </c>
      <c r="C4950" s="2">
        <f>YEAR(Raw_Data!$A4950)</f>
        <v>2013</v>
      </c>
      <c r="D4950" s="2" t="s">
        <v>2308</v>
      </c>
      <c r="E4950" s="2" t="s">
        <v>25</v>
      </c>
      <c r="F4950" s="2" t="s">
        <v>11</v>
      </c>
      <c r="G4950" s="2"/>
      <c r="H4950" s="2">
        <v>3212</v>
      </c>
      <c r="I4950" s="10">
        <v>869518</v>
      </c>
      <c r="J4950" s="10">
        <f>Raw_Data!$I4950/Raw_Data!$H4950</f>
        <v>270.70921544209216</v>
      </c>
    </row>
    <row r="4951" spans="1:10" x14ac:dyDescent="0.3">
      <c r="A4951" s="8">
        <v>40727</v>
      </c>
      <c r="B4951" t="str">
        <f>TEXT(Raw_Data!$A4951, "MMM")</f>
        <v>Jul</v>
      </c>
      <c r="C4951">
        <f>YEAR(Raw_Data!$A4951)</f>
        <v>2011</v>
      </c>
      <c r="D4951" t="s">
        <v>3012</v>
      </c>
      <c r="E4951" t="s">
        <v>25</v>
      </c>
      <c r="F4951" t="s">
        <v>27</v>
      </c>
      <c r="G4951">
        <v>5</v>
      </c>
      <c r="H4951">
        <v>1619</v>
      </c>
      <c r="I4951" s="1">
        <v>805938</v>
      </c>
      <c r="J4951" s="1">
        <f>Raw_Data!$I4951/Raw_Data!$H4951</f>
        <v>497.79987646695491</v>
      </c>
    </row>
    <row r="4952" spans="1:10" x14ac:dyDescent="0.3">
      <c r="A4952" s="9">
        <v>41390</v>
      </c>
      <c r="B4952" s="2" t="str">
        <f>TEXT(Raw_Data!$A4952, "MMM")</f>
        <v>Apr</v>
      </c>
      <c r="C4952" s="2">
        <f>YEAR(Raw_Data!$A4952)</f>
        <v>2013</v>
      </c>
      <c r="D4952" s="2" t="s">
        <v>619</v>
      </c>
      <c r="E4952" s="2" t="s">
        <v>15</v>
      </c>
      <c r="F4952" s="2" t="s">
        <v>16</v>
      </c>
      <c r="G4952" s="2"/>
      <c r="H4952" s="2">
        <v>2389</v>
      </c>
      <c r="I4952" s="10">
        <v>516396</v>
      </c>
      <c r="J4952" s="10">
        <f>Raw_Data!$I4952/Raw_Data!$H4952</f>
        <v>216.15571368773544</v>
      </c>
    </row>
    <row r="4953" spans="1:10" x14ac:dyDescent="0.3">
      <c r="A4953" s="8">
        <v>37465</v>
      </c>
      <c r="B4953" t="str">
        <f>TEXT(Raw_Data!$A4953, "MMM")</f>
        <v>Jul</v>
      </c>
      <c r="C4953">
        <f>YEAR(Raw_Data!$A4953)</f>
        <v>2002</v>
      </c>
      <c r="D4953" t="s">
        <v>3013</v>
      </c>
      <c r="E4953" t="s">
        <v>23</v>
      </c>
      <c r="F4953" t="s">
        <v>16</v>
      </c>
      <c r="G4953">
        <v>4</v>
      </c>
      <c r="H4953">
        <v>3494</v>
      </c>
      <c r="I4953" s="1">
        <v>242344</v>
      </c>
      <c r="J4953" s="1">
        <f>Raw_Data!$I4953/Raw_Data!$H4953</f>
        <v>69.360045792787631</v>
      </c>
    </row>
    <row r="4954" spans="1:10" x14ac:dyDescent="0.3">
      <c r="A4954" s="9">
        <v>41178</v>
      </c>
      <c r="B4954" s="2" t="str">
        <f>TEXT(Raw_Data!$A4954, "MMM")</f>
        <v>Sep</v>
      </c>
      <c r="C4954" s="2">
        <f>YEAR(Raw_Data!$A4954)</f>
        <v>2012</v>
      </c>
      <c r="D4954" s="2" t="s">
        <v>2816</v>
      </c>
      <c r="E4954" s="2" t="s">
        <v>23</v>
      </c>
      <c r="F4954" s="2" t="s">
        <v>11</v>
      </c>
      <c r="G4954" s="2">
        <v>3</v>
      </c>
      <c r="H4954" s="2">
        <v>2370</v>
      </c>
      <c r="I4954" s="10">
        <v>867849</v>
      </c>
      <c r="J4954" s="10">
        <f>Raw_Data!$I4954/Raw_Data!$H4954</f>
        <v>366.18101265822787</v>
      </c>
    </row>
    <row r="4955" spans="1:10" x14ac:dyDescent="0.3">
      <c r="A4955" s="8">
        <v>40375</v>
      </c>
      <c r="B4955" t="str">
        <f>TEXT(Raw_Data!$A4955, "MMM")</f>
        <v>Jul</v>
      </c>
      <c r="C4955">
        <f>YEAR(Raw_Data!$A4955)</f>
        <v>2010</v>
      </c>
      <c r="D4955" t="s">
        <v>2238</v>
      </c>
      <c r="E4955" t="s">
        <v>29</v>
      </c>
      <c r="F4955" t="s">
        <v>18</v>
      </c>
      <c r="G4955">
        <v>5</v>
      </c>
      <c r="H4955">
        <v>1897</v>
      </c>
      <c r="I4955" s="1">
        <v>884425</v>
      </c>
      <c r="J4955" s="1">
        <f>Raw_Data!$I4955/Raw_Data!$H4955</f>
        <v>466.222983658408</v>
      </c>
    </row>
    <row r="4956" spans="1:10" x14ac:dyDescent="0.3">
      <c r="A4956" s="9">
        <v>40227</v>
      </c>
      <c r="B4956" s="2" t="str">
        <f>TEXT(Raw_Data!$A4956, "MMM")</f>
        <v>Feb</v>
      </c>
      <c r="C4956" s="2">
        <f>YEAR(Raw_Data!$A4956)</f>
        <v>2010</v>
      </c>
      <c r="D4956" s="2" t="s">
        <v>119</v>
      </c>
      <c r="E4956" s="2" t="s">
        <v>13</v>
      </c>
      <c r="F4956" s="2" t="s">
        <v>11</v>
      </c>
      <c r="G4956" s="2"/>
      <c r="H4956" s="2">
        <v>2736</v>
      </c>
      <c r="I4956" s="10">
        <v>767017</v>
      </c>
      <c r="J4956" s="10">
        <f>Raw_Data!$I4956/Raw_Data!$H4956</f>
        <v>280.34247076023394</v>
      </c>
    </row>
    <row r="4957" spans="1:10" x14ac:dyDescent="0.3">
      <c r="A4957" s="8">
        <v>38269</v>
      </c>
      <c r="B4957" t="str">
        <f>TEXT(Raw_Data!$A4957, "MMM")</f>
        <v>Oct</v>
      </c>
      <c r="C4957">
        <f>YEAR(Raw_Data!$A4957)</f>
        <v>2004</v>
      </c>
      <c r="D4957" t="s">
        <v>804</v>
      </c>
      <c r="E4957" t="s">
        <v>15</v>
      </c>
      <c r="F4957" t="s">
        <v>11</v>
      </c>
      <c r="G4957">
        <v>5</v>
      </c>
      <c r="H4957">
        <v>3204</v>
      </c>
      <c r="I4957" s="1">
        <v>690973</v>
      </c>
      <c r="J4957" s="1">
        <f>Raw_Data!$I4957/Raw_Data!$H4957</f>
        <v>215.65948813982521</v>
      </c>
    </row>
    <row r="4958" spans="1:10" x14ac:dyDescent="0.3">
      <c r="A4958" s="9">
        <v>40539</v>
      </c>
      <c r="B4958" s="2" t="str">
        <f>TEXT(Raw_Data!$A4958, "MMM")</f>
        <v>Dec</v>
      </c>
      <c r="C4958" s="2">
        <f>YEAR(Raw_Data!$A4958)</f>
        <v>2010</v>
      </c>
      <c r="D4958" s="2" t="s">
        <v>859</v>
      </c>
      <c r="E4958" s="2" t="s">
        <v>15</v>
      </c>
      <c r="F4958" s="2" t="s">
        <v>11</v>
      </c>
      <c r="G4958" s="2">
        <v>4</v>
      </c>
      <c r="H4958" s="2">
        <v>2229</v>
      </c>
      <c r="I4958" s="10">
        <v>358646</v>
      </c>
      <c r="J4958" s="10">
        <f>Raw_Data!$I4958/Raw_Data!$H4958</f>
        <v>160.89995513683266</v>
      </c>
    </row>
    <row r="4959" spans="1:10" x14ac:dyDescent="0.3">
      <c r="A4959" s="8">
        <v>41788</v>
      </c>
      <c r="B4959" t="str">
        <f>TEXT(Raw_Data!$A4959, "MMM")</f>
        <v>May</v>
      </c>
      <c r="C4959">
        <f>YEAR(Raw_Data!$A4959)</f>
        <v>2014</v>
      </c>
      <c r="D4959" t="s">
        <v>3014</v>
      </c>
      <c r="E4959" t="s">
        <v>15</v>
      </c>
      <c r="F4959" t="s">
        <v>27</v>
      </c>
      <c r="G4959">
        <v>4</v>
      </c>
      <c r="H4959">
        <v>2308</v>
      </c>
      <c r="I4959" s="1">
        <v>885235</v>
      </c>
      <c r="J4959" s="1">
        <f>Raw_Data!$I4959/Raw_Data!$H4959</f>
        <v>383.55069324090124</v>
      </c>
    </row>
    <row r="4960" spans="1:10" x14ac:dyDescent="0.3">
      <c r="A4960" s="9">
        <v>40657</v>
      </c>
      <c r="B4960" s="2" t="str">
        <f>TEXT(Raw_Data!$A4960, "MMM")</f>
        <v>Apr</v>
      </c>
      <c r="C4960" s="2">
        <f>YEAR(Raw_Data!$A4960)</f>
        <v>2011</v>
      </c>
      <c r="D4960" s="2" t="s">
        <v>1288</v>
      </c>
      <c r="E4960" s="2" t="s">
        <v>32</v>
      </c>
      <c r="F4960" s="2" t="s">
        <v>27</v>
      </c>
      <c r="G4960" s="2">
        <v>4</v>
      </c>
      <c r="H4960" s="2">
        <v>2125</v>
      </c>
      <c r="I4960" s="10">
        <v>668854</v>
      </c>
      <c r="J4960" s="10">
        <f>Raw_Data!$I4960/Raw_Data!$H4960</f>
        <v>314.75482352941174</v>
      </c>
    </row>
    <row r="4961" spans="1:10" x14ac:dyDescent="0.3">
      <c r="A4961" s="8">
        <v>42539</v>
      </c>
      <c r="B4961" t="str">
        <f>TEXT(Raw_Data!$A4961, "MMM")</f>
        <v>Jun</v>
      </c>
      <c r="C4961">
        <f>YEAR(Raw_Data!$A4961)</f>
        <v>2016</v>
      </c>
      <c r="D4961" t="s">
        <v>2783</v>
      </c>
      <c r="E4961" t="s">
        <v>32</v>
      </c>
      <c r="F4961" t="s">
        <v>16</v>
      </c>
      <c r="G4961">
        <v>5</v>
      </c>
      <c r="H4961">
        <v>1514</v>
      </c>
      <c r="I4961" s="1">
        <v>144126</v>
      </c>
      <c r="J4961" s="1">
        <f>Raw_Data!$I4961/Raw_Data!$H4961</f>
        <v>95.195508586525762</v>
      </c>
    </row>
    <row r="4962" spans="1:10" x14ac:dyDescent="0.3">
      <c r="A4962" s="9">
        <v>39846</v>
      </c>
      <c r="B4962" s="2" t="str">
        <f>TEXT(Raw_Data!$A4962, "MMM")</f>
        <v>Feb</v>
      </c>
      <c r="C4962" s="2">
        <f>YEAR(Raw_Data!$A4962)</f>
        <v>2009</v>
      </c>
      <c r="D4962" s="2" t="s">
        <v>3015</v>
      </c>
      <c r="E4962" s="2" t="s">
        <v>15</v>
      </c>
      <c r="F4962" s="2" t="s">
        <v>18</v>
      </c>
      <c r="G4962" s="2"/>
      <c r="H4962" s="2">
        <v>2243</v>
      </c>
      <c r="I4962" s="10"/>
      <c r="J4962" s="10">
        <f>Raw_Data!$I4962/Raw_Data!$H4962</f>
        <v>0</v>
      </c>
    </row>
    <row r="4963" spans="1:10" x14ac:dyDescent="0.3">
      <c r="A4963" s="8">
        <v>38141</v>
      </c>
      <c r="B4963" t="str">
        <f>TEXT(Raw_Data!$A4963, "MMM")</f>
        <v>Jun</v>
      </c>
      <c r="C4963">
        <f>YEAR(Raw_Data!$A4963)</f>
        <v>2004</v>
      </c>
      <c r="D4963" t="s">
        <v>2662</v>
      </c>
      <c r="E4963" t="s">
        <v>25</v>
      </c>
      <c r="F4963" t="s">
        <v>18</v>
      </c>
      <c r="G4963">
        <v>5</v>
      </c>
      <c r="H4963">
        <v>1858</v>
      </c>
      <c r="I4963" s="1">
        <v>799352</v>
      </c>
      <c r="J4963" s="1">
        <f>Raw_Data!$I4963/Raw_Data!$H4963</f>
        <v>430.22174381054896</v>
      </c>
    </row>
    <row r="4964" spans="1:10" x14ac:dyDescent="0.3">
      <c r="A4964" s="9">
        <v>36975</v>
      </c>
      <c r="B4964" s="2" t="str">
        <f>TEXT(Raw_Data!$A4964, "MMM")</f>
        <v>Mar</v>
      </c>
      <c r="C4964" s="2">
        <f>YEAR(Raw_Data!$A4964)</f>
        <v>2001</v>
      </c>
      <c r="D4964" s="2" t="s">
        <v>1424</v>
      </c>
      <c r="E4964" s="2" t="s">
        <v>25</v>
      </c>
      <c r="F4964" s="2" t="s">
        <v>11</v>
      </c>
      <c r="G4964" s="2">
        <v>4</v>
      </c>
      <c r="H4964" s="2">
        <v>3261</v>
      </c>
      <c r="I4964" s="10">
        <v>218444</v>
      </c>
      <c r="J4964" s="10">
        <f>Raw_Data!$I4964/Raw_Data!$H4964</f>
        <v>66.986813860778909</v>
      </c>
    </row>
    <row r="4965" spans="1:10" x14ac:dyDescent="0.3">
      <c r="A4965" s="8">
        <v>38531</v>
      </c>
      <c r="B4965" t="str">
        <f>TEXT(Raw_Data!$A4965, "MMM")</f>
        <v>Jun</v>
      </c>
      <c r="C4965">
        <f>YEAR(Raw_Data!$A4965)</f>
        <v>2005</v>
      </c>
      <c r="D4965" t="s">
        <v>987</v>
      </c>
      <c r="E4965" t="s">
        <v>25</v>
      </c>
      <c r="F4965" t="s">
        <v>16</v>
      </c>
      <c r="G4965">
        <v>2</v>
      </c>
      <c r="H4965">
        <v>851</v>
      </c>
      <c r="I4965" s="1">
        <v>584299</v>
      </c>
      <c r="J4965" s="1">
        <f>Raw_Data!$I4965/Raw_Data!$H4965</f>
        <v>686.6028202115159</v>
      </c>
    </row>
    <row r="4966" spans="1:10" x14ac:dyDescent="0.3">
      <c r="A4966" s="9">
        <v>41802</v>
      </c>
      <c r="B4966" s="2" t="str">
        <f>TEXT(Raw_Data!$A4966, "MMM")</f>
        <v>Jun</v>
      </c>
      <c r="C4966" s="2">
        <f>YEAR(Raw_Data!$A4966)</f>
        <v>2014</v>
      </c>
      <c r="D4966" s="2" t="s">
        <v>1922</v>
      </c>
      <c r="E4966" s="2" t="s">
        <v>21</v>
      </c>
      <c r="F4966" s="2" t="s">
        <v>16</v>
      </c>
      <c r="G4966" s="2"/>
      <c r="H4966" s="2">
        <v>871</v>
      </c>
      <c r="I4966" s="10">
        <v>875527</v>
      </c>
      <c r="J4966" s="10">
        <f>Raw_Data!$I4966/Raw_Data!$H4966</f>
        <v>1005.1974741676235</v>
      </c>
    </row>
    <row r="4967" spans="1:10" x14ac:dyDescent="0.3">
      <c r="A4967" s="8">
        <v>42867</v>
      </c>
      <c r="B4967" t="str">
        <f>TEXT(Raw_Data!$A4967, "MMM")</f>
        <v>May</v>
      </c>
      <c r="C4967">
        <f>YEAR(Raw_Data!$A4967)</f>
        <v>2017</v>
      </c>
      <c r="D4967" t="s">
        <v>2691</v>
      </c>
      <c r="E4967" t="s">
        <v>15</v>
      </c>
      <c r="F4967" t="s">
        <v>27</v>
      </c>
      <c r="G4967">
        <v>4</v>
      </c>
      <c r="H4967">
        <v>1868</v>
      </c>
      <c r="I4967" s="1">
        <v>444961</v>
      </c>
      <c r="J4967" s="1">
        <f>Raw_Data!$I4967/Raw_Data!$H4967</f>
        <v>238.20182012847965</v>
      </c>
    </row>
    <row r="4968" spans="1:10" x14ac:dyDescent="0.3">
      <c r="A4968" s="9">
        <v>38372</v>
      </c>
      <c r="B4968" s="2" t="str">
        <f>TEXT(Raw_Data!$A4968, "MMM")</f>
        <v>Jan</v>
      </c>
      <c r="C4968" s="2">
        <f>YEAR(Raw_Data!$A4968)</f>
        <v>2005</v>
      </c>
      <c r="D4968" s="2" t="s">
        <v>2513</v>
      </c>
      <c r="E4968" s="2" t="s">
        <v>32</v>
      </c>
      <c r="F4968" s="2" t="s">
        <v>16</v>
      </c>
      <c r="G4968" s="2">
        <v>2</v>
      </c>
      <c r="H4968" s="2">
        <v>1052</v>
      </c>
      <c r="I4968" s="10">
        <v>630005</v>
      </c>
      <c r="J4968" s="10">
        <f>Raw_Data!$I4968/Raw_Data!$H4968</f>
        <v>598.86406844106466</v>
      </c>
    </row>
    <row r="4969" spans="1:10" x14ac:dyDescent="0.3">
      <c r="A4969" s="8">
        <v>37311</v>
      </c>
      <c r="B4969" t="str">
        <f>TEXT(Raw_Data!$A4969, "MMM")</f>
        <v>Feb</v>
      </c>
      <c r="C4969">
        <f>YEAR(Raw_Data!$A4969)</f>
        <v>2002</v>
      </c>
      <c r="D4969" t="s">
        <v>486</v>
      </c>
      <c r="E4969" t="s">
        <v>13</v>
      </c>
      <c r="F4969" t="s">
        <v>16</v>
      </c>
      <c r="G4969">
        <v>5</v>
      </c>
      <c r="H4969">
        <v>3279</v>
      </c>
      <c r="I4969" s="1">
        <v>289313</v>
      </c>
      <c r="J4969" s="1">
        <f>Raw_Data!$I4969/Raw_Data!$H4969</f>
        <v>88.232082952119555</v>
      </c>
    </row>
    <row r="4970" spans="1:10" x14ac:dyDescent="0.3">
      <c r="A4970" s="9">
        <v>41878</v>
      </c>
      <c r="B4970" s="2" t="str">
        <f>TEXT(Raw_Data!$A4970, "MMM")</f>
        <v>Aug</v>
      </c>
      <c r="C4970" s="2">
        <f>YEAR(Raw_Data!$A4970)</f>
        <v>2014</v>
      </c>
      <c r="D4970" s="2" t="s">
        <v>2898</v>
      </c>
      <c r="E4970" s="2" t="s">
        <v>25</v>
      </c>
      <c r="F4970" s="2" t="s">
        <v>16</v>
      </c>
      <c r="G4970" s="2"/>
      <c r="H4970" s="2">
        <v>2707</v>
      </c>
      <c r="I4970" s="10">
        <v>692430</v>
      </c>
      <c r="J4970" s="10">
        <f>Raw_Data!$I4970/Raw_Data!$H4970</f>
        <v>255.79239009974143</v>
      </c>
    </row>
    <row r="4971" spans="1:10" x14ac:dyDescent="0.3">
      <c r="A4971" s="8">
        <v>42387</v>
      </c>
      <c r="B4971" t="str">
        <f>TEXT(Raw_Data!$A4971, "MMM")</f>
        <v>Jan</v>
      </c>
      <c r="C4971">
        <f>YEAR(Raw_Data!$A4971)</f>
        <v>2016</v>
      </c>
      <c r="D4971" t="s">
        <v>3016</v>
      </c>
      <c r="E4971" t="s">
        <v>23</v>
      </c>
      <c r="F4971" t="s">
        <v>18</v>
      </c>
      <c r="H4971">
        <v>977</v>
      </c>
      <c r="I4971" s="1">
        <v>248524</v>
      </c>
      <c r="J4971" s="1">
        <f>Raw_Data!$I4971/Raw_Data!$H4971</f>
        <v>254.37461617195495</v>
      </c>
    </row>
    <row r="4972" spans="1:10" x14ac:dyDescent="0.3">
      <c r="A4972" s="9">
        <v>41884</v>
      </c>
      <c r="B4972" s="2" t="str">
        <f>TEXT(Raw_Data!$A4972, "MMM")</f>
        <v>Sep</v>
      </c>
      <c r="C4972" s="2">
        <f>YEAR(Raw_Data!$A4972)</f>
        <v>2014</v>
      </c>
      <c r="D4972" s="2" t="s">
        <v>3013</v>
      </c>
      <c r="E4972" s="2" t="s">
        <v>21</v>
      </c>
      <c r="F4972" s="2" t="s">
        <v>11</v>
      </c>
      <c r="G4972" s="2"/>
      <c r="H4972" s="2">
        <v>3429</v>
      </c>
      <c r="I4972" s="10">
        <v>434407</v>
      </c>
      <c r="J4972" s="10">
        <f>Raw_Data!$I4972/Raw_Data!$H4972</f>
        <v>126.6862058909303</v>
      </c>
    </row>
    <row r="4973" spans="1:10" x14ac:dyDescent="0.3">
      <c r="A4973" s="8">
        <v>37969</v>
      </c>
      <c r="B4973" t="str">
        <f>TEXT(Raw_Data!$A4973, "MMM")</f>
        <v>Dec</v>
      </c>
      <c r="C4973">
        <f>YEAR(Raw_Data!$A4973)</f>
        <v>2003</v>
      </c>
      <c r="D4973" t="s">
        <v>2574</v>
      </c>
      <c r="E4973" t="s">
        <v>25</v>
      </c>
      <c r="F4973" t="s">
        <v>18</v>
      </c>
      <c r="H4973">
        <v>1521</v>
      </c>
      <c r="I4973" s="1"/>
      <c r="J4973" s="1">
        <f>Raw_Data!$I4973/Raw_Data!$H4973</f>
        <v>0</v>
      </c>
    </row>
    <row r="4974" spans="1:10" x14ac:dyDescent="0.3">
      <c r="A4974" s="9">
        <v>40068</v>
      </c>
      <c r="B4974" s="2" t="str">
        <f>TEXT(Raw_Data!$A4974, "MMM")</f>
        <v>Sep</v>
      </c>
      <c r="C4974" s="2">
        <f>YEAR(Raw_Data!$A4974)</f>
        <v>2009</v>
      </c>
      <c r="D4974" s="2" t="s">
        <v>1274</v>
      </c>
      <c r="E4974" s="2" t="s">
        <v>13</v>
      </c>
      <c r="F4974" s="2" t="s">
        <v>18</v>
      </c>
      <c r="G4974" s="2">
        <v>3</v>
      </c>
      <c r="H4974" s="2">
        <v>3495</v>
      </c>
      <c r="I4974" s="10">
        <v>332829</v>
      </c>
      <c r="J4974" s="10">
        <f>Raw_Data!$I4974/Raw_Data!$H4974</f>
        <v>95.230042918454942</v>
      </c>
    </row>
    <row r="4975" spans="1:10" x14ac:dyDescent="0.3">
      <c r="A4975" s="8">
        <v>43839</v>
      </c>
      <c r="B4975" t="str">
        <f>TEXT(Raw_Data!$A4975, "MMM")</f>
        <v>Jan</v>
      </c>
      <c r="C4975">
        <f>YEAR(Raw_Data!$A4975)</f>
        <v>2020</v>
      </c>
      <c r="D4975" t="s">
        <v>2851</v>
      </c>
      <c r="E4975" t="s">
        <v>23</v>
      </c>
      <c r="F4975" t="s">
        <v>18</v>
      </c>
      <c r="G4975">
        <v>3</v>
      </c>
      <c r="H4975">
        <v>1252</v>
      </c>
      <c r="I4975" s="1">
        <v>585483</v>
      </c>
      <c r="J4975" s="1">
        <f>Raw_Data!$I4975/Raw_Data!$H4975</f>
        <v>467.63817891373805</v>
      </c>
    </row>
    <row r="4976" spans="1:10" x14ac:dyDescent="0.3">
      <c r="A4976" s="9">
        <v>38676</v>
      </c>
      <c r="B4976" s="2" t="str">
        <f>TEXT(Raw_Data!$A4976, "MMM")</f>
        <v>Nov</v>
      </c>
      <c r="C4976" s="2">
        <f>YEAR(Raw_Data!$A4976)</f>
        <v>2005</v>
      </c>
      <c r="D4976" s="2" t="s">
        <v>24</v>
      </c>
      <c r="E4976" s="2" t="s">
        <v>23</v>
      </c>
      <c r="F4976" s="2" t="s">
        <v>18</v>
      </c>
      <c r="G4976" s="2">
        <v>4</v>
      </c>
      <c r="H4976" s="2">
        <v>1460</v>
      </c>
      <c r="I4976" s="10">
        <v>883311</v>
      </c>
      <c r="J4976" s="10">
        <f>Raw_Data!$I4976/Raw_Data!$H4976</f>
        <v>605.00753424657535</v>
      </c>
    </row>
    <row r="4977" spans="1:10" x14ac:dyDescent="0.3">
      <c r="A4977" s="8">
        <v>41364</v>
      </c>
      <c r="B4977" t="str">
        <f>TEXT(Raw_Data!$A4977, "MMM")</f>
        <v>Mar</v>
      </c>
      <c r="C4977">
        <f>YEAR(Raw_Data!$A4977)</f>
        <v>2013</v>
      </c>
      <c r="D4977" t="s">
        <v>373</v>
      </c>
      <c r="E4977" t="s">
        <v>13</v>
      </c>
      <c r="F4977" t="s">
        <v>16</v>
      </c>
      <c r="G4977">
        <v>2</v>
      </c>
      <c r="H4977">
        <v>1507</v>
      </c>
      <c r="I4977" s="1">
        <v>182083</v>
      </c>
      <c r="J4977" s="1">
        <f>Raw_Data!$I4977/Raw_Data!$H4977</f>
        <v>120.82481751824818</v>
      </c>
    </row>
    <row r="4978" spans="1:10" x14ac:dyDescent="0.3">
      <c r="A4978" s="9">
        <v>43888</v>
      </c>
      <c r="B4978" s="2" t="str">
        <f>TEXT(Raw_Data!$A4978, "MMM")</f>
        <v>Feb</v>
      </c>
      <c r="C4978" s="2">
        <f>YEAR(Raw_Data!$A4978)</f>
        <v>2020</v>
      </c>
      <c r="D4978" s="2" t="s">
        <v>2405</v>
      </c>
      <c r="E4978" s="2" t="s">
        <v>25</v>
      </c>
      <c r="F4978" s="2" t="s">
        <v>11</v>
      </c>
      <c r="G4978" s="2"/>
      <c r="H4978" s="2">
        <v>3358</v>
      </c>
      <c r="I4978" s="10">
        <v>143593</v>
      </c>
      <c r="J4978" s="10">
        <f>Raw_Data!$I4978/Raw_Data!$H4978</f>
        <v>42.761465157832042</v>
      </c>
    </row>
    <row r="4979" spans="1:10" x14ac:dyDescent="0.3">
      <c r="A4979" s="8">
        <v>43960</v>
      </c>
      <c r="B4979" t="str">
        <f>TEXT(Raw_Data!$A4979, "MMM")</f>
        <v>May</v>
      </c>
      <c r="C4979">
        <f>YEAR(Raw_Data!$A4979)</f>
        <v>2020</v>
      </c>
      <c r="D4979" t="s">
        <v>1690</v>
      </c>
      <c r="E4979" t="s">
        <v>23</v>
      </c>
      <c r="F4979" t="s">
        <v>27</v>
      </c>
      <c r="G4979">
        <v>5</v>
      </c>
      <c r="H4979">
        <v>878</v>
      </c>
      <c r="I4979" s="1">
        <v>233166</v>
      </c>
      <c r="J4979" s="1">
        <f>Raw_Data!$I4979/Raw_Data!$H4979</f>
        <v>265.56492027334849</v>
      </c>
    </row>
    <row r="4980" spans="1:10" x14ac:dyDescent="0.3">
      <c r="A4980" s="9">
        <v>41569</v>
      </c>
      <c r="B4980" s="2" t="str">
        <f>TEXT(Raw_Data!$A4980, "MMM")</f>
        <v>Oct</v>
      </c>
      <c r="C4980" s="2">
        <f>YEAR(Raw_Data!$A4980)</f>
        <v>2013</v>
      </c>
      <c r="D4980" s="2" t="s">
        <v>2127</v>
      </c>
      <c r="E4980" s="2" t="s">
        <v>32</v>
      </c>
      <c r="F4980" s="2" t="s">
        <v>11</v>
      </c>
      <c r="G4980" s="2"/>
      <c r="H4980" s="2">
        <v>814</v>
      </c>
      <c r="I4980" s="10">
        <v>232777</v>
      </c>
      <c r="J4980" s="10">
        <f>Raw_Data!$I4980/Raw_Data!$H4980</f>
        <v>285.96683046683046</v>
      </c>
    </row>
    <row r="4981" spans="1:10" x14ac:dyDescent="0.3">
      <c r="A4981" s="8">
        <v>42544</v>
      </c>
      <c r="B4981" t="str">
        <f>TEXT(Raw_Data!$A4981, "MMM")</f>
        <v>Jun</v>
      </c>
      <c r="C4981">
        <f>YEAR(Raw_Data!$A4981)</f>
        <v>2016</v>
      </c>
      <c r="D4981" t="s">
        <v>2411</v>
      </c>
      <c r="E4981" t="s">
        <v>23</v>
      </c>
      <c r="F4981" t="s">
        <v>18</v>
      </c>
      <c r="G4981">
        <v>4</v>
      </c>
      <c r="H4981">
        <v>2835</v>
      </c>
      <c r="I4981" s="1">
        <v>809284</v>
      </c>
      <c r="J4981" s="1">
        <f>Raw_Data!$I4981/Raw_Data!$H4981</f>
        <v>285.46172839506175</v>
      </c>
    </row>
    <row r="4982" spans="1:10" x14ac:dyDescent="0.3">
      <c r="A4982" s="9">
        <v>38672</v>
      </c>
      <c r="B4982" s="2" t="str">
        <f>TEXT(Raw_Data!$A4982, "MMM")</f>
        <v>Nov</v>
      </c>
      <c r="C4982" s="2">
        <f>YEAR(Raw_Data!$A4982)</f>
        <v>2005</v>
      </c>
      <c r="D4982" s="2" t="s">
        <v>926</v>
      </c>
      <c r="E4982" s="2" t="s">
        <v>15</v>
      </c>
      <c r="F4982" s="2" t="s">
        <v>27</v>
      </c>
      <c r="G4982" s="2">
        <v>2</v>
      </c>
      <c r="H4982" s="2">
        <v>2231</v>
      </c>
      <c r="I4982" s="10">
        <v>484720</v>
      </c>
      <c r="J4982" s="10">
        <f>Raw_Data!$I4982/Raw_Data!$H4982</f>
        <v>217.26580008964589</v>
      </c>
    </row>
    <row r="4983" spans="1:10" x14ac:dyDescent="0.3">
      <c r="A4983" s="8">
        <v>42184</v>
      </c>
      <c r="B4983" t="str">
        <f>TEXT(Raw_Data!$A4983, "MMM")</f>
        <v>Jun</v>
      </c>
      <c r="C4983">
        <f>YEAR(Raw_Data!$A4983)</f>
        <v>2015</v>
      </c>
      <c r="D4983" t="s">
        <v>3017</v>
      </c>
      <c r="E4983" t="s">
        <v>29</v>
      </c>
      <c r="F4983" t="s">
        <v>27</v>
      </c>
      <c r="H4983">
        <v>1061</v>
      </c>
      <c r="I4983" s="1">
        <v>626239</v>
      </c>
      <c r="J4983" s="1">
        <f>Raw_Data!$I4983/Raw_Data!$H4983</f>
        <v>590.23468426013198</v>
      </c>
    </row>
    <row r="4984" spans="1:10" x14ac:dyDescent="0.3">
      <c r="A4984" s="9">
        <v>37621</v>
      </c>
      <c r="B4984" s="2" t="str">
        <f>TEXT(Raw_Data!$A4984, "MMM")</f>
        <v>Dec</v>
      </c>
      <c r="C4984" s="2">
        <f>YEAR(Raw_Data!$A4984)</f>
        <v>2002</v>
      </c>
      <c r="D4984" s="2" t="s">
        <v>408</v>
      </c>
      <c r="E4984" s="2" t="s">
        <v>32</v>
      </c>
      <c r="F4984" s="2" t="s">
        <v>18</v>
      </c>
      <c r="G4984" s="2">
        <v>5</v>
      </c>
      <c r="H4984" s="2">
        <v>3279</v>
      </c>
      <c r="I4984" s="10">
        <v>572465</v>
      </c>
      <c r="J4984" s="10">
        <f>Raw_Data!$I4984/Raw_Data!$H4984</f>
        <v>174.58523940225678</v>
      </c>
    </row>
    <row r="4985" spans="1:10" x14ac:dyDescent="0.3">
      <c r="A4985" s="8">
        <v>41171</v>
      </c>
      <c r="B4985" t="str">
        <f>TEXT(Raw_Data!$A4985, "MMM")</f>
        <v>Sep</v>
      </c>
      <c r="C4985">
        <f>YEAR(Raw_Data!$A4985)</f>
        <v>2012</v>
      </c>
      <c r="D4985" t="s">
        <v>124</v>
      </c>
      <c r="E4985" t="s">
        <v>25</v>
      </c>
      <c r="F4985" t="s">
        <v>18</v>
      </c>
      <c r="G4985">
        <v>4</v>
      </c>
      <c r="H4985">
        <v>2363</v>
      </c>
      <c r="I4985" s="1">
        <v>257318</v>
      </c>
      <c r="J4985" s="1">
        <f>Raw_Data!$I4985/Raw_Data!$H4985</f>
        <v>108.89462547608971</v>
      </c>
    </row>
    <row r="4986" spans="1:10" x14ac:dyDescent="0.3">
      <c r="A4986" s="9">
        <v>38061</v>
      </c>
      <c r="B4986" s="2" t="str">
        <f>TEXT(Raw_Data!$A4986, "MMM")</f>
        <v>Mar</v>
      </c>
      <c r="C4986" s="2">
        <f>YEAR(Raw_Data!$A4986)</f>
        <v>2004</v>
      </c>
      <c r="D4986" s="2" t="s">
        <v>1783</v>
      </c>
      <c r="E4986" s="2" t="s">
        <v>29</v>
      </c>
      <c r="F4986" s="2" t="s">
        <v>16</v>
      </c>
      <c r="G4986" s="2">
        <v>4</v>
      </c>
      <c r="H4986" s="2">
        <v>2638</v>
      </c>
      <c r="I4986" s="10">
        <v>822187</v>
      </c>
      <c r="J4986" s="10">
        <f>Raw_Data!$I4986/Raw_Data!$H4986</f>
        <v>311.67058377558755</v>
      </c>
    </row>
    <row r="4987" spans="1:10" x14ac:dyDescent="0.3">
      <c r="A4987" s="8">
        <v>38253</v>
      </c>
      <c r="B4987" t="str">
        <f>TEXT(Raw_Data!$A4987, "MMM")</f>
        <v>Sep</v>
      </c>
      <c r="C4987">
        <f>YEAR(Raw_Data!$A4987)</f>
        <v>2004</v>
      </c>
      <c r="D4987" t="s">
        <v>1095</v>
      </c>
      <c r="E4987" t="s">
        <v>25</v>
      </c>
      <c r="F4987" t="s">
        <v>18</v>
      </c>
      <c r="H4987">
        <v>873</v>
      </c>
      <c r="I4987" s="1">
        <v>552483</v>
      </c>
      <c r="J4987" s="1">
        <f>Raw_Data!$I4987/Raw_Data!$H4987</f>
        <v>632.85567010309273</v>
      </c>
    </row>
    <row r="4988" spans="1:10" x14ac:dyDescent="0.3">
      <c r="A4988" s="9">
        <v>40588</v>
      </c>
      <c r="B4988" s="2" t="str">
        <f>TEXT(Raw_Data!$A4988, "MMM")</f>
        <v>Feb</v>
      </c>
      <c r="C4988" s="2">
        <f>YEAR(Raw_Data!$A4988)</f>
        <v>2011</v>
      </c>
      <c r="D4988" s="2" t="s">
        <v>166</v>
      </c>
      <c r="E4988" s="2" t="s">
        <v>15</v>
      </c>
      <c r="F4988" s="2" t="s">
        <v>27</v>
      </c>
      <c r="G4988" s="2"/>
      <c r="H4988" s="2">
        <v>2958</v>
      </c>
      <c r="I4988" s="10">
        <v>281582</v>
      </c>
      <c r="J4988" s="10">
        <f>Raw_Data!$I4988/Raw_Data!$H4988</f>
        <v>95.193373901284659</v>
      </c>
    </row>
    <row r="4989" spans="1:10" x14ac:dyDescent="0.3">
      <c r="A4989" s="8">
        <v>42552</v>
      </c>
      <c r="B4989" t="str">
        <f>TEXT(Raw_Data!$A4989, "MMM")</f>
        <v>Jul</v>
      </c>
      <c r="C4989">
        <f>YEAR(Raw_Data!$A4989)</f>
        <v>2016</v>
      </c>
      <c r="D4989" t="s">
        <v>1293</v>
      </c>
      <c r="E4989" t="s">
        <v>23</v>
      </c>
      <c r="F4989" t="s">
        <v>16</v>
      </c>
      <c r="G4989">
        <v>4</v>
      </c>
      <c r="H4989">
        <v>2435</v>
      </c>
      <c r="I4989" s="1">
        <v>314870</v>
      </c>
      <c r="J4989" s="1">
        <f>Raw_Data!$I4989/Raw_Data!$H4989</f>
        <v>129.3100616016427</v>
      </c>
    </row>
    <row r="4990" spans="1:10" x14ac:dyDescent="0.3">
      <c r="A4990" s="9">
        <v>39520</v>
      </c>
      <c r="B4990" s="2" t="str">
        <f>TEXT(Raw_Data!$A4990, "MMM")</f>
        <v>Mar</v>
      </c>
      <c r="C4990" s="2">
        <f>YEAR(Raw_Data!$A4990)</f>
        <v>2008</v>
      </c>
      <c r="D4990" s="2" t="s">
        <v>1152</v>
      </c>
      <c r="E4990" s="2" t="s">
        <v>13</v>
      </c>
      <c r="F4990" s="2" t="s">
        <v>18</v>
      </c>
      <c r="G4990" s="2"/>
      <c r="H4990" s="2">
        <v>1683</v>
      </c>
      <c r="I4990" s="10">
        <v>514683</v>
      </c>
      <c r="J4990" s="10">
        <f>Raw_Data!$I4990/Raw_Data!$H4990</f>
        <v>305.81283422459893</v>
      </c>
    </row>
    <row r="4991" spans="1:10" x14ac:dyDescent="0.3">
      <c r="A4991" s="8">
        <v>42712</v>
      </c>
      <c r="B4991" t="str">
        <f>TEXT(Raw_Data!$A4991, "MMM")</f>
        <v>Dec</v>
      </c>
      <c r="C4991">
        <f>YEAR(Raw_Data!$A4991)</f>
        <v>2016</v>
      </c>
      <c r="D4991" t="s">
        <v>391</v>
      </c>
      <c r="E4991" t="s">
        <v>13</v>
      </c>
      <c r="F4991" t="s">
        <v>27</v>
      </c>
      <c r="G4991">
        <v>5</v>
      </c>
      <c r="H4991">
        <v>1225</v>
      </c>
      <c r="I4991" s="1">
        <v>133422</v>
      </c>
      <c r="J4991" s="1">
        <f>Raw_Data!$I4991/Raw_Data!$H4991</f>
        <v>108.91591836734693</v>
      </c>
    </row>
    <row r="4992" spans="1:10" x14ac:dyDescent="0.3">
      <c r="A4992" s="9">
        <v>41914</v>
      </c>
      <c r="B4992" s="2" t="str">
        <f>TEXT(Raw_Data!$A4992, "MMM")</f>
        <v>Oct</v>
      </c>
      <c r="C4992" s="2">
        <f>YEAR(Raw_Data!$A4992)</f>
        <v>2014</v>
      </c>
      <c r="D4992" s="2" t="s">
        <v>3018</v>
      </c>
      <c r="E4992" s="2" t="s">
        <v>32</v>
      </c>
      <c r="F4992" s="2" t="s">
        <v>27</v>
      </c>
      <c r="G4992" s="2"/>
      <c r="H4992" s="2">
        <v>3097</v>
      </c>
      <c r="I4992" s="10">
        <v>237811</v>
      </c>
      <c r="J4992" s="10">
        <f>Raw_Data!$I4992/Raw_Data!$H4992</f>
        <v>76.787536325476268</v>
      </c>
    </row>
    <row r="4993" spans="1:10" x14ac:dyDescent="0.3">
      <c r="A4993" s="8">
        <v>40966</v>
      </c>
      <c r="B4993" t="str">
        <f>TEXT(Raw_Data!$A4993, "MMM")</f>
        <v>Feb</v>
      </c>
      <c r="C4993">
        <f>YEAR(Raw_Data!$A4993)</f>
        <v>2012</v>
      </c>
      <c r="D4993" t="s">
        <v>3019</v>
      </c>
      <c r="E4993" t="s">
        <v>32</v>
      </c>
      <c r="F4993" t="s">
        <v>11</v>
      </c>
      <c r="G4993">
        <v>4</v>
      </c>
      <c r="H4993">
        <v>1108</v>
      </c>
      <c r="I4993" s="1">
        <v>467714</v>
      </c>
      <c r="J4993" s="1">
        <f>Raw_Data!$I4993/Raw_Data!$H4993</f>
        <v>422.12454873646209</v>
      </c>
    </row>
    <row r="4994" spans="1:10" x14ac:dyDescent="0.3">
      <c r="A4994" s="9">
        <v>42760</v>
      </c>
      <c r="B4994" s="2" t="str">
        <f>TEXT(Raw_Data!$A4994, "MMM")</f>
        <v>Jan</v>
      </c>
      <c r="C4994" s="2">
        <f>YEAR(Raw_Data!$A4994)</f>
        <v>2017</v>
      </c>
      <c r="D4994" s="2" t="s">
        <v>3020</v>
      </c>
      <c r="E4994" s="2" t="s">
        <v>25</v>
      </c>
      <c r="F4994" s="2" t="s">
        <v>18</v>
      </c>
      <c r="G4994" s="2"/>
      <c r="H4994" s="2">
        <v>1918</v>
      </c>
      <c r="I4994" s="10">
        <v>646650</v>
      </c>
      <c r="J4994" s="10">
        <f>Raw_Data!$I4994/Raw_Data!$H4994</f>
        <v>337.14807090719501</v>
      </c>
    </row>
    <row r="4995" spans="1:10" x14ac:dyDescent="0.3">
      <c r="A4995" s="8">
        <v>41289</v>
      </c>
      <c r="B4995" t="str">
        <f>TEXT(Raw_Data!$A4995, "MMM")</f>
        <v>Jan</v>
      </c>
      <c r="C4995">
        <f>YEAR(Raw_Data!$A4995)</f>
        <v>2013</v>
      </c>
      <c r="D4995" t="s">
        <v>1319</v>
      </c>
      <c r="E4995" t="s">
        <v>29</v>
      </c>
      <c r="F4995" t="s">
        <v>27</v>
      </c>
      <c r="H4995">
        <v>2933</v>
      </c>
      <c r="I4995" s="1">
        <v>791603</v>
      </c>
      <c r="J4995" s="1">
        <f>Raw_Data!$I4995/Raw_Data!$H4995</f>
        <v>269.89532901466077</v>
      </c>
    </row>
    <row r="4996" spans="1:10" x14ac:dyDescent="0.3">
      <c r="A4996" s="9">
        <v>43971</v>
      </c>
      <c r="B4996" s="2" t="str">
        <f>TEXT(Raw_Data!$A4996, "MMM")</f>
        <v>May</v>
      </c>
      <c r="C4996" s="2">
        <f>YEAR(Raw_Data!$A4996)</f>
        <v>2020</v>
      </c>
      <c r="D4996" s="2" t="s">
        <v>170</v>
      </c>
      <c r="E4996" s="2" t="s">
        <v>15</v>
      </c>
      <c r="F4996" s="2" t="s">
        <v>27</v>
      </c>
      <c r="G4996" s="2">
        <v>3</v>
      </c>
      <c r="H4996" s="2">
        <v>1586</v>
      </c>
      <c r="I4996" s="10">
        <v>249065</v>
      </c>
      <c r="J4996" s="10">
        <f>Raw_Data!$I4996/Raw_Data!$H4996</f>
        <v>157.03972257250945</v>
      </c>
    </row>
    <row r="4997" spans="1:10" x14ac:dyDescent="0.3">
      <c r="A4997" s="8">
        <v>38105</v>
      </c>
      <c r="B4997" t="str">
        <f>TEXT(Raw_Data!$A4997, "MMM")</f>
        <v>Apr</v>
      </c>
      <c r="C4997">
        <f>YEAR(Raw_Data!$A4997)</f>
        <v>2004</v>
      </c>
      <c r="D4997" t="s">
        <v>199</v>
      </c>
      <c r="E4997" t="s">
        <v>29</v>
      </c>
      <c r="F4997" t="s">
        <v>11</v>
      </c>
      <c r="H4997">
        <v>2720</v>
      </c>
      <c r="I4997" s="1">
        <v>692332</v>
      </c>
      <c r="J4997" s="1">
        <f>Raw_Data!$I4997/Raw_Data!$H4997</f>
        <v>254.53382352941176</v>
      </c>
    </row>
    <row r="4998" spans="1:10" x14ac:dyDescent="0.3">
      <c r="A4998" s="9">
        <v>41507</v>
      </c>
      <c r="B4998" s="2" t="str">
        <f>TEXT(Raw_Data!$A4998, "MMM")</f>
        <v>Aug</v>
      </c>
      <c r="C4998" s="2">
        <f>YEAR(Raw_Data!$A4998)</f>
        <v>2013</v>
      </c>
      <c r="D4998" s="2" t="s">
        <v>2690</v>
      </c>
      <c r="E4998" s="2" t="s">
        <v>29</v>
      </c>
      <c r="F4998" s="2" t="s">
        <v>27</v>
      </c>
      <c r="G4998" s="2">
        <v>4</v>
      </c>
      <c r="H4998" s="2">
        <v>2770</v>
      </c>
      <c r="I4998" s="10">
        <v>688667</v>
      </c>
      <c r="J4998" s="10">
        <f>Raw_Data!$I4998/Raw_Data!$H4998</f>
        <v>248.61624548736461</v>
      </c>
    </row>
    <row r="4999" spans="1:10" x14ac:dyDescent="0.3">
      <c r="A4999" s="8">
        <v>43966</v>
      </c>
      <c r="B4999" t="str">
        <f>TEXT(Raw_Data!$A4999, "MMM")</f>
        <v>May</v>
      </c>
      <c r="C4999">
        <f>YEAR(Raw_Data!$A4999)</f>
        <v>2020</v>
      </c>
      <c r="D4999" t="s">
        <v>2759</v>
      </c>
      <c r="E4999" t="s">
        <v>23</v>
      </c>
      <c r="F4999" t="s">
        <v>16</v>
      </c>
      <c r="H4999">
        <v>3475</v>
      </c>
      <c r="I4999" s="1">
        <v>790191</v>
      </c>
      <c r="J4999" s="1">
        <f>Raw_Data!$I4999/Raw_Data!$H4999</f>
        <v>227.39309352517986</v>
      </c>
    </row>
    <row r="5000" spans="1:10" x14ac:dyDescent="0.3">
      <c r="A5000" s="9">
        <v>38696</v>
      </c>
      <c r="B5000" s="2" t="str">
        <f>TEXT(Raw_Data!$A5000, "MMM")</f>
        <v>Dec</v>
      </c>
      <c r="C5000" s="2">
        <f>YEAR(Raw_Data!$A5000)</f>
        <v>2005</v>
      </c>
      <c r="D5000" s="2" t="s">
        <v>1068</v>
      </c>
      <c r="E5000" s="2" t="s">
        <v>21</v>
      </c>
      <c r="F5000" s="2" t="s">
        <v>11</v>
      </c>
      <c r="G5000" s="2"/>
      <c r="H5000" s="2">
        <v>1775</v>
      </c>
      <c r="I5000" s="10">
        <v>647815</v>
      </c>
      <c r="J5000" s="10">
        <f>Raw_Data!$I5000/Raw_Data!$H5000</f>
        <v>364.96619718309859</v>
      </c>
    </row>
    <row r="5001" spans="1:10" x14ac:dyDescent="0.3">
      <c r="A5001" s="8">
        <v>43855</v>
      </c>
      <c r="B5001" t="str">
        <f>TEXT(Raw_Data!$A5001, "MMM")</f>
        <v>Jan</v>
      </c>
      <c r="C5001">
        <f>YEAR(Raw_Data!$A5001)</f>
        <v>2020</v>
      </c>
      <c r="D5001" t="s">
        <v>3021</v>
      </c>
      <c r="E5001" t="s">
        <v>13</v>
      </c>
      <c r="F5001" t="s">
        <v>16</v>
      </c>
      <c r="G5001">
        <v>5</v>
      </c>
      <c r="H5001">
        <v>1053</v>
      </c>
      <c r="I5001" s="1">
        <v>722594</v>
      </c>
      <c r="J5001" s="1">
        <f>Raw_Data!$I5001/Raw_Data!$H5001</f>
        <v>686.22412155745485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F4D2-4197-46F0-9BC8-2617DEBC1FFE}">
  <dimension ref="A3:B24"/>
  <sheetViews>
    <sheetView workbookViewId="0">
      <selection activeCell="B24" sqref="B24"/>
    </sheetView>
  </sheetViews>
  <sheetFormatPr defaultRowHeight="14.4" x14ac:dyDescent="0.3"/>
  <cols>
    <col min="1" max="1" width="12.5546875" bestFit="1" customWidth="1"/>
    <col min="2" max="2" width="19.33203125" bestFit="1" customWidth="1"/>
    <col min="3" max="3" width="11.109375" bestFit="1" customWidth="1"/>
    <col min="4" max="14" width="19.33203125" bestFit="1" customWidth="1"/>
    <col min="15" max="15" width="24.109375" bestFit="1" customWidth="1"/>
    <col min="16" max="16" width="15.88671875" bestFit="1" customWidth="1"/>
  </cols>
  <sheetData>
    <row r="3" spans="1:2" x14ac:dyDescent="0.3">
      <c r="A3" s="3" t="s">
        <v>3022</v>
      </c>
      <c r="B3" t="s">
        <v>3024</v>
      </c>
    </row>
    <row r="4" spans="1:2" x14ac:dyDescent="0.3">
      <c r="A4" s="4">
        <v>2001</v>
      </c>
      <c r="B4" s="1">
        <v>497700.0991735537</v>
      </c>
    </row>
    <row r="5" spans="1:2" x14ac:dyDescent="0.3">
      <c r="A5" s="4">
        <v>2002</v>
      </c>
      <c r="B5" s="1">
        <v>495067.00873362448</v>
      </c>
    </row>
    <row r="6" spans="1:2" x14ac:dyDescent="0.3">
      <c r="A6" s="4">
        <v>2003</v>
      </c>
      <c r="B6" s="1">
        <v>502913.31512605044</v>
      </c>
    </row>
    <row r="7" spans="1:2" x14ac:dyDescent="0.3">
      <c r="A7" s="4">
        <v>2004</v>
      </c>
      <c r="B7" s="1">
        <v>509024.56569343066</v>
      </c>
    </row>
    <row r="8" spans="1:2" x14ac:dyDescent="0.3">
      <c r="A8" s="4">
        <v>2005</v>
      </c>
      <c r="B8" s="1">
        <v>501520.86973180075</v>
      </c>
    </row>
    <row r="9" spans="1:2" x14ac:dyDescent="0.3">
      <c r="A9" s="4">
        <v>2006</v>
      </c>
      <c r="B9" s="1">
        <v>512843.98455598456</v>
      </c>
    </row>
    <row r="10" spans="1:2" x14ac:dyDescent="0.3">
      <c r="A10" s="4">
        <v>2007</v>
      </c>
      <c r="B10" s="1">
        <v>494836.43333333335</v>
      </c>
    </row>
    <row r="11" spans="1:2" x14ac:dyDescent="0.3">
      <c r="A11" s="4">
        <v>2008</v>
      </c>
      <c r="B11" s="1">
        <v>506165.29910714284</v>
      </c>
    </row>
    <row r="12" spans="1:2" x14ac:dyDescent="0.3">
      <c r="A12" s="4">
        <v>2009</v>
      </c>
      <c r="B12" s="1">
        <v>489313.42748091603</v>
      </c>
    </row>
    <row r="13" spans="1:2" x14ac:dyDescent="0.3">
      <c r="A13" s="4">
        <v>2010</v>
      </c>
      <c r="B13" s="1">
        <v>516065.82608695654</v>
      </c>
    </row>
    <row r="14" spans="1:2" x14ac:dyDescent="0.3">
      <c r="A14" s="4">
        <v>2011</v>
      </c>
      <c r="B14" s="1">
        <v>506498.72834645672</v>
      </c>
    </row>
    <row r="15" spans="1:2" x14ac:dyDescent="0.3">
      <c r="A15" s="4">
        <v>2012</v>
      </c>
      <c r="B15" s="1">
        <v>473714.02092050208</v>
      </c>
    </row>
    <row r="16" spans="1:2" x14ac:dyDescent="0.3">
      <c r="A16" s="4">
        <v>2013</v>
      </c>
      <c r="B16" s="1">
        <v>492512.07480314962</v>
      </c>
    </row>
    <row r="17" spans="1:2" x14ac:dyDescent="0.3">
      <c r="A17" s="4">
        <v>2014</v>
      </c>
      <c r="B17" s="1">
        <v>488231.08898305084</v>
      </c>
    </row>
    <row r="18" spans="1:2" x14ac:dyDescent="0.3">
      <c r="A18" s="4">
        <v>2015</v>
      </c>
      <c r="B18" s="1">
        <v>503163.19282511208</v>
      </c>
    </row>
    <row r="19" spans="1:2" x14ac:dyDescent="0.3">
      <c r="A19" s="4">
        <v>2016</v>
      </c>
      <c r="B19" s="1">
        <v>510499.88211382116</v>
      </c>
    </row>
    <row r="20" spans="1:2" x14ac:dyDescent="0.3">
      <c r="A20" s="4">
        <v>2017</v>
      </c>
      <c r="B20" s="1">
        <v>518142.97468354431</v>
      </c>
    </row>
    <row r="21" spans="1:2" x14ac:dyDescent="0.3">
      <c r="A21" s="4">
        <v>2018</v>
      </c>
      <c r="B21" s="1">
        <v>514430.99613899615</v>
      </c>
    </row>
    <row r="22" spans="1:2" x14ac:dyDescent="0.3">
      <c r="A22" s="4">
        <v>2019</v>
      </c>
      <c r="B22" s="1">
        <v>478898.90438247012</v>
      </c>
    </row>
    <row r="23" spans="1:2" x14ac:dyDescent="0.3">
      <c r="A23" s="4">
        <v>2020</v>
      </c>
      <c r="B23" s="1">
        <v>500313.44855967077</v>
      </c>
    </row>
    <row r="24" spans="1:2" x14ac:dyDescent="0.3">
      <c r="A24" s="4" t="s">
        <v>3023</v>
      </c>
      <c r="B24" s="1">
        <v>500619.26912874926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209A0-709F-489F-8A64-4CA832DD4C8A}">
  <dimension ref="A3:B24"/>
  <sheetViews>
    <sheetView workbookViewId="0">
      <selection activeCell="D39" sqref="D39"/>
    </sheetView>
  </sheetViews>
  <sheetFormatPr defaultRowHeight="14.4" x14ac:dyDescent="0.3"/>
  <cols>
    <col min="1" max="1" width="12.5546875" bestFit="1" customWidth="1"/>
    <col min="2" max="2" width="17.5546875" bestFit="1" customWidth="1"/>
  </cols>
  <sheetData>
    <row r="3" spans="1:2" x14ac:dyDescent="0.3">
      <c r="A3" s="3" t="s">
        <v>3022</v>
      </c>
      <c r="B3" t="s">
        <v>3025</v>
      </c>
    </row>
    <row r="4" spans="1:2" x14ac:dyDescent="0.3">
      <c r="A4" s="4">
        <v>2004</v>
      </c>
      <c r="B4" s="16">
        <v>274</v>
      </c>
    </row>
    <row r="5" spans="1:2" x14ac:dyDescent="0.3">
      <c r="A5" s="4">
        <v>2009</v>
      </c>
      <c r="B5" s="16">
        <v>262</v>
      </c>
    </row>
    <row r="6" spans="1:2" x14ac:dyDescent="0.3">
      <c r="A6" s="4">
        <v>2005</v>
      </c>
      <c r="B6" s="16">
        <v>261</v>
      </c>
    </row>
    <row r="7" spans="1:2" x14ac:dyDescent="0.3">
      <c r="A7" s="4">
        <v>2006</v>
      </c>
      <c r="B7" s="16">
        <v>259</v>
      </c>
    </row>
    <row r="8" spans="1:2" x14ac:dyDescent="0.3">
      <c r="A8" s="4">
        <v>2018</v>
      </c>
      <c r="B8" s="16">
        <v>259</v>
      </c>
    </row>
    <row r="9" spans="1:2" x14ac:dyDescent="0.3">
      <c r="A9" s="4">
        <v>2013</v>
      </c>
      <c r="B9" s="16">
        <v>254</v>
      </c>
    </row>
    <row r="10" spans="1:2" x14ac:dyDescent="0.3">
      <c r="A10" s="4">
        <v>2011</v>
      </c>
      <c r="B10" s="16">
        <v>254</v>
      </c>
    </row>
    <row r="11" spans="1:2" x14ac:dyDescent="0.3">
      <c r="A11" s="4">
        <v>2019</v>
      </c>
      <c r="B11" s="16">
        <v>251</v>
      </c>
    </row>
    <row r="12" spans="1:2" x14ac:dyDescent="0.3">
      <c r="A12" s="4">
        <v>2016</v>
      </c>
      <c r="B12" s="16">
        <v>246</v>
      </c>
    </row>
    <row r="13" spans="1:2" x14ac:dyDescent="0.3">
      <c r="A13" s="4">
        <v>2020</v>
      </c>
      <c r="B13" s="16">
        <v>243</v>
      </c>
    </row>
    <row r="14" spans="1:2" x14ac:dyDescent="0.3">
      <c r="A14" s="4">
        <v>2001</v>
      </c>
      <c r="B14" s="16">
        <v>242</v>
      </c>
    </row>
    <row r="15" spans="1:2" x14ac:dyDescent="0.3">
      <c r="A15" s="4">
        <v>2007</v>
      </c>
      <c r="B15" s="16">
        <v>240</v>
      </c>
    </row>
    <row r="16" spans="1:2" x14ac:dyDescent="0.3">
      <c r="A16" s="4">
        <v>2012</v>
      </c>
      <c r="B16" s="16">
        <v>239</v>
      </c>
    </row>
    <row r="17" spans="1:2" x14ac:dyDescent="0.3">
      <c r="A17" s="4">
        <v>2003</v>
      </c>
      <c r="B17" s="16">
        <v>238</v>
      </c>
    </row>
    <row r="18" spans="1:2" x14ac:dyDescent="0.3">
      <c r="A18" s="4">
        <v>2017</v>
      </c>
      <c r="B18" s="16">
        <v>237</v>
      </c>
    </row>
    <row r="19" spans="1:2" x14ac:dyDescent="0.3">
      <c r="A19" s="4">
        <v>2014</v>
      </c>
      <c r="B19" s="16">
        <v>236</v>
      </c>
    </row>
    <row r="20" spans="1:2" x14ac:dyDescent="0.3">
      <c r="A20" s="4">
        <v>2010</v>
      </c>
      <c r="B20" s="16">
        <v>230</v>
      </c>
    </row>
    <row r="21" spans="1:2" x14ac:dyDescent="0.3">
      <c r="A21" s="4">
        <v>2002</v>
      </c>
      <c r="B21" s="16">
        <v>229</v>
      </c>
    </row>
    <row r="22" spans="1:2" x14ac:dyDescent="0.3">
      <c r="A22" s="4">
        <v>2008</v>
      </c>
      <c r="B22" s="16">
        <v>224</v>
      </c>
    </row>
    <row r="23" spans="1:2" x14ac:dyDescent="0.3">
      <c r="A23" s="4">
        <v>2015</v>
      </c>
      <c r="B23" s="16">
        <v>223</v>
      </c>
    </row>
    <row r="24" spans="1:2" x14ac:dyDescent="0.3">
      <c r="A24" s="4" t="s">
        <v>3023</v>
      </c>
      <c r="B24" s="16">
        <v>4901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9AAD-5C12-4DB0-ABEC-43A17458EE79}">
  <dimension ref="A3:J11"/>
  <sheetViews>
    <sheetView workbookViewId="0">
      <selection activeCell="E40" sqref="E40"/>
    </sheetView>
  </sheetViews>
  <sheetFormatPr defaultRowHeight="14.4" x14ac:dyDescent="0.3"/>
  <cols>
    <col min="1" max="1" width="12.5546875" bestFit="1" customWidth="1"/>
    <col min="2" max="2" width="17.5546875" bestFit="1" customWidth="1"/>
  </cols>
  <sheetData>
    <row r="3" spans="1:10" x14ac:dyDescent="0.3">
      <c r="A3" s="3" t="s">
        <v>3022</v>
      </c>
      <c r="B3" t="s">
        <v>3025</v>
      </c>
    </row>
    <row r="4" spans="1:10" x14ac:dyDescent="0.3">
      <c r="A4" s="4" t="s">
        <v>23</v>
      </c>
      <c r="B4" s="16">
        <v>464</v>
      </c>
    </row>
    <row r="5" spans="1:10" x14ac:dyDescent="0.3">
      <c r="A5" s="4" t="s">
        <v>13</v>
      </c>
      <c r="B5" s="16">
        <v>487</v>
      </c>
    </row>
    <row r="6" spans="1:10" x14ac:dyDescent="0.3">
      <c r="A6" s="4" t="s">
        <v>29</v>
      </c>
      <c r="B6" s="16">
        <v>497</v>
      </c>
    </row>
    <row r="7" spans="1:10" x14ac:dyDescent="0.3">
      <c r="A7" s="4" t="s">
        <v>21</v>
      </c>
      <c r="B7" s="16">
        <v>516</v>
      </c>
    </row>
    <row r="8" spans="1:10" x14ac:dyDescent="0.3">
      <c r="A8" s="4" t="s">
        <v>25</v>
      </c>
      <c r="B8" s="16">
        <v>952</v>
      </c>
    </row>
    <row r="9" spans="1:10" x14ac:dyDescent="0.3">
      <c r="A9" s="4" t="s">
        <v>32</v>
      </c>
      <c r="B9" s="16">
        <v>987</v>
      </c>
      <c r="J9" t="s">
        <v>3029</v>
      </c>
    </row>
    <row r="10" spans="1:10" x14ac:dyDescent="0.3">
      <c r="A10" s="4" t="s">
        <v>15</v>
      </c>
      <c r="B10" s="16">
        <v>998</v>
      </c>
    </row>
    <row r="11" spans="1:10" x14ac:dyDescent="0.3">
      <c r="A11" s="4" t="s">
        <v>3023</v>
      </c>
      <c r="B11" s="16">
        <v>4901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91A9-CA6A-4BFB-8BDC-62D4D65AC1BD}">
  <dimension ref="A3:J11"/>
  <sheetViews>
    <sheetView workbookViewId="0">
      <selection activeCell="G39" sqref="G39"/>
    </sheetView>
  </sheetViews>
  <sheetFormatPr defaultRowHeight="14.4" x14ac:dyDescent="0.3"/>
  <cols>
    <col min="1" max="1" width="12.5546875" bestFit="1" customWidth="1"/>
    <col min="2" max="2" width="19.33203125" bestFit="1" customWidth="1"/>
  </cols>
  <sheetData>
    <row r="3" spans="1:10" x14ac:dyDescent="0.3">
      <c r="A3" s="3" t="s">
        <v>3022</v>
      </c>
      <c r="B3" t="s">
        <v>3024</v>
      </c>
    </row>
    <row r="4" spans="1:10" x14ac:dyDescent="0.3">
      <c r="A4" s="4" t="s">
        <v>15</v>
      </c>
      <c r="B4" s="1">
        <v>490024.88877755508</v>
      </c>
    </row>
    <row r="5" spans="1:10" x14ac:dyDescent="0.3">
      <c r="A5" s="4" t="s">
        <v>25</v>
      </c>
      <c r="B5" s="1">
        <v>493043.44012605044</v>
      </c>
    </row>
    <row r="6" spans="1:10" x14ac:dyDescent="0.3">
      <c r="A6" s="4" t="s">
        <v>32</v>
      </c>
      <c r="B6" s="1">
        <v>501577.1843971631</v>
      </c>
    </row>
    <row r="7" spans="1:10" x14ac:dyDescent="0.3">
      <c r="A7" s="4" t="s">
        <v>13</v>
      </c>
      <c r="B7" s="1">
        <v>503075.79466119094</v>
      </c>
    </row>
    <row r="8" spans="1:10" x14ac:dyDescent="0.3">
      <c r="A8" s="4" t="s">
        <v>29</v>
      </c>
      <c r="B8" s="1">
        <v>505984.5653923541</v>
      </c>
    </row>
    <row r="9" spans="1:10" x14ac:dyDescent="0.3">
      <c r="A9" s="4" t="s">
        <v>21</v>
      </c>
      <c r="B9" s="1">
        <v>508894.34689922479</v>
      </c>
      <c r="J9" t="s">
        <v>3029</v>
      </c>
    </row>
    <row r="10" spans="1:10" x14ac:dyDescent="0.3">
      <c r="A10" s="4" t="s">
        <v>23</v>
      </c>
      <c r="B10" s="1">
        <v>519384.56681034481</v>
      </c>
    </row>
    <row r="11" spans="1:10" x14ac:dyDescent="0.3">
      <c r="A11" s="4" t="s">
        <v>3023</v>
      </c>
      <c r="B11" s="1">
        <v>500619.26912874926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92345-D8D8-4BAE-BDDC-06233E17C356}">
  <dimension ref="A3:B11"/>
  <sheetViews>
    <sheetView workbookViewId="0">
      <selection activeCell="P36" sqref="P36"/>
    </sheetView>
  </sheetViews>
  <sheetFormatPr defaultRowHeight="14.4" x14ac:dyDescent="0.3"/>
  <cols>
    <col min="1" max="1" width="12.5546875" bestFit="1" customWidth="1"/>
    <col min="2" max="2" width="22.77734375" bestFit="1" customWidth="1"/>
  </cols>
  <sheetData>
    <row r="3" spans="1:2" x14ac:dyDescent="0.3">
      <c r="A3" s="3" t="s">
        <v>3022</v>
      </c>
      <c r="B3" t="s">
        <v>3030</v>
      </c>
    </row>
    <row r="4" spans="1:2" x14ac:dyDescent="0.3">
      <c r="A4" s="4" t="s">
        <v>15</v>
      </c>
      <c r="B4" s="1">
        <v>259.04309416595157</v>
      </c>
    </row>
    <row r="5" spans="1:2" x14ac:dyDescent="0.3">
      <c r="A5" s="4" t="s">
        <v>29</v>
      </c>
      <c r="B5" s="1">
        <v>259.09382021680364</v>
      </c>
    </row>
    <row r="6" spans="1:2" x14ac:dyDescent="0.3">
      <c r="A6" s="4" t="s">
        <v>25</v>
      </c>
      <c r="B6" s="1">
        <v>260.55320245308434</v>
      </c>
    </row>
    <row r="7" spans="1:2" x14ac:dyDescent="0.3">
      <c r="A7" s="4" t="s">
        <v>13</v>
      </c>
      <c r="B7" s="1">
        <v>266.13523489788321</v>
      </c>
    </row>
    <row r="8" spans="1:2" x14ac:dyDescent="0.3">
      <c r="A8" s="4" t="s">
        <v>32</v>
      </c>
      <c r="B8" s="1">
        <v>269.80365215130814</v>
      </c>
    </row>
    <row r="9" spans="1:2" x14ac:dyDescent="0.3">
      <c r="A9" s="4" t="s">
        <v>23</v>
      </c>
      <c r="B9" s="1">
        <v>275.75740508256149</v>
      </c>
    </row>
    <row r="10" spans="1:2" x14ac:dyDescent="0.3">
      <c r="A10" s="4" t="s">
        <v>21</v>
      </c>
      <c r="B10" s="1">
        <v>276.91919817333803</v>
      </c>
    </row>
    <row r="11" spans="1:2" x14ac:dyDescent="0.3">
      <c r="A11" s="4" t="s">
        <v>3023</v>
      </c>
      <c r="B11" s="1">
        <v>265.67952008558916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CAFC-051D-40BE-88A7-A9A158CB5EE6}">
  <dimension ref="A3:B8"/>
  <sheetViews>
    <sheetView workbookViewId="0">
      <selection activeCell="P39" sqref="P39"/>
    </sheetView>
  </sheetViews>
  <sheetFormatPr defaultRowHeight="14.4" x14ac:dyDescent="0.3"/>
  <cols>
    <col min="1" max="1" width="12.5546875" bestFit="1" customWidth="1"/>
    <col min="2" max="2" width="17.5546875" bestFit="1" customWidth="1"/>
  </cols>
  <sheetData>
    <row r="3" spans="1:2" x14ac:dyDescent="0.3">
      <c r="A3" s="3" t="s">
        <v>3022</v>
      </c>
      <c r="B3" t="s">
        <v>3025</v>
      </c>
    </row>
    <row r="4" spans="1:2" x14ac:dyDescent="0.3">
      <c r="A4" s="4" t="s">
        <v>16</v>
      </c>
      <c r="B4" s="16">
        <v>1209</v>
      </c>
    </row>
    <row r="5" spans="1:2" x14ac:dyDescent="0.3">
      <c r="A5" s="4" t="s">
        <v>11</v>
      </c>
      <c r="B5" s="16">
        <v>1215</v>
      </c>
    </row>
    <row r="6" spans="1:2" x14ac:dyDescent="0.3">
      <c r="A6" s="4" t="s">
        <v>18</v>
      </c>
      <c r="B6" s="16">
        <v>1221</v>
      </c>
    </row>
    <row r="7" spans="1:2" x14ac:dyDescent="0.3">
      <c r="A7" s="4" t="s">
        <v>27</v>
      </c>
      <c r="B7" s="16">
        <v>1256</v>
      </c>
    </row>
    <row r="8" spans="1:2" x14ac:dyDescent="0.3">
      <c r="A8" s="4" t="s">
        <v>3023</v>
      </c>
      <c r="B8" s="16">
        <v>4901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41BA3-90C8-4549-B7A2-47AA3ED8BB2A}">
  <dimension ref="A1:E27"/>
  <sheetViews>
    <sheetView workbookViewId="0">
      <selection activeCell="D33" sqref="D33:D34"/>
    </sheetView>
  </sheetViews>
  <sheetFormatPr defaultRowHeight="14.4" x14ac:dyDescent="0.3"/>
  <cols>
    <col min="1" max="1" width="12.5546875" customWidth="1"/>
    <col min="2" max="2" width="21.5546875" customWidth="1"/>
    <col min="3" max="3" width="30.109375" customWidth="1"/>
    <col min="4" max="4" width="44.44140625" customWidth="1"/>
    <col min="5" max="5" width="44.5546875" customWidth="1"/>
  </cols>
  <sheetData>
    <row r="1" spans="1:5" x14ac:dyDescent="0.3">
      <c r="A1" t="s">
        <v>3022</v>
      </c>
      <c r="B1" t="s">
        <v>3024</v>
      </c>
      <c r="C1" t="s">
        <v>3026</v>
      </c>
      <c r="D1" t="s">
        <v>3027</v>
      </c>
      <c r="E1" t="s">
        <v>3028</v>
      </c>
    </row>
    <row r="2" spans="1:5" x14ac:dyDescent="0.3">
      <c r="A2">
        <v>2001</v>
      </c>
      <c r="B2" s="1">
        <v>497700.0991735537</v>
      </c>
    </row>
    <row r="3" spans="1:5" x14ac:dyDescent="0.3">
      <c r="A3">
        <v>2002</v>
      </c>
      <c r="B3" s="1">
        <v>495067.00873362448</v>
      </c>
    </row>
    <row r="4" spans="1:5" x14ac:dyDescent="0.3">
      <c r="A4">
        <v>2003</v>
      </c>
      <c r="B4" s="1">
        <v>502913.31512605044</v>
      </c>
    </row>
    <row r="5" spans="1:5" x14ac:dyDescent="0.3">
      <c r="A5">
        <v>2004</v>
      </c>
      <c r="B5" s="1">
        <v>509024.56569343066</v>
      </c>
    </row>
    <row r="6" spans="1:5" x14ac:dyDescent="0.3">
      <c r="A6">
        <v>2005</v>
      </c>
      <c r="B6" s="1">
        <v>501520.86973180075</v>
      </c>
    </row>
    <row r="7" spans="1:5" x14ac:dyDescent="0.3">
      <c r="A7">
        <v>2006</v>
      </c>
      <c r="B7" s="1">
        <v>512843.98455598456</v>
      </c>
    </row>
    <row r="8" spans="1:5" x14ac:dyDescent="0.3">
      <c r="A8">
        <v>2007</v>
      </c>
      <c r="B8" s="1">
        <v>494836.43333333335</v>
      </c>
    </row>
    <row r="9" spans="1:5" x14ac:dyDescent="0.3">
      <c r="A9">
        <v>2008</v>
      </c>
      <c r="B9" s="1">
        <v>506165.29910714284</v>
      </c>
    </row>
    <row r="10" spans="1:5" x14ac:dyDescent="0.3">
      <c r="A10">
        <v>2009</v>
      </c>
      <c r="B10" s="1">
        <v>489313.42748091603</v>
      </c>
    </row>
    <row r="11" spans="1:5" x14ac:dyDescent="0.3">
      <c r="A11">
        <v>2010</v>
      </c>
      <c r="B11" s="1">
        <v>516065.82608695654</v>
      </c>
    </row>
    <row r="12" spans="1:5" x14ac:dyDescent="0.3">
      <c r="A12">
        <v>2011</v>
      </c>
      <c r="B12" s="1">
        <v>506498.72834645672</v>
      </c>
    </row>
    <row r="13" spans="1:5" x14ac:dyDescent="0.3">
      <c r="A13">
        <v>2012</v>
      </c>
      <c r="B13" s="1">
        <v>473714.02092050208</v>
      </c>
    </row>
    <row r="14" spans="1:5" x14ac:dyDescent="0.3">
      <c r="A14">
        <v>2013</v>
      </c>
      <c r="B14" s="1">
        <v>492512.07480314962</v>
      </c>
    </row>
    <row r="15" spans="1:5" x14ac:dyDescent="0.3">
      <c r="A15">
        <v>2014</v>
      </c>
      <c r="B15" s="1">
        <v>488231.08898305084</v>
      </c>
    </row>
    <row r="16" spans="1:5" x14ac:dyDescent="0.3">
      <c r="A16">
        <v>2015</v>
      </c>
      <c r="B16" s="1">
        <v>503163.19282511208</v>
      </c>
    </row>
    <row r="17" spans="1:5" x14ac:dyDescent="0.3">
      <c r="A17">
        <v>2016</v>
      </c>
      <c r="B17" s="1">
        <v>510499.88211382116</v>
      </c>
    </row>
    <row r="18" spans="1:5" x14ac:dyDescent="0.3">
      <c r="A18">
        <v>2017</v>
      </c>
      <c r="B18" s="1">
        <v>518142.97468354431</v>
      </c>
    </row>
    <row r="19" spans="1:5" x14ac:dyDescent="0.3">
      <c r="A19">
        <v>2018</v>
      </c>
      <c r="B19" s="1">
        <v>514430.99613899615</v>
      </c>
    </row>
    <row r="20" spans="1:5" x14ac:dyDescent="0.3">
      <c r="A20">
        <v>2019</v>
      </c>
      <c r="B20" s="1">
        <v>478898.90438247012</v>
      </c>
    </row>
    <row r="21" spans="1:5" x14ac:dyDescent="0.3">
      <c r="A21">
        <v>2020</v>
      </c>
      <c r="B21" s="1">
        <v>500313.44855967077</v>
      </c>
      <c r="C21" s="1">
        <v>500313.44855967077</v>
      </c>
      <c r="D21" s="1">
        <v>500313.44855967077</v>
      </c>
      <c r="E21" s="1">
        <v>500313.44855967077</v>
      </c>
    </row>
    <row r="22" spans="1:5" x14ac:dyDescent="0.3">
      <c r="A22">
        <v>2021</v>
      </c>
      <c r="C22" s="1">
        <f t="shared" ref="C22:C27" si="0">_xlfn.FORECAST.ETS(A22,$B$2:$B$21,$A$2:$A$21,1,1)</f>
        <v>497142.5963615973</v>
      </c>
      <c r="D22" s="1">
        <f t="shared" ref="D22:D27" si="1">C22-_xlfn.FORECAST.ETS.CONFINT(A22,$B$2:$B$21,$A$2:$A$21,0.95,1,1)</f>
        <v>473258.91721036518</v>
      </c>
      <c r="E22" s="1">
        <f t="shared" ref="E22:E27" si="2">C22+_xlfn.FORECAST.ETS.CONFINT(A22,$B$2:$B$21,$A$2:$A$21,0.95,1,1)</f>
        <v>521026.27551282942</v>
      </c>
    </row>
    <row r="23" spans="1:5" x14ac:dyDescent="0.3">
      <c r="A23">
        <v>2022</v>
      </c>
      <c r="C23" s="1">
        <f t="shared" si="0"/>
        <v>497137.8054353394</v>
      </c>
      <c r="D23" s="1">
        <f t="shared" si="1"/>
        <v>473254.01880779292</v>
      </c>
      <c r="E23" s="1">
        <f t="shared" si="2"/>
        <v>521021.59206288587</v>
      </c>
    </row>
    <row r="24" spans="1:5" x14ac:dyDescent="0.3">
      <c r="A24">
        <v>2023</v>
      </c>
      <c r="C24" s="1">
        <f t="shared" si="0"/>
        <v>497133.01450908149</v>
      </c>
      <c r="D24" s="1">
        <f t="shared" si="1"/>
        <v>473249.03681372583</v>
      </c>
      <c r="E24" s="1">
        <f t="shared" si="2"/>
        <v>521016.99220443715</v>
      </c>
    </row>
    <row r="25" spans="1:5" x14ac:dyDescent="0.3">
      <c r="A25">
        <v>2024</v>
      </c>
      <c r="C25" s="1">
        <f t="shared" si="0"/>
        <v>497128.22358282359</v>
      </c>
      <c r="D25" s="1">
        <f t="shared" si="1"/>
        <v>473243.94734707614</v>
      </c>
      <c r="E25" s="1">
        <f t="shared" si="2"/>
        <v>521012.49981857103</v>
      </c>
    </row>
    <row r="26" spans="1:5" x14ac:dyDescent="0.3">
      <c r="A26">
        <v>2025</v>
      </c>
      <c r="C26" s="1">
        <f t="shared" si="0"/>
        <v>497123.43265656562</v>
      </c>
      <c r="D26" s="1">
        <f t="shared" si="1"/>
        <v>473238.72652920953</v>
      </c>
      <c r="E26" s="1">
        <f t="shared" si="2"/>
        <v>521008.13878392172</v>
      </c>
    </row>
    <row r="27" spans="1:5" x14ac:dyDescent="0.3">
      <c r="A27">
        <v>2026</v>
      </c>
      <c r="C27" s="1">
        <f t="shared" si="0"/>
        <v>497118.64173030772</v>
      </c>
      <c r="D27" s="1">
        <f t="shared" si="1"/>
        <v>473233.35048513924</v>
      </c>
      <c r="E27" s="1">
        <f t="shared" si="2"/>
        <v>521003.9329754762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C191AA-3806-4205-BC21-DF39A95E1A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KPI_Calculations</vt:lpstr>
      <vt:lpstr>Raw_Data</vt:lpstr>
      <vt:lpstr>AveragePriceByYear</vt:lpstr>
      <vt:lpstr>NumberOfPropertySalesByYear</vt:lpstr>
      <vt:lpstr>NumberOfPropertySalesByTown</vt:lpstr>
      <vt:lpstr>AveragePropertyPriceByTown</vt:lpstr>
      <vt:lpstr>AveragePropertyPricePerSqFt</vt:lpstr>
      <vt:lpstr>PropertySalesDistribution</vt:lpstr>
      <vt:lpstr>PriceForcastModel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Patience Danjuma</dc:creator>
  <cp:lastModifiedBy>Patience Danjuma</cp:lastModifiedBy>
  <dcterms:created xsi:type="dcterms:W3CDTF">2026-02-27T21:00:12Z</dcterms:created>
  <dcterms:modified xsi:type="dcterms:W3CDTF">2026-03-13T22:35:52Z</dcterms:modified>
</cp:coreProperties>
</file>